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Data" sheetId="2" state="visible" r:id="rId4"/>
    <sheet name="Market_Sizing" sheetId="3" state="visible" r:id="rId5"/>
    <sheet name="Financials" sheetId="4" state="visible" r:id="rId6"/>
    <sheet name="Scenarios" sheetId="5" state="visible" r:id="rId7"/>
    <sheet name="Niches" sheetId="6" state="visible" r:id="rId8"/>
    <sheet name="Fraud_Stats" sheetId="7" state="visible" r:id="rId9"/>
    <sheet name="Cohorts" sheetId="8" state="visible" r:id="rId10"/>
    <sheet name="Funnel" sheetId="9" state="visible" r:id="rId11"/>
    <sheet name="Competitive" sheetId="10" state="visible" r:id="rId12"/>
    <sheet name="OKRs" sheetId="11" state="visible" r:id="rId13"/>
  </sheets>
  <definedNames>
    <definedName function="false" hidden="false" name="agency_price" vbProcedure="false">Financials!$B$8</definedName>
    <definedName function="false" hidden="false" name="agency_y5" vbProcedure="false">Financials!$B$7</definedName>
    <definedName function="false" hidden="false" name="brand_price" vbProcedure="false">Financials!$B$6</definedName>
    <definedName function="false" hidden="false" name="brand_y5" vbProcedure="false">Financials!$B$5</definedName>
    <definedName function="false" hidden="false" name="CPM_table" vbProcedure="false">Niches!$K$5:$L$24</definedName>
    <definedName function="false" hidden="false" name="gm" vbProcedure="false">Financials!$B$9</definedName>
    <definedName function="false" hidden="false" name="init_inv" vbProcedure="false">Financials!$B$14</definedName>
    <definedName function="false" hidden="false" name="opex_pct" vbProcedure="false">Financials!$B$10</definedName>
    <definedName function="false" hidden="false" name="SAM_pct" vbProcedure="false">Market_Sizing!$B$11</definedName>
    <definedName function="false" hidden="false" name="tax" vbProcedure="false">Financials!$B$11</definedName>
    <definedName function="false" hidden="false" name="term_g" vbProcedure="false">Financials!$B$13</definedName>
    <definedName function="false" hidden="false" name="tooling_pct" vbProcedure="false">Market_Sizing!$B$12</definedName>
    <definedName function="false" hidden="false" name="WACC" vbProcedure="false">Financials!$B$12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<sst xmlns="http://schemas.openxmlformats.org/spreadsheetml/2006/main" count="25338" uniqueCount="12756">
  <si>
    <t xml:space="preserve">CreatorPulse — Executive Summary</t>
  </si>
  <si>
    <t xml:space="preserve">Creator-economy intelligence for India · creators + brands · free-forever OSS stack</t>
  </si>
  <si>
    <t xml:space="preserve">Creators indexed</t>
  </si>
  <si>
    <t xml:space="preserve">Niches tracked</t>
  </si>
  <si>
    <t xml:space="preserve">TAM (₹ cr, 2025)</t>
  </si>
  <si>
    <t xml:space="preserve">Year-5 ARR (₹ cr)</t>
  </si>
  <si>
    <t xml:space="preserve">Enterprise NPV (₹ cr)</t>
  </si>
  <si>
    <t xml:space="preserve">Median fraud risk</t>
  </si>
  <si>
    <t xml:space="preserve">Fraud classifier F1</t>
  </si>
  <si>
    <t xml:space="preserve">Match A/B lift</t>
  </si>
  <si>
    <t xml:space="preserve">Narrative</t>
  </si>
  <si>
    <t xml:space="preserve">CreatorPulse indexes 12,547 Indian YouTube creators from the official Data API and layers an XGBoost engagement-fraud classifier, K-means/DBSCAN archetype clustering, a sentence-transformer brand-creator match engine and Prophet niche forecasts on top. Dual-persona product (creators + brands) instrumented in PostHog. Figures trace to the live corpus and market_sizing.md; pre-launch cohort/funnel/A-B numbers are simulated.</t>
  </si>
  <si>
    <t xml:space="preserve">Creator dataset (pivot / lookup source)</t>
  </si>
  <si>
    <t xml:space="preserve">12,547 live Indian YouTube channels · official Data API · fraud_risk = fraud_classifier_v1 P(suspicious)</t>
  </si>
  <si>
    <t xml:space="preserve">channel_id</t>
  </si>
  <si>
    <t xml:space="preserve">niche</t>
  </si>
  <si>
    <t xml:space="preserve">subscriber_count</t>
  </si>
  <si>
    <t xml:space="preserve">mean_views</t>
  </si>
  <si>
    <t xml:space="preserve">mean_engagement_rate</t>
  </si>
  <si>
    <t xml:space="preserve">fraud_risk</t>
  </si>
  <si>
    <t xml:space="preserve">UCRm96I5kmb_iGFofE5N691w</t>
  </si>
  <si>
    <t xml:space="preserve">Sports</t>
  </si>
  <si>
    <t xml:space="preserve">UCEKWXRsfUHkan-D_ljU8Asw</t>
  </si>
  <si>
    <t xml:space="preserve">UC6-F5tO8uklgE9Zy8IvbdFw</t>
  </si>
  <si>
    <t xml:space="preserve">Devotional</t>
  </si>
  <si>
    <t xml:space="preserve">UC-LPIU24bQXVljUXivKEeRQ</t>
  </si>
  <si>
    <t xml:space="preserve">Vlogs</t>
  </si>
  <si>
    <t xml:space="preserve">UC4DLvb5xZ9OLcVM1KC_R97g</t>
  </si>
  <si>
    <t xml:space="preserve">Parenting</t>
  </si>
  <si>
    <t xml:space="preserve">UCP84QWij0alw4MvzqzyfOnw</t>
  </si>
  <si>
    <t xml:space="preserve">Comedy</t>
  </si>
  <si>
    <t xml:space="preserve">UCLtNvbkqea8wN_kGtfgx_Mw</t>
  </si>
  <si>
    <t xml:space="preserve">Music</t>
  </si>
  <si>
    <t xml:space="preserve">UCN8S4CqMRy6tVKVXvs7Bzeg</t>
  </si>
  <si>
    <t xml:space="preserve">UCF1JIbMUs6uqoZEY1Haw0GQ</t>
  </si>
  <si>
    <t xml:space="preserve">Travel</t>
  </si>
  <si>
    <t xml:space="preserve">UCBOmfqgTZi7yDp4-3Lr_3lA</t>
  </si>
  <si>
    <t xml:space="preserve">UC55IWqFLDH1Xp7iu1_xknRA</t>
  </si>
  <si>
    <t xml:space="preserve">UC6lVSi_MZ5IZPECkOU0oXoA</t>
  </si>
  <si>
    <t xml:space="preserve">UC22nIfOTM7KLIQuFGMKzQbg</t>
  </si>
  <si>
    <t xml:space="preserve">UCmphdqZNmqL72WJ2uyiNw5w</t>
  </si>
  <si>
    <t xml:space="preserve">News</t>
  </si>
  <si>
    <t xml:space="preserve">UCWi_65E_L8tQZ34C6wVAlpQ</t>
  </si>
  <si>
    <t xml:space="preserve">UC5tuYcCdiKuF5Y2ZonuarwA</t>
  </si>
  <si>
    <t xml:space="preserve">UCo6y9hnRawAqtyWhRhblXqg</t>
  </si>
  <si>
    <t xml:space="preserve">UC2MRRqb_L2E53UmTaywdhkA</t>
  </si>
  <si>
    <t xml:space="preserve">UCJrDMFOdv1I2k8n9oK_V21w</t>
  </si>
  <si>
    <t xml:space="preserve">UCbomPUMyPHCgrqD5iYnzj1A</t>
  </si>
  <si>
    <t xml:space="preserve">UCttspZesZIDEwwpVIgoZtWQ</t>
  </si>
  <si>
    <t xml:space="preserve">UC1ciY6kR3yj3kaKZ6R7ewAg</t>
  </si>
  <si>
    <t xml:space="preserve">Reactions</t>
  </si>
  <si>
    <t xml:space="preserve">UCJfeUWkrU4JwIJfP-usd-_w</t>
  </si>
  <si>
    <t xml:space="preserve">UC5c9VlYTSvBSCaoMu_GI6gQ</t>
  </si>
  <si>
    <t xml:space="preserve">Gaming</t>
  </si>
  <si>
    <t xml:space="preserve">UCgJ5_1F6yJhYLnyMszUdmUg</t>
  </si>
  <si>
    <t xml:space="preserve">UC7eHZXheF8nVOfwB2PEslMw</t>
  </si>
  <si>
    <t xml:space="preserve">UCunqjMN6EEbXjzU-RvwJrig</t>
  </si>
  <si>
    <t xml:space="preserve">UCBnZ16ahKA2DZ_T5W0FPUXg</t>
  </si>
  <si>
    <t xml:space="preserve">UCgKEvLp8DXCTMq4QY6wW7bw</t>
  </si>
  <si>
    <t xml:space="preserve">UCNzmmbXIbMzlqE8nD1PBXfg</t>
  </si>
  <si>
    <t xml:space="preserve">UCbTLwN10NoCU4WDzLf1JMOA</t>
  </si>
  <si>
    <t xml:space="preserve">UChXRi2xTPZ8J5lznBNuMCOw</t>
  </si>
  <si>
    <t xml:space="preserve">Fitness</t>
  </si>
  <si>
    <t xml:space="preserve">UCNApqoVYJbYSrni4YsbXzyQ</t>
  </si>
  <si>
    <t xml:space="preserve">UCX52tYZiEh_mHoFja3Veciw</t>
  </si>
  <si>
    <t xml:space="preserve">UCSiDGb0MnHFGjs4E2WKvShw</t>
  </si>
  <si>
    <t xml:space="preserve">UCpEhnqL0y41EpW2TvWAHD7Q</t>
  </si>
  <si>
    <t xml:space="preserve">UCN4NflpHqLeHQZ91kTUVCBw</t>
  </si>
  <si>
    <t xml:space="preserve">UC_A7K2dXFsTMAciGmnNxy-Q</t>
  </si>
  <si>
    <t xml:space="preserve">UCx6F-rETGiz7xf_vkMmX2yQ</t>
  </si>
  <si>
    <t xml:space="preserve">UCmL1WlDI8UkXDXCXcBQN9CA</t>
  </si>
  <si>
    <t xml:space="preserve">Tech</t>
  </si>
  <si>
    <t xml:space="preserve">UCX_uPA_dGf7wXjuMEaSKLJA</t>
  </si>
  <si>
    <t xml:space="preserve">UCzEAWIWMigRBbulQ6yVlilg</t>
  </si>
  <si>
    <t xml:space="preserve">Finance</t>
  </si>
  <si>
    <t xml:space="preserve">UCJg19noZp7-BYIGvypu_cow</t>
  </si>
  <si>
    <t xml:space="preserve">UCR1hQY5sz5NEYofdv09XimA</t>
  </si>
  <si>
    <t xml:space="preserve">UCcvNYxWXR_5TjVK7cSCdW-g</t>
  </si>
  <si>
    <t xml:space="preserve">UCHcn4Ux-sO9nzNu7rDsoQLg</t>
  </si>
  <si>
    <t xml:space="preserve">UCU_AsfgtKjwR4qaSwgsWn-w</t>
  </si>
  <si>
    <t xml:space="preserve">UCjUcWqloaNWg2nlYYkiV2dQ</t>
  </si>
  <si>
    <t xml:space="preserve">Auto</t>
  </si>
  <si>
    <t xml:space="preserve">UCRWFSbif-RFENbBrSiez1DA</t>
  </si>
  <si>
    <t xml:space="preserve">UCppHT7SZKKvar4Oc9J4oljQ</t>
  </si>
  <si>
    <t xml:space="preserve">UCvrhwpnp2DHYQ1CbXby9ypQ</t>
  </si>
  <si>
    <t xml:space="preserve">UCTf3jU9tyfsq1ElmkTY_ztQ</t>
  </si>
  <si>
    <t xml:space="preserve">UCzXpAx4v6rFLYXkJZ5nmSvQ</t>
  </si>
  <si>
    <t xml:space="preserve">UCatL-c6pmnjzEOHSyjn-sHA</t>
  </si>
  <si>
    <t xml:space="preserve">Education</t>
  </si>
  <si>
    <t xml:space="preserve">UCl_Ksy6Yi1b4eEZ46FInb_w</t>
  </si>
  <si>
    <t xml:space="preserve">UCAWuV9ZZ0itI3WR-JHWIUNQ</t>
  </si>
  <si>
    <t xml:space="preserve">UC4kDWl5B4_RVd9F5kVWuuDw</t>
  </si>
  <si>
    <t xml:space="preserve">Food</t>
  </si>
  <si>
    <t xml:space="preserve">UC56gTxNs4f9xZ7Pa2i5xNzg</t>
  </si>
  <si>
    <t xml:space="preserve">UC3ar28GS6o1p0m_wabfk2zw</t>
  </si>
  <si>
    <t xml:space="preserve">UCpcsv3Ow-8IhoUGDEfPetsQ</t>
  </si>
  <si>
    <t xml:space="preserve">UCfLuT3JwLx8rvHjHfTymekw</t>
  </si>
  <si>
    <t xml:space="preserve">UCOvOXLATfCrOJmAYaO4mRBA</t>
  </si>
  <si>
    <t xml:space="preserve">UCIvaYmXn910QMdemBG3v1pQ</t>
  </si>
  <si>
    <t xml:space="preserve">UC3zVeAaoPEN1Tu25dW3G2Ig</t>
  </si>
  <si>
    <t xml:space="preserve">UC1NF71EwP41VdjAU1iXdLkw</t>
  </si>
  <si>
    <t xml:space="preserve">UCqwUrj10mAEsqezcItqvwEw</t>
  </si>
  <si>
    <t xml:space="preserve">UCnSqxrSfo1sK4WZ7nBpYW1Q</t>
  </si>
  <si>
    <t xml:space="preserve">UCj22tfcQrWG7EMEKS0qLeEg</t>
  </si>
  <si>
    <t xml:space="preserve">UCX8pnu3DYUnx8qy8V_c6oHg</t>
  </si>
  <si>
    <t xml:space="preserve">UC783dnzJqf2ghHp_pFLYbGA</t>
  </si>
  <si>
    <t xml:space="preserve">UCpN-WGQgGsOrXm7nHXDdTDA</t>
  </si>
  <si>
    <t xml:space="preserve">UCt4atlExw8aj3Bm79nv1fig</t>
  </si>
  <si>
    <t xml:space="preserve">UCx8Z14PpntdaxCt2hakbQLQ</t>
  </si>
  <si>
    <t xml:space="preserve">UCC9Iz-AebxsyVF4iZagOtwA</t>
  </si>
  <si>
    <t xml:space="preserve">UCSs9H1cyB3OHdy8wkit8ZKg</t>
  </si>
  <si>
    <t xml:space="preserve">UCBnxEdpoZwstJqC1yZpOjRA</t>
  </si>
  <si>
    <t xml:space="preserve">UCOQNJjhXwvAScuELTT_i7cQ</t>
  </si>
  <si>
    <t xml:space="preserve">UCgoxyzvouZM-tCgsYzrYtyg</t>
  </si>
  <si>
    <t xml:space="preserve">UCFcBAGR0drI3F15EhMFjuTg</t>
  </si>
  <si>
    <t xml:space="preserve">UCOutOIcn_oho8pyVN3Ng-Pg</t>
  </si>
  <si>
    <t xml:space="preserve">UCHmk8iNJHvf5mGN6_pkPc7g</t>
  </si>
  <si>
    <t xml:space="preserve">UC0zXnLIFedO97pFsyMxZcFg</t>
  </si>
  <si>
    <t xml:space="preserve">UCjBwQ6M9QyCgO5Pp-TQRFUA</t>
  </si>
  <si>
    <t xml:space="preserve">UClfos9f7uDdoun8ZyE9jYFg</t>
  </si>
  <si>
    <t xml:space="preserve">UCt4t-jeY85JegMlZ-E5UWtA</t>
  </si>
  <si>
    <t xml:space="preserve">UCR-foyF-C6VuAlwy3KZMkgA</t>
  </si>
  <si>
    <t xml:space="preserve">UC6ERimtc5zFrn7x6Bk3HaHA</t>
  </si>
  <si>
    <t xml:space="preserve">UCopY0NAzASqmD6eVaRj2TFQ</t>
  </si>
  <si>
    <t xml:space="preserve">UCGdPm5Aq081vVD7ih9jZf6Q</t>
  </si>
  <si>
    <t xml:space="preserve">UCRqs0TZOqe5nrwP-BrdnCjg</t>
  </si>
  <si>
    <t xml:space="preserve">UCZLOlM5df0CXW9bP5MAeE7A</t>
  </si>
  <si>
    <t xml:space="preserve">UCpO_iMOOEhShBMxcXgJs7Yw</t>
  </si>
  <si>
    <t xml:space="preserve">UCCyKsYaRi62axS-kasXW7wA</t>
  </si>
  <si>
    <t xml:space="preserve">UCUL9We-R1aCC3GAe-RvOx5g</t>
  </si>
  <si>
    <t xml:space="preserve">UCOhHO2ICt0ti9KAh-QHvttQ</t>
  </si>
  <si>
    <t xml:space="preserve">UC2lZDDm1-wTuadQ1qVCZ3dA</t>
  </si>
  <si>
    <t xml:space="preserve">UCPP3etACgdUWvizcES1dJ8Q</t>
  </si>
  <si>
    <t xml:space="preserve">UCMrvxKTx9hLhZcOvJkYOnAw</t>
  </si>
  <si>
    <t xml:space="preserve">UC4B6dDVB0Umrh5l4UgxUtyg</t>
  </si>
  <si>
    <t xml:space="preserve">UCiBigY9XM-HaOxUc269ympg</t>
  </si>
  <si>
    <t xml:space="preserve">UCk3JZr7eS3pg5AGEvBdEvFg</t>
  </si>
  <si>
    <t xml:space="preserve">UCkKDpnzIG29MA--Sh6oOtWg</t>
  </si>
  <si>
    <t xml:space="preserve">UCn4rEMqKtwBQ6-oEwbd4PcA</t>
  </si>
  <si>
    <t xml:space="preserve">UCxJcrDUc8awRSLzLbnIiAmQ</t>
  </si>
  <si>
    <t xml:space="preserve">UC2fvyma9iKsjN9EZW_FWW1A</t>
  </si>
  <si>
    <t xml:space="preserve">UCw0ry7cLRUnq3Oaszlhgqfg</t>
  </si>
  <si>
    <t xml:space="preserve">UCoy3dQzEdq1y2zMnT4pdj3Q</t>
  </si>
  <si>
    <t xml:space="preserve">UCYauDsl-rswjQGpA0_-Z9Pw</t>
  </si>
  <si>
    <t xml:space="preserve">UC9dyrsYEmD4iGJ8Oz1G5dpw</t>
  </si>
  <si>
    <t xml:space="preserve">UC9IbBVJ0tg549Mk6Ves-3gg</t>
  </si>
  <si>
    <t xml:space="preserve">UCnSFZ-olBoLGLRUS_3RI2Aw</t>
  </si>
  <si>
    <t xml:space="preserve">UCP1vrClG-6iGuFq7ls_NBsw</t>
  </si>
  <si>
    <t xml:space="preserve">UC1tVU8H153ZFO9eRsxdJlhA</t>
  </si>
  <si>
    <t xml:space="preserve">UC0J8BQahplvTY6LjlnLf_NQ</t>
  </si>
  <si>
    <t xml:space="preserve">UCrC8mOqJQpoB7NuIMKIS6rQ</t>
  </si>
  <si>
    <t xml:space="preserve">UCOjgc1p2hJ4GZi6pQQoXWYQ</t>
  </si>
  <si>
    <t xml:space="preserve">UCnoqvTW4YZExfDeq7_Wmd-w</t>
  </si>
  <si>
    <t xml:space="preserve">UCNLLgtPIKew9vHNVAQmdVGQ</t>
  </si>
  <si>
    <t xml:space="preserve">UCsUBoYj2kqgj72g6kgzGPMg</t>
  </si>
  <si>
    <t xml:space="preserve">UCHcDpS0TXITVs0ZrBSIsEsA</t>
  </si>
  <si>
    <t xml:space="preserve">UCAXe-dTMWRcqDdt5pYLwHCA</t>
  </si>
  <si>
    <t xml:space="preserve">UCsgdASJ1gqK_CcEbvaIcFcg</t>
  </si>
  <si>
    <t xml:space="preserve">UCPQtgEj6Z0xve62aeSgo5qA</t>
  </si>
  <si>
    <t xml:space="preserve">UCTbNOCtAGaqOEnLMeo3JTeg</t>
  </si>
  <si>
    <t xml:space="preserve">UCWKeZvw4iSZVM2qXKZde58A</t>
  </si>
  <si>
    <t xml:space="preserve">UCsCe7SNQckiRJ6y563SIupg</t>
  </si>
  <si>
    <t xml:space="preserve">UC9CYT9gSNLevX5ey2_6CK0Q</t>
  </si>
  <si>
    <t xml:space="preserve">UC3oQ1986eLZ4MhyPBiu54PA</t>
  </si>
  <si>
    <t xml:space="preserve">UCLWCv3y3FK1pqEbe_yzilsw</t>
  </si>
  <si>
    <t xml:space="preserve">UCVmEbEQUGXHVm-O9pqa3JWg</t>
  </si>
  <si>
    <t xml:space="preserve">UCCy2rLnGdwoJcSAtixNdsPQ</t>
  </si>
  <si>
    <t xml:space="preserve">UCEPL07qzVsOcHd3sMUws65g</t>
  </si>
  <si>
    <t xml:space="preserve">UCAgAsH5n26IHMDyzwhF3wIw</t>
  </si>
  <si>
    <t xml:space="preserve">UC_wIGmvdyAQLtl-U2nHV9rg</t>
  </si>
  <si>
    <t xml:space="preserve">UCbmu9wfzxKls40WkCzvqtRA</t>
  </si>
  <si>
    <t xml:space="preserve">UC196qeFpI8slOwK8ZWjKndw</t>
  </si>
  <si>
    <t xml:space="preserve">UCChqsCRFePrP2X897iQkyAA</t>
  </si>
  <si>
    <t xml:space="preserve">UCIeNlITYK46VkR7yIuTL8GQ</t>
  </si>
  <si>
    <t xml:space="preserve">UCAH1Aw-mXgcB3t8uaqW4yTA</t>
  </si>
  <si>
    <t xml:space="preserve">UC8md0UEGj7UbjcZtMjBVrgQ</t>
  </si>
  <si>
    <t xml:space="preserve">UCzKWILdrVl8ZEcDzaH4kl_A</t>
  </si>
  <si>
    <t xml:space="preserve">UC4AB0_ectRryjCF_ugD0U8w</t>
  </si>
  <si>
    <t xml:space="preserve">UCeMsqI6jU9WE2ctsrbxbywQ</t>
  </si>
  <si>
    <t xml:space="preserve">UCgW7gZxz7pZ_a8_uF5Q9Hsw</t>
  </si>
  <si>
    <t xml:space="preserve">UCvVEcGPPEkn3zSdc-rniGMg</t>
  </si>
  <si>
    <t xml:space="preserve">UCpCWa9f5_J3PqY-_Lg-_QfQ</t>
  </si>
  <si>
    <t xml:space="preserve">UCLbdVvreihwZRL6kwuEUYsA</t>
  </si>
  <si>
    <t xml:space="preserve">UCuApqv2tNQ73S7gcfrfCSDw</t>
  </si>
  <si>
    <t xml:space="preserve">UCqkzW64w1WX8fQof2ye1WKA</t>
  </si>
  <si>
    <t xml:space="preserve">UCDe0DwkMVFfSIoiYdQUPQmQ</t>
  </si>
  <si>
    <t xml:space="preserve">UCl-k7PGX6Cu-Kygzl5XpxhA</t>
  </si>
  <si>
    <t xml:space="preserve">UCxtwjNPrymSvS4UD_6HgcxQ</t>
  </si>
  <si>
    <t xml:space="preserve">UCdQPeeJ0qGK6wWBiEJWcdsQ</t>
  </si>
  <si>
    <t xml:space="preserve">UCFdmd1JSZVHF2nCpudLfQDA</t>
  </si>
  <si>
    <t xml:space="preserve">UCxGzpNf5XOnSQOYC2nbMiyQ</t>
  </si>
  <si>
    <t xml:space="preserve">UCJxJpvWL1gxfLfM352EFatw</t>
  </si>
  <si>
    <t xml:space="preserve">UChXi_PlJkRMPYFQBOJ3MpxA</t>
  </si>
  <si>
    <t xml:space="preserve">UC9Gjog4enoDWRWTaYuamx1g</t>
  </si>
  <si>
    <t xml:space="preserve">UCPMqs8vxEwbie26nFA3ykAw</t>
  </si>
  <si>
    <t xml:space="preserve">Lifestyle</t>
  </si>
  <si>
    <t xml:space="preserve">UCXUJJNoP1QupwsYIWFXmsZg</t>
  </si>
  <si>
    <t xml:space="preserve">UC-08pGGJXI4YGI-zzvAdneA</t>
  </si>
  <si>
    <t xml:space="preserve">UCsNdeLwEZf86swPD3qJJ7Dw</t>
  </si>
  <si>
    <t xml:space="preserve">UCLtCejNl8eAg4PO_9lf2TIg</t>
  </si>
  <si>
    <t xml:space="preserve">UCfD08FDOGbzIxCduGKkJ0Xg</t>
  </si>
  <si>
    <t xml:space="preserve">UCigV1clokmoz4LZrGL9fRNw</t>
  </si>
  <si>
    <t xml:space="preserve">UCgN55-McINV9y4noG-0QKVg</t>
  </si>
  <si>
    <t xml:space="preserve">UCzLqOSZPtUKrmSEnlH4LAvw</t>
  </si>
  <si>
    <t xml:space="preserve">UCwBlZvRTu3vasTWUE9U5wPw</t>
  </si>
  <si>
    <t xml:space="preserve">UC2GXNqco-k7fwg2SMM6SAzQ</t>
  </si>
  <si>
    <t xml:space="preserve">UClfll_TO6FpOPLUg4Aawhlw</t>
  </si>
  <si>
    <t xml:space="preserve">UCgVg6dmZHCxze_ay0bolPew</t>
  </si>
  <si>
    <t xml:space="preserve">UCPmpyXciSmUXPwdTW_0mbGw</t>
  </si>
  <si>
    <t xml:space="preserve">UCZFMm1mMw0F81Z37aaEzTUA</t>
  </si>
  <si>
    <t xml:space="preserve">UCiDikVE7Y4_KpQwsxarj38g</t>
  </si>
  <si>
    <t xml:space="preserve">UCIs62lUAAbac1mdqGIdSVJQ</t>
  </si>
  <si>
    <t xml:space="preserve">UCmAPdImtXLGh5E-lTTH4Qmg</t>
  </si>
  <si>
    <t xml:space="preserve">UCuIpkP1H2Vb_NFu8dLIWoPw</t>
  </si>
  <si>
    <t xml:space="preserve">DIY</t>
  </si>
  <si>
    <t xml:space="preserve">UCkaMZOILqfN5EYmQM0MmkIQ</t>
  </si>
  <si>
    <t xml:space="preserve">UCdYWsgHixIo961QdCD3U_Tw</t>
  </si>
  <si>
    <t xml:space="preserve">UCFwKgzKe-EdTz83r6wzhmOw</t>
  </si>
  <si>
    <t xml:space="preserve">UCwXoTVIBscl4RI-5EU_h1ug</t>
  </si>
  <si>
    <t xml:space="preserve">UCbH4Ii9Htdqc-QgxoV3M0Qw</t>
  </si>
  <si>
    <t xml:space="preserve">UCKiLtqajY9U7uoi_eyugk_w</t>
  </si>
  <si>
    <t xml:space="preserve">UCOo61v1PPAjoN2exxYAzdAw</t>
  </si>
  <si>
    <t xml:space="preserve">UCH7nv1A9xIrAifZJNvt7cgA</t>
  </si>
  <si>
    <t xml:space="preserve">UCZNr3-bxFbzfLzbiJ_rJ5zw</t>
  </si>
  <si>
    <t xml:space="preserve">UCuFwzKrS0wE43CSkyaHBGiQ</t>
  </si>
  <si>
    <t xml:space="preserve">UCMZ1mhXvZEhAEwVtAMmvioA</t>
  </si>
  <si>
    <t xml:space="preserve">UCPXTXMecYqnRKNdqdVOGSFg</t>
  </si>
  <si>
    <t xml:space="preserve">UCs0upBDG-dCAxy8_VDPE5XA</t>
  </si>
  <si>
    <t xml:space="preserve">UCg-1notba3Izuus-oz5WdIw</t>
  </si>
  <si>
    <t xml:space="preserve">UC0IWRLai-BAwci_e9MylNGw</t>
  </si>
  <si>
    <t xml:space="preserve">UCVCjedz7laLAQvX__qMUTzQ</t>
  </si>
  <si>
    <t xml:space="preserve">UC5H9MzrMkJ5iuN11vV2PLhA</t>
  </si>
  <si>
    <t xml:space="preserve">UCm2FYakWw43UiBCRAIbfe4A</t>
  </si>
  <si>
    <t xml:space="preserve">UCai2GPLiGYuTSgB4v6UmGLg</t>
  </si>
  <si>
    <t xml:space="preserve">UCuB7zkQVpcPKzHYJn45vM9w</t>
  </si>
  <si>
    <t xml:space="preserve">UCdce_0JccaDtpuv5x9Gjdyw</t>
  </si>
  <si>
    <t xml:space="preserve">UCye6Oz0mg46S362LwARGVcA</t>
  </si>
  <si>
    <t xml:space="preserve">UCD5EC8IWhOFalXtePCkhJTA</t>
  </si>
  <si>
    <t xml:space="preserve">UCpZe6c7I8kkQuME1T4uMa_g</t>
  </si>
  <si>
    <t xml:space="preserve">UC4WkXgiK6VxAri_R_qmIFvQ</t>
  </si>
  <si>
    <t xml:space="preserve">UC3uTUlmgECBnsP777U4GPKQ</t>
  </si>
  <si>
    <t xml:space="preserve">UCEAAzv2OBqxsSczKJ2QZyGQ</t>
  </si>
  <si>
    <t xml:space="preserve">UCbSGbqIVds2FiYn-0v0AqSA</t>
  </si>
  <si>
    <t xml:space="preserve">UCq0lCpFqO_aGVKIECxVUc1Q</t>
  </si>
  <si>
    <t xml:space="preserve">UCjb5iAXrj1D6NjHJYvDGw7w</t>
  </si>
  <si>
    <t xml:space="preserve">UCcYzLCs3zrQIBVHYA1sK2sw</t>
  </si>
  <si>
    <t xml:space="preserve">UCPfzFWn0bM2bhEQY7sERz0A</t>
  </si>
  <si>
    <t xml:space="preserve">UCjzMo6c6fHNo4SCt--JkRTQ</t>
  </si>
  <si>
    <t xml:space="preserve">UCt7_pnSRPKU3bu2GqmgH8gQ</t>
  </si>
  <si>
    <t xml:space="preserve">UCKjJXmZxk1SiTUQUB28KHpw</t>
  </si>
  <si>
    <t xml:space="preserve">UCqJJbvUhO5bybTZT-dKSe7w</t>
  </si>
  <si>
    <t xml:space="preserve">UCoY_p16GEbOQPgES1-wXpYg</t>
  </si>
  <si>
    <t xml:space="preserve">UC8XBsRz_R8CqweUyHxf6awg</t>
  </si>
  <si>
    <t xml:space="preserve">UCL0pM5-vrLp3Oy9PXzpqXpA</t>
  </si>
  <si>
    <t xml:space="preserve">UCGNFqULihCOrP3-hOQ-rNEw</t>
  </si>
  <si>
    <t xml:space="preserve">UC8dnBi4WUErqYQHZ4PfsLTg</t>
  </si>
  <si>
    <t xml:space="preserve">UCEvwoeic0Y4789FXBNCXWeA</t>
  </si>
  <si>
    <t xml:space="preserve">UCp_r6Z-Oh0YTf-ym71z5Nqg</t>
  </si>
  <si>
    <t xml:space="preserve">UCyLaexBEXMybtK12r386SDw</t>
  </si>
  <si>
    <t xml:space="preserve">UCRZGmOiXD7DRBG6VPc6KVRQ</t>
  </si>
  <si>
    <t xml:space="preserve">UCTLZ1jlmY-VogpQXng48iKQ</t>
  </si>
  <si>
    <t xml:space="preserve">UC4I13pjEDm7rHFMb5PkOUaw</t>
  </si>
  <si>
    <t xml:space="preserve">UCWEqIFOOjmL_olrETpSnGOQ</t>
  </si>
  <si>
    <t xml:space="preserve">UCFk2qpStVlJTkgedostU4kQ</t>
  </si>
  <si>
    <t xml:space="preserve">UCfCv0ckR89HTy2ASEgZHNSg</t>
  </si>
  <si>
    <t xml:space="preserve">UCvMd32ON30vh2bd-_A5KA1A</t>
  </si>
  <si>
    <t xml:space="preserve">UCX7SHIccUCj3S4cID-pM-Xg</t>
  </si>
  <si>
    <t xml:space="preserve">UCPhZzHKo3Y5YYoazMQWuLTg</t>
  </si>
  <si>
    <t xml:space="preserve">UC2pLzhDPcQHxLhEKpIQZzMg</t>
  </si>
  <si>
    <t xml:space="preserve">UC-DJdb6x-T-3xA2AB78innA</t>
  </si>
  <si>
    <t xml:space="preserve">UCpTILQ0MwpwiUtv9f0H8EhA</t>
  </si>
  <si>
    <t xml:space="preserve">UCnO0Km5GnYKBVUEUkHsNQeA</t>
  </si>
  <si>
    <t xml:space="preserve">UCr8CGgjyJpgdLVy8Duu2IrA</t>
  </si>
  <si>
    <t xml:space="preserve">UC3HS6gQ79jjn4xHxogw0HiA</t>
  </si>
  <si>
    <t xml:space="preserve">UCbYXVxwDEWc9sIt6yZhweqQ</t>
  </si>
  <si>
    <t xml:space="preserve">UC7IMq6lLHbptAnSucW1pClA</t>
  </si>
  <si>
    <t xml:space="preserve">UCXgv6qemwooHi71a7-htxAw</t>
  </si>
  <si>
    <t xml:space="preserve">UCdsgnTGjq69wpOzPnqNuebA</t>
  </si>
  <si>
    <t xml:space="preserve">UChtEvBpe2GQkVzzxvMLLUHA</t>
  </si>
  <si>
    <t xml:space="preserve">UCC6gbNO098rkQKCU0ZaLITQ</t>
  </si>
  <si>
    <t xml:space="preserve">UCv2fH7qjvBKoc6v0s2bVVBg</t>
  </si>
  <si>
    <t xml:space="preserve">UCCgLMMp4lv7fSD2sBz1Ai6Q</t>
  </si>
  <si>
    <t xml:space="preserve">UC5fbdgYVnVwnEcM2KnaeZ0g</t>
  </si>
  <si>
    <t xml:space="preserve">UCKQKIY2YlI4L5QVg7hhfjrQ</t>
  </si>
  <si>
    <t xml:space="preserve">UCXjhJbviBl0M4JAC3cxDXqA</t>
  </si>
  <si>
    <t xml:space="preserve">UCQEloCMWEZFep85nHfbbg8Q</t>
  </si>
  <si>
    <t xml:space="preserve">UCIsotCCdTjStPCLyD9iBCCQ</t>
  </si>
  <si>
    <t xml:space="preserve">Beauty</t>
  </si>
  <si>
    <t xml:space="preserve">UCl_vAxZpvbO-PFXdDu7EdHw</t>
  </si>
  <si>
    <t xml:space="preserve">UCy-AB5ehLFqh1FtCVIH4Q3A</t>
  </si>
  <si>
    <t xml:space="preserve">UC8Z-VjXBtDJTvq6aqkIskPg</t>
  </si>
  <si>
    <t xml:space="preserve">UCNSdjX4ry9fICqeObdZPAZQ</t>
  </si>
  <si>
    <t xml:space="preserve">UCEIh86x0eZFfeEbNZgmOvOg</t>
  </si>
  <si>
    <t xml:space="preserve">UC5MaEdGrolKRJXFdXgD7RAA</t>
  </si>
  <si>
    <t xml:space="preserve">UCdOSeEq9Cs2Pco7OCn2_i5w</t>
  </si>
  <si>
    <t xml:space="preserve">UCT_QwW7Tbew5qrYNb2auqAQ</t>
  </si>
  <si>
    <t xml:space="preserve">UCDCMjD1XIAsCZsYHNMGVcog</t>
  </si>
  <si>
    <t xml:space="preserve">UCsBbEuwX_rf2I3l2ucGABjw</t>
  </si>
  <si>
    <t xml:space="preserve">UCovfq4h24UvKIju6kqqNu4A</t>
  </si>
  <si>
    <t xml:space="preserve">UCepBxbSrGZkgjgGJuY04c-Q</t>
  </si>
  <si>
    <t xml:space="preserve">UCJF4y2nyCCrDKTgA7dxz1Qw</t>
  </si>
  <si>
    <t xml:space="preserve">UCL1KvM2ltxqxMkWfOCO-n2Q</t>
  </si>
  <si>
    <t xml:space="preserve">UC43qCBEfmy-wouPmYlLSpIg</t>
  </si>
  <si>
    <t xml:space="preserve">UC_gUM8rL-Lrg6O3adPW9K1g</t>
  </si>
  <si>
    <t xml:space="preserve">UCXftqsHd3KSHLm_dJkf35yQ</t>
  </si>
  <si>
    <t xml:space="preserve">UC1of9ELYwB623fWaAMRDVFA</t>
  </si>
  <si>
    <t xml:space="preserve">UCbBWncD3X_dfXwxmj4KwJnA</t>
  </si>
  <si>
    <t xml:space="preserve">UCKcQ7Jo2VAGHiPMfDwzeRUw</t>
  </si>
  <si>
    <t xml:space="preserve">UCh_la0EpAokx5PChAMCH2Bw</t>
  </si>
  <si>
    <t xml:space="preserve">UCjnB4vdR1A_XWwsQFSVSYIQ</t>
  </si>
  <si>
    <t xml:space="preserve">UCnm5DH0oJndtA-6J10_jIEw</t>
  </si>
  <si>
    <t xml:space="preserve">UC2bNrKQbJLphxNCd6BSnTkA</t>
  </si>
  <si>
    <t xml:space="preserve">UCmgo9jeT8tSSGx0V9nCiR1Q</t>
  </si>
  <si>
    <t xml:space="preserve">UCMxtWuqP6Ktk1tsSZSstaug</t>
  </si>
  <si>
    <t xml:space="preserve">UC0OjYCqcGZMEOuSGKGACc0Q</t>
  </si>
  <si>
    <t xml:space="preserve">UCuajwgnxd-uxvNzzwYwjifA</t>
  </si>
  <si>
    <t xml:space="preserve">UCULLmfWqhMOeiWEV6hkMSCg</t>
  </si>
  <si>
    <t xml:space="preserve">UCzN2cEdV5dqr9IzEz1S7MCQ</t>
  </si>
  <si>
    <t xml:space="preserve">UCNaRZ0EUKPnrkr_wPC2cb_Q</t>
  </si>
  <si>
    <t xml:space="preserve">UC37cflt9I_ER6Z0YQUdJGBw</t>
  </si>
  <si>
    <t xml:space="preserve">UCmH6lvysZOJ0mWvkmzlIFfA</t>
  </si>
  <si>
    <t xml:space="preserve">UC3MTnx9PIs8_9w24mKADZiQ</t>
  </si>
  <si>
    <t xml:space="preserve">UCMk9Tdc-d1BIcAFaSppiVkw</t>
  </si>
  <si>
    <t xml:space="preserve">UCgsWayzDGwj9CclwicO_R3w</t>
  </si>
  <si>
    <t xml:space="preserve">UC70o5gPX_JhOosmjwoAbKCA</t>
  </si>
  <si>
    <t xml:space="preserve">UCP0uG-mcMImgKnJz-VjJZmQ</t>
  </si>
  <si>
    <t xml:space="preserve">UCf8w5m0YsRa8MHQ5bwSGmbw</t>
  </si>
  <si>
    <t xml:space="preserve">UC-JFyL0zDFOsPMpuWu39rPA</t>
  </si>
  <si>
    <t xml:space="preserve">UCz2si8w1MqVtl1moygyGqpQ</t>
  </si>
  <si>
    <t xml:space="preserve">UCglXlpWjIi95auM3umWWLdw</t>
  </si>
  <si>
    <t xml:space="preserve">UCNvywYiv2rpARNbn2yxvoCw</t>
  </si>
  <si>
    <t xml:space="preserve">UCCktnahuRFYIBtNnKT5IYyg</t>
  </si>
  <si>
    <t xml:space="preserve">UCtyltqstMm6iKnkk2Y9Zt8A</t>
  </si>
  <si>
    <t xml:space="preserve">UC9iBBFfq7L3ipvodSLrU8gQ</t>
  </si>
  <si>
    <t xml:space="preserve">UCnJjcn5FrgrOEp5_N45ZLEQ</t>
  </si>
  <si>
    <t xml:space="preserve">UC0ZXRwagJs3WYiIgOCjO2sQ</t>
  </si>
  <si>
    <t xml:space="preserve">UCBIyn-ZVn6YhkVWF0L1lvcg</t>
  </si>
  <si>
    <t xml:space="preserve">UCYPvAwZP8pZhSMW8qs7cVCw</t>
  </si>
  <si>
    <t xml:space="preserve">UC9ftt2QxQewlpWaJ3HvemaQ</t>
  </si>
  <si>
    <t xml:space="preserve">UCpDxPj3sm40ISX5hn-TlYcw</t>
  </si>
  <si>
    <t xml:space="preserve">UCv2nZeFsPelH6I4LNWYn5TA</t>
  </si>
  <si>
    <t xml:space="preserve">UCa_i3rdR-iKCyS6DJRYiTrQ</t>
  </si>
  <si>
    <t xml:space="preserve">UCk_6KmDDc_zZQnTf4lH43pQ</t>
  </si>
  <si>
    <t xml:space="preserve">UCSlXUynEQ0KKKOAK03kFt8g</t>
  </si>
  <si>
    <t xml:space="preserve">UC0pjYdWYOiD3-toOOyZZApw</t>
  </si>
  <si>
    <t xml:space="preserve">UC1-BQ2oxqBVtCjMHF-Wf98w</t>
  </si>
  <si>
    <t xml:space="preserve">UC_MF6QmQz6LkSPUjSvSJcAA</t>
  </si>
  <si>
    <t xml:space="preserve">UCHxjqzF8Ut8-YubTNdtLl0A</t>
  </si>
  <si>
    <t xml:space="preserve">UCga6uMv6x1mMOwolhD9cXAA</t>
  </si>
  <si>
    <t xml:space="preserve">UCISgnSNwqQ2i8lhCun3KtQg</t>
  </si>
  <si>
    <t xml:space="preserve">UC5h5bK_4lGLRXq4JML-v7iw</t>
  </si>
  <si>
    <t xml:space="preserve">UC00ifCvU8YOOzbL3RdiSTDw</t>
  </si>
  <si>
    <t xml:space="preserve">UCGE-L0dJpos3ut0N96H75Jw</t>
  </si>
  <si>
    <t xml:space="preserve">UCZMmfrbYGqSjKa4MWJHb9sQ</t>
  </si>
  <si>
    <t xml:space="preserve">UCJ5c7WSj3ThQQlFIQ28eUEA</t>
  </si>
  <si>
    <t xml:space="preserve">UCFTtrxmEhd1pu-_ShK8XeIg</t>
  </si>
  <si>
    <t xml:space="preserve">UCHKGDg0GJKBsA9mFraDOLHA</t>
  </si>
  <si>
    <t xml:space="preserve">UCbf0XHULBkTfv2hBjaaDw9Q</t>
  </si>
  <si>
    <t xml:space="preserve">UC5EQWvy59VeHPJz8mDALPxg</t>
  </si>
  <si>
    <t xml:space="preserve">UCP9nQIE4mBLSu2nvLDZJZWg</t>
  </si>
  <si>
    <t xml:space="preserve">UC06UXRnhvgWfYWnnYq2CYVQ</t>
  </si>
  <si>
    <t xml:space="preserve">UCt202UCaf_94idCk4AJ-sXw</t>
  </si>
  <si>
    <t xml:space="preserve">UCWqyzn3cDkRDh3kRGWrIQwA</t>
  </si>
  <si>
    <t xml:space="preserve">UCz3I_sh4IqR4rPG-NURhTYg</t>
  </si>
  <si>
    <t xml:space="preserve">UCuSD-BXA1p8S3HfE8LsEkHA</t>
  </si>
  <si>
    <t xml:space="preserve">UCYlh4lH762HvHt6mmiecyWQ</t>
  </si>
  <si>
    <t xml:space="preserve">UCumtYpCY26F6Jr3satUgMvA</t>
  </si>
  <si>
    <t xml:space="preserve">UCxbQMLz2NvUAhyEu1Y5Q2rw</t>
  </si>
  <si>
    <t xml:space="preserve">UCBjcylQdMiIaWuP19z3IW-w</t>
  </si>
  <si>
    <t xml:space="preserve">UCAugBD4C-716-q4vGxzaF2g</t>
  </si>
  <si>
    <t xml:space="preserve">UCUCMLgkMOVYIse7L8Jfa-vQ</t>
  </si>
  <si>
    <t xml:space="preserve">UCjx-YIjkPMauIdbKmDgEjpw</t>
  </si>
  <si>
    <t xml:space="preserve">UCUIUs2UztaAWN_KEReUXWUA</t>
  </si>
  <si>
    <t xml:space="preserve">UCotI-SqRXnkAZX4bMqlRNjw</t>
  </si>
  <si>
    <t xml:space="preserve">UCCJRFl1Qjo83GG_09U-DIBA</t>
  </si>
  <si>
    <t xml:space="preserve">UCbXyJGtF1IrRmrerL9xzDbA</t>
  </si>
  <si>
    <t xml:space="preserve">UCeM7fTLWxyxIMw9WfMSX8ww</t>
  </si>
  <si>
    <t xml:space="preserve">UCRqEfb8TRJ-WA597UT2kP6w</t>
  </si>
  <si>
    <t xml:space="preserve">UC531MlZA5LUbeGwEN_zcppw</t>
  </si>
  <si>
    <t xml:space="preserve">UCxWangh5lodsO1sU9N6enYA</t>
  </si>
  <si>
    <t xml:space="preserve">UC232UhFsjFYeMJdP5nd80RQ</t>
  </si>
  <si>
    <t xml:space="preserve">UC-Hm8vtPdB9DDVFEOJMwBzg</t>
  </si>
  <si>
    <t xml:space="preserve">UC05cEmAqCtRwIWwncV2gx2Q</t>
  </si>
  <si>
    <t xml:space="preserve">UCgFyj4ZYwFOhaosUvrYne_w</t>
  </si>
  <si>
    <t xml:space="preserve">UCtrovMbRR6h_XLMfdbhqb1A</t>
  </si>
  <si>
    <t xml:space="preserve">UCkS7Vxu4PjM99w0Is6idjcg</t>
  </si>
  <si>
    <t xml:space="preserve">UCoVwq0vh-XD8RrEyDZ0KeJw</t>
  </si>
  <si>
    <t xml:space="preserve">UC1L2JoMpcY6MRLhFd3gg5Xg</t>
  </si>
  <si>
    <t xml:space="preserve">UCoKdj1lKDAIKslWwBoSQBsg</t>
  </si>
  <si>
    <t xml:space="preserve">UCrkP7L7oieiejXdQHWLqYIg</t>
  </si>
  <si>
    <t xml:space="preserve">UCaNVvLC6bcsvIwuDm3tItWQ</t>
  </si>
  <si>
    <t xml:space="preserve">UCnYKRFQRndE3Wq1eLRQLfWw</t>
  </si>
  <si>
    <t xml:space="preserve">UCYC6Vcczj8v-Y5OgpEJTFBw</t>
  </si>
  <si>
    <t xml:space="preserve">UCOrE-2VgEOJ9LTNLYu5LeEw</t>
  </si>
  <si>
    <t xml:space="preserve">UCAyYBPzFioHUxvVZEn4rMJA</t>
  </si>
  <si>
    <t xml:space="preserve">UCXZkaZ4f7d3-YuMyy76yS6A</t>
  </si>
  <si>
    <t xml:space="preserve">UCjvlGpg8tXylzRqdFExxUZw</t>
  </si>
  <si>
    <t xml:space="preserve">UCz-iDa_Z-GWaZ_YweEus6iw</t>
  </si>
  <si>
    <t xml:space="preserve">UCJJ72ZXSDbom7oVkvIkp9Tw</t>
  </si>
  <si>
    <t xml:space="preserve">UCrcPCuPv0X4Lr3tommVK0lQ</t>
  </si>
  <si>
    <t xml:space="preserve">UC1KonH1j8WMhc5cT6Bp7NtA</t>
  </si>
  <si>
    <t xml:space="preserve">UCZDzd3wDFX33dGeYHH8hkjw</t>
  </si>
  <si>
    <t xml:space="preserve">UCSKgOW8Pg_eZymYJyJc432g</t>
  </si>
  <si>
    <t xml:space="preserve">UCFX8go5jeQ_9_Pk9WFl5tmA</t>
  </si>
  <si>
    <t xml:space="preserve">UC-HjXhAnz1XXhULgG6ljlrg</t>
  </si>
  <si>
    <t xml:space="preserve">UC7Q7pl0z0MrdayvmAnchlJQ</t>
  </si>
  <si>
    <t xml:space="preserve">UCmoX4QULJ9MB00xW4coMiOw</t>
  </si>
  <si>
    <t xml:space="preserve">UCN3-BVMnr44LIUheSuppw1A</t>
  </si>
  <si>
    <t xml:space="preserve">UCLDIOyFjefJl5UdEoW1guKA</t>
  </si>
  <si>
    <t xml:space="preserve">UC3gPdSNOn_vi0UV51iDP1uQ</t>
  </si>
  <si>
    <t xml:space="preserve">UCneyi-aYq4VIBYIAQgWmk_w</t>
  </si>
  <si>
    <t xml:space="preserve">UCBbeXVY55K5estTHrKWJ5Yg</t>
  </si>
  <si>
    <t xml:space="preserve">UCQjHoPr0kqN83Mmihy7nsWw</t>
  </si>
  <si>
    <t xml:space="preserve">UClwM5RNjqRRnAf1CGBEe_8g</t>
  </si>
  <si>
    <t xml:space="preserve">UCSTwNIWgQmfpdDgs5A-IVeg</t>
  </si>
  <si>
    <t xml:space="preserve">UCQC1wGbOOIoC23fRGxt4kbg</t>
  </si>
  <si>
    <t xml:space="preserve">UCEHCDn_BBnk3uTK1M64ptyw</t>
  </si>
  <si>
    <t xml:space="preserve">UCS5wKBMLOOn0l0wOSnspyZQ</t>
  </si>
  <si>
    <t xml:space="preserve">UCUQg_UBQfVjptn7Wqcgzz-w</t>
  </si>
  <si>
    <t xml:space="preserve">UC1V1PQT_ZVRjzuzioG05rrQ</t>
  </si>
  <si>
    <t xml:space="preserve">UCmbua9iiakRr6nuCXxxsKSQ</t>
  </si>
  <si>
    <t xml:space="preserve">UCurYxozQbvKn-oNUxNJh45Q</t>
  </si>
  <si>
    <t xml:space="preserve">UC1fpu8N-DkmhqqwHTI5yxrg</t>
  </si>
  <si>
    <t xml:space="preserve">UCPxMZIFE856tbTfdkdjzTSQ</t>
  </si>
  <si>
    <t xml:space="preserve">UCnLt1_YzcvH2DTYW179r0Fw</t>
  </si>
  <si>
    <t xml:space="preserve">UCOl4x1vXVvAmoo2WgvV2LYw</t>
  </si>
  <si>
    <t xml:space="preserve">UCf40kH47yvowumzzK9LVKKg</t>
  </si>
  <si>
    <t xml:space="preserve">UCLGHEUaREx_FtNrqfJ8gXIA</t>
  </si>
  <si>
    <t xml:space="preserve">UCU3dS5ZDA_IucoUwZ1TibIQ</t>
  </si>
  <si>
    <t xml:space="preserve">UCyk5NCuMAoBZ0OzLeCrQd9Q</t>
  </si>
  <si>
    <t xml:space="preserve">UCY6KjrDBN_tIRFT_QNqQbRQ</t>
  </si>
  <si>
    <t xml:space="preserve">UC6_K7-Jthgq6hKUu55xC91Q</t>
  </si>
  <si>
    <t xml:space="preserve">UCs-i-OgJaRat1M0lCqviF2w</t>
  </si>
  <si>
    <t xml:space="preserve">UCigK-_u8MfjpitRVcv8o25A</t>
  </si>
  <si>
    <t xml:space="preserve">UCv41ean41z5cRWdHiK5YvEw</t>
  </si>
  <si>
    <t xml:space="preserve">UCkl4PpjvRdCYThDPDlfzcQQ</t>
  </si>
  <si>
    <t xml:space="preserve">UC_Q8qN8FTr4h4Waf01bty7g</t>
  </si>
  <si>
    <t xml:space="preserve">UCPGc_59xZjV0vCmjL6JiiJQ</t>
  </si>
  <si>
    <t xml:space="preserve">UCicjynhfFw2LiIQFnoS1JTw</t>
  </si>
  <si>
    <t xml:space="preserve">UClPHwLcsE9zQcIqNRc7VLHw</t>
  </si>
  <si>
    <t xml:space="preserve">UCS4uc8cHDqcwwro8lGChaQQ</t>
  </si>
  <si>
    <t xml:space="preserve">UCO7oJs9vrfYIN_rDYjlN7Ig</t>
  </si>
  <si>
    <t xml:space="preserve">UCMDPvpD-R1_isb1o0ua15ig</t>
  </si>
  <si>
    <t xml:space="preserve">UCgPcWFUDb8oRApU3Wil_t-Q</t>
  </si>
  <si>
    <t xml:space="preserve">UCq3N4zEbzmlhdXAgabdpPIg</t>
  </si>
  <si>
    <t xml:space="preserve">UCVBidM7sHBIT315S6LKChNA</t>
  </si>
  <si>
    <t xml:space="preserve">UC64tB97n5xZdqs4qAyTCnpw</t>
  </si>
  <si>
    <t xml:space="preserve">UCmqfX0S3x0I3uwLkPdpX03w</t>
  </si>
  <si>
    <t xml:space="preserve">UCw82-Eh-C45fBcSxozfFkJg</t>
  </si>
  <si>
    <t xml:space="preserve">UClmlqOOktUTpfW0EkTiqSjQ</t>
  </si>
  <si>
    <t xml:space="preserve">UCZQDF0x18Xe6RZayvod99zA</t>
  </si>
  <si>
    <t xml:space="preserve">UCdHE6yw63QqfxoH6y-D5sFg</t>
  </si>
  <si>
    <t xml:space="preserve">UCX-oGtEb3dXf5C19CxrT2Bw</t>
  </si>
  <si>
    <t xml:space="preserve">UCaMbHL_q0huzBW__7ud6mQw</t>
  </si>
  <si>
    <t xml:space="preserve">UCU0PnZqMDQ0uvwacGzCX3NA</t>
  </si>
  <si>
    <t xml:space="preserve">UCB37K6MQvTWr5HdB_avY1Rg</t>
  </si>
  <si>
    <t xml:space="preserve">UCnjxYF8TSTdBDf27ULeDR7Q</t>
  </si>
  <si>
    <t xml:space="preserve">UCFSzwJllk1zpIXs2xhMZ84Q</t>
  </si>
  <si>
    <t xml:space="preserve">UCqXCX2DnQZh8e4VNT7MPTtA</t>
  </si>
  <si>
    <t xml:space="preserve">UCef1-8eOpJgud7szVPlZQAQ</t>
  </si>
  <si>
    <t xml:space="preserve">UCcjk-KvDJBEvo8fJS29fekg</t>
  </si>
  <si>
    <t xml:space="preserve">UCsgy7HHlnPbgX417Ik6Mc2A</t>
  </si>
  <si>
    <t xml:space="preserve">UC9lzqhSNmG0loFlAZb1J_HA</t>
  </si>
  <si>
    <t xml:space="preserve">UCm7lHFkt2yB_WzL67aruVBQ</t>
  </si>
  <si>
    <t xml:space="preserve">UCZrBQSMI1mme3xGHl6hqfNQ</t>
  </si>
  <si>
    <t xml:space="preserve">UCdnOG_jDq5TR5sWuQkoZHMg</t>
  </si>
  <si>
    <t xml:space="preserve">UCiJfiEg1FImWsVuEu0L8X6Q</t>
  </si>
  <si>
    <t xml:space="preserve">UC0AwRymrRJffcSyD-rJwATQ</t>
  </si>
  <si>
    <t xml:space="preserve">UCxa75ogKROiFo2VW7RzfObg</t>
  </si>
  <si>
    <t xml:space="preserve">UCGjn3ZbkkNcQaj00qwJ0DYQ</t>
  </si>
  <si>
    <t xml:space="preserve">UCyuVpouOFqSkxVaPkwYxU8A</t>
  </si>
  <si>
    <t xml:space="preserve">UCBhJtAsKqFra4DRLicJcwFA</t>
  </si>
  <si>
    <t xml:space="preserve">UCQiT5-5LOEyhN2Q1g93ZmRA</t>
  </si>
  <si>
    <t xml:space="preserve">UCrtOnzd9dWH9lXTAB-64Hfg</t>
  </si>
  <si>
    <t xml:space="preserve">UCLW85h0n6VzUwrHk0so4bGw</t>
  </si>
  <si>
    <t xml:space="preserve">UCGpSJk0zi-wDrCIzjrxrk0w</t>
  </si>
  <si>
    <t xml:space="preserve">UCWdC5Q-VxLs2ps_BntXD-6g</t>
  </si>
  <si>
    <t xml:space="preserve">UCaqULAbiq-6ZRlKmx0Uv_Cw</t>
  </si>
  <si>
    <t xml:space="preserve">UC5vQMkqw2JVC9mqGNBXjzMw</t>
  </si>
  <si>
    <t xml:space="preserve">UCIl28Ab-H-3LYIPw4hhQexA</t>
  </si>
  <si>
    <t xml:space="preserve">UCpYwuXwjTQfMA67gFa5rsmg</t>
  </si>
  <si>
    <t xml:space="preserve">UCycyxZMoPwg9cuRDMyQE7PQ</t>
  </si>
  <si>
    <t xml:space="preserve">UCJvE3uJFyBS1WhL1Tou85Hg</t>
  </si>
  <si>
    <t xml:space="preserve">UCTM-p_LO8fsbLRMFqitWqBA</t>
  </si>
  <si>
    <t xml:space="preserve">UC6pTJezPPWXOo7Yyz8TMv7g</t>
  </si>
  <si>
    <t xml:space="preserve">UCuOxudQSUtgikcXETRrzXCQ</t>
  </si>
  <si>
    <t xml:space="preserve">UCoOSBeNL-kt1wHGgaJi0TGw</t>
  </si>
  <si>
    <t xml:space="preserve">UCHHaXALzqkLEaFVmMtTO7GQ</t>
  </si>
  <si>
    <t xml:space="preserve">UCt3mMVAyGhwQb_ZBGp_p85g</t>
  </si>
  <si>
    <t xml:space="preserve">UCjeD2I8jwXg2l_nvXb_6Hzw</t>
  </si>
  <si>
    <t xml:space="preserve">Fashion</t>
  </si>
  <si>
    <t xml:space="preserve">UC53cAvFeWsNwsfCQnJmLjDQ</t>
  </si>
  <si>
    <t xml:space="preserve">UCfg6pHiU-A0Q0zvt5V6UQIQ</t>
  </si>
  <si>
    <t xml:space="preserve">UCENLJimUiMr6Lo0shZ1Vq_A</t>
  </si>
  <si>
    <t xml:space="preserve">UCxyBCX9wgmtounAIU8T5pwQ</t>
  </si>
  <si>
    <t xml:space="preserve">UCRGl2gA9X6BXqOvNL2jePtw</t>
  </si>
  <si>
    <t xml:space="preserve">UCQuLyitHTE9LfUAxlhDfgig</t>
  </si>
  <si>
    <t xml:space="preserve">UC70YuLFCRS8dh5nPaNMqRSA</t>
  </si>
  <si>
    <t xml:space="preserve">UCQdyCrZpGq4Bbu6V8LPUDWg</t>
  </si>
  <si>
    <t xml:space="preserve">UCXuO_AmrcE16fDoNiq9JZZg</t>
  </si>
  <si>
    <t xml:space="preserve">UC_6dHtrFIhcGo3r6TqtBriA</t>
  </si>
  <si>
    <t xml:space="preserve">UCOpb_xxRgSbs2TLCc_sKf-Q</t>
  </si>
  <si>
    <t xml:space="preserve">UCWicN9-Aan-G7S6UC0kpQvQ</t>
  </si>
  <si>
    <t xml:space="preserve">UCMPY7EhVHDEgz4t7z5ncv3A</t>
  </si>
  <si>
    <t xml:space="preserve">UCavkWKI20O_Kuq0IFyWxWOA</t>
  </si>
  <si>
    <t xml:space="preserve">UCPIzPN_V3Wk2KN5wIK3Kwsg</t>
  </si>
  <si>
    <t xml:space="preserve">UCtpDorOuxwQ1URGQ0WLIXmQ</t>
  </si>
  <si>
    <t xml:space="preserve">UCzqQvVAkCEFrWI2VOPzFpeg</t>
  </si>
  <si>
    <t xml:space="preserve">UCdILIiuXr2UQUhc5SFVbKtw</t>
  </si>
  <si>
    <t xml:space="preserve">UCnAh77mRKbACPlEEEdSFAFw</t>
  </si>
  <si>
    <t xml:space="preserve">UC94m1fN8ypwZpZWs4E5mEcg</t>
  </si>
  <si>
    <t xml:space="preserve">UCL77mMHDQV_D2DixeqD1Tyg</t>
  </si>
  <si>
    <t xml:space="preserve">UCRgMIwmmh1-2k5HeTQ2cdkQ</t>
  </si>
  <si>
    <t xml:space="preserve">UCwAdQUuPT6laN-AQR17fe1g</t>
  </si>
  <si>
    <t xml:space="preserve">UCp0PDmU9L_rqiD4nDH-P2Tg</t>
  </si>
  <si>
    <t xml:space="preserve">UC99mSdFwcE6GijMAxgOBu8g</t>
  </si>
  <si>
    <t xml:space="preserve">UCA5wv3lbx6fn54ou6uytSIA</t>
  </si>
  <si>
    <t xml:space="preserve">UCup6dUxLlh5-L0Vcjl70w1w</t>
  </si>
  <si>
    <t xml:space="preserve">UCGwWE0AEHEkHTUzKrzDjZSQ</t>
  </si>
  <si>
    <t xml:space="preserve">UC_2irx_BQR7RsBKmUV9fePQ</t>
  </si>
  <si>
    <t xml:space="preserve">UC2JcFCoSQnxqmeMxvA49Vjg</t>
  </si>
  <si>
    <t xml:space="preserve">UCZ9lCUhUOUrwqVJmfBkN92A</t>
  </si>
  <si>
    <t xml:space="preserve">UCa6cLayR1jdfGFPEOXKCRYg</t>
  </si>
  <si>
    <t xml:space="preserve">UCMWv9WrCkZJcxzsOWeZfEkg</t>
  </si>
  <si>
    <t xml:space="preserve">UCyLplL7WIPsy1qdv8MSmDJw</t>
  </si>
  <si>
    <t xml:space="preserve">UC6CVbtkouyA58s5HQqGETHA</t>
  </si>
  <si>
    <t xml:space="preserve">UCBxfj0-E6_OyU7Zvu0F-zKg</t>
  </si>
  <si>
    <t xml:space="preserve">UCFPJdGhJyaWVAD97vnRbwQg</t>
  </si>
  <si>
    <t xml:space="preserve">UC75gv2XPWbV3pTorOWCWZkg</t>
  </si>
  <si>
    <t xml:space="preserve">UCiUj-tYWs_YN_76P9Kp0Lmw</t>
  </si>
  <si>
    <t xml:space="preserve">UCeJjsigCe4wWjdwGJBcOe6g</t>
  </si>
  <si>
    <t xml:space="preserve">UCa53p7RNvfUhA2NSXo2J0rg</t>
  </si>
  <si>
    <t xml:space="preserve">UCwqusr8YDwM-3mEYTDeJHzw</t>
  </si>
  <si>
    <t xml:space="preserve">UCfyKktpUgdV5xDEhakicCsw</t>
  </si>
  <si>
    <t xml:space="preserve">UChRi1dpwnsZcIo1LSwzY0Iw</t>
  </si>
  <si>
    <t xml:space="preserve">UCu6eDhSb-UJq7_vLgKe4vHw</t>
  </si>
  <si>
    <t xml:space="preserve">UCLsSLka8jODBozvi5VTQeaQ</t>
  </si>
  <si>
    <t xml:space="preserve">UCtOirv6sc1gWMCBye2gzkhw</t>
  </si>
  <si>
    <t xml:space="preserve">UCPbUTEjdU04ChIZfi53jczw</t>
  </si>
  <si>
    <t xml:space="preserve">UCVX8CkXUBX0NbtEyjAubJNQ</t>
  </si>
  <si>
    <t xml:space="preserve">UCLLvfg1jCGubqWro8kbcPaw</t>
  </si>
  <si>
    <t xml:space="preserve">UCHFxiwt59yX7nTHxZgZ6KVQ</t>
  </si>
  <si>
    <t xml:space="preserve">UCU_FozE_MPC8w4YncyShmJQ</t>
  </si>
  <si>
    <t xml:space="preserve">UCACU6FM4RgOgX0IHB7dudFA</t>
  </si>
  <si>
    <t xml:space="preserve">UCfMc0O6v8d6BA385OrJXkXw</t>
  </si>
  <si>
    <t xml:space="preserve">UCoFfvNFWAAQdCJE72wncCiQ</t>
  </si>
  <si>
    <t xml:space="preserve">UCpJ3VZb16uJFSmQyEQQ9Xlg</t>
  </si>
  <si>
    <t xml:space="preserve">UC15EM1xKwmLdwr8L04s17vw</t>
  </si>
  <si>
    <t xml:space="preserve">UCadXD59pSUdNGQ9xfqB8CeA</t>
  </si>
  <si>
    <t xml:space="preserve">UCcpyP5B4qeKplEHv6wYnJcw</t>
  </si>
  <si>
    <t xml:space="preserve">UC2ni6kGpO-NuM2PG-P5FQ7A</t>
  </si>
  <si>
    <t xml:space="preserve">UCl-OodciBGZ0k8K8rBZGe4w</t>
  </si>
  <si>
    <t xml:space="preserve">UC1bdAV8ZlDI8YJWLRPh3fAg</t>
  </si>
  <si>
    <t xml:space="preserve">UCsuOs8KvVuqvQv-pV01fCyg</t>
  </si>
  <si>
    <t xml:space="preserve">UCOquMs0QXyjbw2YMigivRAw</t>
  </si>
  <si>
    <t xml:space="preserve">UCLVMo8sGc-PsLmP8Ozb977A</t>
  </si>
  <si>
    <t xml:space="preserve">UCoL68NLLSUQqEDwMZPvrdEg</t>
  </si>
  <si>
    <t xml:space="preserve">UCVaSUu1B_Y4R2rFLUpvRmlA</t>
  </si>
  <si>
    <t xml:space="preserve">UCGuhUfGfaJGGkmUTeP6-ScQ</t>
  </si>
  <si>
    <t xml:space="preserve">UCZT_OWY9abyO3V9Rmdvh02w</t>
  </si>
  <si>
    <t xml:space="preserve">UC-f7r46JhYv78q5pGrO6ivA</t>
  </si>
  <si>
    <t xml:space="preserve">UCYjn70nfHCDiszl4A8YeZrA</t>
  </si>
  <si>
    <t xml:space="preserve">UCR06LlbhIrheNLYbszc9E5A</t>
  </si>
  <si>
    <t xml:space="preserve">UCxjc8mUzILAiXGPf1lBhqdQ</t>
  </si>
  <si>
    <t xml:space="preserve">UCMfyiLGzptAStxYf7GEIQYQ</t>
  </si>
  <si>
    <t xml:space="preserve">UCnBatb58GQ-2TE1bz3coaIw</t>
  </si>
  <si>
    <t xml:space="preserve">UCcmYmr96fmCrV3bjEkjrKYA</t>
  </si>
  <si>
    <t xml:space="preserve">UCm4PlToTlCcOf-jUWSFB3iw</t>
  </si>
  <si>
    <t xml:space="preserve">UCPjaNv8GlIamrxCbqincG_g</t>
  </si>
  <si>
    <t xml:space="preserve">UCtxT50MzIRx0H2qdQYRoQeg</t>
  </si>
  <si>
    <t xml:space="preserve">UCSjPe5kinQtwcyHcFJyyMfw</t>
  </si>
  <si>
    <t xml:space="preserve">UC_IXqII-SVm7QNRwreq32dg</t>
  </si>
  <si>
    <t xml:space="preserve">UCMGrQ4dW5CT5bs44tRa94Bw</t>
  </si>
  <si>
    <t xml:space="preserve">UCj_H5F08o8rQUqNTsluA4rA</t>
  </si>
  <si>
    <t xml:space="preserve">UCO-CQR4oJXUre8E0Jn5aFag</t>
  </si>
  <si>
    <t xml:space="preserve">UCqxoKG7ctyMrR5MzTtrZYtg</t>
  </si>
  <si>
    <t xml:space="preserve">UCg35ReVbOzreuv_J9GBFrTQ</t>
  </si>
  <si>
    <t xml:space="preserve">UCPtPyb4VvaNqjkbL_tSVFVA</t>
  </si>
  <si>
    <t xml:space="preserve">UCs56ffejFhWlCvlvRIdpb9Q</t>
  </si>
  <si>
    <t xml:space="preserve">UCzR7770PbrKcG9OYGzBep9w</t>
  </si>
  <si>
    <t xml:space="preserve">UCT2xzagsBVtStUCA2ulvKmQ</t>
  </si>
  <si>
    <t xml:space="preserve">UCUEbmdKaF-7ivp9TUbwIPZw</t>
  </si>
  <si>
    <t xml:space="preserve">UCueYcgdqos0_PzNOq81zAFg</t>
  </si>
  <si>
    <t xml:space="preserve">UChjSqyxh6Y0IyKXw4Ta2AfQ</t>
  </si>
  <si>
    <t xml:space="preserve">UC0PTktRYpZXb6On0_zFKWIg</t>
  </si>
  <si>
    <t xml:space="preserve">UCbQU3lGIt2gP_6kE3l1Y3WQ</t>
  </si>
  <si>
    <t xml:space="preserve">UCGG2Jjzzb5WotOEwzYmgEgg</t>
  </si>
  <si>
    <t xml:space="preserve">UCBKvC2TWrSedladWZtezK8A</t>
  </si>
  <si>
    <t xml:space="preserve">UCe2JAC5FUfbxLCfAvBWmNJA</t>
  </si>
  <si>
    <t xml:space="preserve">UCUGwnDFBHY52YhgVjn-Tvww</t>
  </si>
  <si>
    <t xml:space="preserve">UCMO0fL9oNCKscgzJQgrfbmQ</t>
  </si>
  <si>
    <t xml:space="preserve">UCNoiWmvkDUL0q-6ECxNFH0Q</t>
  </si>
  <si>
    <t xml:space="preserve">UCys-KuZ7z2KHsPaW4U_lEBQ</t>
  </si>
  <si>
    <t xml:space="preserve">UC2cS0jW3himSvxXyLbkHVkg</t>
  </si>
  <si>
    <t xml:space="preserve">UCWew_LbiRfU_pn71wjfHV4g</t>
  </si>
  <si>
    <t xml:space="preserve">UCf-UXsmb4y6Uqf4cqe9tJRQ</t>
  </si>
  <si>
    <t xml:space="preserve">UCsDTy8jvHcwMvSZf_JGi-FA</t>
  </si>
  <si>
    <t xml:space="preserve">UCxiBEi8RF-l6ib4SMDTd35w</t>
  </si>
  <si>
    <t xml:space="preserve">UCkg1kqsM6i3QSpUP1JavZew</t>
  </si>
  <si>
    <t xml:space="preserve">UCbgYZnybgb6vPSBTxZUT2kA</t>
  </si>
  <si>
    <t xml:space="preserve">UCKPDKDddJgtFoZz_XvqP1VQ</t>
  </si>
  <si>
    <t xml:space="preserve">UCticaNjYGCpYXyo4BxM3RWQ</t>
  </si>
  <si>
    <t xml:space="preserve">UCU7qeMoi8PnAbf3-XXDc6Zw</t>
  </si>
  <si>
    <t xml:space="preserve">UC3O8-tKnz9VUn3sxZKyKN3w</t>
  </si>
  <si>
    <t xml:space="preserve">UCuJ9tGkTBb7mBFFZW_N94lA</t>
  </si>
  <si>
    <t xml:space="preserve">UCodBDtYUuhigSVKksHpYMTw</t>
  </si>
  <si>
    <t xml:space="preserve">UCsaoYBUHz_lVB_dOmFwA9Zw</t>
  </si>
  <si>
    <t xml:space="preserve">UCv2_homR7I0qX8NtwwjK9Cw</t>
  </si>
  <si>
    <t xml:space="preserve">UChWtJey46brNr7qHQpN6KLQ</t>
  </si>
  <si>
    <t xml:space="preserve">UCz22l7kbce-uFJAoaZqxD1A</t>
  </si>
  <si>
    <t xml:space="preserve">UCY-gUWSJX6xcrEqH4LExALQ</t>
  </si>
  <si>
    <t xml:space="preserve">UCXsXitjiT_8qPgNEFGPVfBA</t>
  </si>
  <si>
    <t xml:space="preserve">UCi1m4TnmmXGUIY4roVtvjDA</t>
  </si>
  <si>
    <t xml:space="preserve">UCAR3h_9fLV82N2FH4cE4RKw</t>
  </si>
  <si>
    <t xml:space="preserve">UCCwOswm4_Q0FSMGJiswuyHQ</t>
  </si>
  <si>
    <t xml:space="preserve">UCAAs-813_wjyfk35rHw4CjA</t>
  </si>
  <si>
    <t xml:space="preserve">UCasP4ULpPrDOd4mByIKFRhw</t>
  </si>
  <si>
    <t xml:space="preserve">UCZxJsYIKSwZ6I1cL4QH5aNQ</t>
  </si>
  <si>
    <t xml:space="preserve">UCbrXfFq6GN1nERyMSSiz5qA</t>
  </si>
  <si>
    <t xml:space="preserve">UCABe2FgVNv2hgBeMu2mySVg</t>
  </si>
  <si>
    <t xml:space="preserve">UCnhAMeE9Z0BhIYozlc8Ts5g</t>
  </si>
  <si>
    <t xml:space="preserve">UC5TCLWjRRuk8fqDi_yg1qrg</t>
  </si>
  <si>
    <t xml:space="preserve">UC6Ce0W_c7mCNu87Qnx4ZNaw</t>
  </si>
  <si>
    <t xml:space="preserve">UCSXwEK86-OWEn_QF65X7c7Q</t>
  </si>
  <si>
    <t xml:space="preserve">UCPXLAruFusYx0ZI_WA8T34w</t>
  </si>
  <si>
    <t xml:space="preserve">UCoW5Zc_nGWRbOK0FLcCRQbQ</t>
  </si>
  <si>
    <t xml:space="preserve">UCE9yHZh7s9GkN9uxdFPLsQQ</t>
  </si>
  <si>
    <t xml:space="preserve">UCEWHoHLo89dkQJR_axIupEA</t>
  </si>
  <si>
    <t xml:space="preserve">UCbZ4R4Ae5oQACsJF8o0dNLQ</t>
  </si>
  <si>
    <t xml:space="preserve">UCup3etEdjyF1L3sRbU-rKLw</t>
  </si>
  <si>
    <t xml:space="preserve">UCZMi98PNUjqvmgfNcsekjTA</t>
  </si>
  <si>
    <t xml:space="preserve">UCZRdNleCgW-BGUJf-bbjzQg</t>
  </si>
  <si>
    <t xml:space="preserve">UCqWsiM1WR-h8k5sBHR7ViaQ</t>
  </si>
  <si>
    <t xml:space="preserve">UCEjduIETkrT5g2bG5s86lBw</t>
  </si>
  <si>
    <t xml:space="preserve">UCRjdhRziOme0OSmUwbnwebg</t>
  </si>
  <si>
    <t xml:space="preserve">UC1iwdTRSV1Z2DMopttg8ocA</t>
  </si>
  <si>
    <t xml:space="preserve">UCsSZyyGKf9FdpqDmynjVBcA</t>
  </si>
  <si>
    <t xml:space="preserve">UCtFQDgA8J8_iiwc5-KoAQlg</t>
  </si>
  <si>
    <t xml:space="preserve">UCBc13XYipnBIBE3Ff8QaaGg</t>
  </si>
  <si>
    <t xml:space="preserve">UCP4JX0XS64fmC_wnITdPuow</t>
  </si>
  <si>
    <t xml:space="preserve">UCVidr_Df7gMAcLB2HBe1ZOA</t>
  </si>
  <si>
    <t xml:space="preserve">UCCTbkU_M11_9cHyAGxiXT1A</t>
  </si>
  <si>
    <t xml:space="preserve">UC1cvJI4SJeaA8MbNOWqGFmg</t>
  </si>
  <si>
    <t xml:space="preserve">UCGyZswzm4G-wEfRQHgMSAuw</t>
  </si>
  <si>
    <t xml:space="preserve">UC60U1OtwT9Y6Buecc6P0L5g</t>
  </si>
  <si>
    <t xml:space="preserve">UCR-uD130PlXKww_J2Q63CMg</t>
  </si>
  <si>
    <t xml:space="preserve">UCdF5Q5QVbYstYrTfpgUl0ZA</t>
  </si>
  <si>
    <t xml:space="preserve">UC9PD3EIAA-vtGLZgYXG3q0A</t>
  </si>
  <si>
    <t xml:space="preserve">UCrOqvBGN_lUsgpTmQo818tA</t>
  </si>
  <si>
    <t xml:space="preserve">UC8YGgolg9oRjFyumMOGLj0A</t>
  </si>
  <si>
    <t xml:space="preserve">UCMrvLMUITAImCHMOhX88PYQ</t>
  </si>
  <si>
    <t xml:space="preserve">UC0rE2qq81of4fojo-KhO5rg</t>
  </si>
  <si>
    <t xml:space="preserve">UCGY4QLnE_jyO1mao6oZXlxw</t>
  </si>
  <si>
    <t xml:space="preserve">UCx90XU2NsIhcc-XR3mlzv8A</t>
  </si>
  <si>
    <t xml:space="preserve">UCqgts67ZwDd-gAasDQbZrnQ</t>
  </si>
  <si>
    <t xml:space="preserve">UCFNHLC4euNaQGDmIokMugiA</t>
  </si>
  <si>
    <t xml:space="preserve">UCPrBkqZVbih6wyoYhaN2EVA</t>
  </si>
  <si>
    <t xml:space="preserve">UCtLpPnn0bg52IPFhzMwkvBw</t>
  </si>
  <si>
    <t xml:space="preserve">UCa2A_QCvJQxMb61JGO6kMhw</t>
  </si>
  <si>
    <t xml:space="preserve">UC43FtzoqAtvCIZ5dJKkNhmg</t>
  </si>
  <si>
    <t xml:space="preserve">UC12K7FCbzFG5BOMJrHn-sog</t>
  </si>
  <si>
    <t xml:space="preserve">UCKwucPzHZ7zCUIf7If-Wo1g</t>
  </si>
  <si>
    <t xml:space="preserve">UCsLq0AgaT8KDTNWsToxZ5_A</t>
  </si>
  <si>
    <t xml:space="preserve">UC4Q3WfXJgYPYQmEviC8z2TQ</t>
  </si>
  <si>
    <t xml:space="preserve">UCdoDYkupTElV62K7ttA_E4w</t>
  </si>
  <si>
    <t xml:space="preserve">UCPwQ8Yo90_ruIFPF3fLKwWA</t>
  </si>
  <si>
    <t xml:space="preserve">UCI5iQEzvqILjpJ4dEiPlM0w</t>
  </si>
  <si>
    <t xml:space="preserve">UC6RJ7-PaXg6TIH2BzZfTV7w</t>
  </si>
  <si>
    <t xml:space="preserve">UCt4pGsEsc_TDXDx0iRStdCg</t>
  </si>
  <si>
    <t xml:space="preserve">UCSNls92imB9zwxpdz6vt6ig</t>
  </si>
  <si>
    <t xml:space="preserve">UC3U1vy0Qk-UTkDrKEc07D1g</t>
  </si>
  <si>
    <t xml:space="preserve">UCRLmEkBUd79YjTZTWLPBrYQ</t>
  </si>
  <si>
    <t xml:space="preserve">UCyxH3vRaMqHiJFyHnC7qhUw</t>
  </si>
  <si>
    <t xml:space="preserve">UCgcUFVynuKwaIZLJkjhzOVg</t>
  </si>
  <si>
    <t xml:space="preserve">UCCEQKydMgEFIXA4XDshj0CA</t>
  </si>
  <si>
    <t xml:space="preserve">UCBwc2cbPpvxNCNEI2-8YrqQ</t>
  </si>
  <si>
    <t xml:space="preserve">UCPxN-X9VhKswRaVPwx7zaAg</t>
  </si>
  <si>
    <t xml:space="preserve">UCZ1OsbnPa1RX6rl9NWlRTOg</t>
  </si>
  <si>
    <t xml:space="preserve">UCngVKppNKRXO3xkEvJ7yCdw</t>
  </si>
  <si>
    <t xml:space="preserve">UCtx4GFO_5-8b_FmbtWlYGQg</t>
  </si>
  <si>
    <t xml:space="preserve">UCSgVw2iWODCXSlVZA0SO86g</t>
  </si>
  <si>
    <t xml:space="preserve">UCnhiu3auDOyRfueiYPDqkBw</t>
  </si>
  <si>
    <t xml:space="preserve">UCQFblMlxC7UFwq2zqNT7NKA</t>
  </si>
  <si>
    <t xml:space="preserve">UCs5zOg5Ad0QAkRPJsYiRm9g</t>
  </si>
  <si>
    <t xml:space="preserve">UCfkRsx0z8reL_MOqEoEqj9Q</t>
  </si>
  <si>
    <t xml:space="preserve">UCiKNX0TIMyKgGqQznhR1Xig</t>
  </si>
  <si>
    <t xml:space="preserve">UC19ZbpEv7OwfmroNuzt9PAg</t>
  </si>
  <si>
    <t xml:space="preserve">UCOH_ioSD8yxFCfKNuiWiloQ</t>
  </si>
  <si>
    <t xml:space="preserve">UCZUjHLJivN0OZPC_Wj8JvkA</t>
  </si>
  <si>
    <t xml:space="preserve">UCALpZ_fx54GPGEusA2nHd_g</t>
  </si>
  <si>
    <t xml:space="preserve">UCpt5IhwIflBj0WCHbOjIEuA</t>
  </si>
  <si>
    <t xml:space="preserve">UCpQiC_zElVHhNm58uwCi7Gw</t>
  </si>
  <si>
    <t xml:space="preserve">UCdxbhKxr8pyWTx1ExCSmJRw</t>
  </si>
  <si>
    <t xml:space="preserve">UC1zacw4p0scffq5AJJhTVXQ</t>
  </si>
  <si>
    <t xml:space="preserve">UCjbBFvK04b-O3foSNabdrOA</t>
  </si>
  <si>
    <t xml:space="preserve">UCCzY4KCWLjVzTZfIY0xZtog</t>
  </si>
  <si>
    <t xml:space="preserve">UC-j7LP4at37y3uNTdWLq-vQ</t>
  </si>
  <si>
    <t xml:space="preserve">UCA2x9cWjEH504K5E_hGHIgw</t>
  </si>
  <si>
    <t xml:space="preserve">UCiqE4DQsQ0zlwjOV04s2gEA</t>
  </si>
  <si>
    <t xml:space="preserve">UCzh5hQc_O3r3xjh9sXrM7-A</t>
  </si>
  <si>
    <t xml:space="preserve">UCxSI_ScvntwbqmDD7VkspUQ</t>
  </si>
  <si>
    <t xml:space="preserve">UC1qliuYyZ5q6FfeETCYIV3A</t>
  </si>
  <si>
    <t xml:space="preserve">UCl23mvQ3321L7zO6JyzhVmg</t>
  </si>
  <si>
    <t xml:space="preserve">UCfwHP1M0AFSPqTdjzXhV0Zg</t>
  </si>
  <si>
    <t xml:space="preserve">UCat88i6_rELqI_prwvjspRA</t>
  </si>
  <si>
    <t xml:space="preserve">UCixvwLpO_pk4uVOkkkqP3Mw</t>
  </si>
  <si>
    <t xml:space="preserve">UCHJW1_0oPzYZl89wX_jhrgA</t>
  </si>
  <si>
    <t xml:space="preserve">UCCD6ZlRgdtYyI3Oyn52Y4nQ</t>
  </si>
  <si>
    <t xml:space="preserve">UCBB-MPp_uyVPJBsIO7vfe2Q</t>
  </si>
  <si>
    <t xml:space="preserve">UCzfXhhH8_L1B6B1SURAskXQ</t>
  </si>
  <si>
    <t xml:space="preserve">UCFmcHiDIVGQ5obfbGdKclSQ</t>
  </si>
  <si>
    <t xml:space="preserve">UCzsNLZ9GrGXRjt0QmvWFm2Q</t>
  </si>
  <si>
    <t xml:space="preserve">UCf4-1iHEgNgNWH_HKmYAtcw</t>
  </si>
  <si>
    <t xml:space="preserve">UCZtLc3mHfOq9Oo9dz7tVmKQ</t>
  </si>
  <si>
    <t xml:space="preserve">UCAOUvZhWsj2D9xw3ImHA1sw</t>
  </si>
  <si>
    <t xml:space="preserve">UCZDZuCogQfb1N95KuUOacjw</t>
  </si>
  <si>
    <t xml:space="preserve">UCSncGB_s0tuWN-4l-58mmvQ</t>
  </si>
  <si>
    <t xml:space="preserve">UCb4AW4DtF_iS4_eNuTgEgRA</t>
  </si>
  <si>
    <t xml:space="preserve">UCfiWRbqXhT8ZY3MRHZUbjKg</t>
  </si>
  <si>
    <t xml:space="preserve">UCZaHw7tdjy3TNMH3ncsI4Bg</t>
  </si>
  <si>
    <t xml:space="preserve">UCl7O3Q1tHsZ12GDIzUaG7mQ</t>
  </si>
  <si>
    <t xml:space="preserve">UCVgYIDBY2c8OrVODFNT_g6A</t>
  </si>
  <si>
    <t xml:space="preserve">UCXyRRIlRmKbCDQH92WwPLLw</t>
  </si>
  <si>
    <t xml:space="preserve">UCjNVDW-rkDYR0aOKp3E-2wg</t>
  </si>
  <si>
    <t xml:space="preserve">UC-uAyciaXWWYtIhmLDnG07A</t>
  </si>
  <si>
    <t xml:space="preserve">UCjF5ecCYXFDvR0UY9GcfnoA</t>
  </si>
  <si>
    <t xml:space="preserve">UCSM54qcBP60U61HOMm_SUqA</t>
  </si>
  <si>
    <t xml:space="preserve">UCvh0vLzlZ8fFoedB6O3vluw</t>
  </si>
  <si>
    <t xml:space="preserve">UCAwIKJ84zBsiuuy9DVR13mA</t>
  </si>
  <si>
    <t xml:space="preserve">UCnKhQkCUS1oCEvjuTfU4xIw</t>
  </si>
  <si>
    <t xml:space="preserve">UCOyT274gK_v2Xu6TXV5RgtQ</t>
  </si>
  <si>
    <t xml:space="preserve">UCgoyBmLOMNWmsiVkj-MezyQ</t>
  </si>
  <si>
    <t xml:space="preserve">UCZXhZeAbY4LYynmzVe-IQ4w</t>
  </si>
  <si>
    <t xml:space="preserve">UCaA8TUWM6TJ5wj-DH60VEFg</t>
  </si>
  <si>
    <t xml:space="preserve">UCh3aL1IecGEoZu0Qtr-lGkg</t>
  </si>
  <si>
    <t xml:space="preserve">UCPK4UYq2KOulPAsY2A3P0FA</t>
  </si>
  <si>
    <t xml:space="preserve">UC3_TTermAnf2fcLe-QX7BVQ</t>
  </si>
  <si>
    <t xml:space="preserve">UC0UGLd7T7IMaYxaWhETUqxQ</t>
  </si>
  <si>
    <t xml:space="preserve">UC15sUwufvfo5Z62KBZVzHRQ</t>
  </si>
  <si>
    <t xml:space="preserve">UCb-xXZ7ltTvrh9C6DgB9H-Q</t>
  </si>
  <si>
    <t xml:space="preserve">UCYoUuK_uXILQmvip-6jDZ-A</t>
  </si>
  <si>
    <t xml:space="preserve">UC0cHVZAeY_qxI7Z-7nJFXkg</t>
  </si>
  <si>
    <t xml:space="preserve">UCuMwOS-oxshrp6CxaaBBKWg</t>
  </si>
  <si>
    <t xml:space="preserve">UC6FvHUSDY5e_VVNVAYaNsAw</t>
  </si>
  <si>
    <t xml:space="preserve">UCiiHohivUjxQr4zspF1ZUJw</t>
  </si>
  <si>
    <t xml:space="preserve">UCwkgelTuQvqTyQ9c_GY4deg</t>
  </si>
  <si>
    <t xml:space="preserve">UCObhqDIy3TDrBcBRk7sTZUA</t>
  </si>
  <si>
    <t xml:space="preserve">UCd4iew3AeLPRSCWwu2OitEw</t>
  </si>
  <si>
    <t xml:space="preserve">UCCUoz5ivpW5fbZIDGUTacbQ</t>
  </si>
  <si>
    <t xml:space="preserve">UCmXZxX_qexEZxhb5_vQKPCw</t>
  </si>
  <si>
    <t xml:space="preserve">UC84EedEIzn8cWJJ9Bvm5TzQ</t>
  </si>
  <si>
    <t xml:space="preserve">UCXORBdm4-ahxpPp94LiN8sA</t>
  </si>
  <si>
    <t xml:space="preserve">UCQIycDaLsBpMKjOCeaKUYVg</t>
  </si>
  <si>
    <t xml:space="preserve">UCyZ6lcMSjm0ecKjkXfwpoAg</t>
  </si>
  <si>
    <t xml:space="preserve">UCOU9l0XsEmJPr-PGcb8F5ZA</t>
  </si>
  <si>
    <t xml:space="preserve">UCpfq9z3JoXwndNiF6S5Rezg</t>
  </si>
  <si>
    <t xml:space="preserve">UCvLj42lkMc6SlWcKXFFVu6w</t>
  </si>
  <si>
    <t xml:space="preserve">UCLnlD3yHgpji6fuEpNHE-yQ</t>
  </si>
  <si>
    <t xml:space="preserve">UCwoRdXseuJRDlNA0xhuTfdQ</t>
  </si>
  <si>
    <t xml:space="preserve">UCxlJ45KjG4XVcQ_hd8j227A</t>
  </si>
  <si>
    <t xml:space="preserve">UCiDKcjKocimAO1tVw1XIJ0Q</t>
  </si>
  <si>
    <t xml:space="preserve">UCpGK6cI1FKHrStME7gNgD0Q</t>
  </si>
  <si>
    <t xml:space="preserve">UCQSbjDZOCsJfsddQm9b4PZg</t>
  </si>
  <si>
    <t xml:space="preserve">UCeJWZgSMlzqYEDytDnvzHnw</t>
  </si>
  <si>
    <t xml:space="preserve">UCfgZg9Vl5AwedH14BYgLXTQ</t>
  </si>
  <si>
    <t xml:space="preserve">UC1tOEouPkJZ1qcLgX-U8YfA</t>
  </si>
  <si>
    <t xml:space="preserve">UCPxh8XbrczlY42mg6EtVTBg</t>
  </si>
  <si>
    <t xml:space="preserve">UCLeEvcZDJg1p682CeVeuccg</t>
  </si>
  <si>
    <t xml:space="preserve">UC0Btk1N5V-k4eBfCxFbfyjA</t>
  </si>
  <si>
    <t xml:space="preserve">UC3vABwrHdAD4BPnfvJCoddg</t>
  </si>
  <si>
    <t xml:space="preserve">UCtz9FLnr_blQ7JOeSnAJKQA</t>
  </si>
  <si>
    <t xml:space="preserve">UCg5LjzSV0GqSjXJXERkW1FA</t>
  </si>
  <si>
    <t xml:space="preserve">UC_71IGEjSWBjQ-9AkfmFaZQ</t>
  </si>
  <si>
    <t xml:space="preserve">UCKa6ggkkUn-fsUiUmbib1Tg</t>
  </si>
  <si>
    <t xml:space="preserve">UCkJ8jefJJ_qcp946WzKnUfg</t>
  </si>
  <si>
    <t xml:space="preserve">UCjElJyiXmQXnWmceQ1JyKrA</t>
  </si>
  <si>
    <t xml:space="preserve">UCbyDyAcWhvKUyE-RSu2Z8lg</t>
  </si>
  <si>
    <t xml:space="preserve">UCGQSu0fG2hlLA71NKx1XkTQ</t>
  </si>
  <si>
    <t xml:space="preserve">UCu2u6SIbpeunUlTo4gntfZw</t>
  </si>
  <si>
    <t xml:space="preserve">UCuVuHrghkZeJHQTjesosDJA</t>
  </si>
  <si>
    <t xml:space="preserve">UCaVEA5a97Yxs7S55WtIK5mg</t>
  </si>
  <si>
    <t xml:space="preserve">UCjdjyjdcdmldCK5XuuWbn1A</t>
  </si>
  <si>
    <t xml:space="preserve">UCTDyYqF3es08XJ6ZXp3K_5Q</t>
  </si>
  <si>
    <t xml:space="preserve">UC7XPcbEGA2f995GoOrye7pw</t>
  </si>
  <si>
    <t xml:space="preserve">UCOQmJtNxOWUMQ5f8U8NOAyA</t>
  </si>
  <si>
    <t xml:space="preserve">UCCaJ-4eia53A8FcZD-KwaeA</t>
  </si>
  <si>
    <t xml:space="preserve">UCx4Y6vDEe0xv6xH25f2txew</t>
  </si>
  <si>
    <t xml:space="preserve">UCqn6IMEa8WtY4_ZhJqjZn8Q</t>
  </si>
  <si>
    <t xml:space="preserve">UCBu1-C7zod8qigd2v1Ea5HA</t>
  </si>
  <si>
    <t xml:space="preserve">UCGH6FMbhlmVDUP96nQVYe2Q</t>
  </si>
  <si>
    <t xml:space="preserve">UC_c8Xgf0_jnMVrAFKfIrFoQ</t>
  </si>
  <si>
    <t xml:space="preserve">UCfhbydY40P2Lli9HuBz8cdA</t>
  </si>
  <si>
    <t xml:space="preserve">UCS2rhpz4RJEmb9CV7TPzBIg</t>
  </si>
  <si>
    <t xml:space="preserve">UCk8MPfvh_XpNehO6TWcFYYA</t>
  </si>
  <si>
    <t xml:space="preserve">UCGaOkbpMXx4j07kxQYpxFDA</t>
  </si>
  <si>
    <t xml:space="preserve">UCwXrBBZnIh2ER4lal6WbAHw</t>
  </si>
  <si>
    <t xml:space="preserve">UCYEUot1QIoKnHKMK-e-qKjQ</t>
  </si>
  <si>
    <t xml:space="preserve">UCS5eXe20W1hq0rHsDoYHGqg</t>
  </si>
  <si>
    <t xml:space="preserve">UCz67TNWBqU38S8VRvjDO2wg</t>
  </si>
  <si>
    <t xml:space="preserve">UCREgzDrb8n9J-cLOX6ZrmnA</t>
  </si>
  <si>
    <t xml:space="preserve">UCihUiDJzjyo2ov_qGtW33lw</t>
  </si>
  <si>
    <t xml:space="preserve">UCLog66-PxRcwfcKWB8Z2Q6A</t>
  </si>
  <si>
    <t xml:space="preserve">UC8MyBFjXbTezvZgMTEBFwgA</t>
  </si>
  <si>
    <t xml:space="preserve">UCLNItyVW0epTrMVA3DxQglg</t>
  </si>
  <si>
    <t xml:space="preserve">UCXNNm366Q404eZxIC8UPqkg</t>
  </si>
  <si>
    <t xml:space="preserve">UCSXOsOIzeJqJb4h0QlimDww</t>
  </si>
  <si>
    <t xml:space="preserve">UCWIH-lorJrPnBJukxKAOGhg</t>
  </si>
  <si>
    <t xml:space="preserve">UCbROVXRGQ89AHQfjsdpcDOg</t>
  </si>
  <si>
    <t xml:space="preserve">UCh0Ob3N4miyi773toqSYj-A</t>
  </si>
  <si>
    <t xml:space="preserve">UCbVSVO5TZXv0nzzB8G2vCVQ</t>
  </si>
  <si>
    <t xml:space="preserve">UCgNj5aju-DUGMqPNJt5IjQA</t>
  </si>
  <si>
    <t xml:space="preserve">UCBQx0Oyf0DFMliuHLVcpBsg</t>
  </si>
  <si>
    <t xml:space="preserve">UCILLlgN9cpmdf7dP9yOTuTw</t>
  </si>
  <si>
    <t xml:space="preserve">UC20sXo8ReewkzNKBFgzVCPA</t>
  </si>
  <si>
    <t xml:space="preserve">UCC2SRkpp75cVNKlcg2G7iuw</t>
  </si>
  <si>
    <t xml:space="preserve">UCOUHiRSRIuguyUVY5q_hl7A</t>
  </si>
  <si>
    <t xml:space="preserve">UC6t1Tkom_lz6nPYsBjOeD9w</t>
  </si>
  <si>
    <t xml:space="preserve">UCjLPS62jAAacLvpjsKT_7_w</t>
  </si>
  <si>
    <t xml:space="preserve">UCX2XQHzw7HMhtHKQHlzrZiQ</t>
  </si>
  <si>
    <t xml:space="preserve">UCbP0hjFiW9CEnL9HpSPbK_Q</t>
  </si>
  <si>
    <t xml:space="preserve">UCy2mVoZ0NPr49ZRN5mEL7sg</t>
  </si>
  <si>
    <t xml:space="preserve">UCe0tVTGAITFMfcqoq_JlU4w</t>
  </si>
  <si>
    <t xml:space="preserve">UCHGlDku-Fzg0wHNlAike8-g</t>
  </si>
  <si>
    <t xml:space="preserve">UCAYum5hCyfkSH5T3vSD_kwQ</t>
  </si>
  <si>
    <t xml:space="preserve">UCa9c6LDV43ZfD89zsxkEyzg</t>
  </si>
  <si>
    <t xml:space="preserve">UCaZEbaQmrbfJbJzVV9UvP3Q</t>
  </si>
  <si>
    <t xml:space="preserve">UC9eYFa4jJQdLVTuy3et9Zbg</t>
  </si>
  <si>
    <t xml:space="preserve">UCNn6AaHharXIbkRleXGboiQ</t>
  </si>
  <si>
    <t xml:space="preserve">UCkw4JCwteGrDHIsyIIKo4tQ</t>
  </si>
  <si>
    <t xml:space="preserve">UCjXnJ4OawDGjvEKVu9SWUuA</t>
  </si>
  <si>
    <t xml:space="preserve">UCYHU3nB-21PeM1FmmLbergA</t>
  </si>
  <si>
    <t xml:space="preserve">UCYgT6J0U3pxRQngmVwpha1w</t>
  </si>
  <si>
    <t xml:space="preserve">UCBSwcEOp0PMwhvE6FVjgITw</t>
  </si>
  <si>
    <t xml:space="preserve">UC1DtEMePmr4O6F2do6BVl7A</t>
  </si>
  <si>
    <t xml:space="preserve">UCOF1iS7lmNRSWVqL8N3L6kQ</t>
  </si>
  <si>
    <t xml:space="preserve">UCz8QaiQxApLq8sLNcszYyJw</t>
  </si>
  <si>
    <t xml:space="preserve">UCx3kGiJeoDOOrHPBAc9w1WA</t>
  </si>
  <si>
    <t xml:space="preserve">UCjZQyGJeZv68zMIJOXk0vmA</t>
  </si>
  <si>
    <t xml:space="preserve">UCbVTmYd4bDZ7hlRCiy43CyQ</t>
  </si>
  <si>
    <t xml:space="preserve">UCvtytxOt_ajiYjtaA9lhLkQ</t>
  </si>
  <si>
    <t xml:space="preserve">UCeiAKuJGZrIjYvaq0nMwbJg</t>
  </si>
  <si>
    <t xml:space="preserve">UCnjU1FHmao9YNfPzE039YTw</t>
  </si>
  <si>
    <t xml:space="preserve">UCOoxUGGeYIHLzhZ2_ZagOpQ</t>
  </si>
  <si>
    <t xml:space="preserve">UCFzZra397dZdeDPKm4nmAzA</t>
  </si>
  <si>
    <t xml:space="preserve">UCDSB6AcJzMS5HZNERwGHV-g</t>
  </si>
  <si>
    <t xml:space="preserve">UCipSU-s77LQLycThKjKpqSw</t>
  </si>
  <si>
    <t xml:space="preserve">UCHwQ2fiRDyd7hikKan5s4Sg</t>
  </si>
  <si>
    <t xml:space="preserve">UCU5eV0c0SE0TMXrV8P94jAQ</t>
  </si>
  <si>
    <t xml:space="preserve">UC6T0jZjpR5H6owSVJseum5A</t>
  </si>
  <si>
    <t xml:space="preserve">UCzUYuC_9XdUUdrnyLii8WYg</t>
  </si>
  <si>
    <t xml:space="preserve">UCukMN3TgS99UXEaemN5dtJg</t>
  </si>
  <si>
    <t xml:space="preserve">UCE2R681jkb6_JOxUQAP7TWw</t>
  </si>
  <si>
    <t xml:space="preserve">UCe7UKRSJM6ITMfXX-CbET0w</t>
  </si>
  <si>
    <t xml:space="preserve">UCfud9T0sB15qvweliXa5xhQ</t>
  </si>
  <si>
    <t xml:space="preserve">UC5MluLWof7FHnKof1NvLkgA</t>
  </si>
  <si>
    <t xml:space="preserve">UCCq1xDJMBRF61kiOgU90_kw</t>
  </si>
  <si>
    <t xml:space="preserve">UCLLJt2t6WYpxWktsl1e429Q</t>
  </si>
  <si>
    <t xml:space="preserve">UC7x7gqeQQ5dazPAvDgC7TIw</t>
  </si>
  <si>
    <t xml:space="preserve">UCsSC6inBVGt5Gj-nCVBEx-A</t>
  </si>
  <si>
    <t xml:space="preserve">UCBSGboqYmgfWFkiwURwPMsg</t>
  </si>
  <si>
    <t xml:space="preserve">UCgsBTy-UmF4OL-60iS5CK5w</t>
  </si>
  <si>
    <t xml:space="preserve">UCwLJ2iyouNwECeIlDIrZIPw</t>
  </si>
  <si>
    <t xml:space="preserve">UCe4Qjn4os--cQpjnvzNy1GA</t>
  </si>
  <si>
    <t xml:space="preserve">UC_c7EFVXxmQMjj5E2CchGXg</t>
  </si>
  <si>
    <t xml:space="preserve">UCHPKIXAkP3VuBLgmYe9dHPg</t>
  </si>
  <si>
    <t xml:space="preserve">UCbl_j3FS4g8xX1NzyJco76Q</t>
  </si>
  <si>
    <t xml:space="preserve">UC9oshy8-JmmVwvRUxdGs_-Q</t>
  </si>
  <si>
    <t xml:space="preserve">UC6WzPg6yxF9dQx2_O6R4lww</t>
  </si>
  <si>
    <t xml:space="preserve">UClCe18fwE4Gtr7vgqka1Zlg</t>
  </si>
  <si>
    <t xml:space="preserve">UCWnTC8o8AycL6a2eRrKSdBg</t>
  </si>
  <si>
    <t xml:space="preserve">UCnFpajlezRfiOMdw8Tt3z5A</t>
  </si>
  <si>
    <t xml:space="preserve">UCE9xu1XvSRpuMkNZTol-qKA</t>
  </si>
  <si>
    <t xml:space="preserve">UC6q2O2pOJ-LiFKm4w2EW73w</t>
  </si>
  <si>
    <t xml:space="preserve">UCr7J9WH0IFgJvSmbPYpXyYw</t>
  </si>
  <si>
    <t xml:space="preserve">UC89rPuzRVHTnMHbZrCRYMng</t>
  </si>
  <si>
    <t xml:space="preserve">UCpXLDGcGtqkC7MIF5sKYU0w</t>
  </si>
  <si>
    <t xml:space="preserve">UCvmvDixf5JG7wVVH67bdn5Q</t>
  </si>
  <si>
    <t xml:space="preserve">UCvo2tOQ0yDJLFRi7QAt58yA</t>
  </si>
  <si>
    <t xml:space="preserve">UCMGd2CJgU3oNA1z0_Pb83eA</t>
  </si>
  <si>
    <t xml:space="preserve">UC3fryLB2yC_5ImR9mEl1v-A</t>
  </si>
  <si>
    <t xml:space="preserve">UCMVT1Co9137vnJxgnSZAhog</t>
  </si>
  <si>
    <t xml:space="preserve">UCKZozRVHRYsYHGEyNKuhhdA</t>
  </si>
  <si>
    <t xml:space="preserve">UCphU2bAGmw304CFAzy0Enuw</t>
  </si>
  <si>
    <t xml:space="preserve">UCy46a7I9CXYP1QYukKBTmtQ</t>
  </si>
  <si>
    <t xml:space="preserve">UCKop7_gs7xq5tbrDDYuplhA</t>
  </si>
  <si>
    <t xml:space="preserve">UC1KpLut3TahXgF0Rnj87R-g</t>
  </si>
  <si>
    <t xml:space="preserve">UCl14vsKo26SS8OcHedmmaPw</t>
  </si>
  <si>
    <t xml:space="preserve">UCRzYN32xtBf3Yxsx5BvJWJw</t>
  </si>
  <si>
    <t xml:space="preserve">UCtjW0Pf1eEhVNrJXzEsLB1Q</t>
  </si>
  <si>
    <t xml:space="preserve">UC3fsBqx7qkIoJnLNRmoYW7w</t>
  </si>
  <si>
    <t xml:space="preserve">UC33E2ccw1Y5vr3ODMlgIGUw</t>
  </si>
  <si>
    <t xml:space="preserve">UCvhTBODxYcVp7JfU1qX1T9g</t>
  </si>
  <si>
    <t xml:space="preserve">UCBpkJWFinbGBwq6r9DDT0Fw</t>
  </si>
  <si>
    <t xml:space="preserve">UCSvoZtSPcju-jTBwxwh_29A</t>
  </si>
  <si>
    <t xml:space="preserve">UCbNFYkTWQVUTs_n5Hqbt8bg</t>
  </si>
  <si>
    <t xml:space="preserve">UCWk-7Yosyvzln9ZzJg8BvVg</t>
  </si>
  <si>
    <t xml:space="preserve">UCA7gwgLgmCZ8DSmdf2bhb8g</t>
  </si>
  <si>
    <t xml:space="preserve">UCSaf-7p3J_N-02p7jHzm5tA</t>
  </si>
  <si>
    <t xml:space="preserve">UC6cxTsUnfSZrj96KNHhRTHQ</t>
  </si>
  <si>
    <t xml:space="preserve">UCoDiyU0xjSXJhmKJCqLeCNQ</t>
  </si>
  <si>
    <t xml:space="preserve">UCJ97pLhPp-CU9Tj4-dp9B6g</t>
  </si>
  <si>
    <t xml:space="preserve">UC6FLNZK0OIJyd6e4fQCMnCg</t>
  </si>
  <si>
    <t xml:space="preserve">UCppQIMrVn1_d_99VycyM8Cw</t>
  </si>
  <si>
    <t xml:space="preserve">UCB_l9j53BhS-UNxXO4y282A</t>
  </si>
  <si>
    <t xml:space="preserve">UC_oCw5PLyGQEJvRtlkjwS6A</t>
  </si>
  <si>
    <t xml:space="preserve">UCcGcC0DCDXyqSPdpskY99CQ</t>
  </si>
  <si>
    <t xml:space="preserve">UC-AxiwZdOVazFqggF1F2aLg</t>
  </si>
  <si>
    <t xml:space="preserve">UCbYcVzpQD8aCyz-v_JUislg</t>
  </si>
  <si>
    <t xml:space="preserve">UCfvCHVcXRzTBm4WW1zkgIuQ</t>
  </si>
  <si>
    <t xml:space="preserve">UCqoVfm6MrtlLmGW0Nvqoabw</t>
  </si>
  <si>
    <t xml:space="preserve">UCJMrLeR-WZmwmYX-WLBiFKg</t>
  </si>
  <si>
    <t xml:space="preserve">UCSjacqS5J49LbvM1D0oYdtg</t>
  </si>
  <si>
    <t xml:space="preserve">UCCJsQKOKArvDksacfT2ryQw</t>
  </si>
  <si>
    <t xml:space="preserve">UCBxt-bBEei_zKzLGbQVH8vw</t>
  </si>
  <si>
    <t xml:space="preserve">UCHa1_v_jRPdJFdU9tmOwxDA</t>
  </si>
  <si>
    <t xml:space="preserve">UCM8iDt4q_YFgM7V2xT9TEVg</t>
  </si>
  <si>
    <t xml:space="preserve">UCXv0AGtxxRzxJ7lP1M2l4jA</t>
  </si>
  <si>
    <t xml:space="preserve">UCmBcV0lRSo0wkvowPSF9eJQ</t>
  </si>
  <si>
    <t xml:space="preserve">UCDCX2xVOg67tbJck1DeXg5A</t>
  </si>
  <si>
    <t xml:space="preserve">UCzgCuuPQa1nMlZP9ruPYDNw</t>
  </si>
  <si>
    <t xml:space="preserve">UCqwUQ-gb3ucBowxk3867p-A</t>
  </si>
  <si>
    <t xml:space="preserve">UCW-7nV1aZu0PKqj4c8SGP4A</t>
  </si>
  <si>
    <t xml:space="preserve">UCm0BloxESCVb4OwFOII16Ww</t>
  </si>
  <si>
    <t xml:space="preserve">UCsyf0Buvc98RKM5ta6fDAtQ</t>
  </si>
  <si>
    <t xml:space="preserve">UCqKtxHTl-BBChwMe_L6zxoQ</t>
  </si>
  <si>
    <t xml:space="preserve">UCDTSBt8o9V-6W9fpB-tBxwA</t>
  </si>
  <si>
    <t xml:space="preserve">UC5NU0gwu-18DG2Gs3eK3pMw</t>
  </si>
  <si>
    <t xml:space="preserve">UCc6YTHugsln7EQnq4nhZfaw</t>
  </si>
  <si>
    <t xml:space="preserve">UCDb7F48D2kLBdMnCMoqLBUQ</t>
  </si>
  <si>
    <t xml:space="preserve">UC_cZYFovNQTsKw1ZLmO_AMA</t>
  </si>
  <si>
    <t xml:space="preserve">UCZ9m4KOh8Ei60428xeGYDCQ</t>
  </si>
  <si>
    <t xml:space="preserve">UCdMtj4CiqlZTgzFT5FdDd7A</t>
  </si>
  <si>
    <t xml:space="preserve">UCOfW-gAHYcHh3YfFCOOSqng</t>
  </si>
  <si>
    <t xml:space="preserve">UChZ0JmGgyOWSU-1iXxPhsVA</t>
  </si>
  <si>
    <t xml:space="preserve">UCCPPUrQOQ12l9Xr-B7A351Q</t>
  </si>
  <si>
    <t xml:space="preserve">UCLa-ASLMIpWEOlZsJ4_CLUg</t>
  </si>
  <si>
    <t xml:space="preserve">UC_C__SsDmqlFJg4S2W9YliQ</t>
  </si>
  <si>
    <t xml:space="preserve">UCACRm7NnRD60AuRzIXpZDrw</t>
  </si>
  <si>
    <t xml:space="preserve">UCz-b3bL0RRJsZGA962E5Jfw</t>
  </si>
  <si>
    <t xml:space="preserve">UCObb67dO5Qlzt28WfP-IQwQ</t>
  </si>
  <si>
    <t xml:space="preserve">UCMlzi5avz-Bcn_1A_w-M5cg</t>
  </si>
  <si>
    <t xml:space="preserve">UC7nz6QUPAbGcE6r8bhvK8Hw</t>
  </si>
  <si>
    <t xml:space="preserve">UCWxcAUWjF3B_S6fFLqOh7Rw</t>
  </si>
  <si>
    <t xml:space="preserve">UCY6s6soycjPFPAajxbmrmBg</t>
  </si>
  <si>
    <t xml:space="preserve">UCBftRSd7WAjBjq6fH7dKbPA</t>
  </si>
  <si>
    <t xml:space="preserve">UCm3uwvJw2KHp4aWRjj_IWTQ</t>
  </si>
  <si>
    <t xml:space="preserve">UCjnJwlSN4_FuoE-6RWX_Eaw</t>
  </si>
  <si>
    <t xml:space="preserve">UCF8Ar7alYrtOI5SF6b7T0xA</t>
  </si>
  <si>
    <t xml:space="preserve">UC5Av_JsA_zhGKsFPH0WUvEw</t>
  </si>
  <si>
    <t xml:space="preserve">UCM5cdocmS8t-0EURE8uvadA</t>
  </si>
  <si>
    <t xml:space="preserve">UC8vlDm5xvbxOrCvdu9UNOiA</t>
  </si>
  <si>
    <t xml:space="preserve">UCRidj8Tvrnf5jeIwzFDj0FQ</t>
  </si>
  <si>
    <t xml:space="preserve">UCxoQaZS8YdKkyfBwGZay-Xg</t>
  </si>
  <si>
    <t xml:space="preserve">UC2dc4cmFH6lCTXb2hes5Pwg</t>
  </si>
  <si>
    <t xml:space="preserve">UC_Y5IJ0Eu8dr-_Ja_YnG0mg</t>
  </si>
  <si>
    <t xml:space="preserve">UC9-od3vuwuVSFQF1CizTD7w</t>
  </si>
  <si>
    <t xml:space="preserve">UCg_7GeaCldbBppDI7aa6q5A</t>
  </si>
  <si>
    <t xml:space="preserve">UC_SzVcpHvBXZdfx3suh23RA</t>
  </si>
  <si>
    <t xml:space="preserve">UCv5gQgP_uGbJxImWVoUC_Ng</t>
  </si>
  <si>
    <t xml:space="preserve">UC8XT6aClYUeB10aJgPI1kBg</t>
  </si>
  <si>
    <t xml:space="preserve">UCZff6I2okeH71I5jsE0LirQ</t>
  </si>
  <si>
    <t xml:space="preserve">UCAGM-0z6TopsOX6wjy_8yIw</t>
  </si>
  <si>
    <t xml:space="preserve">UCsrK1UOY5thI1EmBe-3CPvQ</t>
  </si>
  <si>
    <t xml:space="preserve">UCMBhVE6pOpLuQ-4TxWagBvQ</t>
  </si>
  <si>
    <t xml:space="preserve">UCFg0W4_Sk4_Cb7uL4xC2WZA</t>
  </si>
  <si>
    <t xml:space="preserve">UCXyq6UjvT4dWjMOOiKuBncA</t>
  </si>
  <si>
    <t xml:space="preserve">UCEgsduNOETpZj4CdvI0T5cw</t>
  </si>
  <si>
    <t xml:space="preserve">UCOjRVCxaNntzhUhwUF-xCFA</t>
  </si>
  <si>
    <t xml:space="preserve">UCdyXBBMng-e4xDwcow5RC9A</t>
  </si>
  <si>
    <t xml:space="preserve">UCcl4x-1l61b4mI3HnnmoxOg</t>
  </si>
  <si>
    <t xml:space="preserve">UCnzYPSlPVF4DG0jhOMUDr0Q</t>
  </si>
  <si>
    <t xml:space="preserve">UCjCAsmk4Zev04xh_VpYl6kg</t>
  </si>
  <si>
    <t xml:space="preserve">UClsrimaOU6Cm8kC-ign9Avw</t>
  </si>
  <si>
    <t xml:space="preserve">UC0H6I4rKiHmtceSdTCM-DKQ</t>
  </si>
  <si>
    <t xml:space="preserve">UC5FqrpBujBekzn1juwsM2Sg</t>
  </si>
  <si>
    <t xml:space="preserve">UCIfsQ1qEqqHVQcGw4xTy0cw</t>
  </si>
  <si>
    <t xml:space="preserve">UCDWVNwQce16D16tPc5NBYlQ</t>
  </si>
  <si>
    <t xml:space="preserve">UCmxbJnfPv6LCFH9zLaqGKEg</t>
  </si>
  <si>
    <t xml:space="preserve">UCFrL8Cc5J7Y6aoW-kQs2Nag</t>
  </si>
  <si>
    <t xml:space="preserve">UCiJKjd-IglGPBrlGhehiWhA</t>
  </si>
  <si>
    <t xml:space="preserve">UC_exm4hbJ2zV-4SrqrL9IRw</t>
  </si>
  <si>
    <t xml:space="preserve">UCItJsxqZNWUyxFn-A2tzizQ</t>
  </si>
  <si>
    <t xml:space="preserve">UCgq-x7ZhHEDWuXkRK6lBaIw</t>
  </si>
  <si>
    <t xml:space="preserve">UCHY3YUHn22H32Qpn3qNgiMQ</t>
  </si>
  <si>
    <t xml:space="preserve">UCa-vioGhe2btBcZneaPonKA</t>
  </si>
  <si>
    <t xml:space="preserve">UCHQRDaj7A5S1__vOvpbZgLg</t>
  </si>
  <si>
    <t xml:space="preserve">UC6bHi8qKRNx7XX3VCTcdxGQ</t>
  </si>
  <si>
    <t xml:space="preserve">UCix7HIJ74fUDlHDkAAcyRPA</t>
  </si>
  <si>
    <t xml:space="preserve">UCi6E-LpgGB1cijcjJkicXoA</t>
  </si>
  <si>
    <t xml:space="preserve">UCgM9qPLv7R-hTRQIGa4wgKA</t>
  </si>
  <si>
    <t xml:space="preserve">UC3k6-S3DP_g0zb_9TTdN0VA</t>
  </si>
  <si>
    <t xml:space="preserve">UC-5Yj4HIiruwkzFuLflxL_w</t>
  </si>
  <si>
    <t xml:space="preserve">UCcv7pspGHmM7AOywuLM1ufA</t>
  </si>
  <si>
    <t xml:space="preserve">UCCKTvP42qexu1MJC_VslFpw</t>
  </si>
  <si>
    <t xml:space="preserve">UCjGVPGkLwMdu8LuR637tcNA</t>
  </si>
  <si>
    <t xml:space="preserve">UCFiZHxiZ7otQ9e_iYU1sQYA</t>
  </si>
  <si>
    <t xml:space="preserve">UC8ZRiu_mBJwuMHcdIpKjTfA</t>
  </si>
  <si>
    <t xml:space="preserve">UCkTrlyIg01PJ-Tb8g2GTgqg</t>
  </si>
  <si>
    <t xml:space="preserve">UCVC9JRU1JpfupKHVV0sThOg</t>
  </si>
  <si>
    <t xml:space="preserve">UCDSUS7wAo88Zz-BCo7g3URQ</t>
  </si>
  <si>
    <t xml:space="preserve">UCMhMOiv7TftjZCr-hdpwJpg</t>
  </si>
  <si>
    <t xml:space="preserve">UC80WneGuUKWzg_yYKLMwl3w</t>
  </si>
  <si>
    <t xml:space="preserve">UCexMUgLtWZbz5-yWIBNMuxA</t>
  </si>
  <si>
    <t xml:space="preserve">UCiTjCIT_9EXV1Wp1cY0zaUA</t>
  </si>
  <si>
    <t xml:space="preserve">UC_F5c6JlDUqkiJiUlGVykCg</t>
  </si>
  <si>
    <t xml:space="preserve">UC2J_VKrAzOEJuQvFFtj3KUw</t>
  </si>
  <si>
    <t xml:space="preserve">UCBjmXe4le5EH7gKrq2UswAQ</t>
  </si>
  <si>
    <t xml:space="preserve">UCGyEq-EoY4Gn4RfknRQxWYw</t>
  </si>
  <si>
    <t xml:space="preserve">UCVFLaE3kwxGplr21A3PGVgg</t>
  </si>
  <si>
    <t xml:space="preserve">UCQx7E8ZSBdG5Kb85wG6iipg</t>
  </si>
  <si>
    <t xml:space="preserve">UCxtxloVILDQfbzXnX9iFkQg</t>
  </si>
  <si>
    <t xml:space="preserve">UC5tMwvGJB9F3RgAekeCZe8Q</t>
  </si>
  <si>
    <t xml:space="preserve">UCAJRGrHzQth3r4JeJkTtLjQ</t>
  </si>
  <si>
    <t xml:space="preserve">UC0QKe0NgW-b0oZvnB5vqiJw</t>
  </si>
  <si>
    <t xml:space="preserve">UC0IOOM8IgFI2dTMgo1JTdsg</t>
  </si>
  <si>
    <t xml:space="preserve">UC3jMepkLKF8y4iiwWmAB3RA</t>
  </si>
  <si>
    <t xml:space="preserve">UCi5kSELjaJWmnBKPXkTcxsA</t>
  </si>
  <si>
    <t xml:space="preserve">UCGjHE57Ln4Z2_IR1_z189Mg</t>
  </si>
  <si>
    <t xml:space="preserve">UCafpueX9hFLls24ed6UddEQ</t>
  </si>
  <si>
    <t xml:space="preserve">UCfYHvYyFICHwHVO9lHwmiig</t>
  </si>
  <si>
    <t xml:space="preserve">UCP2JIsLWvpPoS82e49YAAlw</t>
  </si>
  <si>
    <t xml:space="preserve">UCdegm7Y2AePJhkkmWCyYEwg</t>
  </si>
  <si>
    <t xml:space="preserve">UC4DvsntDBL-fvc051KobX9A</t>
  </si>
  <si>
    <t xml:space="preserve">UC_grwGqupWYPw8_7Foy_Wyg</t>
  </si>
  <si>
    <t xml:space="preserve">UCEhsOgK2u8GDDoynMCj78Ng</t>
  </si>
  <si>
    <t xml:space="preserve">UCunI7WT6HcBz_LktGKeNC8A</t>
  </si>
  <si>
    <t xml:space="preserve">UCeX5xOA4W1PF_MYXYmRAAfQ</t>
  </si>
  <si>
    <t xml:space="preserve">UCeesJf3MrbP0f7m8kfQ1qEQ</t>
  </si>
  <si>
    <t xml:space="preserve">UCUcgRq5GKzC2eiKsMqliz1g</t>
  </si>
  <si>
    <t xml:space="preserve">UCm949O3Dtu0tEs8wQFSaPuQ</t>
  </si>
  <si>
    <t xml:space="preserve">UCUUiJieVaFi5Kf4HWosBmDw</t>
  </si>
  <si>
    <t xml:space="preserve">UCUeNbxa3l4ze2kWapBg7JFw</t>
  </si>
  <si>
    <t xml:space="preserve">UC7kbAF7LWIk1pPftd-9ziMw</t>
  </si>
  <si>
    <t xml:space="preserve">UCO2WJZKQoDW4Te6NHx4KfTg</t>
  </si>
  <si>
    <t xml:space="preserve">UCfwa_zKl8-zC9rQDWIEixgg</t>
  </si>
  <si>
    <t xml:space="preserve">UCSFKV-1TQsNpDvOv8H6UAQA</t>
  </si>
  <si>
    <t xml:space="preserve">UCVSxQ2QXbQpFBY2VsovZ3Ng</t>
  </si>
  <si>
    <t xml:space="preserve">UCRQz3FngSGm2gY5RV89Iuiw</t>
  </si>
  <si>
    <t xml:space="preserve">UC7G96LIVWvicrHlQRyA3GRA</t>
  </si>
  <si>
    <t xml:space="preserve">UCAW01Xupb-fd51o0BsQbcLQ</t>
  </si>
  <si>
    <t xml:space="preserve">UCORnpJ8AJ253Q_CE7rltIyQ</t>
  </si>
  <si>
    <t xml:space="preserve">UCFfldk8HR3DqDSS-7GpR4Jw</t>
  </si>
  <si>
    <t xml:space="preserve">UC38z3fT9RO4yugLJoCZLygw</t>
  </si>
  <si>
    <t xml:space="preserve">UCinC8NNDpTF6Z8zYMHAuhUQ</t>
  </si>
  <si>
    <t xml:space="preserve">UCmqPt4kMIVfrN-Ls1387s6w</t>
  </si>
  <si>
    <t xml:space="preserve">UCfhqyCeJysWbwbZVb1rKW0A</t>
  </si>
  <si>
    <t xml:space="preserve">UCqOpRkI5t1mhff_6AyGeCuA</t>
  </si>
  <si>
    <t xml:space="preserve">UC35clJiCAET5XLbW-0rwPpg</t>
  </si>
  <si>
    <t xml:space="preserve">UCGkXIg5Y2CLaGZjH8tPnpXg</t>
  </si>
  <si>
    <t xml:space="preserve">UCDZ8phcfP-ocrYfl-S1VvIA</t>
  </si>
  <si>
    <t xml:space="preserve">UC7AyUr6ra_E_IJQuaQoI8kw</t>
  </si>
  <si>
    <t xml:space="preserve">UC0T6MVd3wQDB5ICAe45OxaQ</t>
  </si>
  <si>
    <t xml:space="preserve">UCF_lEagt2u1g7C3W-xTj50w</t>
  </si>
  <si>
    <t xml:space="preserve">UCFRlIV1mX-traJb5fd7S3nw</t>
  </si>
  <si>
    <t xml:space="preserve">UCs6Q3Cnj-Q_m9nD6-kN0RNA</t>
  </si>
  <si>
    <t xml:space="preserve">UCZMA85v30P_Ub5ooAO62BZQ</t>
  </si>
  <si>
    <t xml:space="preserve">UCv5KsGwkGEpNe55ElbXqRUw</t>
  </si>
  <si>
    <t xml:space="preserve">UCLRkKadxe1Ke2A5OUd0_mrQ</t>
  </si>
  <si>
    <t xml:space="preserve">UCz4a7agVFr1TxU-mpAP8hkw</t>
  </si>
  <si>
    <t xml:space="preserve">UC1BpLo2iuRGken9ow0YjHlQ</t>
  </si>
  <si>
    <t xml:space="preserve">UCHb00yEZ_yY_inLGdSBa7GQ</t>
  </si>
  <si>
    <t xml:space="preserve">UCrcpw88HvKJ0skdsHniCJtQ</t>
  </si>
  <si>
    <t xml:space="preserve">UCBXBT5mU-92P7-ZkyAbmjsg</t>
  </si>
  <si>
    <t xml:space="preserve">UC4qEoWs2pzfmqoLbDyqFKew</t>
  </si>
  <si>
    <t xml:space="preserve">UCsKc38DDpGkNTHwsYjA0rbA</t>
  </si>
  <si>
    <t xml:space="preserve">UC4agqJfy-dDqBSZBmn1LhKA</t>
  </si>
  <si>
    <t xml:space="preserve">UCkw6A6Zmand6UhZnIODLRcA</t>
  </si>
  <si>
    <t xml:space="preserve">UCmgnSzPt_FPswMo5sDPbt1A</t>
  </si>
  <si>
    <t xml:space="preserve">UCEWhQG9S3mIe0VTYUcqhzgA</t>
  </si>
  <si>
    <t xml:space="preserve">UChoyAdkZQVa4V7AbZshiLDg</t>
  </si>
  <si>
    <t xml:space="preserve">UCsRoar9Ec4rp7_66mP9mg-g</t>
  </si>
  <si>
    <t xml:space="preserve">UCt1NkWxPPMDagieLrz0cSTA</t>
  </si>
  <si>
    <t xml:space="preserve">UCAVV247sueJyTPJlIFw0qKQ</t>
  </si>
  <si>
    <t xml:space="preserve">UCDIuCY-EGVRGY56VfE7O7EA</t>
  </si>
  <si>
    <t xml:space="preserve">UCoPbjDPQ3R-qe3qiqvuU8qA</t>
  </si>
  <si>
    <t xml:space="preserve">UCCneap9DE1plCWwcObu-20Q</t>
  </si>
  <si>
    <t xml:space="preserve">UC1vOCYEu3DfoI4fYcfWKmWA</t>
  </si>
  <si>
    <t xml:space="preserve">UCNs9QZxEDle-w7FRWD9ZAlg</t>
  </si>
  <si>
    <t xml:space="preserve">UCECLFUMfkrODKn7lW0q1lxA</t>
  </si>
  <si>
    <t xml:space="preserve">UC53C8-gGMPKSRzGnC28lKyA</t>
  </si>
  <si>
    <t xml:space="preserve">UCOopFQSwnMMdRvJjpGh-gSA</t>
  </si>
  <si>
    <t xml:space="preserve">UCApyny2rjz_DAasE_nxHdjA</t>
  </si>
  <si>
    <t xml:space="preserve">UCtPgtkTOR0HEU2ywLPCzI4g</t>
  </si>
  <si>
    <t xml:space="preserve">UC2Nwwobsd0ctkzVieXZvyQA</t>
  </si>
  <si>
    <t xml:space="preserve">UC3-zzED-qntZxLuXK_hHn-A</t>
  </si>
  <si>
    <t xml:space="preserve">UCrCrHVA0_WTH1vmn_13eGeg</t>
  </si>
  <si>
    <t xml:space="preserve">UCyLUHEVkh5F4XTrozIwiNpA</t>
  </si>
  <si>
    <t xml:space="preserve">UCf40xlfHNLtJh9NXiAxHkzg</t>
  </si>
  <si>
    <t xml:space="preserve">UCTVO-4rIuzg_rCQP37jjSTA</t>
  </si>
  <si>
    <t xml:space="preserve">UC65ToDeBHrE1cSlLnuF1HgA</t>
  </si>
  <si>
    <t xml:space="preserve">UCULgERK_0b0jvOiiZmpZFzg</t>
  </si>
  <si>
    <t xml:space="preserve">UC-CqXjU6vH2PydRDIngkIIw</t>
  </si>
  <si>
    <t xml:space="preserve">UCliUMidN2SgXOldAL3kbPIg</t>
  </si>
  <si>
    <t xml:space="preserve">UCZinho9wu3iAeRpUXvAMzBQ</t>
  </si>
  <si>
    <t xml:space="preserve">UCNWAlzTt2aQCWEWZQC2lM_A</t>
  </si>
  <si>
    <t xml:space="preserve">UCMlJjMRSKaUQhXQ_9XjCGpg</t>
  </si>
  <si>
    <t xml:space="preserve">UCvKDkGPmRDOjqpu6SwHoYWA</t>
  </si>
  <si>
    <t xml:space="preserve">UCNfRxevMZrlAvGm2KeoFS6A</t>
  </si>
  <si>
    <t xml:space="preserve">UCvrD1eyGgo8O9JcTraCvYBg</t>
  </si>
  <si>
    <t xml:space="preserve">UC74PkQhcXR466kVwFUpZ4CA</t>
  </si>
  <si>
    <t xml:space="preserve">UCnprfRlJB7WE6zAEaOAfVYA</t>
  </si>
  <si>
    <t xml:space="preserve">UC1k1Gf6AbCSuv4CVzOQLLCw</t>
  </si>
  <si>
    <t xml:space="preserve">UCVIwPfHVG4A38LwPpsvRGKw</t>
  </si>
  <si>
    <t xml:space="preserve">UCbC0Nnbj7L48-NAzl_55rVQ</t>
  </si>
  <si>
    <t xml:space="preserve">UCNCl2n5YZfUXaxSVL3zqlLA</t>
  </si>
  <si>
    <t xml:space="preserve">UC8y2FurfDCrXVRHNVfmS7nw</t>
  </si>
  <si>
    <t xml:space="preserve">UCYLS9TSah19IsB8yyUpiDzg</t>
  </si>
  <si>
    <t xml:space="preserve">UCe7xSKYPYvKG0rw7e08y9Ew</t>
  </si>
  <si>
    <t xml:space="preserve">UC0S4TBEsQgiyMJaZ5z1w_Mw</t>
  </si>
  <si>
    <t xml:space="preserve">UC9zvGiJNr2QpiD6wQEAsZtQ</t>
  </si>
  <si>
    <t xml:space="preserve">UCEg3PHVR0vt3azbs_Qk_6cw</t>
  </si>
  <si>
    <t xml:space="preserve">UCL_ij-Upgg7ECeYek1rqZ7A</t>
  </si>
  <si>
    <t xml:space="preserve">UCs9Ty8NsU1I0-FXda97XCcQ</t>
  </si>
  <si>
    <t xml:space="preserve">UCtfXgNnA-QcxjHJjk5wXLFg</t>
  </si>
  <si>
    <t xml:space="preserve">UCLu1jSLRGzVgOsViFic42Gg</t>
  </si>
  <si>
    <t xml:space="preserve">UCLi0vSLZdS3Xvc5Th1O49jQ</t>
  </si>
  <si>
    <t xml:space="preserve">UCzhhvdUDJyVQL7qddS60lSg</t>
  </si>
  <si>
    <t xml:space="preserve">UCoFxUkg6cLuhlY3Ll8SHTDQ</t>
  </si>
  <si>
    <t xml:space="preserve">UCMuz3501Iy7n-yPIFi1KldQ</t>
  </si>
  <si>
    <t xml:space="preserve">UCztcqaBRULVNDp_fsOsqcQw</t>
  </si>
  <si>
    <t xml:space="preserve">UCD16eo98AXl-9T61Xd711kQ</t>
  </si>
  <si>
    <t xml:space="preserve">UCEkRH-ggDg9nVff3eyrAMLA</t>
  </si>
  <si>
    <t xml:space="preserve">UC87_Hn4dim9ojyxLqBFtJQA</t>
  </si>
  <si>
    <t xml:space="preserve">UCZEij3REDdWpfp3CCxy24TA</t>
  </si>
  <si>
    <t xml:space="preserve">UCnw6jUU0KaCjgAiRsbuiCgg</t>
  </si>
  <si>
    <t xml:space="preserve">UCDnq05Q89oYq-Tz5boL73Tw</t>
  </si>
  <si>
    <t xml:space="preserve">UCZDCqcWZVNyvTSsoc-chKJg</t>
  </si>
  <si>
    <t xml:space="preserve">UCfpLzLPQeOCM9AMSyq6cO-w</t>
  </si>
  <si>
    <t xml:space="preserve">UCkXwyrEIBifBj4t1yA5OjHA</t>
  </si>
  <si>
    <t xml:space="preserve">UCnQeH21u7Ki3PGjAexC1riQ</t>
  </si>
  <si>
    <t xml:space="preserve">UCOTGVctbHD4UJK3R6Evfx9Q</t>
  </si>
  <si>
    <t xml:space="preserve">UCbElOowkBNGm_-k60VjZUXA</t>
  </si>
  <si>
    <t xml:space="preserve">UCtsetVYMkX8iPFS2oUOcXEw</t>
  </si>
  <si>
    <t xml:space="preserve">UCqaq3Cwa7m_EsqlvfZh6uyw</t>
  </si>
  <si>
    <t xml:space="preserve">UC7Pb8pDlwmU8UvEx2Q6K5GA</t>
  </si>
  <si>
    <t xml:space="preserve">UCk9nbUmM7sXRIJyPyU9gyUQ</t>
  </si>
  <si>
    <t xml:space="preserve">UCUK49UvmYWYLiB7_bZFuFZQ</t>
  </si>
  <si>
    <t xml:space="preserve">UCzRvs4DoFFk2xsJNYahQJUg</t>
  </si>
  <si>
    <t xml:space="preserve">UC5zS0_6TYr17qTnvw_9vang</t>
  </si>
  <si>
    <t xml:space="preserve">UCpKVbhowfVpbXttBXj8WKdg</t>
  </si>
  <si>
    <t xml:space="preserve">UCf5_MpffBB9OJ2a2jPFMJRQ</t>
  </si>
  <si>
    <t xml:space="preserve">UCOcD_2N04_XS6XgImIWcR1Q</t>
  </si>
  <si>
    <t xml:space="preserve">UC_QZduhp0m0wNTSX90NVcdA</t>
  </si>
  <si>
    <t xml:space="preserve">UC9llWKM6R91VfFMONBgPPaQ</t>
  </si>
  <si>
    <t xml:space="preserve">UCk4KMUR122Ope7kYg2aJ8EA</t>
  </si>
  <si>
    <t xml:space="preserve">UCzaRorDlS1gd6EROE-xGm-Q</t>
  </si>
  <si>
    <t xml:space="preserve">UCtvDbLquaT511bZ_qUESrkA</t>
  </si>
  <si>
    <t xml:space="preserve">UCudi-cZxR9whukJTiw-oCxQ</t>
  </si>
  <si>
    <t xml:space="preserve">UCHciekxM6H6F3OTPrHs6B5g</t>
  </si>
  <si>
    <t xml:space="preserve">UC5OR-cGW1nO7JUQdZibhUyA</t>
  </si>
  <si>
    <t xml:space="preserve">UC9IBv9i3bTd6zKS2hlj7-Bw</t>
  </si>
  <si>
    <t xml:space="preserve">UCVBYKN8gtRwPxGczoHdKPDA</t>
  </si>
  <si>
    <t xml:space="preserve">UCbKULwGlKGbNniRtz4BqeMQ</t>
  </si>
  <si>
    <t xml:space="preserve">UC9-eoxoyevtmi73qPRqJwUA</t>
  </si>
  <si>
    <t xml:space="preserve">UCWKvr7cRFvIwpcKBf4CwqOQ</t>
  </si>
  <si>
    <t xml:space="preserve">UC6rE8DCMFYDcxOlvYG3JtBw</t>
  </si>
  <si>
    <t xml:space="preserve">UC_EonbkOXpNoYz-QwHdLtYQ</t>
  </si>
  <si>
    <t xml:space="preserve">UCMDV6J2hWXet7ZCfgrXGgeg</t>
  </si>
  <si>
    <t xml:space="preserve">UCLsMef624nZ4ME6WoSElPTg</t>
  </si>
  <si>
    <t xml:space="preserve">UC7RZIGGgAp8P4z354boxGtg</t>
  </si>
  <si>
    <t xml:space="preserve">UCtJigA2FTScYs2FprBWA7mA</t>
  </si>
  <si>
    <t xml:space="preserve">UC1_GAegUKlzJVskZKcwpZuA</t>
  </si>
  <si>
    <t xml:space="preserve">UCHCR4UFsGwd_VcDa0-a4haw</t>
  </si>
  <si>
    <t xml:space="preserve">UCp-k_-14nyh_f56oLy0-xeA</t>
  </si>
  <si>
    <t xml:space="preserve">UCh0XICNyWAz8Aeg5jDFCTdQ</t>
  </si>
  <si>
    <t xml:space="preserve">UCk2YK9Y4wAVhHdWBhhQ_B_w</t>
  </si>
  <si>
    <t xml:space="preserve">UCgiWxZL6x7PrezXK5RuIxkw</t>
  </si>
  <si>
    <t xml:space="preserve">UCXp7t87iLdty_jKYZtLg_lA</t>
  </si>
  <si>
    <t xml:space="preserve">UCMX41X1am8oYxT336dqk4sA</t>
  </si>
  <si>
    <t xml:space="preserve">UCaw3KUHQ4kNe6YSqy9TH_Gg</t>
  </si>
  <si>
    <t xml:space="preserve">UCvuFXtieVU8pw1vfodoUx9Q</t>
  </si>
  <si>
    <t xml:space="preserve">UCTIuWYnWo-7CmYZqXD8WFRA</t>
  </si>
  <si>
    <t xml:space="preserve">UCCybhFQq_cSGhRuY3i97I3w</t>
  </si>
  <si>
    <t xml:space="preserve">UCaKt8dvEIPnEHWSbLYhzrxg</t>
  </si>
  <si>
    <t xml:space="preserve">UC8UOSeIivnO8QqDLyIn-_1Q</t>
  </si>
  <si>
    <t xml:space="preserve">UCf8IV2Q7TYwT7Spt9KblZTg</t>
  </si>
  <si>
    <t xml:space="preserve">UCssoQzKY5sxQp9kvtKjLmog</t>
  </si>
  <si>
    <t xml:space="preserve">UCzd0iIw4XhIdXOfSdljTXqQ</t>
  </si>
  <si>
    <t xml:space="preserve">UCbhaEGajTUPAqUe62N8GJmg</t>
  </si>
  <si>
    <t xml:space="preserve">UCZNlTBWp7qU9Z3Fv-4RITxw</t>
  </si>
  <si>
    <t xml:space="preserve">UCzuHI6scaS2hO4bfIqyJ6jA</t>
  </si>
  <si>
    <t xml:space="preserve">UCZsohghaolvqquHtIUJBqjg</t>
  </si>
  <si>
    <t xml:space="preserve">UCPzNY9f4mY2oxqL1UgA6Q1Q</t>
  </si>
  <si>
    <t xml:space="preserve">UCoS4iknAwZoOXylPJfoVo8Q</t>
  </si>
  <si>
    <t xml:space="preserve">UCoorFvo6MDavK-hsPn-SQAg</t>
  </si>
  <si>
    <t xml:space="preserve">UCdDDI_RspwNf_0AADlThxYQ</t>
  </si>
  <si>
    <t xml:space="preserve">UC7krt1E6XvrywJBu0ZOyq3Q</t>
  </si>
  <si>
    <t xml:space="preserve">UCcyfffvRO21fro0GXgLXJ9A</t>
  </si>
  <si>
    <t xml:space="preserve">UCneJXVWF7u5LS4c_e_TLacA</t>
  </si>
  <si>
    <t xml:space="preserve">UCHEN2ika6hAwHwZuAnMo4Ew</t>
  </si>
  <si>
    <t xml:space="preserve">UCLxyhRCoJnRxyGan3YBHm6A</t>
  </si>
  <si>
    <t xml:space="preserve">UC0FXfjJhmlEBjXDcBEkoNCg</t>
  </si>
  <si>
    <t xml:space="preserve">UChGqyNBs8jmEmgB7t5Rgclw</t>
  </si>
  <si>
    <t xml:space="preserve">UCBe2vNf89WBoZgI7cAQzuHA</t>
  </si>
  <si>
    <t xml:space="preserve">UCD-0CkIMfNDgLQJNYwpiHKA</t>
  </si>
  <si>
    <t xml:space="preserve">UCajVjEHDoVn_AHsunUZz_EQ</t>
  </si>
  <si>
    <t xml:space="preserve">UCF6pGIKofhHhMpC-88AuEYw</t>
  </si>
  <si>
    <t xml:space="preserve">UCseLoxQAxjLbVha3IaQOjOA</t>
  </si>
  <si>
    <t xml:space="preserve">UC0NE9R-JO0Hpk5fGQ84dT8w</t>
  </si>
  <si>
    <t xml:space="preserve">UCt85BA_hmXl2hz6fbYCKMKQ</t>
  </si>
  <si>
    <t xml:space="preserve">UCdHKqS16Intejv4QYebu_GA</t>
  </si>
  <si>
    <t xml:space="preserve">UCK-VqZSMAUhgkMnZADVBGaA</t>
  </si>
  <si>
    <t xml:space="preserve">UCQRIKdVEcMTIBaoHLMEN5uA</t>
  </si>
  <si>
    <t xml:space="preserve">UCAHIpUwN66G6skx-9oTsvQw</t>
  </si>
  <si>
    <t xml:space="preserve">UCAjBd-r8JWfnRjfhg23nqLQ</t>
  </si>
  <si>
    <t xml:space="preserve">UCCDzHkpuIuD1ZC0wsCXUuPQ</t>
  </si>
  <si>
    <t xml:space="preserve">UCwVEhEzsjLym_u1he4XWFkg</t>
  </si>
  <si>
    <t xml:space="preserve">UCdESULPdF3xPsMPhLqW7r0g</t>
  </si>
  <si>
    <t xml:space="preserve">UCfyulcK9tP84epquAb460UQ</t>
  </si>
  <si>
    <t xml:space="preserve">UC-mMi78WJST4N5o8_i1FoXw</t>
  </si>
  <si>
    <t xml:space="preserve">UCn9WB2Eb1QRSYkFxuPQHkxg</t>
  </si>
  <si>
    <t xml:space="preserve">UCpvsuUc66h9AdJqkImbsL-Q</t>
  </si>
  <si>
    <t xml:space="preserve">UC9oPCWZ6Wh5WG68YcEmCXNA</t>
  </si>
  <si>
    <t xml:space="preserve">UC-znXt2JOwPwMN5ewNQ2qBQ</t>
  </si>
  <si>
    <t xml:space="preserve">UC8ZtRKBpEnmrhd3e3yfadtA</t>
  </si>
  <si>
    <t xml:space="preserve">UCADQo478H9KjhL1xxEkKwoA</t>
  </si>
  <si>
    <t xml:space="preserve">UCMRqXx5WgTH3jwXFEcE7ZYQ</t>
  </si>
  <si>
    <t xml:space="preserve">UCGSLH_5EGpS2eEkjEOkZLIg</t>
  </si>
  <si>
    <t xml:space="preserve">UCCgd2S4UtSl-8Je0CUBje6w</t>
  </si>
  <si>
    <t xml:space="preserve">UCPyDkfIhK-sRqJS0llTNdTg</t>
  </si>
  <si>
    <t xml:space="preserve">UCsFx7C__hXEhQCTrqyyfMNg</t>
  </si>
  <si>
    <t xml:space="preserve">UCZ8S3qwowiFztAQBRTawWfA</t>
  </si>
  <si>
    <t xml:space="preserve">UCnoFgtSgG9PPAmwzG2P00JA</t>
  </si>
  <si>
    <t xml:space="preserve">UCWOaoQnABqbf529ezxM6vAw</t>
  </si>
  <si>
    <t xml:space="preserve">UCBeF-3nSRWwsGttfAA3WSvA</t>
  </si>
  <si>
    <t xml:space="preserve">UCw-MAyENxFQmVTOLwlg9YkA</t>
  </si>
  <si>
    <t xml:space="preserve">UC-ja0bbrc_h43CqETR5qfBw</t>
  </si>
  <si>
    <t xml:space="preserve">UCkybxwgxXRI2eco2hpb54Sg</t>
  </si>
  <si>
    <t xml:space="preserve">UCSRQXk5yErn4e14vN76upOw</t>
  </si>
  <si>
    <t xml:space="preserve">UCM3Bjfpp_OyOADpFbKr8Msg</t>
  </si>
  <si>
    <t xml:space="preserve">UC4O3bhyajWjZWswetbylEOA</t>
  </si>
  <si>
    <t xml:space="preserve">UCmO-jDLU-KUcweCzktuDsbg</t>
  </si>
  <si>
    <t xml:space="preserve">UCze6GbqiyJar2oazXKNQgIg</t>
  </si>
  <si>
    <t xml:space="preserve">UCqIIigEiYyPnWRxwd3drHwg</t>
  </si>
  <si>
    <t xml:space="preserve">UC7pluR6rB5KZIbN2IxamzxQ</t>
  </si>
  <si>
    <t xml:space="preserve">UCew3VTQDHMq_HqJ2kyvH6gw</t>
  </si>
  <si>
    <t xml:space="preserve">UCeNP3dAy9_A32IWYZq_PZMQ</t>
  </si>
  <si>
    <t xml:space="preserve">UCTDqxnpbV_L4iR2YTiwjOiQ</t>
  </si>
  <si>
    <t xml:space="preserve">UCJSX0gNr2U5lawLXE6IjRmA</t>
  </si>
  <si>
    <t xml:space="preserve">UCLverqV6G5MER0YXM4LienQ</t>
  </si>
  <si>
    <t xml:space="preserve">UClDEPPiPfoYh3F9bHJkx2DA</t>
  </si>
  <si>
    <t xml:space="preserve">UCqow9MwWxJyKZfWbZ-JFI7Q</t>
  </si>
  <si>
    <t xml:space="preserve">UC6M9hobkI7SBRSSGP7LF6Ag</t>
  </si>
  <si>
    <t xml:space="preserve">UCRpHRrVqnvnUqI0N9-fBA_A</t>
  </si>
  <si>
    <t xml:space="preserve">UCMT1ek4RxpIAnLyMmM8wpvA</t>
  </si>
  <si>
    <t xml:space="preserve">UCE_uu-BpfKPx8a-sjwBy-rA</t>
  </si>
  <si>
    <t xml:space="preserve">UCF4wrNAyiMU1r_o6w8IGdkw</t>
  </si>
  <si>
    <t xml:space="preserve">UCgvxj5WJEl1DRJonKNXIcHw</t>
  </si>
  <si>
    <t xml:space="preserve">UCpB5WRMFsakyObwCjqfgSXA</t>
  </si>
  <si>
    <t xml:space="preserve">UCUSFb3Dwt8AdfDIxdHTlNuA</t>
  </si>
  <si>
    <t xml:space="preserve">UCeOPQuWcYxl43cf33EYcPeA</t>
  </si>
  <si>
    <t xml:space="preserve">UC_VbSJ2ayJK5RkF_5N9ZC9Q</t>
  </si>
  <si>
    <t xml:space="preserve">UCckRwq3in1bR-A7GFS2udrA</t>
  </si>
  <si>
    <t xml:space="preserve">UCEGDpn5ZG0GoWvxoh1LLe8A</t>
  </si>
  <si>
    <t xml:space="preserve">UC3yU0gVsepAY-ZGBDju6eHA</t>
  </si>
  <si>
    <t xml:space="preserve">UCwLrdtGgEakVnVi6rSS48Ow</t>
  </si>
  <si>
    <t xml:space="preserve">UC6vd-JCD7Z_FuF8N5LTydPA</t>
  </si>
  <si>
    <t xml:space="preserve">UC2XT37E3pyiVI0KHY58ydKg</t>
  </si>
  <si>
    <t xml:space="preserve">UCFRa1VGmdF9O04oppE-vR3w</t>
  </si>
  <si>
    <t xml:space="preserve">UCHmhED86fTk_i-tKP0HscEw</t>
  </si>
  <si>
    <t xml:space="preserve">UC4i8eUwMFVpdNZGEkDrqU-Q</t>
  </si>
  <si>
    <t xml:space="preserve">UCThPqCCCJQ1n7CQtnDsW4Kw</t>
  </si>
  <si>
    <t xml:space="preserve">UCyyLMu6nnp0w2TaF5_kNBkg</t>
  </si>
  <si>
    <t xml:space="preserve">UCfMBbZ92TWp6qCfJczyZHSg</t>
  </si>
  <si>
    <t xml:space="preserve">UCfgZUI8Q3TENuArpf_8Q9TA</t>
  </si>
  <si>
    <t xml:space="preserve">UCIJHY-O7qs9bqGkJQjsjQOQ</t>
  </si>
  <si>
    <t xml:space="preserve">UCQgrvRKhBguy90uNgV_ne8w</t>
  </si>
  <si>
    <t xml:space="preserve">UC1EuA9aHCO81CRoJiAW5L2A</t>
  </si>
  <si>
    <t xml:space="preserve">UCchaDIvfYidam21OptSs3AQ</t>
  </si>
  <si>
    <t xml:space="preserve">UCj-AT5lRHz4n-_lmbt6rr3w</t>
  </si>
  <si>
    <t xml:space="preserve">UCx20yYTnXVUyEej1qipZZlg</t>
  </si>
  <si>
    <t xml:space="preserve">UClRcb7YdbGvcr3OZvn7_0iA</t>
  </si>
  <si>
    <t xml:space="preserve">UCasbak5rsXb9MrKUgtjnnrQ</t>
  </si>
  <si>
    <t xml:space="preserve">UChYpOn9tfcJkfjq7e0KaAhw</t>
  </si>
  <si>
    <t xml:space="preserve">UCAn5P2p22AaxdhjXPeJYHjg</t>
  </si>
  <si>
    <t xml:space="preserve">UCAYIanoVPSh6--mxab2eNQg</t>
  </si>
  <si>
    <t xml:space="preserve">UChahm6WYl7bD1uWfNEFqcZw</t>
  </si>
  <si>
    <t xml:space="preserve">UCGYTcS4Qe-6zFBKkRUX_QFQ</t>
  </si>
  <si>
    <t xml:space="preserve">UCah9jr4Ehlrt4Wv-q-CgJkg</t>
  </si>
  <si>
    <t xml:space="preserve">UCb_OmYwdwSpBsl7kXiIFxqQ</t>
  </si>
  <si>
    <t xml:space="preserve">UCVmLwU_g4sVaesezfa1jMrw</t>
  </si>
  <si>
    <t xml:space="preserve">UCjZ7T2nBnxAQBh9ioKGNr1w</t>
  </si>
  <si>
    <t xml:space="preserve">UCUEQ2_uz-3p9aEhvwlK3VdA</t>
  </si>
  <si>
    <t xml:space="preserve">UCvwDYLQmuPo8tYk7GZ6c5pw</t>
  </si>
  <si>
    <t xml:space="preserve">UCmzj6hXrPZ_AwIZ8lgo-HuQ</t>
  </si>
  <si>
    <t xml:space="preserve">UCMeznh2BcKzpqMUBZX1Mfzw</t>
  </si>
  <si>
    <t xml:space="preserve">UCijQw_0q4v3wuDayeMzzPwg</t>
  </si>
  <si>
    <t xml:space="preserve">UCEhnoDvuuEjZ2yi9CxALPxg</t>
  </si>
  <si>
    <t xml:space="preserve">UCwSeTE378iuYPp6DTy0gDYw</t>
  </si>
  <si>
    <t xml:space="preserve">UCrsAcO8rqzMkkbhPSUiFcSw</t>
  </si>
  <si>
    <t xml:space="preserve">UCQoY_9ZKWKCOWGENzg2INIQ</t>
  </si>
  <si>
    <t xml:space="preserve">UCWHCXSKASuSzao_pplQ7SPw</t>
  </si>
  <si>
    <t xml:space="preserve">UCu5H5M0WrIGqnP6n7jXfQfw</t>
  </si>
  <si>
    <t xml:space="preserve">UCMj0Krd4yixPm5VRu5Qp4gg</t>
  </si>
  <si>
    <t xml:space="preserve">UCqfX_f4rBbPhq_KESE4saCA</t>
  </si>
  <si>
    <t xml:space="preserve">UCrBV4KLmgBJ9CbOW5BpYTBA</t>
  </si>
  <si>
    <t xml:space="preserve">UCXkEvESNrqxB9_OCiVkl1hA</t>
  </si>
  <si>
    <t xml:space="preserve">UCkJfmb163NsCn5RilDm7Q6g</t>
  </si>
  <si>
    <t xml:space="preserve">UC12PfpitmNfRdxHFBc5kfrQ</t>
  </si>
  <si>
    <t xml:space="preserve">UCUjDgofZpHEg5-3fbxbVboQ</t>
  </si>
  <si>
    <t xml:space="preserve">UCJEDFSxHHOW1PpBccdSxOTA</t>
  </si>
  <si>
    <t xml:space="preserve">UCgDxHoam3RE7SX2HTSMqjlA</t>
  </si>
  <si>
    <t xml:space="preserve">UCe1Nb-N6XgLFHfGxZjIkF8A</t>
  </si>
  <si>
    <t xml:space="preserve">UCvqoWiMHAvsn_RdK-OUfwiw</t>
  </si>
  <si>
    <t xml:space="preserve">UCHXLHapBVeJPHACQJGkHunw</t>
  </si>
  <si>
    <t xml:space="preserve">UCuyRsHZILrU7ZDIAbGASHdA</t>
  </si>
  <si>
    <t xml:space="preserve">UCbs39rT_ueYF2kEn_hZaJhA</t>
  </si>
  <si>
    <t xml:space="preserve">UCsTsUxfIB4KpeQdfh8LmZlg</t>
  </si>
  <si>
    <t xml:space="preserve">UCVQExT4EjUs4Zc-h0NxLOFw</t>
  </si>
  <si>
    <t xml:space="preserve">UCYjJCUo7Z4l0-fF875s-eEQ</t>
  </si>
  <si>
    <t xml:space="preserve">UC7U_L8Ycp0tRPcra3MBk5gQ</t>
  </si>
  <si>
    <t xml:space="preserve">UCmAyYoNuOheCdlHnsBsRu3w</t>
  </si>
  <si>
    <t xml:space="preserve">UCwgqmM4JWKAhKzuhGbFIMTg</t>
  </si>
  <si>
    <t xml:space="preserve">UCwqFUB2d_VQZvLkEdSm9gaA</t>
  </si>
  <si>
    <t xml:space="preserve">UCTpJH8TPJ7WwOAj0bkdyteg</t>
  </si>
  <si>
    <t xml:space="preserve">UCkUxJ_xu03qlSbv626IZROg</t>
  </si>
  <si>
    <t xml:space="preserve">UCmzKvkWiBTKrmCSV9uB9Mhw</t>
  </si>
  <si>
    <t xml:space="preserve">UCrGDJ7mglL6V7P3YU2ebPow</t>
  </si>
  <si>
    <t xml:space="preserve">UCK_RS_4j2DJbZiNMfHE6nZA</t>
  </si>
  <si>
    <t xml:space="preserve">UCv3inKKH6xNNoan-L2T6S9w</t>
  </si>
  <si>
    <t xml:space="preserve">UCRdmic4vOgSgb8-tASplkZA</t>
  </si>
  <si>
    <t xml:space="preserve">UCBDLC4K2ZIUzfuEYno_U6-Q</t>
  </si>
  <si>
    <t xml:space="preserve">UCHzAyAwFbp2KVwvZ_fJuH0Q</t>
  </si>
  <si>
    <t xml:space="preserve">UCNzvEv3XpFYnWEbD5Ero7mw</t>
  </si>
  <si>
    <t xml:space="preserve">UC2IdQ6liLSKNCxq9CfPjEBw</t>
  </si>
  <si>
    <t xml:space="preserve">UCtJbviLYmAxUNGUlqW0YZjA</t>
  </si>
  <si>
    <t xml:space="preserve">UC8a9CoFxHYrTjsfCvhjisCw</t>
  </si>
  <si>
    <t xml:space="preserve">UCpo_1ztBp02I4F1UAPD6Szw</t>
  </si>
  <si>
    <t xml:space="preserve">UCUkuK8uiLFL38yddsNB7Kcg</t>
  </si>
  <si>
    <t xml:space="preserve">UCQ86kqo-kULs8EU8ZqQTE1A</t>
  </si>
  <si>
    <t xml:space="preserve">UCHIn7PtrLbbQVqqqYEa5AHw</t>
  </si>
  <si>
    <t xml:space="preserve">UCX-i7kxE80whWDGaIOW1-6Q</t>
  </si>
  <si>
    <t xml:space="preserve">UCpOnZdJQxa5vyR5dNtIoNjg</t>
  </si>
  <si>
    <t xml:space="preserve">UCPgrnoC52e3gixNeyGNY0rg</t>
  </si>
  <si>
    <t xml:space="preserve">UCmqx3ukqhdbSJWJB_SdCbqA</t>
  </si>
  <si>
    <t xml:space="preserve">UC_R8qIXaTKpkAJuuiZhHTmA</t>
  </si>
  <si>
    <t xml:space="preserve">UCjI5MLiiLLc93bKU668vfSg</t>
  </si>
  <si>
    <t xml:space="preserve">UCUMccND2H_CVS0dMZKCPCXA</t>
  </si>
  <si>
    <t xml:space="preserve">UCy6El3LYdeAzdHbYs4S_1kg</t>
  </si>
  <si>
    <t xml:space="preserve">UCpZBvTbjam0yTrD4HUUWTZw</t>
  </si>
  <si>
    <t xml:space="preserve">UCTql2Ej61edWLjphCf6nbzw</t>
  </si>
  <si>
    <t xml:space="preserve">UCcFCHZrsavhGepIGTEVV-rA</t>
  </si>
  <si>
    <t xml:space="preserve">UCT8FGLq9AU1H6U3ePhegxJA</t>
  </si>
  <si>
    <t xml:space="preserve">UCLx-YFOk_NgXNG7uCXq8m5w</t>
  </si>
  <si>
    <t xml:space="preserve">UCz_mTbZs_kRciKnQ9HmYUzw</t>
  </si>
  <si>
    <t xml:space="preserve">UCSfxFZFzcpYMbOB3A1rWHAg</t>
  </si>
  <si>
    <t xml:space="preserve">UCQYMhOMi_Cdj1CEAU-fv80A</t>
  </si>
  <si>
    <t xml:space="preserve">UCs19zwOLwqklbgOUbqLsFeA</t>
  </si>
  <si>
    <t xml:space="preserve">UCaRp8LBEF0E_QsrTHQfNBbw</t>
  </si>
  <si>
    <t xml:space="preserve">UCMY7ZvLB6-DnuSis_2s37_A</t>
  </si>
  <si>
    <t xml:space="preserve">UCqdPP-1FIdmTX4u9QrT-87Q</t>
  </si>
  <si>
    <t xml:space="preserve">UC57Gu9if7-KuDWj57nvUmVQ</t>
  </si>
  <si>
    <t xml:space="preserve">UCIsSPTBMJXYL-JtVAr1DcFg</t>
  </si>
  <si>
    <t xml:space="preserve">UCx99wYM6pOi8sTGvVqzek0g</t>
  </si>
  <si>
    <t xml:space="preserve">UCrgS0Cta3myLDh10Si-JC_Q</t>
  </si>
  <si>
    <t xml:space="preserve">UCHP8Cmsd10rs62T32FOu_cQ</t>
  </si>
  <si>
    <t xml:space="preserve">UCjbF4wTpjaTVUFKTdawL6SA</t>
  </si>
  <si>
    <t xml:space="preserve">UCfmrfPbtpXJvRBQvtcsY0sw</t>
  </si>
  <si>
    <t xml:space="preserve">UCo25Gkzm13wC_-2GuWN7hXg</t>
  </si>
  <si>
    <t xml:space="preserve">UCcNWTVYrVjLnbrJQxvaR8hw</t>
  </si>
  <si>
    <t xml:space="preserve">UCoZEA7m89j595PriZN3ibEA</t>
  </si>
  <si>
    <t xml:space="preserve">UC1D1vdq169T7w5iJ45zZL5Q</t>
  </si>
  <si>
    <t xml:space="preserve">UCU0Gd4GEr9rBTIdZC6U3v6w</t>
  </si>
  <si>
    <t xml:space="preserve">UChMl63CPYUGPd1EZEgAwqBw</t>
  </si>
  <si>
    <t xml:space="preserve">UCv-Q1yM00AwDo5ZOEWYjDsQ</t>
  </si>
  <si>
    <t xml:space="preserve">UCmPGP_OjIqMzV_exgLFJMuA</t>
  </si>
  <si>
    <t xml:space="preserve">UCH5CEZ8vYsCGLfJEr8LAuRQ</t>
  </si>
  <si>
    <t xml:space="preserve">UCdQwYksctqqiRwqp3PiJMWA</t>
  </si>
  <si>
    <t xml:space="preserve">UCzaULk_UwV-P7XRMpt1Cx2A</t>
  </si>
  <si>
    <t xml:space="preserve">UCevpzMA_Tj3I-2VBRmiVRIg</t>
  </si>
  <si>
    <t xml:space="preserve">UCflcTDN0OO8EktqDKysjSHw</t>
  </si>
  <si>
    <t xml:space="preserve">UCdwscvaT7CufLY_fpiH4A1A</t>
  </si>
  <si>
    <t xml:space="preserve">UC_gtRCBGDldjiz0FB2nlKLw</t>
  </si>
  <si>
    <t xml:space="preserve">UCxqSpWaJdPF7PQfpsvIKkyg</t>
  </si>
  <si>
    <t xml:space="preserve">UC3prwMn9aU2z5Y158ZdGyyA</t>
  </si>
  <si>
    <t xml:space="preserve">UCQhWqJWgRH6jGuU7tUZaOTQ</t>
  </si>
  <si>
    <t xml:space="preserve">UC1enM2bvC1gBG6J1JlTA6Fg</t>
  </si>
  <si>
    <t xml:space="preserve">UCKurfmpbeeo32EfC8sHaMyA</t>
  </si>
  <si>
    <t xml:space="preserve">UCET05N8hKWBtnbu2pZvQorA</t>
  </si>
  <si>
    <t xml:space="preserve">UCDHQsUdSQE3p4i5vCXB7uFA</t>
  </si>
  <si>
    <t xml:space="preserve">UCV4iYJ7wTDWrRGbGZEvQsSg</t>
  </si>
  <si>
    <t xml:space="preserve">UCTM4tHYVqXeAU-Kt12mY02A</t>
  </si>
  <si>
    <t xml:space="preserve">UCJFOER35ggIWwsXh2ZDnqyg</t>
  </si>
  <si>
    <t xml:space="preserve">UC6RpJsr061UxFL8bvI9YW4A</t>
  </si>
  <si>
    <t xml:space="preserve">UCszuS_Rnu6qrynAx8RapcmA</t>
  </si>
  <si>
    <t xml:space="preserve">UCVfreboc3AkoV1PQk54lKkg</t>
  </si>
  <si>
    <t xml:space="preserve">UCZNNx4KYmCkwxCLdsHyWqQA</t>
  </si>
  <si>
    <t xml:space="preserve">UCpXTlzZAS7lVZ4M46ggMa8w</t>
  </si>
  <si>
    <t xml:space="preserve">UCrdv1W5_01tqXgoPJRWligQ</t>
  </si>
  <si>
    <t xml:space="preserve">UCxAyatrD82oc7tugEUcXctA</t>
  </si>
  <si>
    <t xml:space="preserve">UCBZJajRBYBiT3qDNiOHhr8A</t>
  </si>
  <si>
    <t xml:space="preserve">UCYwyl0lfL0UzP-1LMtcoH-w</t>
  </si>
  <si>
    <t xml:space="preserve">UCefL84ZMMEfEITneE5V_c1A</t>
  </si>
  <si>
    <t xml:space="preserve">UCAAXHT6P8enChyEwOXDevMA</t>
  </si>
  <si>
    <t xml:space="preserve">UCRv7Zeq1vh9Ly5OHZi6Fo2A</t>
  </si>
  <si>
    <t xml:space="preserve">UCBHPV302_yy5nb9BwY8vyQA</t>
  </si>
  <si>
    <t xml:space="preserve">UCSWsQrQVn56KK3U_FUd20fQ</t>
  </si>
  <si>
    <t xml:space="preserve">UCDA_H6CTW5xkIV6C0Oyisfw</t>
  </si>
  <si>
    <t xml:space="preserve">UC8LR72vOp4qVvNDeU-H0EwA</t>
  </si>
  <si>
    <t xml:space="preserve">UCkcAmZlp3bOZmivk6VWftTg</t>
  </si>
  <si>
    <t xml:space="preserve">UCaebxrfVje2g0nRQ92D8DfA</t>
  </si>
  <si>
    <t xml:space="preserve">UC4urAVbaOZmI5YSqbA_mntw</t>
  </si>
  <si>
    <t xml:space="preserve">UChY7S_wiZZ8kqRcNTN3odIw</t>
  </si>
  <si>
    <t xml:space="preserve">UC59K-uG2A5ogwIrHw4bmlEg</t>
  </si>
  <si>
    <t xml:space="preserve">UCgI26KNITusiGOFL6MLz_8Q</t>
  </si>
  <si>
    <t xml:space="preserve">UCZI9-cG-C-mAL5WkpqMh9og</t>
  </si>
  <si>
    <t xml:space="preserve">UCmOhK8vBReGgIYZT_lpISuA</t>
  </si>
  <si>
    <t xml:space="preserve">UChCRomyek8kP86j0quT5jFg</t>
  </si>
  <si>
    <t xml:space="preserve">UCXIP5FpkdEj_YDps7tYu0uw</t>
  </si>
  <si>
    <t xml:space="preserve">UCn9L7njJfMFD8DGY-RQI9-A</t>
  </si>
  <si>
    <t xml:space="preserve">UCunkkfYOmPbQ6KfkAhawoWw</t>
  </si>
  <si>
    <t xml:space="preserve">UC2FVuTEbhHNOQqTi2jQTjVQ</t>
  </si>
  <si>
    <t xml:space="preserve">UCKjFQcRLQcwfGWbFKQljouA</t>
  </si>
  <si>
    <t xml:space="preserve">UCXJGzi-yZcka6dMOC2-DYRA</t>
  </si>
  <si>
    <t xml:space="preserve">UCU0aMvYEzWRR2tV0UD8e2Og</t>
  </si>
  <si>
    <t xml:space="preserve">UCw5TLrz3qADabwezTEcOmgQ</t>
  </si>
  <si>
    <t xml:space="preserve">UC7Yq3a42Pv9lDF7w0b8XHww</t>
  </si>
  <si>
    <t xml:space="preserve">UCknBzJNaTbS5Lgwp8hKr8kw</t>
  </si>
  <si>
    <t xml:space="preserve">UCHrvS2SPouyKG2OKUqh6N_w</t>
  </si>
  <si>
    <t xml:space="preserve">UCKs25btmxCWk0P2T9nMG1Ig</t>
  </si>
  <si>
    <t xml:space="preserve">UCClnAYyfIvXVX5N__HmOk8g</t>
  </si>
  <si>
    <t xml:space="preserve">UCh7RhM7phrCTlgd9sLrUfXQ</t>
  </si>
  <si>
    <t xml:space="preserve">UCnrzbKe9scnJGcqXjI_0DrQ</t>
  </si>
  <si>
    <t xml:space="preserve">UC7kCGmSttxfLi5VOcQh6c-w</t>
  </si>
  <si>
    <t xml:space="preserve">UC2zyepdNYH48cvjCR2tr9pg</t>
  </si>
  <si>
    <t xml:space="preserve">UCk3X4m2_1S_87rn_8t5wBxg</t>
  </si>
  <si>
    <t xml:space="preserve">UCMTl80jTQwGkO335HoVf0ig</t>
  </si>
  <si>
    <t xml:space="preserve">UCNDy4lRk4FIfufXtP5PaNQQ</t>
  </si>
  <si>
    <t xml:space="preserve">UCTR1Tk8SaMO9qw930kIOMHQ</t>
  </si>
  <si>
    <t xml:space="preserve">UCCo_LMj-m3iGSSuytYq9n6Q</t>
  </si>
  <si>
    <t xml:space="preserve">UC2XTaoT74ruMKqv94I0-Jnw</t>
  </si>
  <si>
    <t xml:space="preserve">UC1mupr-2YbkxQVmcO3ve6SA</t>
  </si>
  <si>
    <t xml:space="preserve">UCpPOf9BQPwa4K11Zjxu1ZPw</t>
  </si>
  <si>
    <t xml:space="preserve">UCKLxe2kxPPHfWgzStYZTHgA</t>
  </si>
  <si>
    <t xml:space="preserve">UCQd8w-t-PaYD40H81v6EyYg</t>
  </si>
  <si>
    <t xml:space="preserve">UC4M-MDoUMzJiOkXDPOXBeKg</t>
  </si>
  <si>
    <t xml:space="preserve">UCdnPPbjGZiX7Dw56YDYVDsg</t>
  </si>
  <si>
    <t xml:space="preserve">UCMIUQxQM2LMHaMnWjpsJPZg</t>
  </si>
  <si>
    <t xml:space="preserve">UCTcm_nSNQDjBJHPuauH5DzQ</t>
  </si>
  <si>
    <t xml:space="preserve">UClAj-ix0Iv_8m84LtW7vvwQ</t>
  </si>
  <si>
    <t xml:space="preserve">UCjWs7BxyjO5SLqevxSmp4vQ</t>
  </si>
  <si>
    <t xml:space="preserve">UCb4yhtQFjjaejwsfxFSD_Qw</t>
  </si>
  <si>
    <t xml:space="preserve">UCzNq9i-DlDDBLjPerVzJW-A</t>
  </si>
  <si>
    <t xml:space="preserve">UCHsy1_kQ_7Wgv-U_0igOt8g</t>
  </si>
  <si>
    <t xml:space="preserve">UCLIbcw6a-P4WZHGVpFT1DXA</t>
  </si>
  <si>
    <t xml:space="preserve">UCNfca9F18SW788-MNsGSHiA</t>
  </si>
  <si>
    <t xml:space="preserve">UCrHDY6lrJ8NXCKxFppomr3A</t>
  </si>
  <si>
    <t xml:space="preserve">UCtmdFed2ZdL3P4csXeYkKfg</t>
  </si>
  <si>
    <t xml:space="preserve">UCEJJNLbL_jmrgdz3plyh77Q</t>
  </si>
  <si>
    <t xml:space="preserve">UCc8J8UvzwMZHnO0MX1NTmSw</t>
  </si>
  <si>
    <t xml:space="preserve">UCGRxJHvn2qIA-6D0ICkdM2w</t>
  </si>
  <si>
    <t xml:space="preserve">UCJk-aQ7NZtqYtpcqKDt_vZg</t>
  </si>
  <si>
    <t xml:space="preserve">UCzwCEE_PchiBULMnAJqhGVg</t>
  </si>
  <si>
    <t xml:space="preserve">UCHCiph1O6-4t6jTYj05kFPg</t>
  </si>
  <si>
    <t xml:space="preserve">UCpzsmNuUEmod64DGgBDPO-Q</t>
  </si>
  <si>
    <t xml:space="preserve">UC7FjKhLqAnYZcYGhjnHtU7Q</t>
  </si>
  <si>
    <t xml:space="preserve">UCxiudYA69dNRFEDgvolDbtA</t>
  </si>
  <si>
    <t xml:space="preserve">UCukpffOtrR2tiebsUFAc-fw</t>
  </si>
  <si>
    <t xml:space="preserve">UCBTuDifCuwhHppqvveOlCmQ</t>
  </si>
  <si>
    <t xml:space="preserve">UCWZtQWpe1C2AksuJ5_eCMAQ</t>
  </si>
  <si>
    <t xml:space="preserve">UCzNlkUY0tUPLZyNUX82tH3Q</t>
  </si>
  <si>
    <t xml:space="preserve">UCNPqs9Qgj4Y_S7dPNsxnv3g</t>
  </si>
  <si>
    <t xml:space="preserve">UCrWdPsIgE4GIWGiFUMHL4bQ</t>
  </si>
  <si>
    <t xml:space="preserve">UCENlCkKNknl_v8lhAiK2SbA</t>
  </si>
  <si>
    <t xml:space="preserve">UCkDw-LPU1Nnd2WRsfnDbUcA</t>
  </si>
  <si>
    <t xml:space="preserve">UCJr0sa-0eCKSpyL8RV0u-ng</t>
  </si>
  <si>
    <t xml:space="preserve">UCdHXB9IMrF4IJzi1fkZMkBA</t>
  </si>
  <si>
    <t xml:space="preserve">UCn4FgLrUYSsYErNL0YD-CrA</t>
  </si>
  <si>
    <t xml:space="preserve">UCqGjTTk1G5B7_DyhLXlLuUg</t>
  </si>
  <si>
    <t xml:space="preserve">UCw3P0coE7lUv5v0HoQfRZhw</t>
  </si>
  <si>
    <t xml:space="preserve">UCrpsOBek4n-CQEckzt8AIvQ</t>
  </si>
  <si>
    <t xml:space="preserve">UCF1cTykludnRBm0PooxRD_w</t>
  </si>
  <si>
    <t xml:space="preserve">UCikCTek-C2tfF5AmsNVg1bg</t>
  </si>
  <si>
    <t xml:space="preserve">UCBNQcmm-NA0wXU3IBZftQXw</t>
  </si>
  <si>
    <t xml:space="preserve">UC19x8yVdc96ogGHQyb4gfwg</t>
  </si>
  <si>
    <t xml:space="preserve">UCWkHlUiYLeRSIMP8yM7rxxg</t>
  </si>
  <si>
    <t xml:space="preserve">UCa0E6gnhb3X0PhBHzX99CGg</t>
  </si>
  <si>
    <t xml:space="preserve">UCiKvAgKBoeBDDY3GdhEY1Kg</t>
  </si>
  <si>
    <t xml:space="preserve">UCGtu9J8Hp5lOOdNR4_nZa2Q</t>
  </si>
  <si>
    <t xml:space="preserve">UC0PbjnvsmwW8mWaFFRQw-qw</t>
  </si>
  <si>
    <t xml:space="preserve">UCs_rKvW-srrZXmTg7IJxlfw</t>
  </si>
  <si>
    <t xml:space="preserve">UCIPqzmQYnE2HyZyLkoCJ3Iw</t>
  </si>
  <si>
    <t xml:space="preserve">UCYwj1eWKK_NSSqudHLxvvnw</t>
  </si>
  <si>
    <t xml:space="preserve">UCfNPmyLCMkTOFoHzjB_YeJg</t>
  </si>
  <si>
    <t xml:space="preserve">UC2tHVZt2H06GJgMrrkuvdzw</t>
  </si>
  <si>
    <t xml:space="preserve">UCWB-UiSrsm_QygrBTrTC1yw</t>
  </si>
  <si>
    <t xml:space="preserve">UCpITdHWi-M3rVKX4L2TP0AQ</t>
  </si>
  <si>
    <t xml:space="preserve">UCE750MuIvjaYeD5aGUjJcCQ</t>
  </si>
  <si>
    <t xml:space="preserve">UCT6wAVoLBracsaySHIJFDAA</t>
  </si>
  <si>
    <t xml:space="preserve">UCbgMWCTDVZppPwvnbipZMxg</t>
  </si>
  <si>
    <t xml:space="preserve">UCSqGsfrzK3-v9T9Zt1IPOGA</t>
  </si>
  <si>
    <t xml:space="preserve">UCt8o4BHHeFx1PRU8egj4cvQ</t>
  </si>
  <si>
    <t xml:space="preserve">UCy_kSqnA2LuTgLklfuQfpHQ</t>
  </si>
  <si>
    <t xml:space="preserve">UCaPHWiExfUWaKsUtENLCv5w</t>
  </si>
  <si>
    <t xml:space="preserve">UCj1yPp_DtNA5xQFLug5Wwvg</t>
  </si>
  <si>
    <t xml:space="preserve">UCppRkkc4NaDdHrNq7ubqPfg</t>
  </si>
  <si>
    <t xml:space="preserve">UC8Vjg2J1UvpXGyChEsyvsyg</t>
  </si>
  <si>
    <t xml:space="preserve">UCRIjrwanAvO0pbTASCOKYGg</t>
  </si>
  <si>
    <t xml:space="preserve">UC8YailtlEPoDM-3XJJeq4Hg</t>
  </si>
  <si>
    <t xml:space="preserve">UCUDf7h4hV1g6Qrvjt4NdrNw</t>
  </si>
  <si>
    <t xml:space="preserve">UCKVei70N69V3V5wBQixHZbg</t>
  </si>
  <si>
    <t xml:space="preserve">UCn8Fiasqd-6G3A6AS322mZA</t>
  </si>
  <si>
    <t xml:space="preserve">UC2a3J_HBc7J7gm8DJc7UUEQ</t>
  </si>
  <si>
    <t xml:space="preserve">UCP3mMQWa_gbcXrbUqKM_7ZQ</t>
  </si>
  <si>
    <t xml:space="preserve">UCfrRUp2ERVNICHAY17cL5Ug</t>
  </si>
  <si>
    <t xml:space="preserve">UCK931QP8TEcgTKBPxq-Fgfw</t>
  </si>
  <si>
    <t xml:space="preserve">UCdDDWwRdgJTgpD4iPtOZRUQ</t>
  </si>
  <si>
    <t xml:space="preserve">UCgaiWfiix1zaQS6Mn5SIw2g</t>
  </si>
  <si>
    <t xml:space="preserve">UCpm0dCOu5CTn0p8icxIhD0w</t>
  </si>
  <si>
    <t xml:space="preserve">UCid9cuueSsvDweLhPqDpAjA</t>
  </si>
  <si>
    <t xml:space="preserve">UCpJmCkjsJbqIBdvTRx2zt-w</t>
  </si>
  <si>
    <t xml:space="preserve">UCmVsKnz_QcSRRqnjRP_BVdQ</t>
  </si>
  <si>
    <t xml:space="preserve">UCZ-xaW1wnqubpkOLvOVKKOg</t>
  </si>
  <si>
    <t xml:space="preserve">UC2sIhf108S02F0Qlb2a88eQ</t>
  </si>
  <si>
    <t xml:space="preserve">UCqR14yApZM2ZAOTY0qrKIGw</t>
  </si>
  <si>
    <t xml:space="preserve">UC9rQuJU3Pj9UzI_NGWm4_CQ</t>
  </si>
  <si>
    <t xml:space="preserve">UCsldUyVnmkm1QbWnERBpDhw</t>
  </si>
  <si>
    <t xml:space="preserve">UCasX-wa39sqcj1oVXimdwfA</t>
  </si>
  <si>
    <t xml:space="preserve">UCIHKgBPAXjz91L6x5SbUPEQ</t>
  </si>
  <si>
    <t xml:space="preserve">UC8xM68Wx1ZHJdqtEtwGJY8Q</t>
  </si>
  <si>
    <t xml:space="preserve">UCFjaCA1B86KUYKgBQc5ERRg</t>
  </si>
  <si>
    <t xml:space="preserve">UCQS9wN4pNfQ0VNHJRPqj2OQ</t>
  </si>
  <si>
    <t xml:space="preserve">UCNBkfuBkQKFOyf7RicF66rw</t>
  </si>
  <si>
    <t xml:space="preserve">UCRukXTSIZOw-9lT6ALTP8Zw</t>
  </si>
  <si>
    <t xml:space="preserve">UCjFBTzMWzuXMySYEBGKvm8w</t>
  </si>
  <si>
    <t xml:space="preserve">UC7mEoCeFC2nOYUynbM3gPLw</t>
  </si>
  <si>
    <t xml:space="preserve">UC0XWC2_UZMkXPGn4bj0R2Uw</t>
  </si>
  <si>
    <t xml:space="preserve">UCBuwWLLa2w41WhARaHhkc_w</t>
  </si>
  <si>
    <t xml:space="preserve">UCGORsm4YXN92eMf2uu-e2dQ</t>
  </si>
  <si>
    <t xml:space="preserve">UCJvQw3Pp3d-7N-BS6TghfJA</t>
  </si>
  <si>
    <t xml:space="preserve">UCWuEpv_cHN_OlEuS3kaWLUg</t>
  </si>
  <si>
    <t xml:space="preserve">UChJaV0OldYkRIEJvZFu9zBg</t>
  </si>
  <si>
    <t xml:space="preserve">UCKPDbO0bRmuMUdEB9je5_wQ</t>
  </si>
  <si>
    <t xml:space="preserve">UCTcH-GOkexQHWKBWSfOjhPQ</t>
  </si>
  <si>
    <t xml:space="preserve">UCrIYiUnL0KDu56MsMxDg-Og</t>
  </si>
  <si>
    <t xml:space="preserve">UC640y4UvDAlya_WOj5U4pfA</t>
  </si>
  <si>
    <t xml:space="preserve">UCAgntdNnSwlxHQALZBRLzsw</t>
  </si>
  <si>
    <t xml:space="preserve">UCdp6GUwjKscp5ST4M4WgIpw</t>
  </si>
  <si>
    <t xml:space="preserve">UC18g8KP__Kh96lzwEgi1nwg</t>
  </si>
  <si>
    <t xml:space="preserve">UCX2Rv4BHidFYHdGs3kPjkGQ</t>
  </si>
  <si>
    <t xml:space="preserve">UC7imP-cJhytGgRFC0HvayVQ</t>
  </si>
  <si>
    <t xml:space="preserve">UCFnLGH9BGpJLJMMlRMr-f5Q</t>
  </si>
  <si>
    <t xml:space="preserve">UCu8KB6d7vEtOYqj7BM6SM4g</t>
  </si>
  <si>
    <t xml:space="preserve">UCEPMCywJ6FPZpQ_aPEZt5JA</t>
  </si>
  <si>
    <t xml:space="preserve">UCPF4bAZimS4T8w1TlbeIAYg</t>
  </si>
  <si>
    <t xml:space="preserve">UCgsSfjztGfl7B6RKQQAyOLg</t>
  </si>
  <si>
    <t xml:space="preserve">UCmRbHAgG2k2vDUvb3xsEunQ</t>
  </si>
  <si>
    <t xml:space="preserve">UCoK2fRbs-7XilLkXqoxKaoQ</t>
  </si>
  <si>
    <t xml:space="preserve">UCPEaAv-_U49k7j_X0wfkNQA</t>
  </si>
  <si>
    <t xml:space="preserve">UCtdyo3ozkfiyt8h2WB1xKpQ</t>
  </si>
  <si>
    <t xml:space="preserve">UCF6rcB2U6DEDZBNEJyR_wpA</t>
  </si>
  <si>
    <t xml:space="preserve">UCqW8jxh4tH1Z1sWPbkGWL4g</t>
  </si>
  <si>
    <t xml:space="preserve">UCmtmeR0LIwe8AL48opTMShg</t>
  </si>
  <si>
    <t xml:space="preserve">UCsOKxnqfawLBLTHZhP5mJnw</t>
  </si>
  <si>
    <t xml:space="preserve">UCuTEUtsywKDt_bztqSmwSYA</t>
  </si>
  <si>
    <t xml:space="preserve">UCrq712JW4cN7JF_KCc6AVXA</t>
  </si>
  <si>
    <t xml:space="preserve">UCBusXcy2hNAP_cIP0fCOf_w</t>
  </si>
  <si>
    <t xml:space="preserve">UCvuIFLYgXozUGG1MI4G96eQ</t>
  </si>
  <si>
    <t xml:space="preserve">UCR_-W-NmmNcljTXZxqom1UA</t>
  </si>
  <si>
    <t xml:space="preserve">UCDtX2nB4LzwaPQGXCL-DZsg</t>
  </si>
  <si>
    <t xml:space="preserve">UC2hz8P7rt2Z6aSOgLh5oqJA</t>
  </si>
  <si>
    <t xml:space="preserve">UCi1U7GOZHjXot486bUr_ZdQ</t>
  </si>
  <si>
    <t xml:space="preserve">UC5LiKHpnNXL0Rz-Wk9sNt6w</t>
  </si>
  <si>
    <t xml:space="preserve">UCd4tZkn_sjjP7FBohI7n6tg</t>
  </si>
  <si>
    <t xml:space="preserve">UCtAXJ4DNpshfVjLIMq9pIRw</t>
  </si>
  <si>
    <t xml:space="preserve">UCDS9hpqUEXsXUIcf0qDcBIA</t>
  </si>
  <si>
    <t xml:space="preserve">UCQNzkIbwSbuWapwOjX8R5ug</t>
  </si>
  <si>
    <t xml:space="preserve">UCrMdoqj3nhp6138sKkL2XZg</t>
  </si>
  <si>
    <t xml:space="preserve">UCAuhPbhpIDhUquHYkOPyX4w</t>
  </si>
  <si>
    <t xml:space="preserve">UCpbACmo4wA2SPDufM8p8jyg</t>
  </si>
  <si>
    <t xml:space="preserve">UCmx9zolsOpViJ8utlXZqrCg</t>
  </si>
  <si>
    <t xml:space="preserve">UCht20FQcvP8KATxdKAxJL8A</t>
  </si>
  <si>
    <t xml:space="preserve">UCpETTAs-a22ODvA4Rfy1o-A</t>
  </si>
  <si>
    <t xml:space="preserve">UCGJ2ZfIF7gPTjCRtdWqMmWA</t>
  </si>
  <si>
    <t xml:space="preserve">UCG7GwaHTUx8qQZzEr_HpS9Q</t>
  </si>
  <si>
    <t xml:space="preserve">UCk571kqv7btdawcKUlUry4w</t>
  </si>
  <si>
    <t xml:space="preserve">UCKaDVGbVkacAvSjAINnOYRw</t>
  </si>
  <si>
    <t xml:space="preserve">UCFCpMEU3jzPb60jIqQnbgCg</t>
  </si>
  <si>
    <t xml:space="preserve">UCsNi3yBwjL9KspadEnzRVdw</t>
  </si>
  <si>
    <t xml:space="preserve">UCkAbEaNF8rIDcCi8SE7lGsA</t>
  </si>
  <si>
    <t xml:space="preserve">UCxbceRz_bMK4V0ZzQs8pTHg</t>
  </si>
  <si>
    <t xml:space="preserve">UChCy9K0jbV525iS5W9poBVA</t>
  </si>
  <si>
    <t xml:space="preserve">UCjDLPLMSVrRzFAv0gXb3rpw</t>
  </si>
  <si>
    <t xml:space="preserve">UCB5tqNoROVTQ-IY-_F1U-ow</t>
  </si>
  <si>
    <t xml:space="preserve">UCSE72IaHOL-1Tv-m3JHE4Cg</t>
  </si>
  <si>
    <t xml:space="preserve">UCCAlmXL95GaAcI_VtOg8KBw</t>
  </si>
  <si>
    <t xml:space="preserve">UC2zTRxJjjNYZpdXHk_blEHg</t>
  </si>
  <si>
    <t xml:space="preserve">UCsSdGsFs8Cby3oxiMHTCNEg</t>
  </si>
  <si>
    <t xml:space="preserve">UCdlT0rI2-DJp5G6a30xeKQw</t>
  </si>
  <si>
    <t xml:space="preserve">UCmOqH-yFMQzK11FCtihf2Pw</t>
  </si>
  <si>
    <t xml:space="preserve">UCvquB-Z09BEPQmADZV6Kkcw</t>
  </si>
  <si>
    <t xml:space="preserve">UCW67BMQKvGzv5gqSdteP9Eg</t>
  </si>
  <si>
    <t xml:space="preserve">UC1PbTiHsjT-Q_9OWHBHf-ZQ</t>
  </si>
  <si>
    <t xml:space="preserve">UCue7G8mti-qJZKUj4iO4tcQ</t>
  </si>
  <si>
    <t xml:space="preserve">UCjjlMpUlK99mH88EGVuoYYA</t>
  </si>
  <si>
    <t xml:space="preserve">UCq6Is0J4GbitiJshgV9Kjvw</t>
  </si>
  <si>
    <t xml:space="preserve">UC3NB-lpT8L0s1zdjEWUjh4A</t>
  </si>
  <si>
    <t xml:space="preserve">UCaH3cLxXu9nO0uloW0L46jQ</t>
  </si>
  <si>
    <t xml:space="preserve">UCfWlBRxhChwT--HWRZH6sdQ</t>
  </si>
  <si>
    <t xml:space="preserve">UCgmZL54J7-krR_-mjx1KmcA</t>
  </si>
  <si>
    <t xml:space="preserve">UCDKjhgRoPF1CQk7HluMz23A</t>
  </si>
  <si>
    <t xml:space="preserve">UC-CBQChrXvLzYc9oxpMfFPg</t>
  </si>
  <si>
    <t xml:space="preserve">UCg2F6qfi6hLrFuDx3HOlehA</t>
  </si>
  <si>
    <t xml:space="preserve">UCdy-zjzs7Brw6LHBqF94rKA</t>
  </si>
  <si>
    <t xml:space="preserve">UC1EcxitZXIrejN_A4lH_XfA</t>
  </si>
  <si>
    <t xml:space="preserve">UC8H6icXC3vMR7lWtvDTw2Xg</t>
  </si>
  <si>
    <t xml:space="preserve">UCeogMa3MjQhHro3P-bagwFA</t>
  </si>
  <si>
    <t xml:space="preserve">UCn9KAuE6776oaw7OueM9aXQ</t>
  </si>
  <si>
    <t xml:space="preserve">UCL4F1uXnOxnkq3J4wudZCRA</t>
  </si>
  <si>
    <t xml:space="preserve">UCJSZLZoHhJpV4m6DfWkuXww</t>
  </si>
  <si>
    <t xml:space="preserve">UC7tpE1SjFlhIv7XF1OfSDdg</t>
  </si>
  <si>
    <t xml:space="preserve">UCg3JVFlpboKumTTij_HW_ig</t>
  </si>
  <si>
    <t xml:space="preserve">UCJFlIyjgeNkdLDykalIwgQA</t>
  </si>
  <si>
    <t xml:space="preserve">UCyJ7AXuq17EBaH972y56qyg</t>
  </si>
  <si>
    <t xml:space="preserve">UC_awtZFkwnfYF6EKUT-RpOQ</t>
  </si>
  <si>
    <t xml:space="preserve">UC-ssqellSXFl-BBIf57eQQA</t>
  </si>
  <si>
    <t xml:space="preserve">UC1pfsmDBnMQB8sOuQvmTvRQ</t>
  </si>
  <si>
    <t xml:space="preserve">UC4jxy4sjBoY4SzgWoC9RBig</t>
  </si>
  <si>
    <t xml:space="preserve">UCslZq6pHE_qEIUoPxoYil8w</t>
  </si>
  <si>
    <t xml:space="preserve">UCgz6ZiimocMbQdL1UGCP4QQ</t>
  </si>
  <si>
    <t xml:space="preserve">UCkHJ3glyKmJ5YSaMj-yNkvA</t>
  </si>
  <si>
    <t xml:space="preserve">UCnClr89nTBMap0Az_NGpGOg</t>
  </si>
  <si>
    <t xml:space="preserve">UCaHBZP0Cca17INa4bh-tozA</t>
  </si>
  <si>
    <t xml:space="preserve">UCRE4lsu-ZYO3Ygvy0tXEfHA</t>
  </si>
  <si>
    <t xml:space="preserve">UCzovLdIAmNukuerHLvUANuQ</t>
  </si>
  <si>
    <t xml:space="preserve">UCk081mmVz4hzff-3YVBAxow</t>
  </si>
  <si>
    <t xml:space="preserve">UCJDuO3A6oEOPDW0scUH2tFg</t>
  </si>
  <si>
    <t xml:space="preserve">UCJcCB-QYPIBcbKcBQOTwhiA</t>
  </si>
  <si>
    <t xml:space="preserve">UCrO_JGfOvvpNTjoI_0CbaBQ</t>
  </si>
  <si>
    <t xml:space="preserve">UCxxbBYUpdS10b0sqezYoRxA</t>
  </si>
  <si>
    <t xml:space="preserve">UCyw7jn1D1hfiNsIrlves3rA</t>
  </si>
  <si>
    <t xml:space="preserve">UC9MQp8a5uhaIosZPHaoqEXQ</t>
  </si>
  <si>
    <t xml:space="preserve">UCWLr6Hb6mMvYJzfW_uK3jWA</t>
  </si>
  <si>
    <t xml:space="preserve">UCgl4mMudw205_I9_jQvG5eA</t>
  </si>
  <si>
    <t xml:space="preserve">UCjZkSj-IAR1mbGiGvbh13Sg</t>
  </si>
  <si>
    <t xml:space="preserve">UCjSgzpGmWTGD9TzXhtXo4fg</t>
  </si>
  <si>
    <t xml:space="preserve">UC85MIJMcZNnhxx84BZMlJgg</t>
  </si>
  <si>
    <t xml:space="preserve">UCALyevFp0Or1gXF-QIRZvlA</t>
  </si>
  <si>
    <t xml:space="preserve">UCuyvkonk46Xddwi7Nw7U5jQ</t>
  </si>
  <si>
    <t xml:space="preserve">UCEhwXdgckebG0a5BMxQZwvA</t>
  </si>
  <si>
    <t xml:space="preserve">UC9wE1frei3hDy0rn8N_XjZA</t>
  </si>
  <si>
    <t xml:space="preserve">UCV7cZwHMX_0vk8DSYrS7GCg</t>
  </si>
  <si>
    <t xml:space="preserve">UClr23FLjjfbxBCAFYa2fNFg</t>
  </si>
  <si>
    <t xml:space="preserve">UCustbySVJGb659WDpdkeATg</t>
  </si>
  <si>
    <t xml:space="preserve">UCBU23LxWgTuyihnUlW8tPWQ</t>
  </si>
  <si>
    <t xml:space="preserve">UC68VImYQ-DfXDT-j1wog5kg</t>
  </si>
  <si>
    <t xml:space="preserve">UCMD-BIEwP91kvvfgIWl6beA</t>
  </si>
  <si>
    <t xml:space="preserve">UCIYlmHkak4eLIT7DGIAPm3Q</t>
  </si>
  <si>
    <t xml:space="preserve">UCFoZUbByD7JIJnU9zCfZ_SA</t>
  </si>
  <si>
    <t xml:space="preserve">UCpIkceSRGakqavix5m4ybYA</t>
  </si>
  <si>
    <t xml:space="preserve">UCfIXCQMFOfdY1SlmQY1tEdg</t>
  </si>
  <si>
    <t xml:space="preserve">UCFD3WOh88E3KVaNAICDGh2A</t>
  </si>
  <si>
    <t xml:space="preserve">UCfGehJXX80DeHiN0UzddIUQ</t>
  </si>
  <si>
    <t xml:space="preserve">UCQO1pnTs4kOwpIg_qOPNYEA</t>
  </si>
  <si>
    <t xml:space="preserve">UCNUvsEya-Jq_Pw1t6R47hew</t>
  </si>
  <si>
    <t xml:space="preserve">UCbzf9KCCJeRe8BMnTZwjYdQ</t>
  </si>
  <si>
    <t xml:space="preserve">UCuGFMIKzCplXiV2S8kxA_zQ</t>
  </si>
  <si>
    <t xml:space="preserve">UCSZ55Hjl_1sZZG04Puf_SrA</t>
  </si>
  <si>
    <t xml:space="preserve">UCpidp4SMQ7gCwcErISRxSLw</t>
  </si>
  <si>
    <t xml:space="preserve">UCyCTOhN9MJFrZLfKAtBi0nA</t>
  </si>
  <si>
    <t xml:space="preserve">UCf9FhkQ8SlbX29J_U75g9cA</t>
  </si>
  <si>
    <t xml:space="preserve">UCKRpf_HZfpLwxuIgyeYnsVw</t>
  </si>
  <si>
    <t xml:space="preserve">UCCb-jF9paXVMB3Wz1RabVMg</t>
  </si>
  <si>
    <t xml:space="preserve">UCHRz_NOWHvxx5yKi487W9fQ</t>
  </si>
  <si>
    <t xml:space="preserve">UCRrdtx3f8Yy4R_PDSTtPefQ</t>
  </si>
  <si>
    <t xml:space="preserve">UCtH7ywVKOcakrmxtP6L08oQ</t>
  </si>
  <si>
    <t xml:space="preserve">UCr3nbwKfaBymD0fWXU_HpgA</t>
  </si>
  <si>
    <t xml:space="preserve">UCeyQ9noz28MPloYBg-BwP3w</t>
  </si>
  <si>
    <t xml:space="preserve">UCE5wDMNEZElnuRDk6TDPOYg</t>
  </si>
  <si>
    <t xml:space="preserve">UCdFyHHJGIYgPEM7qKtdQPpw</t>
  </si>
  <si>
    <t xml:space="preserve">UChM_l0mCjnsph3LDPSN1W6A</t>
  </si>
  <si>
    <t xml:space="preserve">UCJICjo360haIBPRQZ2mtsfA</t>
  </si>
  <si>
    <t xml:space="preserve">UCGBnz-FR3qaowYsyIEh2-zw</t>
  </si>
  <si>
    <t xml:space="preserve">UC-qQac_ZLmIPV4q8zdPBGvw</t>
  </si>
  <si>
    <t xml:space="preserve">UCS84kz7Fs8bzRs6xcPY9lQQ</t>
  </si>
  <si>
    <t xml:space="preserve">UCdIoazuusB0qK-Pi7Hxfcjw</t>
  </si>
  <si>
    <t xml:space="preserve">UCCEcy-PXMu1loIkMPYW0svQ</t>
  </si>
  <si>
    <t xml:space="preserve">UCUzsP2NMaAvy9nSvb3IjVkA</t>
  </si>
  <si>
    <t xml:space="preserve">UCt59WgLNsfDeWbaZfwD7slg</t>
  </si>
  <si>
    <t xml:space="preserve">UCPBJUhllm-2q90xcF_80mgg</t>
  </si>
  <si>
    <t xml:space="preserve">UC7YHgndkMslP_xCOD2LtBXg</t>
  </si>
  <si>
    <t xml:space="preserve">UCCUvWq-2l80nPy0vrKGCW2A</t>
  </si>
  <si>
    <t xml:space="preserve">UC20JaLxJKnWpJSomw3zBSUQ</t>
  </si>
  <si>
    <t xml:space="preserve">UCQ_FATLW83q-4xJ2fsi8qAw</t>
  </si>
  <si>
    <t xml:space="preserve">UC9e6MIZSG1ExlC06_jaxePw</t>
  </si>
  <si>
    <t xml:space="preserve">UCiAH2s_M6nPfGZk-PpfyPkg</t>
  </si>
  <si>
    <t xml:space="preserve">UCYWx_8bMtbr9I4iGH3yQmAA</t>
  </si>
  <si>
    <t xml:space="preserve">UCuMeYwjo4TJ2IiTr-bFualw</t>
  </si>
  <si>
    <t xml:space="preserve">UCFCQEVjjrieMeBfY9ddHSTw</t>
  </si>
  <si>
    <t xml:space="preserve">UC1g2tyrcHzJo_KuqdEi-EYg</t>
  </si>
  <si>
    <t xml:space="preserve">UCA7RxVq2pMGYp_-Qo4S2dEw</t>
  </si>
  <si>
    <t xml:space="preserve">UC3_tkytL9B2GnivS-A-a9pw</t>
  </si>
  <si>
    <t xml:space="preserve">UCabzzT9ejLHO63Aj0i4jUmA</t>
  </si>
  <si>
    <t xml:space="preserve">UC500dYMU9OMJdJKWRqGlhog</t>
  </si>
  <si>
    <t xml:space="preserve">UCOyCmgwNVtBzbH0Ksz3VkzA</t>
  </si>
  <si>
    <t xml:space="preserve">UCmB6U6fVkEaUpOI-_5uRjZA</t>
  </si>
  <si>
    <t xml:space="preserve">UCC0bFdwsgiA-roI9M4DTKXw</t>
  </si>
  <si>
    <t xml:space="preserve">UCupHhCtFGOh0liWbIFxxH7A</t>
  </si>
  <si>
    <t xml:space="preserve">UCcWi9YwnWUsR53jV0T4ObKA</t>
  </si>
  <si>
    <t xml:space="preserve">UCthIcpK06l9bhi9ISgreocw</t>
  </si>
  <si>
    <t xml:space="preserve">UCvbw_79QDxAc0CCHwXFdUBA</t>
  </si>
  <si>
    <t xml:space="preserve">UClVIlK8QHZ2PFkXF97bA0lg</t>
  </si>
  <si>
    <t xml:space="preserve">UC6wHGjpynHruVFTN2yLQBgA</t>
  </si>
  <si>
    <t xml:space="preserve">UCOd0W4swtTCW2LSMYiG2zJw</t>
  </si>
  <si>
    <t xml:space="preserve">UCBMgVLD4TaNFiZLNB60WMgg</t>
  </si>
  <si>
    <t xml:space="preserve">UC5yjtMb9R78YwDn7aFSNBOg</t>
  </si>
  <si>
    <t xml:space="preserve">UCCKEJ5MYyOaKM1gGksrZEJw</t>
  </si>
  <si>
    <t xml:space="preserve">UCqT_wwNDVQb_yEKhSvqboAA</t>
  </si>
  <si>
    <t xml:space="preserve">UCpN0oGq5B6u2fPWpKEUPMOA</t>
  </si>
  <si>
    <t xml:space="preserve">UCFfkQtGJDhbknD2rltZUsoA</t>
  </si>
  <si>
    <t xml:space="preserve">UCh53dn_C-Ysm5PLGZdvy5mg</t>
  </si>
  <si>
    <t xml:space="preserve">UCEEnmhUr-FFq5N518Y9QiUQ</t>
  </si>
  <si>
    <t xml:space="preserve">UC9kGAFMDzda_bHkfrYcKmtQ</t>
  </si>
  <si>
    <t xml:space="preserve">UC07xESiDtRhFaKARE23Gifw</t>
  </si>
  <si>
    <t xml:space="preserve">UC7vvd0Xt7S_HnKj62WeADCQ</t>
  </si>
  <si>
    <t xml:space="preserve">UC5aKead6Q8YQYjceizxJIuw</t>
  </si>
  <si>
    <t xml:space="preserve">UC2J8dGoVpW5WxYf4Of-gbVg</t>
  </si>
  <si>
    <t xml:space="preserve">UC3LnZqJMkkLlr1yL_5Io4Vw</t>
  </si>
  <si>
    <t xml:space="preserve">UCnkJqM6PA4WE8QQouruInAw</t>
  </si>
  <si>
    <t xml:space="preserve">UC26DoOnUPOETLb2pmTbRTiA</t>
  </si>
  <si>
    <t xml:space="preserve">UCeRorwWVeUb7oHKKidVK_CA</t>
  </si>
  <si>
    <t xml:space="preserve">UCYoIdjwkGRhL8RM8Kcd6ZVg</t>
  </si>
  <si>
    <t xml:space="preserve">UCH8eQxupXVkq--mlMwNJ5hg</t>
  </si>
  <si>
    <t xml:space="preserve">UCQ5uNPIBxE76e5C3VxUIbig</t>
  </si>
  <si>
    <t xml:space="preserve">UCeAw6cAKz3Kyyt_6mHrTOOg</t>
  </si>
  <si>
    <t xml:space="preserve">UCVJU_IChPMOe8RWkdVQjtfQ</t>
  </si>
  <si>
    <t xml:space="preserve">UC4WoZ4p4sg-rG-EdMXGmgTg</t>
  </si>
  <si>
    <t xml:space="preserve">UCuHdudvM214T2iouH94kN7w</t>
  </si>
  <si>
    <t xml:space="preserve">UCtC6-ZXP1RlEHUC31nPBySg</t>
  </si>
  <si>
    <t xml:space="preserve">UCbYeYRcs4h9jAfuuOvh3dVw</t>
  </si>
  <si>
    <t xml:space="preserve">UCvYa1h7voHaHUjKpkFXlgrQ</t>
  </si>
  <si>
    <t xml:space="preserve">UCIOw9h4kE7m5jNoMRQGAOWQ</t>
  </si>
  <si>
    <t xml:space="preserve">UCA34Z3lq8FozSQzDHsSLcmQ</t>
  </si>
  <si>
    <t xml:space="preserve">UCH5-sww11RE0kHV-d5ORtjg</t>
  </si>
  <si>
    <t xml:space="preserve">UCuHheGtxHlSrumRzHW2GnuQ</t>
  </si>
  <si>
    <t xml:space="preserve">UCpWT_QfKk7BJIpn709YgsYA</t>
  </si>
  <si>
    <t xml:space="preserve">UChneGqGy_lmvfcR1v_avL6g</t>
  </si>
  <si>
    <t xml:space="preserve">UCpaPkOi9pUvulA6a2B32DNQ</t>
  </si>
  <si>
    <t xml:space="preserve">UC2knu5PFPDfLspFMzwEvxQw</t>
  </si>
  <si>
    <t xml:space="preserve">UCJihyK0A38SZ6SdJirEdIOw</t>
  </si>
  <si>
    <t xml:space="preserve">UCJCqtJDeW40nLqclIkKXS_A</t>
  </si>
  <si>
    <t xml:space="preserve">UCoiiIMZUxu0LxabtFk6PfVA</t>
  </si>
  <si>
    <t xml:space="preserve">UC0seixKXNAJj0fyMoUpK6pA</t>
  </si>
  <si>
    <t xml:space="preserve">UCD8gGp5wUcK-sIEty20ghyw</t>
  </si>
  <si>
    <t xml:space="preserve">UCh1coBqMQvaFYYqJxSuZtKQ</t>
  </si>
  <si>
    <t xml:space="preserve">UC-OuA79MtJ4L7cGhpVY9i6g</t>
  </si>
  <si>
    <t xml:space="preserve">UCl2S63RHWxyT-_GIfSYDPOg</t>
  </si>
  <si>
    <t xml:space="preserve">UCJM1Zt7njtHWv_-awBMlgrg</t>
  </si>
  <si>
    <t xml:space="preserve">UCl487GkI6cdPxpMF3ZgDKYQ</t>
  </si>
  <si>
    <t xml:space="preserve">UCEfY31ZQGeF3yu6L8N45VTw</t>
  </si>
  <si>
    <t xml:space="preserve">UCFuxLOUo41P3eEAW8U-Dwjg</t>
  </si>
  <si>
    <t xml:space="preserve">UC_huoGvQQc8tAh27gR_MdjQ</t>
  </si>
  <si>
    <t xml:space="preserve">UCp5_5-EEEVhqz09GUu6J2MQ</t>
  </si>
  <si>
    <t xml:space="preserve">UCXkOJerezdAcL6rhebQbjGg</t>
  </si>
  <si>
    <t xml:space="preserve">UCd_1I9tVvTGrsI3FG20T6Rg</t>
  </si>
  <si>
    <t xml:space="preserve">UCxi-3zNcvJzAFEClr9nrpNw</t>
  </si>
  <si>
    <t xml:space="preserve">UCMe2N3X8arRlHCEO6WreFAA</t>
  </si>
  <si>
    <t xml:space="preserve">UCHaj79bDImPPgOaV9KLCR0Q</t>
  </si>
  <si>
    <t xml:space="preserve">UC15sF31QE-7rooIlSKnTq_w</t>
  </si>
  <si>
    <t xml:space="preserve">UCafUh796DToiY2U3s7X_WTw</t>
  </si>
  <si>
    <t xml:space="preserve">UC6vkHSbK6-S6xFX-8Amhv7w</t>
  </si>
  <si>
    <t xml:space="preserve">UCgkKce6AqP1puuOfThcr8RA</t>
  </si>
  <si>
    <t xml:space="preserve">UCQmMqGRGbzOZntywXzGKhRw</t>
  </si>
  <si>
    <t xml:space="preserve">UCnaFACyDcpvlLBSLT_VWlqA</t>
  </si>
  <si>
    <t xml:space="preserve">UCBStUF8ywTtgCvkpYVvi1YQ</t>
  </si>
  <si>
    <t xml:space="preserve">UCZmQTw6gzflBuKFv0XE_8yg</t>
  </si>
  <si>
    <t xml:space="preserve">UCoiZoPZ2JdCdIwAjAtkPLEw</t>
  </si>
  <si>
    <t xml:space="preserve">UCaqDu9xbvQv8JGTcnzlsc1Q</t>
  </si>
  <si>
    <t xml:space="preserve">UCm85VJjrpywm3KarAW8vFKA</t>
  </si>
  <si>
    <t xml:space="preserve">UCNwcxhfBVDgwx9Lv3CBpu6A</t>
  </si>
  <si>
    <t xml:space="preserve">UCDPW9ja3woKjP82QOwoTNEA</t>
  </si>
  <si>
    <t xml:space="preserve">UC1LrOe8L2YYa1KBDNQ51Cyw</t>
  </si>
  <si>
    <t xml:space="preserve">UCxdIhjg5Dv3hMRCnYkz6-Ew</t>
  </si>
  <si>
    <t xml:space="preserve">UC98O4ZjYCPtHu_0br-dJx5Q</t>
  </si>
  <si>
    <t xml:space="preserve">UCaErUjJ2bJ7I7fYqrvwS3bw</t>
  </si>
  <si>
    <t xml:space="preserve">UCkdtJNQZ8NkQAM04MPaJP_A</t>
  </si>
  <si>
    <t xml:space="preserve">UCnP_AELA_kfxKjMBK3A69dQ</t>
  </si>
  <si>
    <t xml:space="preserve">UCvqxF4I1Dj-mGlbcseaedCA</t>
  </si>
  <si>
    <t xml:space="preserve">UCFZqtti2VoNdgeLklh48Liw</t>
  </si>
  <si>
    <t xml:space="preserve">UCNXY6ZO2JXvrSGOgkOf9WNA</t>
  </si>
  <si>
    <t xml:space="preserve">UCKsJiWlnbBpzbligv10dAeQ</t>
  </si>
  <si>
    <t xml:space="preserve">UCGVNC7p_MStq0GT3xl2Rlzw</t>
  </si>
  <si>
    <t xml:space="preserve">UCpF_oqDZhRaRU04Igka17LQ</t>
  </si>
  <si>
    <t xml:space="preserve">UCrWMk23uepWVEg3xs02dz7A</t>
  </si>
  <si>
    <t xml:space="preserve">UCKVqnev2idvmUNKc2b91B8g</t>
  </si>
  <si>
    <t xml:space="preserve">UCC85L1ZTp5eY-bhd7QBfmgw</t>
  </si>
  <si>
    <t xml:space="preserve">UCC0K68ua76QnjXMjOgdd9uw</t>
  </si>
  <si>
    <t xml:space="preserve">UCeEP6GESh2t4-e2132uj3Sg</t>
  </si>
  <si>
    <t xml:space="preserve">UCIWHm3sTOREKnwCSoIkE8Uw</t>
  </si>
  <si>
    <t xml:space="preserve">UCZT1WGS_kg2sg-kVpWZKEkg</t>
  </si>
  <si>
    <t xml:space="preserve">UCoYZ3nrf-xiVEi93vmn6m-Q</t>
  </si>
  <si>
    <t xml:space="preserve">UCGn6a5SI8SNlj7WylmPD6GQ</t>
  </si>
  <si>
    <t xml:space="preserve">UCLCf6lnv3QeKywt4XrpKIqA</t>
  </si>
  <si>
    <t xml:space="preserve">UC_8xN9P40pxMh_vArbmUZqA</t>
  </si>
  <si>
    <t xml:space="preserve">UCjY3cvbmEulmh-x-dzWglBQ</t>
  </si>
  <si>
    <t xml:space="preserve">UCI4bLUbNy0cftkTUJoq_pZQ</t>
  </si>
  <si>
    <t xml:space="preserve">UC89y918wv5OpEB9jkeeIyww</t>
  </si>
  <si>
    <t xml:space="preserve">UCIuVvJuG4buMQW2RBV8RGWA</t>
  </si>
  <si>
    <t xml:space="preserve">UC2lFeDqQqnewQ9_szUlsZGA</t>
  </si>
  <si>
    <t xml:space="preserve">UCZn3GJRxcgrPuHlxSbK00dA</t>
  </si>
  <si>
    <t xml:space="preserve">UCQP034vzXl_T_UXNo8uGQyA</t>
  </si>
  <si>
    <t xml:space="preserve">UCXCFBK5R06At6Wb8ZWKDEsA</t>
  </si>
  <si>
    <t xml:space="preserve">UCzdMY6Qsv9CrsNCPgtZlrIw</t>
  </si>
  <si>
    <t xml:space="preserve">UCMmDgh65drlzUej14EnU2Og</t>
  </si>
  <si>
    <t xml:space="preserve">UCIQqTkKEgbsXxEA5agNEleg</t>
  </si>
  <si>
    <t xml:space="preserve">UCQLEbraENUGWh6p1Rv664rQ</t>
  </si>
  <si>
    <t xml:space="preserve">UCFD9HtRLvPEj-OXRFoE8KBw</t>
  </si>
  <si>
    <t xml:space="preserve">UCI2ByG57kHLeVbWgw1PgkmQ</t>
  </si>
  <si>
    <t xml:space="preserve">UC-wtuClXWmMOsfBxPMvh0Pg</t>
  </si>
  <si>
    <t xml:space="preserve">UCIbgP_Aw3uEAtQbxbAveCdw</t>
  </si>
  <si>
    <t xml:space="preserve">UCTNd2XcF66ABsELcKdxBOww</t>
  </si>
  <si>
    <t xml:space="preserve">UCNltw8OfFvvavhtVFa11UVg</t>
  </si>
  <si>
    <t xml:space="preserve">UCFYsCb3ASf0A3LWV6K6TNIQ</t>
  </si>
  <si>
    <t xml:space="preserve">UClLoFXRRmcwWo8r9MdITJug</t>
  </si>
  <si>
    <t xml:space="preserve">UCNTsHRD2iGHVc3l-IFD7tiw</t>
  </si>
  <si>
    <t xml:space="preserve">UCKFnBiPHyBRYJanS1d_w26w</t>
  </si>
  <si>
    <t xml:space="preserve">UCEy1zKkK9-ujYEkaSlTo1qg</t>
  </si>
  <si>
    <t xml:space="preserve">UC4YMWf9FVZSm_q_HwzbR_HA</t>
  </si>
  <si>
    <t xml:space="preserve">UCjaE8lhHeprFn9v23eGsNxQ</t>
  </si>
  <si>
    <t xml:space="preserve">UCkaPZziKEd4TpOehs5WHjnQ</t>
  </si>
  <si>
    <t xml:space="preserve">UCdbeep4P2J9JErLw5cG0GJA</t>
  </si>
  <si>
    <t xml:space="preserve">UCF7BExjT2zH_mmyqOB139Dg</t>
  </si>
  <si>
    <t xml:space="preserve">UCQRSY8W2A1DST5qtm8NNhMA</t>
  </si>
  <si>
    <t xml:space="preserve">UCh4f3NyOzqGwZfwTSX78QfQ</t>
  </si>
  <si>
    <t xml:space="preserve">UC7lmZqhJeTzeQQkqNvfmjqw</t>
  </si>
  <si>
    <t xml:space="preserve">UCPPCNdbOEKmN91ycyHs83Qg</t>
  </si>
  <si>
    <t xml:space="preserve">UCs05shi5_p2HWwa3OP6IVAA</t>
  </si>
  <si>
    <t xml:space="preserve">UCz7vNR5jqM_fbIy6ZP9bxzQ</t>
  </si>
  <si>
    <t xml:space="preserve">UCSHW4sIysWm_Q69t7RE-slQ</t>
  </si>
  <si>
    <t xml:space="preserve">UC55os7K-eMLTJy_aXzm5sHw</t>
  </si>
  <si>
    <t xml:space="preserve">UCPLCQxD153t7OdWDwAslgGg</t>
  </si>
  <si>
    <t xml:space="preserve">UC9sjYwPLqMQEv6z9x_29ZuQ</t>
  </si>
  <si>
    <t xml:space="preserve">UCVs-e0n5WrVdqavGYvBM1jg</t>
  </si>
  <si>
    <t xml:space="preserve">UC-3odB6AEj5NMfDt9ZpyQWA</t>
  </si>
  <si>
    <t xml:space="preserve">UCHtjnjZ3pfF0Xn488OM3Zpw</t>
  </si>
  <si>
    <t xml:space="preserve">UC31G-VG7S5XNevmQ2nVuexA</t>
  </si>
  <si>
    <t xml:space="preserve">UC-3Y88_wY3z1ouW3jkLGYwQ</t>
  </si>
  <si>
    <t xml:space="preserve">UCl-i7PenX65VBPKLMP6hGfQ</t>
  </si>
  <si>
    <t xml:space="preserve">UChWqU4PXRLrL4SlOwgRNa9w</t>
  </si>
  <si>
    <t xml:space="preserve">UCm96d4-ZUg2kwDV-JB93Hmw</t>
  </si>
  <si>
    <t xml:space="preserve">UCIg23CjCGZYgadRErEFivfQ</t>
  </si>
  <si>
    <t xml:space="preserve">UCFvEr-H-2biF-AkjXwhYhwQ</t>
  </si>
  <si>
    <t xml:space="preserve">UCnesycLRLcF0wVQKiwdyfgA</t>
  </si>
  <si>
    <t xml:space="preserve">UCZN9OiAMJFjZDReyJzTjkqA</t>
  </si>
  <si>
    <t xml:space="preserve">UCVkFgDCxH96jV5Gg9UYwYyQ</t>
  </si>
  <si>
    <t xml:space="preserve">UCU1GDiVN1bCa-gVy9jJPqLA</t>
  </si>
  <si>
    <t xml:space="preserve">UCAPgSXlrgrmnXwzMssfL2Iw</t>
  </si>
  <si>
    <t xml:space="preserve">UCTbBOKMYZlzBwXEHJnE5djw</t>
  </si>
  <si>
    <t xml:space="preserve">UCQfBN7Ut5TiZJAhMo_Rgfyw</t>
  </si>
  <si>
    <t xml:space="preserve">UCHAo93NE2f38p_QFFhsZlHQ</t>
  </si>
  <si>
    <t xml:space="preserve">UC7_9xLxwIipM3PK0TLWHxow</t>
  </si>
  <si>
    <t xml:space="preserve">UCYkw3p_XExHBSVEVjRWIvRQ</t>
  </si>
  <si>
    <t xml:space="preserve">UC8wwXAm77RNzVN-cJOy8t8g</t>
  </si>
  <si>
    <t xml:space="preserve">UCmhsdFkwzl48BhL7020COOQ</t>
  </si>
  <si>
    <t xml:space="preserve">UCA2utdbkuY6PfX0Exi2Y16w</t>
  </si>
  <si>
    <t xml:space="preserve">UCuXAEFdrQPCNkXQYBRD-CUA</t>
  </si>
  <si>
    <t xml:space="preserve">UCfPUSRpnCWPgWv3CEIoYf4A</t>
  </si>
  <si>
    <t xml:space="preserve">UCKPNC2CC2qs2sBdWjQJP4yQ</t>
  </si>
  <si>
    <t xml:space="preserve">UCsVrbytaBx7Z9URw6EvcK_A</t>
  </si>
  <si>
    <t xml:space="preserve">UCyCERrOvbUWz5n1ImxDBeWg</t>
  </si>
  <si>
    <t xml:space="preserve">UChlJwnjbYAICR2mBEx5MNpA</t>
  </si>
  <si>
    <t xml:space="preserve">UCkI-SYGC8fxPNcp6FsX4SRQ</t>
  </si>
  <si>
    <t xml:space="preserve">UCVCphtOBXKh6Pqb-nNqvArg</t>
  </si>
  <si>
    <t xml:space="preserve">UCW_obsMKF09JEnmKpheAKRA</t>
  </si>
  <si>
    <t xml:space="preserve">UCFpcM0UbH9_YL11WyIrib6g</t>
  </si>
  <si>
    <t xml:space="preserve">UCfp_KL9fMARFv7STuZswogA</t>
  </si>
  <si>
    <t xml:space="preserve">UCbT_7qRIrw8TMH8ovjTYBJQ</t>
  </si>
  <si>
    <t xml:space="preserve">UC8lVvurdhqV2-cTizQjh4wQ</t>
  </si>
  <si>
    <t xml:space="preserve">UCyl-pL0QtNOef-2dKDFJi0A</t>
  </si>
  <si>
    <t xml:space="preserve">UCtlKtzqGvKAXDRSxzweic-w</t>
  </si>
  <si>
    <t xml:space="preserve">UC5nzlP-dHFt5UyOg78A0wrA</t>
  </si>
  <si>
    <t xml:space="preserve">UC5iCbFCXVXNE7XkZjvWhDng</t>
  </si>
  <si>
    <t xml:space="preserve">UCdaOQD569stbML_plw5QpgA</t>
  </si>
  <si>
    <t xml:space="preserve">UCQr2SA6sImMVi-dgamTlwpg</t>
  </si>
  <si>
    <t xml:space="preserve">UCuDt8PzVMk2My6qcDHfNZ-Q</t>
  </si>
  <si>
    <t xml:space="preserve">UCSWSOS6YXUbNMzTH-tV7Pfw</t>
  </si>
  <si>
    <t xml:space="preserve">UCPiuJvuyMVFSwcIdBCTpTyQ</t>
  </si>
  <si>
    <t xml:space="preserve">UCwoA8FEYnk3UH7EiTKCG7vQ</t>
  </si>
  <si>
    <t xml:space="preserve">UCrzEsyb1zrGrwvvgQOXR-rA</t>
  </si>
  <si>
    <t xml:space="preserve">UCPN9q7_IXl9zZhgvrpqjeyg</t>
  </si>
  <si>
    <t xml:space="preserve">UCiP8Orqi5imUpOp_oOM-Hcw</t>
  </si>
  <si>
    <t xml:space="preserve">UCnwpEDub-SVH_2TwtkkLZIw</t>
  </si>
  <si>
    <t xml:space="preserve">UCFx1nseXKTc1Culiu3neeSQ</t>
  </si>
  <si>
    <t xml:space="preserve">UCnlQvBuN9vCkuVDH9OGpxmA</t>
  </si>
  <si>
    <t xml:space="preserve">UCSHLoG-bXj1aVA2T5y8t84A</t>
  </si>
  <si>
    <t xml:space="preserve">UCeCsvjRYbSEmuD5YsYf35CQ</t>
  </si>
  <si>
    <t xml:space="preserve">UC0OaR0sOjOgeGFCyT05nT4w</t>
  </si>
  <si>
    <t xml:space="preserve">UCYhE3LuAdW98CdwoemBsrdA</t>
  </si>
  <si>
    <t xml:space="preserve">UClxK2KSgljo5IIcatu5gI_g</t>
  </si>
  <si>
    <t xml:space="preserve">UCtnKfLVKJQ3JAB1Uf0juUtA</t>
  </si>
  <si>
    <t xml:space="preserve">UCYGetghDGpsicR9U0P_lwgg</t>
  </si>
  <si>
    <t xml:space="preserve">UC3E3qCq5iJ-ZapKfyoLS3Xw</t>
  </si>
  <si>
    <t xml:space="preserve">UC2bgPCeViczOgAoPJLr_iug</t>
  </si>
  <si>
    <t xml:space="preserve">UCujuVKmt_utAQZJghxlRMIQ</t>
  </si>
  <si>
    <t xml:space="preserve">UCUgP5pdToi19fWe19NVliFg</t>
  </si>
  <si>
    <t xml:space="preserve">UC8NHl401h85KToXIf5VFqrQ</t>
  </si>
  <si>
    <t xml:space="preserve">UCbpoYJR5330eSN4ljwVp1gw</t>
  </si>
  <si>
    <t xml:space="preserve">UCTyg-vQ70A1m0lB1cLbu38Q</t>
  </si>
  <si>
    <t xml:space="preserve">UCbsA_ePgK2dznl40AaICyyQ</t>
  </si>
  <si>
    <t xml:space="preserve">UCMBS3CdOwk18JNqswsyWnmA</t>
  </si>
  <si>
    <t xml:space="preserve">UCbHfb-XEH3YVyOnYVx-XYSw</t>
  </si>
  <si>
    <t xml:space="preserve">UCgQkkFRDMT4iZfEmC66R6fA</t>
  </si>
  <si>
    <t xml:space="preserve">UCKTMj2k2ptmSDU-CEyTTDsw</t>
  </si>
  <si>
    <t xml:space="preserve">UC76CNzctOjXo41ibz-OHOMA</t>
  </si>
  <si>
    <t xml:space="preserve">UCX0En3REvnSsxOJdLtDNF9Q</t>
  </si>
  <si>
    <t xml:space="preserve">UCgB-kFGuhsOkf6mLp6LqYnA</t>
  </si>
  <si>
    <t xml:space="preserve">UCs_IUhCsm1aG05vf6VWXn7g</t>
  </si>
  <si>
    <t xml:space="preserve">UCvolFaoDZOt3dFlx6fYFLCA</t>
  </si>
  <si>
    <t xml:space="preserve">UC6HDXr-sNPnWLF_Q-y3KduA</t>
  </si>
  <si>
    <t xml:space="preserve">UCus99Lw2hx6HKnb2BZFsTgA</t>
  </si>
  <si>
    <t xml:space="preserve">UCJSuvL_dMcLSI4-bLodNm8A</t>
  </si>
  <si>
    <t xml:space="preserve">UCw4wosjC-DKq95xI5klz92w</t>
  </si>
  <si>
    <t xml:space="preserve">UCpWnVA9ZxSXj8So2yZt6__w</t>
  </si>
  <si>
    <t xml:space="preserve">UCILyq7gn6_ISHshQ4BJyIWg</t>
  </si>
  <si>
    <t xml:space="preserve">UCKKbN3uaSWKIDN8bsa71slQ</t>
  </si>
  <si>
    <t xml:space="preserve">UCV65Q-uA85vjt19tFWKR_AQ</t>
  </si>
  <si>
    <t xml:space="preserve">UCcQdkhOIpX0YBvcN0ebcTgw</t>
  </si>
  <si>
    <t xml:space="preserve">UCNBEfg_PfpSjk8DqiafJJhg</t>
  </si>
  <si>
    <t xml:space="preserve">UCufsqbhCy16gUWnfG2gjZsg</t>
  </si>
  <si>
    <t xml:space="preserve">UC_Slh-aWOWKJyuHvqNeyMrA</t>
  </si>
  <si>
    <t xml:space="preserve">UCQWW7TdR4G8o3vXrUMzOGEg</t>
  </si>
  <si>
    <t xml:space="preserve">UCuHW2abZ-K0SKGhXfkyOY6w</t>
  </si>
  <si>
    <t xml:space="preserve">UCViLvZvgdut2iJiKU33NQrQ</t>
  </si>
  <si>
    <t xml:space="preserve">UCyWkvMV3Iqh3LHS65xL0SpA</t>
  </si>
  <si>
    <t xml:space="preserve">UCwSbwD0vMDNMsGiR22hVZQw</t>
  </si>
  <si>
    <t xml:space="preserve">UCu34hk4YVt8feXHhcbS9VFA</t>
  </si>
  <si>
    <t xml:space="preserve">UCPXJHAviH63__La2HtvyCHg</t>
  </si>
  <si>
    <t xml:space="preserve">UC_pD7qQQqDpYU4Vz6Wv9YCQ</t>
  </si>
  <si>
    <t xml:space="preserve">UCsPEbQedjaU0f6Hf-VFdIFg</t>
  </si>
  <si>
    <t xml:space="preserve">UCyl73tS3I6Hzhu8uNVzMfWg</t>
  </si>
  <si>
    <t xml:space="preserve">UCLdIeONKuwW2iBwIe0Obagg</t>
  </si>
  <si>
    <t xml:space="preserve">UCUth4kd_lkAltr7VusgNdSw</t>
  </si>
  <si>
    <t xml:space="preserve">UCpjMlxHaEySFziMDiXNysLw</t>
  </si>
  <si>
    <t xml:space="preserve">UCdiHpeH9fr4DMK_3wbUZapA</t>
  </si>
  <si>
    <t xml:space="preserve">UCfk6bln_Pp8dYgDk1f5FWCQ</t>
  </si>
  <si>
    <t xml:space="preserve">UCDLEyi7ibFBh9TPvwEHI5Kg</t>
  </si>
  <si>
    <t xml:space="preserve">UCZlvVpwJHRdCRwtKktfhmXA</t>
  </si>
  <si>
    <t xml:space="preserve">UCi3o8sgPl4-Yt501ShuiEgA</t>
  </si>
  <si>
    <t xml:space="preserve">UC64YBTd2J6_747v1p3sSNTQ</t>
  </si>
  <si>
    <t xml:space="preserve">UCgUeJ2Gv7rJtMBkQF2Ppn4A</t>
  </si>
  <si>
    <t xml:space="preserve">UCh80eM_UXbEgCs0Vj5pxpEw</t>
  </si>
  <si>
    <t xml:space="preserve">UC4rZpoEdeFLF4x9walsyoSw</t>
  </si>
  <si>
    <t xml:space="preserve">UClHZMbmZTb3-89bAgEsbwPg</t>
  </si>
  <si>
    <t xml:space="preserve">UC6qgzBYbikNsuPjHxUQGtrQ</t>
  </si>
  <si>
    <t xml:space="preserve">UCLOBTg36LzqEupoLMVkKk9Q</t>
  </si>
  <si>
    <t xml:space="preserve">UC027uEect8BXPFQEgQHYZiQ</t>
  </si>
  <si>
    <t xml:space="preserve">UCS5sraHT7xGOX_KLAt1NyGg</t>
  </si>
  <si>
    <t xml:space="preserve">UC9U6DeDEovGiv1F2xg-8B1g</t>
  </si>
  <si>
    <t xml:space="preserve">UCtmn-DsF4BhPug-ff9LiDAA</t>
  </si>
  <si>
    <t xml:space="preserve">UCVsBcu2AlNQhS7m-Uj0ySEQ</t>
  </si>
  <si>
    <t xml:space="preserve">UCK5hucpOj9nnSuBqRNQeEcw</t>
  </si>
  <si>
    <t xml:space="preserve">UCeLYjpeK7EHYhhe5gO-dFZQ</t>
  </si>
  <si>
    <t xml:space="preserve">UCgBgmpLPPGbDkReJPUw7lIQ</t>
  </si>
  <si>
    <t xml:space="preserve">UC83BCCB7ZCcO6e3TeKN912w</t>
  </si>
  <si>
    <t xml:space="preserve">UCzBWZUCCFVS439sGerpCF8g</t>
  </si>
  <si>
    <t xml:space="preserve">UC_v1sVdziPZqL9_I8zT0_5A</t>
  </si>
  <si>
    <t xml:space="preserve">UCtHCRF5bNn_ImDkn4w47L4Q</t>
  </si>
  <si>
    <t xml:space="preserve">UCyo4ROy9-8ymQTBWcPA5Fjg</t>
  </si>
  <si>
    <t xml:space="preserve">UCMD4aGl7ffTzjZfc2QnsA7w</t>
  </si>
  <si>
    <t xml:space="preserve">UCnRAMJhTu7s77QjkJcYpAcQ</t>
  </si>
  <si>
    <t xml:space="preserve">UC9SE2WdT5yKWKbtAXkpRx0Q</t>
  </si>
  <si>
    <t xml:space="preserve">UCT8M_hDfTRjUbs8hwahZyBA</t>
  </si>
  <si>
    <t xml:space="preserve">UCkE6ZzUxUY_XMP688ib-RWA</t>
  </si>
  <si>
    <t xml:space="preserve">UCcep2qK6JmtCmIhgpnrEDJQ</t>
  </si>
  <si>
    <t xml:space="preserve">UChNXFGoCEkSR6n0X_gWt_sw</t>
  </si>
  <si>
    <t xml:space="preserve">UCPRr_0W5Jf19-XHtsD-VhFQ</t>
  </si>
  <si>
    <t xml:space="preserve">UCFPOpd1Y4RMfFKwS9eHs1yQ</t>
  </si>
  <si>
    <t xml:space="preserve">UC5vUwPEi25xzYDTNg8A8CTg</t>
  </si>
  <si>
    <t xml:space="preserve">UCa3BOzgvU-G07jEC0HBpXXA</t>
  </si>
  <si>
    <t xml:space="preserve">UCR7u1vb3dfzuuegAo0vW6Qw</t>
  </si>
  <si>
    <t xml:space="preserve">UCA9ppAYnIcGcc6Fru9DfIYg</t>
  </si>
  <si>
    <t xml:space="preserve">UCYgXdQQZBmRwsTv4mTX5kng</t>
  </si>
  <si>
    <t xml:space="preserve">UCOU-CW3JPg_mHbggOdWLM7g</t>
  </si>
  <si>
    <t xml:space="preserve">UCnYiTCfI0KIKRv6nxj99Ehg</t>
  </si>
  <si>
    <t xml:space="preserve">UCiz4Ogbrc6m-eboj69pstEQ</t>
  </si>
  <si>
    <t xml:space="preserve">UCF7GcaNVz6q2Ctq-BlSoomg</t>
  </si>
  <si>
    <t xml:space="preserve">UCf9FpFCcTiU-d67vE6xGxng</t>
  </si>
  <si>
    <t xml:space="preserve">UCE_btxAOsEVKw9LwNZPtDxg</t>
  </si>
  <si>
    <t xml:space="preserve">UCc-BG8L5o7yqQjM81yHePnA</t>
  </si>
  <si>
    <t xml:space="preserve">UCWSyWK6oS5VL3RrJZuWsdSA</t>
  </si>
  <si>
    <t xml:space="preserve">UCl2cOcj5oPC-DLTVSyBFpqQ</t>
  </si>
  <si>
    <t xml:space="preserve">UCmleNLojV75FdE-ODVBHWIg</t>
  </si>
  <si>
    <t xml:space="preserve">UCQzRlZ453tutrAPo7X5iPNQ</t>
  </si>
  <si>
    <t xml:space="preserve">UCylv8thIshAe__96NbnU-TQ</t>
  </si>
  <si>
    <t xml:space="preserve">UClYJyd0Ueqw-7TeQ66xkwiQ</t>
  </si>
  <si>
    <t xml:space="preserve">UCDjrDp76VeIzmQckJSmQJQg</t>
  </si>
  <si>
    <t xml:space="preserve">UCI1vyXBgX3bruwvChLMNxjQ</t>
  </si>
  <si>
    <t xml:space="preserve">UCPSb5hoJuGd_M421vocSM2A</t>
  </si>
  <si>
    <t xml:space="preserve">UC-axD-N6aIwswrQ1ee4zlXg</t>
  </si>
  <si>
    <t xml:space="preserve">UCrpP1PNFmt_Z5fj3n2v4GqA</t>
  </si>
  <si>
    <t xml:space="preserve">UC1auTnAMPvp0436QVHN8dtw</t>
  </si>
  <si>
    <t xml:space="preserve">UC161qTaOacLdubz9aBlqqFQ</t>
  </si>
  <si>
    <t xml:space="preserve">UC0YGxZ9dd1F3PbHXbhOSqrw</t>
  </si>
  <si>
    <t xml:space="preserve">UCa3CkaGSH2dokCXTM7AcgzA</t>
  </si>
  <si>
    <t xml:space="preserve">UCeQ7hsZV1PxX51s78Iciz5A</t>
  </si>
  <si>
    <t xml:space="preserve">UCONMJJCtDHokfPGhVdWF47w</t>
  </si>
  <si>
    <t xml:space="preserve">UCAXz41pFbZsjfa0OfJsCtpw</t>
  </si>
  <si>
    <t xml:space="preserve">UCK9gIsYeYdhDtuH52AyRqEA</t>
  </si>
  <si>
    <t xml:space="preserve">UCT6uolGYpJ5NX_VlsaUdecA</t>
  </si>
  <si>
    <t xml:space="preserve">UCM-yUTYGmrNvKOCcAl21g3w</t>
  </si>
  <si>
    <t xml:space="preserve">UC_rWBdjwieoenEexvPdh8hg</t>
  </si>
  <si>
    <t xml:space="preserve">UCMSOMKw_HCNla89Xr3JV4Bw</t>
  </si>
  <si>
    <t xml:space="preserve">UCohrDoDu6W9LEuHNdR56Eow</t>
  </si>
  <si>
    <t xml:space="preserve">UCEZrGzfVHP7AhNWa_NKra8g</t>
  </si>
  <si>
    <t xml:space="preserve">UCZ_wFH6RSzZQiosaz_8RYpQ</t>
  </si>
  <si>
    <t xml:space="preserve">UCd_SyDWOzXQd53C6efvFycw</t>
  </si>
  <si>
    <t xml:space="preserve">UCv6JhmcvEtUN8EYKJSrbo7w</t>
  </si>
  <si>
    <t xml:space="preserve">UCvET-nXNxRrHfmHXLpQShkg</t>
  </si>
  <si>
    <t xml:space="preserve">UClSEi3DsdBqUv4Uyig2a4DQ</t>
  </si>
  <si>
    <t xml:space="preserve">UC4E5PXEmZBOe_07FeaOKmLQ</t>
  </si>
  <si>
    <t xml:space="preserve">UCDPylDfcfzV_KqekSDRZ9Zg</t>
  </si>
  <si>
    <t xml:space="preserve">UC4nzNav2olFAo-owPuXP6Ug</t>
  </si>
  <si>
    <t xml:space="preserve">UCck8RejS9Ug2fbTYcGVBwjA</t>
  </si>
  <si>
    <t xml:space="preserve">UCEXLFH7dfGtvgywn3dAvbEw</t>
  </si>
  <si>
    <t xml:space="preserve">UCjvxilBCit7JRLjvwcEyQvA</t>
  </si>
  <si>
    <t xml:space="preserve">UChY1Ka96BEsppjLNvLJJDcg</t>
  </si>
  <si>
    <t xml:space="preserve">UCn92f-TZ24id4GHLGdAG1Mw</t>
  </si>
  <si>
    <t xml:space="preserve">UCPs8w9f1gqe4BqkbI-9wTnw</t>
  </si>
  <si>
    <t xml:space="preserve">UCuIwjRkJCk01pcokQqyFO3w</t>
  </si>
  <si>
    <t xml:space="preserve">UCmw4wZ3FRso2TsS36FQ6heA</t>
  </si>
  <si>
    <t xml:space="preserve">UCit65DR7Yo8QqOIFJky-hYw</t>
  </si>
  <si>
    <t xml:space="preserve">UCkVr3e4pFd6Ov7v30sXHspQ</t>
  </si>
  <si>
    <t xml:space="preserve">UCkTXMfsPsnOCg7D9lR_PLxw</t>
  </si>
  <si>
    <t xml:space="preserve">UCjcqzy7MSaN2KPnzOKIcpEQ</t>
  </si>
  <si>
    <t xml:space="preserve">UCOLz2DsouHVUOSPmJ5dIQuw</t>
  </si>
  <si>
    <t xml:space="preserve">UCedQiYQgfD_HTETIiZp1lWQ</t>
  </si>
  <si>
    <t xml:space="preserve">UC3SqdQlsHd6gBUuoqL-BWWg</t>
  </si>
  <si>
    <t xml:space="preserve">UCtbo6_eDG7zEtaOtcSltJkA</t>
  </si>
  <si>
    <t xml:space="preserve">UCmRlLc4sxEf65HiJU7Wrw9Q</t>
  </si>
  <si>
    <t xml:space="preserve">UCgpxG_LuwLR_XY98cgbDytg</t>
  </si>
  <si>
    <t xml:space="preserve">UC3DJMAyqmXFQCQFq_mfLT2Q</t>
  </si>
  <si>
    <t xml:space="preserve">UCy2BgS8CihlYbSCmlA9hPYA</t>
  </si>
  <si>
    <t xml:space="preserve">UCcOBk2-PfulQhylDT3UvtjQ</t>
  </si>
  <si>
    <t xml:space="preserve">UC90F0i80IZEHqm6PCAHk1BQ</t>
  </si>
  <si>
    <t xml:space="preserve">UCwG-o5rIREm7GV9RRYOeaSA</t>
  </si>
  <si>
    <t xml:space="preserve">UCkWemhsJBxUKa1lXpSfDs0Q</t>
  </si>
  <si>
    <t xml:space="preserve">UC4fZf9roD6EWeU_QPS3PpLg</t>
  </si>
  <si>
    <t xml:space="preserve">UCqhgi4gWXgt66HGTih1u_6g</t>
  </si>
  <si>
    <t xml:space="preserve">UCJRQS48aF9UTBwLIAidT2uQ</t>
  </si>
  <si>
    <t xml:space="preserve">UCPdqu95putR2yNXLP2FhXXg</t>
  </si>
  <si>
    <t xml:space="preserve">UCM-YvSpM1kvy6X4aokgAf2w</t>
  </si>
  <si>
    <t xml:space="preserve">UCnzTvgqX77zZBJ5mji5bi7w</t>
  </si>
  <si>
    <t xml:space="preserve">UCK-rKsX0qKgVWuaOdj4050Q</t>
  </si>
  <si>
    <t xml:space="preserve">UC8Dj-LDol8r7zGnhn0onF0A</t>
  </si>
  <si>
    <t xml:space="preserve">UCiTCB-B_weEmwHk7ifNobQw</t>
  </si>
  <si>
    <t xml:space="preserve">UCmse5JbKneJqVyerfhDVYvQ</t>
  </si>
  <si>
    <t xml:space="preserve">UCNc5QKnJ8vyGhed6tC2h1DA</t>
  </si>
  <si>
    <t xml:space="preserve">UCUw8vQF-X7CJqdVpxBYcavQ</t>
  </si>
  <si>
    <t xml:space="preserve">UCMiyZr9iwhZH58V7OXd33NQ</t>
  </si>
  <si>
    <t xml:space="preserve">UCqO9z9HXfC4Svk7Xzofv9MQ</t>
  </si>
  <si>
    <t xml:space="preserve">UCtqJlnJApltJBgfkq8j_KuA</t>
  </si>
  <si>
    <t xml:space="preserve">UCWWg5HFC5z8pIGLZal8Jgpg</t>
  </si>
  <si>
    <t xml:space="preserve">UCWIECme8x_FO-yUbQ9cZChg</t>
  </si>
  <si>
    <t xml:space="preserve">UC1n9asjArhhGERn6FxSPAGA</t>
  </si>
  <si>
    <t xml:space="preserve">UCWVm4pQ8z6FjWZBvMzzVPTQ</t>
  </si>
  <si>
    <t xml:space="preserve">UChDX4wagpTQS0aTm4eyhJaw</t>
  </si>
  <si>
    <t xml:space="preserve">UCK2_PiPOB0VEZfbbaHj-z5w</t>
  </si>
  <si>
    <t xml:space="preserve">UCvbJKkmSauhJz0FRFd6nuOQ</t>
  </si>
  <si>
    <t xml:space="preserve">UC8mlgT6I0aSexwFPsOgMG_g</t>
  </si>
  <si>
    <t xml:space="preserve">UCmQCEVKEYpKxG8NwXnfIbCw</t>
  </si>
  <si>
    <t xml:space="preserve">UCOX_JZd-ZAUuKLsGsT7V3oA</t>
  </si>
  <si>
    <t xml:space="preserve">UCTiD4Pot0vTdXBAGrzacIgQ</t>
  </si>
  <si>
    <t xml:space="preserve">UCaZH4IkrUrqM6N3D1clta2Q</t>
  </si>
  <si>
    <t xml:space="preserve">UC8goTCX5OhRg4zMt4TP-Y1w</t>
  </si>
  <si>
    <t xml:space="preserve">UCm8EZfto3AdXqklkb2k550w</t>
  </si>
  <si>
    <t xml:space="preserve">UCJCzid90Phh2DkwJqy3BO9Q</t>
  </si>
  <si>
    <t xml:space="preserve">UCSfX2TUPfxMpE2D2K1-ZZlw</t>
  </si>
  <si>
    <t xml:space="preserve">UC8zCnnfhz-dvIpVdZ1CheuA</t>
  </si>
  <si>
    <t xml:space="preserve">UCIDzHZewO-veMFzEYRA9XoA</t>
  </si>
  <si>
    <t xml:space="preserve">UCR_DANBU9pW-0g5WqY8JYmQ</t>
  </si>
  <si>
    <t xml:space="preserve">UCfsabKEQf3xlN0VV0HdZaGw</t>
  </si>
  <si>
    <t xml:space="preserve">UCWJedqvdP2gB2f3qaJCO05g</t>
  </si>
  <si>
    <t xml:space="preserve">UCqfu1RJHPXG0PIslUsCkb0A</t>
  </si>
  <si>
    <t xml:space="preserve">UCjdAoZPmtaOJm4LGpFe2s1w</t>
  </si>
  <si>
    <t xml:space="preserve">UCIsEhwBMPkRHsEgqYAPQHsA</t>
  </si>
  <si>
    <t xml:space="preserve">UCbxtF9IpNoYXcw0kz5Qhnhw</t>
  </si>
  <si>
    <t xml:space="preserve">UCcy4Maqhiakwc_bOljVRWUQ</t>
  </si>
  <si>
    <t xml:space="preserve">UCVj77H7VomTrqMbuAW8xECA</t>
  </si>
  <si>
    <t xml:space="preserve">UCmZPwfw9rHhRz2ZXdFWSLxg</t>
  </si>
  <si>
    <t xml:space="preserve">UCeM3IXubMXTH3LdsMQ3VAhw</t>
  </si>
  <si>
    <t xml:space="preserve">UCz9w07LZwbXRXOZNDrelNKA</t>
  </si>
  <si>
    <t xml:space="preserve">UCrJm5qFl6qtff8anyYsc6UQ</t>
  </si>
  <si>
    <t xml:space="preserve">UCLH-LzfcJusjSrT01sfxSoQ</t>
  </si>
  <si>
    <t xml:space="preserve">UClGuwsqK6Lr7-l88mRsBziw</t>
  </si>
  <si>
    <t xml:space="preserve">UCQhCB2VRsy3Tuq_5-dv9SBg</t>
  </si>
  <si>
    <t xml:space="preserve">UCetiwiWVoUBvIHIzYFaEiEw</t>
  </si>
  <si>
    <t xml:space="preserve">UCxcriVvVwJQ81AHoRwfcd-Q</t>
  </si>
  <si>
    <t xml:space="preserve">UCw4496t84F_8HvhQPwtmWpQ</t>
  </si>
  <si>
    <t xml:space="preserve">UCN3DuDf9Abnksfkh8aXyLcw</t>
  </si>
  <si>
    <t xml:space="preserve">UCGVrxaJHUQHbPSUVDZ8sUVQ</t>
  </si>
  <si>
    <t xml:space="preserve">UCq4o0-2ANaIlNf_dPL3rjdw</t>
  </si>
  <si>
    <t xml:space="preserve">UCnAxlXym2KE4ljDMjZ6APIw</t>
  </si>
  <si>
    <t xml:space="preserve">UCjZfuDrU3FkjPJroH6s1-pA</t>
  </si>
  <si>
    <t xml:space="preserve">UChWpDQjJf6Ll-_AT4VTINUQ</t>
  </si>
  <si>
    <t xml:space="preserve">UCWtAX-Wm9mH6KVq9mf-ixJA</t>
  </si>
  <si>
    <t xml:space="preserve">UC4fuZU2b3UgPpIfAnA2irdQ</t>
  </si>
  <si>
    <t xml:space="preserve">UCzrvQLPo0Ry_xWu9OzggzDg</t>
  </si>
  <si>
    <t xml:space="preserve">UC3acOAE6ibnR0B58vYr06Qw</t>
  </si>
  <si>
    <t xml:space="preserve">UCLAYiGjxDrpJYaBO6FDfMYQ</t>
  </si>
  <si>
    <t xml:space="preserve">UC0KMy2IyOb8BHz05Kxz-YCQ</t>
  </si>
  <si>
    <t xml:space="preserve">UCdA2ub46atBXeBfx64L9XXQ</t>
  </si>
  <si>
    <t xml:space="preserve">UCic9qJKDcwhPW-nudTmoYVA</t>
  </si>
  <si>
    <t xml:space="preserve">UC_pLPe6zS6O7E2L1M24Tj6Q</t>
  </si>
  <si>
    <t xml:space="preserve">UC7AoFzxwPv9o1OZPQ0a3iyQ</t>
  </si>
  <si>
    <t xml:space="preserve">UClf6GDyEMB-Y55seSVdEw9A</t>
  </si>
  <si>
    <t xml:space="preserve">UCkW4fdemHFspHsK_xCD2n3Q</t>
  </si>
  <si>
    <t xml:space="preserve">UC1hEszq2UdM1IFtqZqwcibw</t>
  </si>
  <si>
    <t xml:space="preserve">UCZuiA0ZeQF5fXLD0Vw9rQ1A</t>
  </si>
  <si>
    <t xml:space="preserve">UCAIqcqwPlNMvIqg1DwpEqPg</t>
  </si>
  <si>
    <t xml:space="preserve">UCHsGGoTPeXC14ftyoKNHfSw</t>
  </si>
  <si>
    <t xml:space="preserve">UCs2k3NNHl5iqt2sExe2cu_w</t>
  </si>
  <si>
    <t xml:space="preserve">UCQ8qFfnqFrLKV69mCkgelSw</t>
  </si>
  <si>
    <t xml:space="preserve">UCvMYJoiPVsEaJxslWr4TJ5w</t>
  </si>
  <si>
    <t xml:space="preserve">UCP5oldUs12JFmZe2RBAahOg</t>
  </si>
  <si>
    <t xml:space="preserve">UCUOJBde9-K1CKiOzwO8hQIg</t>
  </si>
  <si>
    <t xml:space="preserve">UCFBMauNgAWjFsdyOySdZe7w</t>
  </si>
  <si>
    <t xml:space="preserve">UCljeK5L_NTOzDaDYL-WI4dw</t>
  </si>
  <si>
    <t xml:space="preserve">UC5iZg_s9-sp6M0l6NAzVOgw</t>
  </si>
  <si>
    <t xml:space="preserve">UCJMD2yZf82Zn7mgsCp_uJWA</t>
  </si>
  <si>
    <t xml:space="preserve">UCaaKcUUrlKx1iLbLOASgzsQ</t>
  </si>
  <si>
    <t xml:space="preserve">UCoOu4D7foJWfKvcDLxqrF2Q</t>
  </si>
  <si>
    <t xml:space="preserve">UCfNpmB2rUzgFyQ40rJOizzg</t>
  </si>
  <si>
    <t xml:space="preserve">UCHYC82sO4Vpbdp_G2LZfIUA</t>
  </si>
  <si>
    <t xml:space="preserve">UCYscAtSZprxXIrpgq5TDksQ</t>
  </si>
  <si>
    <t xml:space="preserve">UC81nBIe9RC42vmOCecTqM1w</t>
  </si>
  <si>
    <t xml:space="preserve">UC_cw2T0WvYdWOj1P6MVWjhQ</t>
  </si>
  <si>
    <t xml:space="preserve">UC6UaUhlqtbWmhd2FU5q7atg</t>
  </si>
  <si>
    <t xml:space="preserve">UCiunfudMsIhCj9bgY2gK8Og</t>
  </si>
  <si>
    <t xml:space="preserve">UC-wDREHgwnNPkunOfhVVVrQ</t>
  </si>
  <si>
    <t xml:space="preserve">UCUBBWpvzbAagsfNc0x91FZw</t>
  </si>
  <si>
    <t xml:space="preserve">UCrdPiSPVW0rtRsI002BX8iw</t>
  </si>
  <si>
    <t xml:space="preserve">UCIbOIlFpyBoG5IfJ2YxP_8w</t>
  </si>
  <si>
    <t xml:space="preserve">UC3uq3ZSM3excWtbz2gdo-ig</t>
  </si>
  <si>
    <t xml:space="preserve">UC6AhKCzMSkYl-46Ajx55gOA</t>
  </si>
  <si>
    <t xml:space="preserve">UCoF3_0B8v2HBnP0adZmFk3g</t>
  </si>
  <si>
    <t xml:space="preserve">UCjUgDyFD84_lDeD0MsI4T-g</t>
  </si>
  <si>
    <t xml:space="preserve">UCTj5n_cAxfdAdSwcJfBPvQg</t>
  </si>
  <si>
    <t xml:space="preserve">UCz8jUkMXddpVFlXAwXS4Z8Q</t>
  </si>
  <si>
    <t xml:space="preserve">UCA1689_ZsbSvn6GIUz_ywrQ</t>
  </si>
  <si>
    <t xml:space="preserve">UCx2JNgWJPPTBODN-U56O-tg</t>
  </si>
  <si>
    <t xml:space="preserve">UCuKT0xiWaH85xEQ5PLjYjow</t>
  </si>
  <si>
    <t xml:space="preserve">UC7M268IVolstO_A2TwMxZgA</t>
  </si>
  <si>
    <t xml:space="preserve">UCvP6cno2or7kfDG3tE1eVgw</t>
  </si>
  <si>
    <t xml:space="preserve">UC-N2GFf6Dmna8NZ51vO--Lg</t>
  </si>
  <si>
    <t xml:space="preserve">UCCJbgkTCrHxB22NN-fqqoxA</t>
  </si>
  <si>
    <t xml:space="preserve">UCw8KhLom_CmHSEW_cCGpN2w</t>
  </si>
  <si>
    <t xml:space="preserve">UCoaH2UtB1PsV7av17woV1BA</t>
  </si>
  <si>
    <t xml:space="preserve">UCKKFv3rosN-XE0a6r9nxqXA</t>
  </si>
  <si>
    <t xml:space="preserve">UCMHtmCiPTZmdTfRYtg7hD-g</t>
  </si>
  <si>
    <t xml:space="preserve">UCo5rM1IZp5rMtjVn5fNhF1g</t>
  </si>
  <si>
    <t xml:space="preserve">UCRkr9FQwM97a5HPTJZJfg3Q</t>
  </si>
  <si>
    <t xml:space="preserve">UCMThCyZYyovGRBbNRTUEARg</t>
  </si>
  <si>
    <t xml:space="preserve">UCDz9p7v8mxJH9naV8Q7fkaw</t>
  </si>
  <si>
    <t xml:space="preserve">UC6VATPgs8dNHmlL8RNoHdog</t>
  </si>
  <si>
    <t xml:space="preserve">UCKFlR3uhYBlRPI7AnZN287w</t>
  </si>
  <si>
    <t xml:space="preserve">UCO3z1FbaXnxh50q-AaTrI_Q</t>
  </si>
  <si>
    <t xml:space="preserve">UCrELFSY9AWjENcvEiAueTGQ</t>
  </si>
  <si>
    <t xml:space="preserve">UC_CydIbJiig9zulZh-seJ_Q</t>
  </si>
  <si>
    <t xml:space="preserve">UC2gQaoCItAC-IbT8RNwWqLQ</t>
  </si>
  <si>
    <t xml:space="preserve">UCX2xI6iQR70IWlpi23V0gPw</t>
  </si>
  <si>
    <t xml:space="preserve">UCS8WLwuVszq1g2oeBzboUmQ</t>
  </si>
  <si>
    <t xml:space="preserve">UC7iVXnTEu6Whc0A1YImrx6w</t>
  </si>
  <si>
    <t xml:space="preserve">UCEd4xZFi1UVBkvwgkfJDOig</t>
  </si>
  <si>
    <t xml:space="preserve">UCZxm2LDDLrhbZjEA1wEZwFw</t>
  </si>
  <si>
    <t xml:space="preserve">UClrxeUyuewpQMeuhvFOoI0Q</t>
  </si>
  <si>
    <t xml:space="preserve">UC_yuiK5r5fo4i2orrgvub5A</t>
  </si>
  <si>
    <t xml:space="preserve">UCGeGhS_akOxBWQcSmje6B-w</t>
  </si>
  <si>
    <t xml:space="preserve">UCGx6pRYnjCboLBkgI0Zq-kQ</t>
  </si>
  <si>
    <t xml:space="preserve">UCH5EIYdeHf_TSFdalWjY53w</t>
  </si>
  <si>
    <t xml:space="preserve">UCvQ8MBgbmRYgpc0mGyb6L9Q</t>
  </si>
  <si>
    <t xml:space="preserve">UCjzSKUpDRZ8evVu7iDE5pkg</t>
  </si>
  <si>
    <t xml:space="preserve">UCSMsxXvvi-7XvygtsMWRBOg</t>
  </si>
  <si>
    <t xml:space="preserve">UC07CHp5ikd-AyafR4J2LWkA</t>
  </si>
  <si>
    <t xml:space="preserve">UCqP3RpStZoM6USp_m07Vk8A</t>
  </si>
  <si>
    <t xml:space="preserve">UCcyt2iSyrjr3AbxIS7pIXfw</t>
  </si>
  <si>
    <t xml:space="preserve">UC2f4w_ppqHplvjiNaoTAK9w</t>
  </si>
  <si>
    <t xml:space="preserve">UCPL5vYeOVuVTtB-DXpeZAqg</t>
  </si>
  <si>
    <t xml:space="preserve">UCqKt2hgR7DA6ltQpkftvklw</t>
  </si>
  <si>
    <t xml:space="preserve">UCu-K-NAZu4b9k-BG6G7P90Q</t>
  </si>
  <si>
    <t xml:space="preserve">UC3aHdsm-cfKcLyVe1O8Xu6A</t>
  </si>
  <si>
    <t xml:space="preserve">UCbVus-Tz4pL8j7zPoQ--amA</t>
  </si>
  <si>
    <t xml:space="preserve">UC4EacBmPcZXvr02g78hddUA</t>
  </si>
  <si>
    <t xml:space="preserve">UCXw0dnfXlCMExVOUpK-iOWg</t>
  </si>
  <si>
    <t xml:space="preserve">UCnOfl8ZOfBPkYTdXXt4Jj9Q</t>
  </si>
  <si>
    <t xml:space="preserve">UCCH5vuDYD36FgGYvJ1N9DbA</t>
  </si>
  <si>
    <t xml:space="preserve">UCLFKCWWw38y4_2JoHFiPj9Q</t>
  </si>
  <si>
    <t xml:space="preserve">UCaWdnhFAYR4-Hx8X1aaVxSQ</t>
  </si>
  <si>
    <t xml:space="preserve">UCd3s_V7mJAYQmICrqjfwTOQ</t>
  </si>
  <si>
    <t xml:space="preserve">UC6KKiblJpZBQqiNvnAMAoWQ</t>
  </si>
  <si>
    <t xml:space="preserve">UCfrQzyVz_3R2seHH3edN1Ag</t>
  </si>
  <si>
    <t xml:space="preserve">UCuzDC9g05hef_fCN56wci4g</t>
  </si>
  <si>
    <t xml:space="preserve">UCX12UiuylTOq1Cq5aPd8xZw</t>
  </si>
  <si>
    <t xml:space="preserve">UC473btgDx3Gg_6hmqtkUfrA</t>
  </si>
  <si>
    <t xml:space="preserve">UCjS8OCmHuWdl5aWDUuU0M4g</t>
  </si>
  <si>
    <t xml:space="preserve">UCPLLdnN_IGmfC-6PMo_MRpQ</t>
  </si>
  <si>
    <t xml:space="preserve">UC7DyXEfGLhScWFoNOPzo4eg</t>
  </si>
  <si>
    <t xml:space="preserve">UC_t95Px-WPaiCxMXPy-pKOg</t>
  </si>
  <si>
    <t xml:space="preserve">UCTN1D_QBrnLAXGjDDFaAFOA</t>
  </si>
  <si>
    <t xml:space="preserve">UCcLFVR0HR1SZFtjEhh9a_rw</t>
  </si>
  <si>
    <t xml:space="preserve">UC5ebo42ydvAayGn2Z4Lf9XA</t>
  </si>
  <si>
    <t xml:space="preserve">UC_4NoVAkQzeSaxCgm-to25A</t>
  </si>
  <si>
    <t xml:space="preserve">UCklCY9mVH3WvKsfPZndNuAA</t>
  </si>
  <si>
    <t xml:space="preserve">UC354gvCRGiptv8wkIaWJj5Q</t>
  </si>
  <si>
    <t xml:space="preserve">UCCDR5El26qpFJW3ke9ySfOA</t>
  </si>
  <si>
    <t xml:space="preserve">UCyw5iZvI_c15lMFf4kfjRaQ</t>
  </si>
  <si>
    <t xml:space="preserve">UCNoMj4TkzYL2-gsngrtFpoQ</t>
  </si>
  <si>
    <t xml:space="preserve">UC9aluEqs9zhTynnsbdJdgjg</t>
  </si>
  <si>
    <t xml:space="preserve">UC4wBpI2oMIm4VKnN8H2f5Rw</t>
  </si>
  <si>
    <t xml:space="preserve">UCg1FhtKvrWSqBIuV82waEoA</t>
  </si>
  <si>
    <t xml:space="preserve">UCVeD_yOSUbl_5fqqmZtEW1A</t>
  </si>
  <si>
    <t xml:space="preserve">UCstnglENMRhOF17cD6iH6kA</t>
  </si>
  <si>
    <t xml:space="preserve">UCJS4UHGP6Q3BI-0ZIGrGXgw</t>
  </si>
  <si>
    <t xml:space="preserve">UCJGh5mrdAuYEy_r6TgjYIdg</t>
  </si>
  <si>
    <t xml:space="preserve">UCZHpnKeORO9dju0KgtPz6Aw</t>
  </si>
  <si>
    <t xml:space="preserve">UCOGVJ50mIHQkvFpSzb3_0Gg</t>
  </si>
  <si>
    <t xml:space="preserve">UCJVSs3f-sSMZcIV89Xs-R4A</t>
  </si>
  <si>
    <t xml:space="preserve">UCFYE2GR8F1YlKLQ3F7bvY9Q</t>
  </si>
  <si>
    <t xml:space="preserve">UC84xmd5owjYc5lqT85vuwQA</t>
  </si>
  <si>
    <t xml:space="preserve">UC3njZ48-FDxLleBYaP0SZIg</t>
  </si>
  <si>
    <t xml:space="preserve">UCXuvgKlAuWAAHJ2oIn5NtPw</t>
  </si>
  <si>
    <t xml:space="preserve">UCWKAAgM5L7bExQJkPZIbiaw</t>
  </si>
  <si>
    <t xml:space="preserve">UC3a4fI5cjd_cl4pz5Rj8mwg</t>
  </si>
  <si>
    <t xml:space="preserve">UC2NzJuX6FTyOhoBrFj9Ms1Q</t>
  </si>
  <si>
    <t xml:space="preserve">UCrhW0zH2rAUX1pvpyj2IYgA</t>
  </si>
  <si>
    <t xml:space="preserve">UCt0YfPvcx9yuUl4C0wOp5CQ</t>
  </si>
  <si>
    <t xml:space="preserve">UCH3MlNK4MwNavT5ll92qQSQ</t>
  </si>
  <si>
    <t xml:space="preserve">UC10fimuLkS9foolVzI2MpRw</t>
  </si>
  <si>
    <t xml:space="preserve">UCdl2OuvBpZQ6PYPjEMLDLlw</t>
  </si>
  <si>
    <t xml:space="preserve">UCt7HQ5fVT6XZzUdewEAVUmw</t>
  </si>
  <si>
    <t xml:space="preserve">UC6kVgR3F2bSSRJqOyQm90Ug</t>
  </si>
  <si>
    <t xml:space="preserve">UCm6YAQPxBgZ2qJoBlmUlVTg</t>
  </si>
  <si>
    <t xml:space="preserve">UCp57W-eQjbYUPJuTMEfbf1Q</t>
  </si>
  <si>
    <t xml:space="preserve">UCAyTflLdgVk7E5ZbtbdO_iQ</t>
  </si>
  <si>
    <t xml:space="preserve">UCgG8-OKq-s734FwZWeTt5rA</t>
  </si>
  <si>
    <t xml:space="preserve">UCAZiVpzu6oHHLcBQixHH0yg</t>
  </si>
  <si>
    <t xml:space="preserve">UCQmg6f48mtIOX4DoerGJYWw</t>
  </si>
  <si>
    <t xml:space="preserve">UCZjxPbi3AeB6YGKCfQ2TroQ</t>
  </si>
  <si>
    <t xml:space="preserve">UCK-0srt5hdY5m6Zos_NlJZg</t>
  </si>
  <si>
    <t xml:space="preserve">UCCdymBMKUtoNmgfam-hxLdQ</t>
  </si>
  <si>
    <t xml:space="preserve">UC0TsozNasaX9GSRVgMymNLw</t>
  </si>
  <si>
    <t xml:space="preserve">UCBOM9M_wI2ufBcdqscgSLbg</t>
  </si>
  <si>
    <t xml:space="preserve">UCYwHN0JiK5nZofdI7XoiMKw</t>
  </si>
  <si>
    <t xml:space="preserve">UCl90rgsYqIKsVHDJLHqKp_Q</t>
  </si>
  <si>
    <t xml:space="preserve">UCthC9tsY4M1BCGY8EhD_0Ow</t>
  </si>
  <si>
    <t xml:space="preserve">UCloWBBZ3E9b9NGW3r30DN5A</t>
  </si>
  <si>
    <t xml:space="preserve">UCON3CEG_4DcSSilx4i_j0-A</t>
  </si>
  <si>
    <t xml:space="preserve">UCWEK7jbOkR3STLI58UWWyNA</t>
  </si>
  <si>
    <t xml:space="preserve">UC0XueCdyzMsFLi9UQLiBY9g</t>
  </si>
  <si>
    <t xml:space="preserve">UCON_gtDQSNnWS1gwBcqgRKg</t>
  </si>
  <si>
    <t xml:space="preserve">UC9CKy1ai9qI8p6_Oh0Qa3Rg</t>
  </si>
  <si>
    <t xml:space="preserve">UClqifC6Nd7v-IfTqce4k62A</t>
  </si>
  <si>
    <t xml:space="preserve">UC6I9xtXwwo87Dik1xMPgLdw</t>
  </si>
  <si>
    <t xml:space="preserve">UCu8AF2WO__kG5EE7LS5F-RQ</t>
  </si>
  <si>
    <t xml:space="preserve">UCdZDV8J0WjDQm6RmaS_ENwg</t>
  </si>
  <si>
    <t xml:space="preserve">UCQObkI1w-DEMc9XzD5fQRlA</t>
  </si>
  <si>
    <t xml:space="preserve">UCA4xONzZJsT5ATNazu9F1HQ</t>
  </si>
  <si>
    <t xml:space="preserve">UCOSphW_Jjf1E1FoOM1brMGQ</t>
  </si>
  <si>
    <t xml:space="preserve">UCGF0Wj0YfbEJqBpSns6PU8g</t>
  </si>
  <si>
    <t xml:space="preserve">UCYXYA4wnUN79uwxUe0NAW9Q</t>
  </si>
  <si>
    <t xml:space="preserve">UCFJgLMrHmV8r6JZ4SVuv6Qg</t>
  </si>
  <si>
    <t xml:space="preserve">UCrhHQd5lAQZz3xRLaCJmitA</t>
  </si>
  <si>
    <t xml:space="preserve">UC6C0ppqiAnUARdV_Y_QmEQw</t>
  </si>
  <si>
    <t xml:space="preserve">UCvaMpohMIVypvEWBEOHo1wA</t>
  </si>
  <si>
    <t xml:space="preserve">UCPxq0YFfk3D5C5LcagzZHdw</t>
  </si>
  <si>
    <t xml:space="preserve">UCJ2jo7EX_ddd8Dg3pYYNHVA</t>
  </si>
  <si>
    <t xml:space="preserve">UCRl-o5ehrcEfsVPPY5ovDMQ</t>
  </si>
  <si>
    <t xml:space="preserve">UC4G0by2AWtWgKkWIekLVQ3Q</t>
  </si>
  <si>
    <t xml:space="preserve">UC6-2LI8dZ9o4uq4AAnPaKcA</t>
  </si>
  <si>
    <t xml:space="preserve">UCbZqR4N7w55SsC2dk8_Xrrg</t>
  </si>
  <si>
    <t xml:space="preserve">UCAKTjLjtq-fC4BR16ax86GA</t>
  </si>
  <si>
    <t xml:space="preserve">UCeN6elVjcxHCa-Bz4Af0YMg</t>
  </si>
  <si>
    <t xml:space="preserve">UCooxSYVPp_knmovMSRf6obw</t>
  </si>
  <si>
    <t xml:space="preserve">UCRnt3WDhjHT30Xs5h9w3gqg</t>
  </si>
  <si>
    <t xml:space="preserve">UCGUGQv0Wu4oGEkKJ30WmWnQ</t>
  </si>
  <si>
    <t xml:space="preserve">UCQjPgErJ3xgoUI4SXeKqfzQ</t>
  </si>
  <si>
    <t xml:space="preserve">UCMr-JhvZnzcXZIIzTKPUYSg</t>
  </si>
  <si>
    <t xml:space="preserve">UCAgLB5ZShYvKC_df__6IPGQ</t>
  </si>
  <si>
    <t xml:space="preserve">UCyb5F5HV165PNY58fIuAm_w</t>
  </si>
  <si>
    <t xml:space="preserve">UCOmrniWfKi-uCD6Oh6fqhgw</t>
  </si>
  <si>
    <t xml:space="preserve">UCIgELCOfrcYA9jWF4TOJUnQ</t>
  </si>
  <si>
    <t xml:space="preserve">UC484t-OxeBT3WKPtqCBomBg</t>
  </si>
  <si>
    <t xml:space="preserve">UCFXbt2Q9HuMog5YB_QiWDjg</t>
  </si>
  <si>
    <t xml:space="preserve">UC0SLn-hwq9Ypo7DMO9Gq3qA</t>
  </si>
  <si>
    <t xml:space="preserve">UCNymT-SUL9qnePLsvL0Y_sQ</t>
  </si>
  <si>
    <t xml:space="preserve">UC63G9kz17ZFvdiJLXRwCISA</t>
  </si>
  <si>
    <t xml:space="preserve">UCF6-DYhSFBiGZjNtT3lt_UQ</t>
  </si>
  <si>
    <t xml:space="preserve">UCcC-Qnmrzwkvsh3nDJcR2aQ</t>
  </si>
  <si>
    <t xml:space="preserve">UCpJmBGAzykHU-AD6Nvd15zA</t>
  </si>
  <si>
    <t xml:space="preserve">UCzi9LZEbsE8RIbgRR3Sy3KQ</t>
  </si>
  <si>
    <t xml:space="preserve">UCwdvPgmU5qHPB2NsDLAmS1g</t>
  </si>
  <si>
    <t xml:space="preserve">UCaLSkUP3yReSALsFnbxAFKg</t>
  </si>
  <si>
    <t xml:space="preserve">UCcvFvdSUC0NHr-l6fF5q8dA</t>
  </si>
  <si>
    <t xml:space="preserve">UCSNl_X8otBK2qUj3Zd9X_fg</t>
  </si>
  <si>
    <t xml:space="preserve">UCGR1yjrScqezllTc2gsAIuA</t>
  </si>
  <si>
    <t xml:space="preserve">UCCR5eciEJIMvX2o1tiYOUKQ</t>
  </si>
  <si>
    <t xml:space="preserve">UCZRt-j_jt2acsaYr_yZvzwA</t>
  </si>
  <si>
    <t xml:space="preserve">UCndYShFYEiu0ov-P2px63HQ</t>
  </si>
  <si>
    <t xml:space="preserve">UCF3Zesm2_Ndtz7goLKEx54Q</t>
  </si>
  <si>
    <t xml:space="preserve">UCY5r9XeelQQwUg7-VI10Q7A</t>
  </si>
  <si>
    <t xml:space="preserve">UCOAeVVRnqh0sYFKvFo-tERA</t>
  </si>
  <si>
    <t xml:space="preserve">UCoQUbuLbs7Mxl4ojNofrKIA</t>
  </si>
  <si>
    <t xml:space="preserve">UCu6edg8_eu3-A8ylgaWereA</t>
  </si>
  <si>
    <t xml:space="preserve">UCIawU7a9wNziyYhIPP7qFxQ</t>
  </si>
  <si>
    <t xml:space="preserve">UCJMxEj6vqzN6GpiIzxds2iA</t>
  </si>
  <si>
    <t xml:space="preserve">UCBgFCYav_VU4Mx8lWtJcB0g</t>
  </si>
  <si>
    <t xml:space="preserve">UCzLDbHyeU0K0eIrBxN4R40g</t>
  </si>
  <si>
    <t xml:space="preserve">UCQsgVjy3F_FcqZjHySGh1SA</t>
  </si>
  <si>
    <t xml:space="preserve">UCZzmJCSrOj2MVYexHcNgzZQ</t>
  </si>
  <si>
    <t xml:space="preserve">UCFbkxcyNll-wdJQhdcOQX_g</t>
  </si>
  <si>
    <t xml:space="preserve">UCkn7QWNmJftBg-yHla3EJjw</t>
  </si>
  <si>
    <t xml:space="preserve">UC7nHuQgMQT_UY1-RZPgqc_Q</t>
  </si>
  <si>
    <t xml:space="preserve">UCZ59avs9ljnIMINolqDo6Hw</t>
  </si>
  <si>
    <t xml:space="preserve">UCdY62-FmM5cKu9Yf4PY9uGA</t>
  </si>
  <si>
    <t xml:space="preserve">UCJIm5LTOaqHK1axWi5x7_Ag</t>
  </si>
  <si>
    <t xml:space="preserve">UCSN7xlto6Hm8rBpiQWsPv2Q</t>
  </si>
  <si>
    <t xml:space="preserve">UCzGKm5ckI3yNKQSXW1BUNgg</t>
  </si>
  <si>
    <t xml:space="preserve">UCBi_jWxxwrycd1f48y6jA7g</t>
  </si>
  <si>
    <t xml:space="preserve">UChwsObrGG0wvx8Er0P6KBDw</t>
  </si>
  <si>
    <t xml:space="preserve">UCj47q9oGxps7Ub-CONjHc5Q</t>
  </si>
  <si>
    <t xml:space="preserve">UCF-Ii5VJY__HHkz3qdM78cQ</t>
  </si>
  <si>
    <t xml:space="preserve">UCGDmTpJLIrpvIhpkLpMQlSw</t>
  </si>
  <si>
    <t xml:space="preserve">UCw1jqPPpOVzrt2tJMO6bQmw</t>
  </si>
  <si>
    <t xml:space="preserve">UC51BiewiahRBaLmcvDknVWA</t>
  </si>
  <si>
    <t xml:space="preserve">UCw_qKx4QAhnrhuOEwhah8ew</t>
  </si>
  <si>
    <t xml:space="preserve">UCTyFiyAmloGZFNd1MJNWGUw</t>
  </si>
  <si>
    <t xml:space="preserve">UC7tFhPb_T4H0vuhBuIoIMjw</t>
  </si>
  <si>
    <t xml:space="preserve">UC7qwmMOCk-q0KaROR7s7lGg</t>
  </si>
  <si>
    <t xml:space="preserve">UCfgrg0SXgNkZ7rTbnZCp6tg</t>
  </si>
  <si>
    <t xml:space="preserve">UCXSvLIJ8-G9kNwPCIgbMi3w</t>
  </si>
  <si>
    <t xml:space="preserve">UCbD8hc3nq-IZOSyjQ_CEP0A</t>
  </si>
  <si>
    <t xml:space="preserve">UCJeMamdh4_B6G8ImDLB5D7A</t>
  </si>
  <si>
    <t xml:space="preserve">UCEsoZGXUWTx84ZWOKDeQNig</t>
  </si>
  <si>
    <t xml:space="preserve">UCTpBzfgC5hcGgiJqLXdLYyw</t>
  </si>
  <si>
    <t xml:space="preserve">UCXV_YvNIWPdI_NkY1az3rWw</t>
  </si>
  <si>
    <t xml:space="preserve">UCY-EIUkk001q6NODcDkO9sg</t>
  </si>
  <si>
    <t xml:space="preserve">UCtB-qn_guRqHxeSJsiVNAXA</t>
  </si>
  <si>
    <t xml:space="preserve">UC-WX23zRiuLfHdVpTAwEcaw</t>
  </si>
  <si>
    <t xml:space="preserve">UCfMrnx4UpYI5PaWhQYtb5jQ</t>
  </si>
  <si>
    <t xml:space="preserve">UCJSWW_cVqZympn_6BEyICgw</t>
  </si>
  <si>
    <t xml:space="preserve">UCX2IOB5QecICpfcb1GKHM_Q</t>
  </si>
  <si>
    <t xml:space="preserve">UCAlKCQcF8amfLEqXPh-d8bg</t>
  </si>
  <si>
    <t xml:space="preserve">UCgo7B-9h9MsXXV8B8oQKzgw</t>
  </si>
  <si>
    <t xml:space="preserve">UCGBsgCFLzV4hmY7OMv6o-UA</t>
  </si>
  <si>
    <t xml:space="preserve">UCP_fCvYdM4c6_pJoHXnAGIg</t>
  </si>
  <si>
    <t xml:space="preserve">UCN1MXjng-rot-pglSJJ9SCA</t>
  </si>
  <si>
    <t xml:space="preserve">UCmZah1j-0Q_6XovZr6SoVAw</t>
  </si>
  <si>
    <t xml:space="preserve">UCvj7LHny7g9vGb9l60JRTvQ</t>
  </si>
  <si>
    <t xml:space="preserve">UCut4AWm6PleokPnB7fxN06w</t>
  </si>
  <si>
    <t xml:space="preserve">UChV8le4Z7hLCfkl5HwhbdLA</t>
  </si>
  <si>
    <t xml:space="preserve">UCknjSv8u-_2qpq2h2lHDNaQ</t>
  </si>
  <si>
    <t xml:space="preserve">UCcVF2Fth-qEA4T1Lhn3CgKg</t>
  </si>
  <si>
    <t xml:space="preserve">UCn4S6ONdetkpxfuOteHVHhQ</t>
  </si>
  <si>
    <t xml:space="preserve">UCPsy4hWCtQNyrr2Q3fsq3jQ</t>
  </si>
  <si>
    <t xml:space="preserve">UCEPA7Lp6OlQCUW5gcj_yfSw</t>
  </si>
  <si>
    <t xml:space="preserve">UC77yodRQNfWH4MernHI6jLQ</t>
  </si>
  <si>
    <t xml:space="preserve">UCQRXOTOaLuyuq2ZFg1khlOw</t>
  </si>
  <si>
    <t xml:space="preserve">UC3m2kLQNIPUqebFAHNfbcAA</t>
  </si>
  <si>
    <t xml:space="preserve">UCWitCm8cIlCjTnIgayjUhiw</t>
  </si>
  <si>
    <t xml:space="preserve">UC7jb0PyqdP92KcVTnEgEgjA</t>
  </si>
  <si>
    <t xml:space="preserve">UCKq9vTC61ppSatFaU0csytw</t>
  </si>
  <si>
    <t xml:space="preserve">UCHUTERc5j2hDSETAaO6Wq9Q</t>
  </si>
  <si>
    <t xml:space="preserve">UCmVphJplIkV3ueVa_UjnzRQ</t>
  </si>
  <si>
    <t xml:space="preserve">UCuFaYqRhNx-0czscbqL98Jw</t>
  </si>
  <si>
    <t xml:space="preserve">UCjZC9-Ym0UNMxqgcDX4Q0dg</t>
  </si>
  <si>
    <t xml:space="preserve">UC_o9J_Ru7Ag4F-29C20x7ew</t>
  </si>
  <si>
    <t xml:space="preserve">UCYkBPW77GRRKzMaXdOEMqMQ</t>
  </si>
  <si>
    <t xml:space="preserve">UCjNTWXdg8gAk0dqZtSqQ0JA</t>
  </si>
  <si>
    <t xml:space="preserve">UCg0EF-YK13CmKxO8k_isjYQ</t>
  </si>
  <si>
    <t xml:space="preserve">UC0Um8gFJciY_3gtlVD0-d1w</t>
  </si>
  <si>
    <t xml:space="preserve">UC4hNgJV-h0ztWe_ImxID9pg</t>
  </si>
  <si>
    <t xml:space="preserve">UCj_2_t-iugOjrhv4XUwVFYg</t>
  </si>
  <si>
    <t xml:space="preserve">UCsaoxVZ4JEnBSE1iJRNGrzA</t>
  </si>
  <si>
    <t xml:space="preserve">UCsgWoBLs-ykdP8QiBzvXRag</t>
  </si>
  <si>
    <t xml:space="preserve">UCAov2BBv1ZJav0c_yHEciAw</t>
  </si>
  <si>
    <t xml:space="preserve">UCfqpOxzQXmYPaniGsLx04AA</t>
  </si>
  <si>
    <t xml:space="preserve">UCzs0IFdfD9aiwI3GKNve2XQ</t>
  </si>
  <si>
    <t xml:space="preserve">UCcZiRlCs_sRi7sO6JxaXi2g</t>
  </si>
  <si>
    <t xml:space="preserve">UCPWqbr91cfbtLHZrHM5GItg</t>
  </si>
  <si>
    <t xml:space="preserve">UCJoYs6q1R7KE3MWlNqebIqw</t>
  </si>
  <si>
    <t xml:space="preserve">UCLCqsF0KBNxBrVvKXiQLvSg</t>
  </si>
  <si>
    <t xml:space="preserve">UC7adUjW8qMUsqO4HHTbwKgg</t>
  </si>
  <si>
    <t xml:space="preserve">UCbdoEF5n-ybmfWun6mIVDpg</t>
  </si>
  <si>
    <t xml:space="preserve">UCzGlVbwDxbwMGtipPce90rA</t>
  </si>
  <si>
    <t xml:space="preserve">UCtGiWOFZPciUBu768EGSWaQ</t>
  </si>
  <si>
    <t xml:space="preserve">UCZpkUbzY5RlyjWR6JfbV0Tg</t>
  </si>
  <si>
    <t xml:space="preserve">UCDsdXklhP9jFRpf6h_k_UTw</t>
  </si>
  <si>
    <t xml:space="preserve">UCn3aOx3FoeRUzVhOHL5U5Mw</t>
  </si>
  <si>
    <t xml:space="preserve">UCemic2lfe1Tw0n5tApO4VCw</t>
  </si>
  <si>
    <t xml:space="preserve">UCeLvMDR7VsxrMek-eGNPjOw</t>
  </si>
  <si>
    <t xml:space="preserve">UC2LxkEsKAr_Qrm_IKESnOnQ</t>
  </si>
  <si>
    <t xml:space="preserve">UCuOQR3dTM595beZHw7MAJ5w</t>
  </si>
  <si>
    <t xml:space="preserve">UCiAg9ioqixZIpt7HsQCSMSA</t>
  </si>
  <si>
    <t xml:space="preserve">UCypbyU1SnkdyWjC4OrChp_Q</t>
  </si>
  <si>
    <t xml:space="preserve">UCvfEFY2CXJya9zvDHIqFg2A</t>
  </si>
  <si>
    <t xml:space="preserve">UCyA7Ut9tuAHxxmRqrsu9HDQ</t>
  </si>
  <si>
    <t xml:space="preserve">UC9IP8ctua5qm9FPqWet0fpw</t>
  </si>
  <si>
    <t xml:space="preserve">UC7eZNThpjgXe5H0QwBN-XsQ</t>
  </si>
  <si>
    <t xml:space="preserve">UC7Fnb6VRDdMTnE3eeJqWQPg</t>
  </si>
  <si>
    <t xml:space="preserve">UCKSgzU2NzD9GZmO7WptZFhA</t>
  </si>
  <si>
    <t xml:space="preserve">UCio-Vq_QopAdAgJImN-UCYg</t>
  </si>
  <si>
    <t xml:space="preserve">UCXbzvbdXVLA789Hrjcnkdvw</t>
  </si>
  <si>
    <t xml:space="preserve">UC5o9eIfWrRDkJeME1J8tn1w</t>
  </si>
  <si>
    <t xml:space="preserve">UChZYqTJkeYV2r7WETcytdPQ</t>
  </si>
  <si>
    <t xml:space="preserve">UCZgyue9lnS_cCV6IL4Y0XOg</t>
  </si>
  <si>
    <t xml:space="preserve">UCgOJNhRYMEzeG1exayTgRWw</t>
  </si>
  <si>
    <t xml:space="preserve">UCfnyC71I0JrG9Qr92Q-LrcA</t>
  </si>
  <si>
    <t xml:space="preserve">UCXa_bzvv7Oo1glaW9FldDhQ</t>
  </si>
  <si>
    <t xml:space="preserve">UCbSvlgKu04hFkfBIyiT6RjQ</t>
  </si>
  <si>
    <t xml:space="preserve">UCGLqsJQFlRKkJHOOiFR68_g</t>
  </si>
  <si>
    <t xml:space="preserve">UCqNZPyumu5cRABEIBY-j-eA</t>
  </si>
  <si>
    <t xml:space="preserve">UCSIR6jaQEvjX87OjgJ_gQtQ</t>
  </si>
  <si>
    <t xml:space="preserve">UCTkjh7kCxCE5fwtXC8_pkWg</t>
  </si>
  <si>
    <t xml:space="preserve">UC8vJysEM84zDgoDjYSaQyhw</t>
  </si>
  <si>
    <t xml:space="preserve">UCSqetNaur-z6CU9EdTV0GPw</t>
  </si>
  <si>
    <t xml:space="preserve">UCEqQmSSeQ6P-8_iFlbktaDg</t>
  </si>
  <si>
    <t xml:space="preserve">UCTu6sWhJ-UpwbH6gFtvjqKA</t>
  </si>
  <si>
    <t xml:space="preserve">UCxpg34fYsU48yIHZ7jMF9NA</t>
  </si>
  <si>
    <t xml:space="preserve">UCFX0aAmqHDyHE6ZP-iTe4lw</t>
  </si>
  <si>
    <t xml:space="preserve">UCAGpAMprjGtyK4N0pSuVbaw</t>
  </si>
  <si>
    <t xml:space="preserve">UCpyc1eTpM1cA3P0ZWym4clw</t>
  </si>
  <si>
    <t xml:space="preserve">UC90vvN0al6jiqTue87MrgbQ</t>
  </si>
  <si>
    <t xml:space="preserve">UC_s0g4QdprLkyyN2MDpef7Q</t>
  </si>
  <si>
    <t xml:space="preserve">UCMzcbznJdqVdCzwzTUwwkfA</t>
  </si>
  <si>
    <t xml:space="preserve">UCahrjm410rbBv3tPXoS0A6A</t>
  </si>
  <si>
    <t xml:space="preserve">UCuORhqBX3BinnSSFL5etpCQ</t>
  </si>
  <si>
    <t xml:space="preserve">UCd1YVRLyCztN-zPfjZ8BbeQ</t>
  </si>
  <si>
    <t xml:space="preserve">UCv0OryoEC1EUS0L5JpfAx5Q</t>
  </si>
  <si>
    <t xml:space="preserve">UCOhTQcR3AqDwpqD6FvVwRQw</t>
  </si>
  <si>
    <t xml:space="preserve">UCKQ5Jj35sjTmJigRtlCPhVQ</t>
  </si>
  <si>
    <t xml:space="preserve">UC7F_MhjSfTIp8F43lvAS4Fg</t>
  </si>
  <si>
    <t xml:space="preserve">UCq5gIhlM7Vihj1ER1-SuE4A</t>
  </si>
  <si>
    <t xml:space="preserve">UC3X1vPZSNgfA4HUjwtPlePw</t>
  </si>
  <si>
    <t xml:space="preserve">UCj07bxakzjSNSM0GRk_7KOA</t>
  </si>
  <si>
    <t xml:space="preserve">UCVZ57OkKPAuRJ_wA_Rt4XFg</t>
  </si>
  <si>
    <t xml:space="preserve">UCCvaKYCnvpX1QH2ljQ9SCUg</t>
  </si>
  <si>
    <t xml:space="preserve">UCy5mW8fB24ITiiC0etjLI6w</t>
  </si>
  <si>
    <t xml:space="preserve">UC2YBWSm3HkMGsqpkASGqfyw</t>
  </si>
  <si>
    <t xml:space="preserve">UC_crUfSpvLAeSxv0VCghAew</t>
  </si>
  <si>
    <t xml:space="preserve">UC9v4vMSdJRND1YGp7-S8dRQ</t>
  </si>
  <si>
    <t xml:space="preserve">UCPhY4iS6NNoQwlRLcUYu_tw</t>
  </si>
  <si>
    <t xml:space="preserve">UCttLEDTJoFAwH6eGUKT7ilA</t>
  </si>
  <si>
    <t xml:space="preserve">UCO-1p4wZGeKmOlpFEzYTKLw</t>
  </si>
  <si>
    <t xml:space="preserve">UCColB82bK-IYkxTnJbmiBNA</t>
  </si>
  <si>
    <t xml:space="preserve">UCezVg4O_jFPWRp3WABa0INQ</t>
  </si>
  <si>
    <t xml:space="preserve">UCgEM7vuFsoFZH6Yt_i4E1gw</t>
  </si>
  <si>
    <t xml:space="preserve">UCRP74f4FXxw7ez2iIyUsHSg</t>
  </si>
  <si>
    <t xml:space="preserve">UCl9UDv_CRR4W6V-6BaAvUOQ</t>
  </si>
  <si>
    <t xml:space="preserve">UCRcSTKonUFOqNhnc0o1UpVQ</t>
  </si>
  <si>
    <t xml:space="preserve">UCeRR3gl2xCB68ZO7O_z7cmA</t>
  </si>
  <si>
    <t xml:space="preserve">UCzMexCw1zaHdDNRWlB7DLfw</t>
  </si>
  <si>
    <t xml:space="preserve">UCVjX8wZ8MbXREzfp0wDmfrQ</t>
  </si>
  <si>
    <t xml:space="preserve">UCs31So9tA4tmp40BR8xCTrA</t>
  </si>
  <si>
    <t xml:space="preserve">UCkcBMCcuoaL-LTaMk3P7vmw</t>
  </si>
  <si>
    <t xml:space="preserve">UC80y4D7cC4GeJFJDl2ow5bQ</t>
  </si>
  <si>
    <t xml:space="preserve">UCJo3pC-Qc6ixLnyKyPr0xUg</t>
  </si>
  <si>
    <t xml:space="preserve">UCf6oNqiUPddWPl6ogwFzd4w</t>
  </si>
  <si>
    <t xml:space="preserve">UCdYq7o2qlC-YDLrwInVv_mQ</t>
  </si>
  <si>
    <t xml:space="preserve">UCjURxfHRw7MK-KZWuq1OOPA</t>
  </si>
  <si>
    <t xml:space="preserve">UCBY74FTTZ06Ei85u6v2e37w</t>
  </si>
  <si>
    <t xml:space="preserve">UCcanCrgSWVYW7ZFNKQZso0g</t>
  </si>
  <si>
    <t xml:space="preserve">UCp1mRTkVlqDnxz_9S0YD9YQ</t>
  </si>
  <si>
    <t xml:space="preserve">UCi2xiPJ8cW8axZec7KFDGxA</t>
  </si>
  <si>
    <t xml:space="preserve">UCuaErUDVKd4ftDWsImhCQuw</t>
  </si>
  <si>
    <t xml:space="preserve">UCXFsRaRvY0QBlNC0ZCkB4ew</t>
  </si>
  <si>
    <t xml:space="preserve">UCDyDMMpHOI1wD_kCaTV0obw</t>
  </si>
  <si>
    <t xml:space="preserve">UCUC3MxBlewPHrnc8QuvJd9w</t>
  </si>
  <si>
    <t xml:space="preserve">UCTJJXy5z-MALmQGcoueZW7g</t>
  </si>
  <si>
    <t xml:space="preserve">UCU9wjWDppQO4Ql-BzKtc5Xw</t>
  </si>
  <si>
    <t xml:space="preserve">UCH4Vtzi8TL3MP4A22xD_y9w</t>
  </si>
  <si>
    <t xml:space="preserve">UC0h1SjZLR_D6KV3czLHN7Ew</t>
  </si>
  <si>
    <t xml:space="preserve">UCcbvrBrRkm_oYcv3lJLQr_A</t>
  </si>
  <si>
    <t xml:space="preserve">UC9Gdro97RtVLepM4V-s1PoQ</t>
  </si>
  <si>
    <t xml:space="preserve">UCcTRD6P6N1RmIKFucSqytHg</t>
  </si>
  <si>
    <t xml:space="preserve">UCXM3b61alvDTJ7BPQ17TfAw</t>
  </si>
  <si>
    <t xml:space="preserve">UCKvBD4rHWwlFpOhQZVXR95g</t>
  </si>
  <si>
    <t xml:space="preserve">UCzx33jhpf711MTGGGPano6g</t>
  </si>
  <si>
    <t xml:space="preserve">UCMsxuWgLcCptDSShBmHtypw</t>
  </si>
  <si>
    <t xml:space="preserve">UCAmxfj3S7vM82SKbKpGYugw</t>
  </si>
  <si>
    <t xml:space="preserve">UCe124ZU1109UPKugt7CnIhQ</t>
  </si>
  <si>
    <t xml:space="preserve">UCbqgDzBvusOKtSWvoePrjLA</t>
  </si>
  <si>
    <t xml:space="preserve">UCAnR-eKNR4rI_UUOCUK1iTw</t>
  </si>
  <si>
    <t xml:space="preserve">UCzageIVSvgSN0VbardY4-jA</t>
  </si>
  <si>
    <t xml:space="preserve">UCnE72uToF4btYedtOFFiyCg</t>
  </si>
  <si>
    <t xml:space="preserve">UCY6N8zZhs2V7gNTUxPuKWoQ</t>
  </si>
  <si>
    <t xml:space="preserve">UC0lim_2uDhX1myTjq55AIsA</t>
  </si>
  <si>
    <t xml:space="preserve">UC1Evb1sw6Y-BriutiG2HsUQ</t>
  </si>
  <si>
    <t xml:space="preserve">UCUbCjuZsmLUwfQehwkYgrGQ</t>
  </si>
  <si>
    <t xml:space="preserve">UCHL6h6X_UTa06ujx52VqI5g</t>
  </si>
  <si>
    <t xml:space="preserve">UC7nPscgXH_anoHYbxyP-XCQ</t>
  </si>
  <si>
    <t xml:space="preserve">UCBxBMBmDf38cKwXBSe3L4rA</t>
  </si>
  <si>
    <t xml:space="preserve">UCI53lAX8ahHLBFa7T2AodVA</t>
  </si>
  <si>
    <t xml:space="preserve">UChx9htfs66rnp45O-ThgWVw</t>
  </si>
  <si>
    <t xml:space="preserve">UC0xIEjKP3OM-3zHTusWOIWQ</t>
  </si>
  <si>
    <t xml:space="preserve">UC5rHti2iIMkXL12pxhMLvTg</t>
  </si>
  <si>
    <t xml:space="preserve">UC9NBQnrKxPkQwbhM6jSroZw</t>
  </si>
  <si>
    <t xml:space="preserve">UCgBmfNILAlXmGv3CsJ8oFJA</t>
  </si>
  <si>
    <t xml:space="preserve">UCwaiP3OeyNooiGu9d6K0wXg</t>
  </si>
  <si>
    <t xml:space="preserve">UC7fQFl37yAOaPaoxQm-TqSA</t>
  </si>
  <si>
    <t xml:space="preserve">UCPzDoraqPsAkLPAGpiX2V9A</t>
  </si>
  <si>
    <t xml:space="preserve">UCeKVxnLsOF6bKRJPBauXe3g</t>
  </si>
  <si>
    <t xml:space="preserve">UC6BX35RIJUH3tRQ3UiQkC1w</t>
  </si>
  <si>
    <t xml:space="preserve">UC37vNZg-2CZ4YP9vIl55oag</t>
  </si>
  <si>
    <t xml:space="preserve">UCklqS8A08DwokiTE74EkQmw</t>
  </si>
  <si>
    <t xml:space="preserve">UCyRKCTZf6Eh7yRZIHopAuLA</t>
  </si>
  <si>
    <t xml:space="preserve">UCVFuSH4MhR8zldcmHsfgenw</t>
  </si>
  <si>
    <t xml:space="preserve">UCtq43pSQ5BRNZUNMnjiOmrg</t>
  </si>
  <si>
    <t xml:space="preserve">UCjJrANqUUeNrONkXsYO4gxQ</t>
  </si>
  <si>
    <t xml:space="preserve">UCxhBb3kP1gaJwpZpv-1pW5A</t>
  </si>
  <si>
    <t xml:space="preserve">UC2SzzX6fXWIQvC6OCPvJ4jg</t>
  </si>
  <si>
    <t xml:space="preserve">UCQ8mTbckLOxjjoYbZ3N1O7g</t>
  </si>
  <si>
    <t xml:space="preserve">UCXlKdBP5Q6GNcgamvgQ59ZQ</t>
  </si>
  <si>
    <t xml:space="preserve">UC7gqwlJNGnpsZB9iFNDs50A</t>
  </si>
  <si>
    <t xml:space="preserve">UCNyo-TZ7V2AHLnVYtUOXZVA</t>
  </si>
  <si>
    <t xml:space="preserve">UCj11X996RvyriiwW_0SopwA</t>
  </si>
  <si>
    <t xml:space="preserve">UCu-ByGOiXNZZqa1Y7CYnsMA</t>
  </si>
  <si>
    <t xml:space="preserve">UCmooNdrAJsqWZ8c0lFYjLNQ</t>
  </si>
  <si>
    <t xml:space="preserve">UClaQJq84XMtMkL44zDmL-Tg</t>
  </si>
  <si>
    <t xml:space="preserve">UCF3yTw4qeDEtQx7ieoW10EA</t>
  </si>
  <si>
    <t xml:space="preserve">UCpO-6n4epEnK-UVG-KLRSqA</t>
  </si>
  <si>
    <t xml:space="preserve">UCnKlI8bIoRdgzrPUNvxqflQ</t>
  </si>
  <si>
    <t xml:space="preserve">UCwcycMWfQx7FnuCi8mi6JaQ</t>
  </si>
  <si>
    <t xml:space="preserve">UC2BNxgNZ4rXjrvtdtj725MQ</t>
  </si>
  <si>
    <t xml:space="preserve">UCeFPuIrjgPejoS_BbJHLyOQ</t>
  </si>
  <si>
    <t xml:space="preserve">UCvC3LEC3VvbEpZ7Ui-Y1yBg</t>
  </si>
  <si>
    <t xml:space="preserve">UCVbtE3-9nT2FzrYesDoYQsQ</t>
  </si>
  <si>
    <t xml:space="preserve">UC9o0pPwSazYe24NFoargbfA</t>
  </si>
  <si>
    <t xml:space="preserve">UC6vjUj-4aaaxV5S6XXIAl_w</t>
  </si>
  <si>
    <t xml:space="preserve">UC8RPTOUzbVhqmOlFbbqstJA</t>
  </si>
  <si>
    <t xml:space="preserve">UCxpuKVJDFDwJdSnNZaxmWbA</t>
  </si>
  <si>
    <t xml:space="preserve">UCpE5Pxpx-8aF8fuDCWceauQ</t>
  </si>
  <si>
    <t xml:space="preserve">UCjgXHzI3nwXAdRWp2sWXlMA</t>
  </si>
  <si>
    <t xml:space="preserve">UCUinnqDgIsNFleLdkZKbP-w</t>
  </si>
  <si>
    <t xml:space="preserve">UCAxbrg--mvnIJZ3lYlfUFEQ</t>
  </si>
  <si>
    <t xml:space="preserve">UCfxxwHTnP6w-OxtfCFPFLlA</t>
  </si>
  <si>
    <t xml:space="preserve">UCakP9YkpvNlUJafNMVMm9_g</t>
  </si>
  <si>
    <t xml:space="preserve">UCLTZ5y21NnklrxpU5AfWd8w</t>
  </si>
  <si>
    <t xml:space="preserve">UCjjX7g9T83GQwp-OwUvoL4Q</t>
  </si>
  <si>
    <t xml:space="preserve">UCaxp-9Yy92K5rdOR5IMTRMQ</t>
  </si>
  <si>
    <t xml:space="preserve">UCXY6WdOpOQjbuGi285p5fkg</t>
  </si>
  <si>
    <t xml:space="preserve">UCPAIZGzCZoh6aBt0mjpFs8w</t>
  </si>
  <si>
    <t xml:space="preserve">UCfKTQtyChDfWcGjesLCCo3A</t>
  </si>
  <si>
    <t xml:space="preserve">UC2a8EyBbqn9G84MiGS8KCzw</t>
  </si>
  <si>
    <t xml:space="preserve">UCIRQPBPjQ_nh-wVnU8yiO0g</t>
  </si>
  <si>
    <t xml:space="preserve">UCt3rLKLaLCsp3y7NghrMN7w</t>
  </si>
  <si>
    <t xml:space="preserve">UC8zniFyxlrjLMqByJOqzXJg</t>
  </si>
  <si>
    <t xml:space="preserve">UCQ64OJCJRmJFU3PtFVXA7dA</t>
  </si>
  <si>
    <t xml:space="preserve">UCZnEmPdjrqHST-dMnBVhWWQ</t>
  </si>
  <si>
    <t xml:space="preserve">UCRjuD-HB5Xm3iIK17kiidng</t>
  </si>
  <si>
    <t xml:space="preserve">UCGLbP4rkR2vA58xW2M1Itvw</t>
  </si>
  <si>
    <t xml:space="preserve">UCxqWJY1O6dLes-fCmz0icsg</t>
  </si>
  <si>
    <t xml:space="preserve">UC3ejhoq06gEzXBWmi3OiG_w</t>
  </si>
  <si>
    <t xml:space="preserve">UCkRpflgoq9XYz7L7V5bozVA</t>
  </si>
  <si>
    <t xml:space="preserve">UCPOQV3iklWCbqNGKNYFD6eQ</t>
  </si>
  <si>
    <t xml:space="preserve">UCT2OYGLtOyyui_9MGrnfyzA</t>
  </si>
  <si>
    <t xml:space="preserve">UCncnlpiTnf89IJrekMKoa3A</t>
  </si>
  <si>
    <t xml:space="preserve">UC7rrVKpwrAh4F0YlPHkRDBw</t>
  </si>
  <si>
    <t xml:space="preserve">UCln0yl_aQ1dyp-p47S1JlAA</t>
  </si>
  <si>
    <t xml:space="preserve">UC_nBuSoephMprIVD-ngJK2A</t>
  </si>
  <si>
    <t xml:space="preserve">UCFD9HVg7dwjX2y8kuzsdFCw</t>
  </si>
  <si>
    <t xml:space="preserve">UC34qgLijjhpbpFiorTopc-A</t>
  </si>
  <si>
    <t xml:space="preserve">UCi_3vuFyK4p0DIRybmKzLdw</t>
  </si>
  <si>
    <t xml:space="preserve">UCKB51g1kFjNC4YcJFZc1BIw</t>
  </si>
  <si>
    <t xml:space="preserve">UC7qNptVPmU3XD_j2WZe87IA</t>
  </si>
  <si>
    <t xml:space="preserve">UCEjRQ7qrHalnvbC6fqEjprQ</t>
  </si>
  <si>
    <t xml:space="preserve">UC97I07S7pE120EvkIc-2djg</t>
  </si>
  <si>
    <t xml:space="preserve">UCN2YTiNhfGstE-eLPJ3eFog</t>
  </si>
  <si>
    <t xml:space="preserve">UCqjKmwtJgE4XO2jyqogBgDw</t>
  </si>
  <si>
    <t xml:space="preserve">UCJYqqqcGjORLZNwrmT_0AmQ</t>
  </si>
  <si>
    <t xml:space="preserve">UC349KrEr163YiouvyXPqyng</t>
  </si>
  <si>
    <t xml:space="preserve">UCkKh0mX-A5uTbk60YutGFxg</t>
  </si>
  <si>
    <t xml:space="preserve">UC1y_pMWHs35hWzI6xOswEcA</t>
  </si>
  <si>
    <t xml:space="preserve">UCZDw5adNyEZVGrHH46oZ_pw</t>
  </si>
  <si>
    <t xml:space="preserve">UCSO0WrbZxXnE1JjQ_vYd5-w</t>
  </si>
  <si>
    <t xml:space="preserve">UC495CxDZ6Ts7JtS4LaFqZRg</t>
  </si>
  <si>
    <t xml:space="preserve">UCH78gQSeLFgsgY8K5tcU8xg</t>
  </si>
  <si>
    <t xml:space="preserve">UCF1ZCW5tq5qQSu80inGPEtw</t>
  </si>
  <si>
    <t xml:space="preserve">UCtZKX1VYaG6ixamdmv-xphw</t>
  </si>
  <si>
    <t xml:space="preserve">UCTXsIo5BSAQefDtHRoxaAkA</t>
  </si>
  <si>
    <t xml:space="preserve">UCI4vUrhPyHdI4XsJ023zIeg</t>
  </si>
  <si>
    <t xml:space="preserve">UCGnb7w3Vg5Re79ZP6txcuLA</t>
  </si>
  <si>
    <t xml:space="preserve">UCcxP3vMEVVFafLBasCHcjCg</t>
  </si>
  <si>
    <t xml:space="preserve">UC1ePkT4Kd_DrO1qK6-o0Qdg</t>
  </si>
  <si>
    <t xml:space="preserve">UC4950gpY6Qw1lCAcN6gNWwQ</t>
  </si>
  <si>
    <t xml:space="preserve">UCIzIiQw2vKTJ1T9iseFZ6IA</t>
  </si>
  <si>
    <t xml:space="preserve">UCdOXo9qWxK_RBrl6WCh5U_w</t>
  </si>
  <si>
    <t xml:space="preserve">UCc0i7kIIcu6FhhsfMUGa6EA</t>
  </si>
  <si>
    <t xml:space="preserve">UCsrYnyOJoaLIxCKTRWdy1Cg</t>
  </si>
  <si>
    <t xml:space="preserve">UCb25kwWi-DQkdWIfi7eGEtw</t>
  </si>
  <si>
    <t xml:space="preserve">UCdQpFNQdtsnDJWWg_gts9TQ</t>
  </si>
  <si>
    <t xml:space="preserve">UCtwfxsWcKgOpkfcIkRM7cig</t>
  </si>
  <si>
    <t xml:space="preserve">UCRpHd7yoytMmLAkHwOJJjJA</t>
  </si>
  <si>
    <t xml:space="preserve">UCVJprK-z_llrX5mjzabEITw</t>
  </si>
  <si>
    <t xml:space="preserve">UC9S4dwNL3ZCdtSXjiBQT58Q</t>
  </si>
  <si>
    <t xml:space="preserve">UCKXoc0LaLfSvjX9Aomt0PAg</t>
  </si>
  <si>
    <t xml:space="preserve">UCShOERdmAnqqizmgm6LN10g</t>
  </si>
  <si>
    <t xml:space="preserve">UChKEplrLm0RjiS4u1HEw7vA</t>
  </si>
  <si>
    <t xml:space="preserve">UCLVu0s81Zf7RwFRf-7Iencw</t>
  </si>
  <si>
    <t xml:space="preserve">UC8eY8ISIUQw3z777OkIjhmg</t>
  </si>
  <si>
    <t xml:space="preserve">UCRrC-24ktw9_VMdDyD4l4Vg</t>
  </si>
  <si>
    <t xml:space="preserve">UCXSu1hX5Rjtz1dOuEcJDTaQ</t>
  </si>
  <si>
    <t xml:space="preserve">UCrFFZezTiJqdb4qsARhoJBA</t>
  </si>
  <si>
    <t xml:space="preserve">UCXtYYBFLJH9uMcHBo51PTTA</t>
  </si>
  <si>
    <t xml:space="preserve">UCsHu-6LsKptUI6JXiE8_TSw</t>
  </si>
  <si>
    <t xml:space="preserve">UC0TIQqZlCxJ4IxQklHEuLIA</t>
  </si>
  <si>
    <t xml:space="preserve">UChy4qc0Gt26NsMfldeQ2DMQ</t>
  </si>
  <si>
    <t xml:space="preserve">UC-Lq6oBPTgTXT_K-ylWL6hg</t>
  </si>
  <si>
    <t xml:space="preserve">UCr4RgscGzEPiRBgaZqNloIQ</t>
  </si>
  <si>
    <t xml:space="preserve">UCPNqG27o0v7IilocJ0AMgyA</t>
  </si>
  <si>
    <t xml:space="preserve">UCB8Z6Sv5iV7bZ3zLBEXACZw</t>
  </si>
  <si>
    <t xml:space="preserve">UCnodYVsfzgxkrbr4sg2Pvzg</t>
  </si>
  <si>
    <t xml:space="preserve">UClQe8Cv08ARem7GEHfueBFw</t>
  </si>
  <si>
    <t xml:space="preserve">UC9fJhqqUjHuIMmUg9hsspog</t>
  </si>
  <si>
    <t xml:space="preserve">UCUbhtpmudp_9vfmytdcD3lQ</t>
  </si>
  <si>
    <t xml:space="preserve">UCzZG860wco0uK0J1GUJ1FkQ</t>
  </si>
  <si>
    <t xml:space="preserve">UCM-QrSHV-iywfINPY9I-RUA</t>
  </si>
  <si>
    <t xml:space="preserve">UCu4SBfOzjWQxD7YgZDMHKmA</t>
  </si>
  <si>
    <t xml:space="preserve">UCukOd7nHf07PRHBsV7ttatw</t>
  </si>
  <si>
    <t xml:space="preserve">UCgbzclo4Mfy_D68w_Bm_xHg</t>
  </si>
  <si>
    <t xml:space="preserve">UCg48OIfYWyNrUAIM2CLeWLg</t>
  </si>
  <si>
    <t xml:space="preserve">UC5x741O_kvdCo7TQqe5Wswg</t>
  </si>
  <si>
    <t xml:space="preserve">UC2eDqWezG-msBQGEudROPQQ</t>
  </si>
  <si>
    <t xml:space="preserve">UC3D4SmVrLNeLuhRzxhYyqQA</t>
  </si>
  <si>
    <t xml:space="preserve">UCaVJ3htnVChY_jybGebkpWA</t>
  </si>
  <si>
    <t xml:space="preserve">UCJwWde9J3Mq-yQuXgfqq7Qw</t>
  </si>
  <si>
    <t xml:space="preserve">UChVqM-kDRJV26VgbdywK9RQ</t>
  </si>
  <si>
    <t xml:space="preserve">UCJ-F1ElALMfXS74xaWja8jg</t>
  </si>
  <si>
    <t xml:space="preserve">UCoi7mlbUebBpQmDtB3L557A</t>
  </si>
  <si>
    <t xml:space="preserve">UCyXaR6Uh9Gsg_UktdcpnrTw</t>
  </si>
  <si>
    <t xml:space="preserve">UCNZMOOmPJStgwhiJ3x-MZ_A</t>
  </si>
  <si>
    <t xml:space="preserve">UC6nCMhA2hqyw6Xa3RYkVoaA</t>
  </si>
  <si>
    <t xml:space="preserve">UCcv7pQItsjxLsNUrPfDcdAA</t>
  </si>
  <si>
    <t xml:space="preserve">UCsuIBsIhkrZHcS5XLOLTBVg</t>
  </si>
  <si>
    <t xml:space="preserve">UCzA4rUy-K3DlFUtQb1Lg0Gg</t>
  </si>
  <si>
    <t xml:space="preserve">UCg0BZXZm905Jr8g3S05XPIw</t>
  </si>
  <si>
    <t xml:space="preserve">UCRbP2fAbCBOMiaci7tz_sAA</t>
  </si>
  <si>
    <t xml:space="preserve">UCjKTHeGY67SWFlTnxvfdlOg</t>
  </si>
  <si>
    <t xml:space="preserve">UC9ONXesnc2vLVtsRCszOFWQ</t>
  </si>
  <si>
    <t xml:space="preserve">UCYTDFn2LU594a-3r4bJdS2Q</t>
  </si>
  <si>
    <t xml:space="preserve">UCD2DXey1TK7rev4VGOBvT_g</t>
  </si>
  <si>
    <t xml:space="preserve">UC46mkaCxmMOl04fVBOiA9sA</t>
  </si>
  <si>
    <t xml:space="preserve">UC1XRRtnhJbVmmUt35uTPzJQ</t>
  </si>
  <si>
    <t xml:space="preserve">UCr_pADpnsYU0vstpsKhroCA</t>
  </si>
  <si>
    <t xml:space="preserve">UCqRxy3ZIxNTsncy1dUIuzCA</t>
  </si>
  <si>
    <t xml:space="preserve">UCPfIahQwwXmbI1E4cHw943w</t>
  </si>
  <si>
    <t xml:space="preserve">UC9zh516XCUhN1EVIdblTXXQ</t>
  </si>
  <si>
    <t xml:space="preserve">UCQI27SNKdA8n4EtWsYspw6A</t>
  </si>
  <si>
    <t xml:space="preserve">UCTS6MKBP4KA7V4FQI-j9_nQ</t>
  </si>
  <si>
    <t xml:space="preserve">UCT2l1PRoMdGy9yjFERb246A</t>
  </si>
  <si>
    <t xml:space="preserve">UCdupQvA3NlGfyaPaZKWSgTA</t>
  </si>
  <si>
    <t xml:space="preserve">UClGyZZrTsCNqUl99morKSXQ</t>
  </si>
  <si>
    <t xml:space="preserve">UCyd65pVw5LedPib6vPKjJww</t>
  </si>
  <si>
    <t xml:space="preserve">UCJ7CyMMhxnFsvlmUuX94amQ</t>
  </si>
  <si>
    <t xml:space="preserve">UCk19iYDCu8aV_KTDdELiucw</t>
  </si>
  <si>
    <t xml:space="preserve">UCEk5D5RfUgAJd3VfCz3vWTw</t>
  </si>
  <si>
    <t xml:space="preserve">UC8K9ptYhFDTtnUDoz95WJQw</t>
  </si>
  <si>
    <t xml:space="preserve">UC7TaWp0z7QF7dU6CpBtwzCA</t>
  </si>
  <si>
    <t xml:space="preserve">UCUKv9os4AZolovN8AS6yyBw</t>
  </si>
  <si>
    <t xml:space="preserve">UC-Bv3mNHpmThj8Pru6m7Sxg</t>
  </si>
  <si>
    <t xml:space="preserve">UCdYV_l-cgsMRHZvp0zkmujg</t>
  </si>
  <si>
    <t xml:space="preserve">UCmxUSaxdeXP5eTfZUSIRSxg</t>
  </si>
  <si>
    <t xml:space="preserve">UCtNxjL-8WeFZ6LbfrOYgNoQ</t>
  </si>
  <si>
    <t xml:space="preserve">UCeCAgFOPBU7R-rO4WOKuWRw</t>
  </si>
  <si>
    <t xml:space="preserve">UCllPdzxctUXHt96Lmze-i2Q</t>
  </si>
  <si>
    <t xml:space="preserve">UC9IyRve7POZRef7pZJ3Q2LA</t>
  </si>
  <si>
    <t xml:space="preserve">UCpV-YXzvk_8q_9IWQReFx-w</t>
  </si>
  <si>
    <t xml:space="preserve">UCTfRFl2lJdoEPWWtNGW9RwA</t>
  </si>
  <si>
    <t xml:space="preserve">UC3cLf6pTB23nDry7awtxSZQ</t>
  </si>
  <si>
    <t xml:space="preserve">UC7wr_pLs8KVXkkXWZxHLR0A</t>
  </si>
  <si>
    <t xml:space="preserve">UCxEUpa2i61uLicbStQtO9VQ</t>
  </si>
  <si>
    <t xml:space="preserve">UCmUu9dZWflUxUy4xE_hLy5A</t>
  </si>
  <si>
    <t xml:space="preserve">UCltVEZ6GecWntoZ19FvaWhQ</t>
  </si>
  <si>
    <t xml:space="preserve">UCet9FEXim3LTgRYf3I8F5nA</t>
  </si>
  <si>
    <t xml:space="preserve">UCUcvsN9Jqc4RzVvMlJ1y_FA</t>
  </si>
  <si>
    <t xml:space="preserve">UCwmys8Ytu2vx43J32ZqSflw</t>
  </si>
  <si>
    <t xml:space="preserve">UCnP6-dbvDfws8eTMC3fcKeQ</t>
  </si>
  <si>
    <t xml:space="preserve">UCNxOioAL26MIhh7jpCilmsw</t>
  </si>
  <si>
    <t xml:space="preserve">UC-jxPglhH5SGYlvRRanE_LA</t>
  </si>
  <si>
    <t xml:space="preserve">UCEQh2aDyPJb35GeuSYCx0Ew</t>
  </si>
  <si>
    <t xml:space="preserve">UCkbjR_aj2iLVd2_pYSYKWvw</t>
  </si>
  <si>
    <t xml:space="preserve">UCrubbrdumhsgUksY8kajScQ</t>
  </si>
  <si>
    <t xml:space="preserve">UCqgdGSJPEKCGwElnwnKGE6Q</t>
  </si>
  <si>
    <t xml:space="preserve">UCCuVRDBPU8YNZhkPGux1NPQ</t>
  </si>
  <si>
    <t xml:space="preserve">UCRyu0q6TPe8XZ8z5ixcXtcQ</t>
  </si>
  <si>
    <t xml:space="preserve">UC-K3euFaZE1ixjRPz8xyFCA</t>
  </si>
  <si>
    <t xml:space="preserve">UCGpOGelVdrQzwgRNU0la83A</t>
  </si>
  <si>
    <t xml:space="preserve">UC2S0KiGusFDXWcxwEorulsA</t>
  </si>
  <si>
    <t xml:space="preserve">UCQrQzVfK15z_8KQIKNJ5NXg</t>
  </si>
  <si>
    <t xml:space="preserve">UC1HnNIpLeEx3ROMBKT7xYBA</t>
  </si>
  <si>
    <t xml:space="preserve">UCYXd8ZkJGHy_beLGSk1OB2w</t>
  </si>
  <si>
    <t xml:space="preserve">UCgqFE36SRlascaK19bmYt8A</t>
  </si>
  <si>
    <t xml:space="preserve">UCNa4FT2k32uxIiejEA-VhRA</t>
  </si>
  <si>
    <t xml:space="preserve">UCf7v5xxYy2DJFTkF66rDk-w</t>
  </si>
  <si>
    <t xml:space="preserve">UC3CvR8uMjSWrbSjHePu0y2w</t>
  </si>
  <si>
    <t xml:space="preserve">UCnEvxaWfVL91XIYuyQRO5QA</t>
  </si>
  <si>
    <t xml:space="preserve">UCurtk6gwUZPnccBndhFPNMQ</t>
  </si>
  <si>
    <t xml:space="preserve">UCrnd6XKL5GPaUt5FE8oAXUg</t>
  </si>
  <si>
    <t xml:space="preserve">UCgGeTVwsHR2_J-2-lpwP2rw</t>
  </si>
  <si>
    <t xml:space="preserve">UCjxL3m6G7lirrS3Zr5XB_zw</t>
  </si>
  <si>
    <t xml:space="preserve">UCZ9NvA_Pr0OA2Qcp-QTtOkA</t>
  </si>
  <si>
    <t xml:space="preserve">UCeeMRbUIXsBm50CDq0m1d6Q</t>
  </si>
  <si>
    <t xml:space="preserve">UChftTVI0QJmyXkajQYt2tiQ</t>
  </si>
  <si>
    <t xml:space="preserve">UCu1GOYV4Rj-qjRu1AztuYzw</t>
  </si>
  <si>
    <t xml:space="preserve">UCpXkJu0f8EecS4P65v5wDSw</t>
  </si>
  <si>
    <t xml:space="preserve">UCXzULCWuvbnjm7Q0F6RBKsw</t>
  </si>
  <si>
    <t xml:space="preserve">UCffs9TWLuHnZpKJwrHGuYVw</t>
  </si>
  <si>
    <t xml:space="preserve">UCdSRCxAFBn0vYm3xC5_mP7Q</t>
  </si>
  <si>
    <t xml:space="preserve">UCaXJ64RlIBdL1icYS6ZbXqg</t>
  </si>
  <si>
    <t xml:space="preserve">UCdpGQQ2dI4X5Zcj6_fyrleQ</t>
  </si>
  <si>
    <t xml:space="preserve">UCcaEVV7A47J4k9GFcqOOYkg</t>
  </si>
  <si>
    <t xml:space="preserve">UCgIqOQDTVLS4HEfhaQAxM6w</t>
  </si>
  <si>
    <t xml:space="preserve">UClslT2ft2ovnWC6ELgKQx_A</t>
  </si>
  <si>
    <t xml:space="preserve">UC3kNEJgTMm9teWwXQOEh1EA</t>
  </si>
  <si>
    <t xml:space="preserve">UCECK12d7IT5yNuqbxNYatQA</t>
  </si>
  <si>
    <t xml:space="preserve">UCYsxkvdYEqzFNdljbma-MMQ</t>
  </si>
  <si>
    <t xml:space="preserve">UCoxhw7GkSURr8G46SN-d7Iw</t>
  </si>
  <si>
    <t xml:space="preserve">UCVanWe2bsVBiZfBcV6Pa27w</t>
  </si>
  <si>
    <t xml:space="preserve">UCkYwlqDr8sBNf0zGolOzF6w</t>
  </si>
  <si>
    <t xml:space="preserve">UCP-VOOW8qLRAOREgFalOyIw</t>
  </si>
  <si>
    <t xml:space="preserve">UChvmhjqojqEM9AuawMWWgVg</t>
  </si>
  <si>
    <t xml:space="preserve">UCKF3xJ7dZIPtriC3GTiuLTQ</t>
  </si>
  <si>
    <t xml:space="preserve">UCm7xZ9sbqhuARuDDcckh8Jg</t>
  </si>
  <si>
    <t xml:space="preserve">UC9ni1W9YC_JS6r2cw6ltpRQ</t>
  </si>
  <si>
    <t xml:space="preserve">UCmoxu62r5ormvzlgBCzKkUQ</t>
  </si>
  <si>
    <t xml:space="preserve">UCuITtiBlk9cNApMKb-x8dDg</t>
  </si>
  <si>
    <t xml:space="preserve">UCFUsdrPRWY7_7M3SBnoDHpA</t>
  </si>
  <si>
    <t xml:space="preserve">UCl7id-iQPjYdwVcVV95j8ww</t>
  </si>
  <si>
    <t xml:space="preserve">UCPH9W_9ZDQ1gemcCaIxOvCw</t>
  </si>
  <si>
    <t xml:space="preserve">UCEbADilsbPBsZ0yikWEGQBw</t>
  </si>
  <si>
    <t xml:space="preserve">UCPBvHOVl_ml3CY7cE7aAXnw</t>
  </si>
  <si>
    <t xml:space="preserve">UCyGR5vfdIzNj6VRY13nzO-g</t>
  </si>
  <si>
    <t xml:space="preserve">UCOxSrhP-s9LO5lgxiILfiUQ</t>
  </si>
  <si>
    <t xml:space="preserve">UCz18UmICSTK9mHtbjnT6eYw</t>
  </si>
  <si>
    <t xml:space="preserve">UCupP-eshlH7rLssXLqk_Fcw</t>
  </si>
  <si>
    <t xml:space="preserve">UCN9wd7l72MeOH28F8cvgf1A</t>
  </si>
  <si>
    <t xml:space="preserve">UCgvKGKLkN9BJ1DvU2opQMnA</t>
  </si>
  <si>
    <t xml:space="preserve">UCUw9VaiAo02DVLvOzn8JjOg</t>
  </si>
  <si>
    <t xml:space="preserve">UC3bOIEnFeLmmFn189N3a71g</t>
  </si>
  <si>
    <t xml:space="preserve">UC__xQiIU59lV0qdHnWIJVZA</t>
  </si>
  <si>
    <t xml:space="preserve">UClg8gLlTw5bVv_5zM-zm0bA</t>
  </si>
  <si>
    <t xml:space="preserve">UC0xDxKep0FSP50w9PHo9_BQ</t>
  </si>
  <si>
    <t xml:space="preserve">UCrjuXJV0UuvaeYvXjQdWDMw</t>
  </si>
  <si>
    <t xml:space="preserve">UC6vHUVCAJkZkR7PO-wVivGQ</t>
  </si>
  <si>
    <t xml:space="preserve">UCr-BYW60bAtDcNtz6AoiHZQ</t>
  </si>
  <si>
    <t xml:space="preserve">UCPP7GcTE9jB0koFzVGTpNWQ</t>
  </si>
  <si>
    <t xml:space="preserve">UCl65LpG4D14ziZsBU322izg</t>
  </si>
  <si>
    <t xml:space="preserve">UCBEcDNAGf60igpe1SD31L7A</t>
  </si>
  <si>
    <t xml:space="preserve">UCmBLIcqOLWwrrAJ-jaCttqw</t>
  </si>
  <si>
    <t xml:space="preserve">UCtN3EdibbTwHJHQ2Tktvq1w</t>
  </si>
  <si>
    <t xml:space="preserve">UCI83ypD0duDgFydeeIOw5Hw</t>
  </si>
  <si>
    <t xml:space="preserve">UCv__5XBCC3lXbs9BRP3SGwQ</t>
  </si>
  <si>
    <t xml:space="preserve">UCkWikoyGKZVXL1zXe2RbLmw</t>
  </si>
  <si>
    <t xml:space="preserve">UCYL4XTsXXffnnM_RveJPilQ</t>
  </si>
  <si>
    <t xml:space="preserve">UCtjUeDrfQvlaY7qEQU7k4CA</t>
  </si>
  <si>
    <t xml:space="preserve">UCgq3yo_CiroLdMzd3DG3ihw</t>
  </si>
  <si>
    <t xml:space="preserve">UCdziZq3v_hw6Iy0bhjmQ2qQ</t>
  </si>
  <si>
    <t xml:space="preserve">UCYrd-GAufj7FMtLwdv4TTUg</t>
  </si>
  <si>
    <t xml:space="preserve">UCKcd6ftUV4y620v8gH492dQ</t>
  </si>
  <si>
    <t xml:space="preserve">UCpGXHRVPjzNS9XXa3wga_4Q</t>
  </si>
  <si>
    <t xml:space="preserve">UCU-1_oPBN_XeKCQ1_FhVZ0g</t>
  </si>
  <si>
    <t xml:space="preserve">UCQaH0ZD6X6lHA5CC9zfRWqw</t>
  </si>
  <si>
    <t xml:space="preserve">UCjkuicKYwDKbx7-fRYIGVCw</t>
  </si>
  <si>
    <t xml:space="preserve">UC67fG4C9-Bi_kRfOregFrPQ</t>
  </si>
  <si>
    <t xml:space="preserve">UC2UWtuZR3kH-5C26HVMMB6A</t>
  </si>
  <si>
    <t xml:space="preserve">UClPNxJe-0AGuRuCEo9eWn4w</t>
  </si>
  <si>
    <t xml:space="preserve">UCBTje3Q6Crs6fbWVoU9lSmw</t>
  </si>
  <si>
    <t xml:space="preserve">UC6S4YYTB0-kjicarlRoJO4Q</t>
  </si>
  <si>
    <t xml:space="preserve">UCAH_IybCdaLP6MOH0M9WNhA</t>
  </si>
  <si>
    <t xml:space="preserve">UCpgL4Fmrs70J5nR2PknBIBg</t>
  </si>
  <si>
    <t xml:space="preserve">UCHxXI50KkwXXvzoExuImQjw</t>
  </si>
  <si>
    <t xml:space="preserve">UCrNEibpQVgfj97O1E3ViuIg</t>
  </si>
  <si>
    <t xml:space="preserve">UCG5TBPANNSiKf1Dp-R5Dibg</t>
  </si>
  <si>
    <t xml:space="preserve">UC6do60iTcg-A2zh2-Mw_4iw</t>
  </si>
  <si>
    <t xml:space="preserve">UC-sc9TAs4scvSUMpixFhcLA</t>
  </si>
  <si>
    <t xml:space="preserve">UCkrhwJgXznk_uEuM1vYCBow</t>
  </si>
  <si>
    <t xml:space="preserve">UC1HCmCmCHuzWlA8B2z7tSqg</t>
  </si>
  <si>
    <t xml:space="preserve">UCzKVZcwsxOUlodqqVNh8Few</t>
  </si>
  <si>
    <t xml:space="preserve">UCEJuyku9vgFEaWF9BOhDGHg</t>
  </si>
  <si>
    <t xml:space="preserve">UCkqvgURgm0HsiyAVbYLUKYA</t>
  </si>
  <si>
    <t xml:space="preserve">UCNSkIgYMLDX3tZDNWPnbrDw</t>
  </si>
  <si>
    <t xml:space="preserve">UCrPBipWhCfKmSjJ7Ph58Lpg</t>
  </si>
  <si>
    <t xml:space="preserve">UC31ZzlPiOcdCHzMtU6iaNrw</t>
  </si>
  <si>
    <t xml:space="preserve">UC_FeJbUd9Fl3lIwREjdDWvQ</t>
  </si>
  <si>
    <t xml:space="preserve">UCCO7hadK1HMgY2NAHJ0TjJA</t>
  </si>
  <si>
    <t xml:space="preserve">UCkImkB6fhATBXSLZS-bmbxA</t>
  </si>
  <si>
    <t xml:space="preserve">UC9-sYF5Y6NiqUyj2W0dqsZg</t>
  </si>
  <si>
    <t xml:space="preserve">UCDuY5016XGXQicCNu3ICkMQ</t>
  </si>
  <si>
    <t xml:space="preserve">UC9VKXPGzRIs9raMlCwzljtA</t>
  </si>
  <si>
    <t xml:space="preserve">UCGvNkNliMYQheU0zfMOuwKw</t>
  </si>
  <si>
    <t xml:space="preserve">UCI6ro6bEGSP7hxnw7y9w7jg</t>
  </si>
  <si>
    <t xml:space="preserve">UC2-p4-sbN9ejsIgCuL80yJQ</t>
  </si>
  <si>
    <t xml:space="preserve">UCFopxPIzSmGxO3tlb5cq3RQ</t>
  </si>
  <si>
    <t xml:space="preserve">UCIIBvOFzDgWaRvxMSFWQ4PQ</t>
  </si>
  <si>
    <t xml:space="preserve">UCbjxt-hEuVwxgpgBpKhrIXg</t>
  </si>
  <si>
    <t xml:space="preserve">UC4U5j8zZxVT9xYfXSDKN7aQ</t>
  </si>
  <si>
    <t xml:space="preserve">UCrq23_7IhvLc5TBYOfS9wpA</t>
  </si>
  <si>
    <t xml:space="preserve">UC4qXyMvDs6OnNEnjQtinZJA</t>
  </si>
  <si>
    <t xml:space="preserve">UCNfB3dGHi6X59Twi804nBfQ</t>
  </si>
  <si>
    <t xml:space="preserve">UCEFROwNzpAVKTjgxBwW_hcw</t>
  </si>
  <si>
    <t xml:space="preserve">UCA66vNjkHxsrsg_c24tPCMA</t>
  </si>
  <si>
    <t xml:space="preserve">UCQrEEqN4S5q2eo5xgnSkDJQ</t>
  </si>
  <si>
    <t xml:space="preserve">UCREjSTFcjv3TMm6DcQcu1yg</t>
  </si>
  <si>
    <t xml:space="preserve">UCBFHwUVvQFlD6pyiL3Nz55Q</t>
  </si>
  <si>
    <t xml:space="preserve">UCEQDRQulkFXRxtaG4nmCqUg</t>
  </si>
  <si>
    <t xml:space="preserve">UCHmbpngBnch0K7PzNd_EgTQ</t>
  </si>
  <si>
    <t xml:space="preserve">UC8TKuyf3YLLpZyhSSfWeC5g</t>
  </si>
  <si>
    <t xml:space="preserve">UCQcdPsZg85hCL5SrbWaxqmw</t>
  </si>
  <si>
    <t xml:space="preserve">UCtBp5FUvxIQV-3Dn4K_43-A</t>
  </si>
  <si>
    <t xml:space="preserve">UCxey-6Ass0Z7XZPy48WaT5g</t>
  </si>
  <si>
    <t xml:space="preserve">UCE2wlZa76MBtP4yP_6Oh9XA</t>
  </si>
  <si>
    <t xml:space="preserve">UC55y8UaV5E_jClKC5i2Fq4A</t>
  </si>
  <si>
    <t xml:space="preserve">UCgDQ1iWbI3jE3BXPQ9WrdeQ</t>
  </si>
  <si>
    <t xml:space="preserve">UCPtn9psJHWpkCiGMrImk-OA</t>
  </si>
  <si>
    <t xml:space="preserve">UCwMNVCXcSWNMS0C8rcRCWxA</t>
  </si>
  <si>
    <t xml:space="preserve">UCEQdp2Ln2KkuaJQznKysBZQ</t>
  </si>
  <si>
    <t xml:space="preserve">UCyIDx8HxkAki4Xn57dibzQQ</t>
  </si>
  <si>
    <t xml:space="preserve">UCe0V40nSRlvKca_Ab0qmiDw</t>
  </si>
  <si>
    <t xml:space="preserve">UCw8N-DOJvKMA3eEHpwZBviw</t>
  </si>
  <si>
    <t xml:space="preserve">UCp-Y2Xs9UUX-LK8muCMBZEw</t>
  </si>
  <si>
    <t xml:space="preserve">UCp4Ii_WWNRygrunLIZmz6UA</t>
  </si>
  <si>
    <t xml:space="preserve">UCi9c1ZlPAl7R1-GkUiVz8tQ</t>
  </si>
  <si>
    <t xml:space="preserve">UCUrWdbas60k9F8et9LSzsTg</t>
  </si>
  <si>
    <t xml:space="preserve">UCxVjtTQJ1oFkQ3iGhOngU3g</t>
  </si>
  <si>
    <t xml:space="preserve">UCrU83y4nqxHQOkmBIid8IBg</t>
  </si>
  <si>
    <t xml:space="preserve">UC_ABCKsjQxyKPWQKaAeKLhQ</t>
  </si>
  <si>
    <t xml:space="preserve">UCfnlC6IW_hOUvhxeNi5tmIQ</t>
  </si>
  <si>
    <t xml:space="preserve">UCJWInAK0nFgi4TvgJNlreAQ</t>
  </si>
  <si>
    <t xml:space="preserve">UC9hM3AzdBWylAm5j93U7VIg</t>
  </si>
  <si>
    <t xml:space="preserve">UCOU5u1rPYslueE8-OTktDJw</t>
  </si>
  <si>
    <t xml:space="preserve">UCJkMa25_J1VeUITBSuy05Lw</t>
  </si>
  <si>
    <t xml:space="preserve">UCsPY1ZSHlyO3mR8uwDgnhhQ</t>
  </si>
  <si>
    <t xml:space="preserve">UCpEwWCE8WIXudatk7QqduMw</t>
  </si>
  <si>
    <t xml:space="preserve">UCLRIGBQ3iYEvQ6zqz8mWGoQ</t>
  </si>
  <si>
    <t xml:space="preserve">UCwBK7Cdk0wq8rCjxcvaoHzg</t>
  </si>
  <si>
    <t xml:space="preserve">UCiYDDqu07eZ6jHhqghPkQRg</t>
  </si>
  <si>
    <t xml:space="preserve">UC3LtEVr13vCHJti1nYv_bFw</t>
  </si>
  <si>
    <t xml:space="preserve">UCa58mLerer3ZIjlDWIGUrsQ</t>
  </si>
  <si>
    <t xml:space="preserve">UCZ0hNUqXDl0YWh3ulUZy1jQ</t>
  </si>
  <si>
    <t xml:space="preserve">UCLmnb38gWWR2E9h6hP4nBUA</t>
  </si>
  <si>
    <t xml:space="preserve">UCH0iRQA_hzlRIH2riAEEYXA</t>
  </si>
  <si>
    <t xml:space="preserve">UCce0wnqiu2LZrP-RQpnZzlg</t>
  </si>
  <si>
    <t xml:space="preserve">UCe-udlhK-c99taYGHw27bCg</t>
  </si>
  <si>
    <t xml:space="preserve">UC46bBqt3sf_0jpb0_EV3_sA</t>
  </si>
  <si>
    <t xml:space="preserve">UCa7y271A_d1YOYS6zSbHsNg</t>
  </si>
  <si>
    <t xml:space="preserve">UC261_KcN9A6EIie_Rq0vlWg</t>
  </si>
  <si>
    <t xml:space="preserve">UContdlLWyc4rSawktknVsUw</t>
  </si>
  <si>
    <t xml:space="preserve">UCK2rNQqY9KQh2Z5sx2pEVwQ</t>
  </si>
  <si>
    <t xml:space="preserve">UCl4eeqqXO2-x5H3oZCmHkgA</t>
  </si>
  <si>
    <t xml:space="preserve">UCaCdxEGfJJiu78ggoUXgPmQ</t>
  </si>
  <si>
    <t xml:space="preserve">UCPJ79zw0s7gkGy4Klcec5Eg</t>
  </si>
  <si>
    <t xml:space="preserve">UCc7h-w42GLvShOJp9mLEnfQ</t>
  </si>
  <si>
    <t xml:space="preserve">UCoHRfosJPoNicScREo2ogoQ</t>
  </si>
  <si>
    <t xml:space="preserve">UC7xI1AfCeWVwhTJo9s8lfqw</t>
  </si>
  <si>
    <t xml:space="preserve">UCDKld-eQhipWTywkyjVsv8g</t>
  </si>
  <si>
    <t xml:space="preserve">UCayHunLLwsvSjsRdcqSEtkQ</t>
  </si>
  <si>
    <t xml:space="preserve">UCukjoAYihvMs_fXztVUlskg</t>
  </si>
  <si>
    <t xml:space="preserve">UCiMGqWGbvTWb_v9BfzPaAJw</t>
  </si>
  <si>
    <t xml:space="preserve">UCO93cuz8OldBCCVs9juouGQ</t>
  </si>
  <si>
    <t xml:space="preserve">UCMmlpasIkauxDudwm7OWARg</t>
  </si>
  <si>
    <t xml:space="preserve">UCYvHwzRkCgIQEQPh-Xs157A</t>
  </si>
  <si>
    <t xml:space="preserve">UCV5p6UIuW4xG6ztC6FkYVKA</t>
  </si>
  <si>
    <t xml:space="preserve">UCmQjwvkaB6MPobHnkNKtJJQ</t>
  </si>
  <si>
    <t xml:space="preserve">UCVn2FncTxTs_HBYxqLb0Wpw</t>
  </si>
  <si>
    <t xml:space="preserve">UCX83R1wR2NBD6BU2cdRrXzQ</t>
  </si>
  <si>
    <t xml:space="preserve">UCGFNZxMqKLsqWERX_N2f08Q</t>
  </si>
  <si>
    <t xml:space="preserve">UC7eykPlg09noi896kJtwQIg</t>
  </si>
  <si>
    <t xml:space="preserve">UCzR19uKU0fHRTQAbRqSt1dQ</t>
  </si>
  <si>
    <t xml:space="preserve">UCz2e8E8lREYtYXFzZtvQ3HA</t>
  </si>
  <si>
    <t xml:space="preserve">UCqjYwlve_KZZbcnfE9Iv5Ow</t>
  </si>
  <si>
    <t xml:space="preserve">UCYaUCDFM78nk0AhS1qqHvXg</t>
  </si>
  <si>
    <t xml:space="preserve">UCcklllzDe6aBb7DUHOCF81A</t>
  </si>
  <si>
    <t xml:space="preserve">UCdT7aCnfj61pQG1NCp2O1aA</t>
  </si>
  <si>
    <t xml:space="preserve">UCDDKCR7fXV_86mqMrOsg3eg</t>
  </si>
  <si>
    <t xml:space="preserve">UCgB3hMtpcrwPhMZ9Nxmwuaw</t>
  </si>
  <si>
    <t xml:space="preserve">UCSvQIaXSik2emJ83jlwvQLQ</t>
  </si>
  <si>
    <t xml:space="preserve">UCL3XwUOYlAtHn2acFq315FQ</t>
  </si>
  <si>
    <t xml:space="preserve">UCKikJALWBXnCI6-yq-XXDnQ</t>
  </si>
  <si>
    <t xml:space="preserve">UCv0Akm6g843WeURRRy0NS0A</t>
  </si>
  <si>
    <t xml:space="preserve">UC14aFPpH4jF3FfRQZojCfeg</t>
  </si>
  <si>
    <t xml:space="preserve">UC4jYxQXFqB5q6INV6WEQC2A</t>
  </si>
  <si>
    <t xml:space="preserve">UCNBJuY9iYlIDsarkhwqg9MQ</t>
  </si>
  <si>
    <t xml:space="preserve">UC2SfzR8I4H725YIKTDoyjJQ</t>
  </si>
  <si>
    <t xml:space="preserve">UCjwyLvP-id9N3PKpGrHDWBg</t>
  </si>
  <si>
    <t xml:space="preserve">UCNMuaylS0S7JcD5oS5o0b8Q</t>
  </si>
  <si>
    <t xml:space="preserve">UCGOyVdAdQJksllLtjh6eGtA</t>
  </si>
  <si>
    <t xml:space="preserve">UC19KvKnSZAmYI41Jam2y1KQ</t>
  </si>
  <si>
    <t xml:space="preserve">UCZLLuQzWzyu-uw4JRq7TUbQ</t>
  </si>
  <si>
    <t xml:space="preserve">UCg91dkR-ZnMiIhCXnMRWpFw</t>
  </si>
  <si>
    <t xml:space="preserve">UCGkySu2BbnUx-A9X2y6cW7Q</t>
  </si>
  <si>
    <t xml:space="preserve">UCLduA1Vu6SxjX-BLWeayi-g</t>
  </si>
  <si>
    <t xml:space="preserve">UCy48CHOjMNRFoEQqYN1GbBQ</t>
  </si>
  <si>
    <t xml:space="preserve">UC0YjNnW6alaNDb7MoFZh-ow</t>
  </si>
  <si>
    <t xml:space="preserve">UCgEjfmZH0LNhQqZyMuMTsXQ</t>
  </si>
  <si>
    <t xml:space="preserve">UC6NCA8RHPNYrjH89eeAp7xQ</t>
  </si>
  <si>
    <t xml:space="preserve">UCbIBOJdk55c-L9OVnE4pIYw</t>
  </si>
  <si>
    <t xml:space="preserve">UCOh8QRInWH7eetY8mEzE75Q</t>
  </si>
  <si>
    <t xml:space="preserve">UC0I2zIDen0GCH8TaqN0sxtw</t>
  </si>
  <si>
    <t xml:space="preserve">UCKlSCO8Tnr1_QUSDNjWCwjA</t>
  </si>
  <si>
    <t xml:space="preserve">UCGi2Q4YyKiJFiBOx4cGXsgw</t>
  </si>
  <si>
    <t xml:space="preserve">UCwptzoqZVtgYz0h8aP1RxnQ</t>
  </si>
  <si>
    <t xml:space="preserve">UCPGfpNJ-LPY-ohZMlJBklGg</t>
  </si>
  <si>
    <t xml:space="preserve">UCwkhjRhv6CHkQa6EiQmcX0g</t>
  </si>
  <si>
    <t xml:space="preserve">UC6Z_XF_6BjxIELs8wICbpww</t>
  </si>
  <si>
    <t xml:space="preserve">UCfSh7LBPbMtrpFyBmlf17Tw</t>
  </si>
  <si>
    <t xml:space="preserve">UC81kGOT8Dm5j_mCbMg1YJOA</t>
  </si>
  <si>
    <t xml:space="preserve">UCkjU6pdBfNmoO4dUKMzkIzg</t>
  </si>
  <si>
    <t xml:space="preserve">UCMaWYdsTGxbAHKSGAMstBbg</t>
  </si>
  <si>
    <t xml:space="preserve">UCqvVj1LkOpA8tjb7RadTvOg</t>
  </si>
  <si>
    <t xml:space="preserve">UCos0ZRbvMR00q90TB6gQaqQ</t>
  </si>
  <si>
    <t xml:space="preserve">UCIiXnFc-q227plcY0_0VC2Q</t>
  </si>
  <si>
    <t xml:space="preserve">UCaLFNjNObEMwQthrIz3AgrQ</t>
  </si>
  <si>
    <t xml:space="preserve">UCHca09YXIXzK32mGjOuHjRg</t>
  </si>
  <si>
    <t xml:space="preserve">UCV4tVRNKyKs27Y2tk3EGZMQ</t>
  </si>
  <si>
    <t xml:space="preserve">UCsJbtfpVKHM7TRblaE1ucOA</t>
  </si>
  <si>
    <t xml:space="preserve">UCu6gTJCzGb9FNgwzD6U-G0Q</t>
  </si>
  <si>
    <t xml:space="preserve">UCZSvcx5livf9FGEcibVLSHw</t>
  </si>
  <si>
    <t xml:space="preserve">UCAKFvPhIVf4IV66hd-5_kew</t>
  </si>
  <si>
    <t xml:space="preserve">UCSiZoFK15X9FuaDHc0BT0ow</t>
  </si>
  <si>
    <t xml:space="preserve">UCU2nVTHqiOAP_q5nkNttlGA</t>
  </si>
  <si>
    <t xml:space="preserve">UChlXgaMFohHawOH31rDAuvQ</t>
  </si>
  <si>
    <t xml:space="preserve">UC1k3o_uC52ik9BbQ3Whofnw</t>
  </si>
  <si>
    <t xml:space="preserve">UCT4J70qT-6HE94d_bAjGg4A</t>
  </si>
  <si>
    <t xml:space="preserve">UCn3LMWskFryk5RkcCB2REBA</t>
  </si>
  <si>
    <t xml:space="preserve">UCGbRzfVAZb1TVbQCEaXQCqw</t>
  </si>
  <si>
    <t xml:space="preserve">UCSAEHA4nwjRFBrU5niu4c-A</t>
  </si>
  <si>
    <t xml:space="preserve">UCakQcBIYmlb6hq0I4pXgHNA</t>
  </si>
  <si>
    <t xml:space="preserve">UCabpcbOhYXpi4oy-iRfGfXQ</t>
  </si>
  <si>
    <t xml:space="preserve">UCi8cCe02oSGS21lHrAcjogA</t>
  </si>
  <si>
    <t xml:space="preserve">UCQK7t8zJ9dDpPnYfxhAeJpw</t>
  </si>
  <si>
    <t xml:space="preserve">UCZS-R1UKJSz__NfT4JSg4yA</t>
  </si>
  <si>
    <t xml:space="preserve">UCY2FmxAIaIxEuBzZaCdj1HQ</t>
  </si>
  <si>
    <t xml:space="preserve">UCMzfer3jg_vtm50MZXqOBsg</t>
  </si>
  <si>
    <t xml:space="preserve">UCT0CjhYznK60QHOGEGQODXQ</t>
  </si>
  <si>
    <t xml:space="preserve">UCcOxI916RtvvgO9AF7FbPyg</t>
  </si>
  <si>
    <t xml:space="preserve">UCsjd3VJr7yaUuqy07IJKspA</t>
  </si>
  <si>
    <t xml:space="preserve">UC2FrJXBb3WVAKZ8jpxkZxlA</t>
  </si>
  <si>
    <t xml:space="preserve">UCr3xiloPSsLDay4NlPZ6yIQ</t>
  </si>
  <si>
    <t xml:space="preserve">UCxH__rbDqH5uVm8mVBALnJA</t>
  </si>
  <si>
    <t xml:space="preserve">UCr4Ewp0K16mmjQbZLEr0OGA</t>
  </si>
  <si>
    <t xml:space="preserve">UCTmj1lotzGSsJpSHbcjtD1A</t>
  </si>
  <si>
    <t xml:space="preserve">UCzFRfjs5aM2nqwRDpeKzCQw</t>
  </si>
  <si>
    <t xml:space="preserve">UCDXg7kpthXnmEN_n9wRqW-Q</t>
  </si>
  <si>
    <t xml:space="preserve">UC8L8R_8VvK5jkr1QCfhp1AQ</t>
  </si>
  <si>
    <t xml:space="preserve">UCMV4ILxQfeiCRbTLLiCXcJg</t>
  </si>
  <si>
    <t xml:space="preserve">UCL7pXyhtgb4lK6I2ENLG2wg</t>
  </si>
  <si>
    <t xml:space="preserve">UCmuSPlchjLraieuEs33mcVA</t>
  </si>
  <si>
    <t xml:space="preserve">UCeXCKGQEcCqF0ojV7SPQAhw</t>
  </si>
  <si>
    <t xml:space="preserve">UCQP8HKPyW5QV5c-oLoBDH8Q</t>
  </si>
  <si>
    <t xml:space="preserve">UCVlNQ5Olu3Uiv5FL8e-yEmQ</t>
  </si>
  <si>
    <t xml:space="preserve">UC8QZDYMwbYyjW71pWK30gog</t>
  </si>
  <si>
    <t xml:space="preserve">UCm5wqOv8S9i4xnR_YdpBCZQ</t>
  </si>
  <si>
    <t xml:space="preserve">UC8ABcHCZg-7DOo5YfNHSVaw</t>
  </si>
  <si>
    <t xml:space="preserve">UCTXj_utLAzaLtG_W3B-IkrQ</t>
  </si>
  <si>
    <t xml:space="preserve">UCgDxzDMx9OLBjM1k-b6oGcw</t>
  </si>
  <si>
    <t xml:space="preserve">UCMec1m9iUC3agiEK-nsndSg</t>
  </si>
  <si>
    <t xml:space="preserve">UCno7Il827hKNgL7lArqRifQ</t>
  </si>
  <si>
    <t xml:space="preserve">UCN3FVxVVEonjlAEXlamnPlQ</t>
  </si>
  <si>
    <t xml:space="preserve">UCmJXBP6ccOwCodih8RZDGkQ</t>
  </si>
  <si>
    <t xml:space="preserve">UCOnIvQVhGDpkITlbXvlIX7w</t>
  </si>
  <si>
    <t xml:space="preserve">UCo_TpV4uc-FozyI9KrZm7ew</t>
  </si>
  <si>
    <t xml:space="preserve">UCMSjsvDuobchFSw5U1SDaqg</t>
  </si>
  <si>
    <t xml:space="preserve">UCp3T5fUUJootTrVwGDdY6pw</t>
  </si>
  <si>
    <t xml:space="preserve">UCYg_3sQ0LbKkO-AJSZRnAJw</t>
  </si>
  <si>
    <t xml:space="preserve">UCGMzrEBiuWxmK7-vjRGGPWg</t>
  </si>
  <si>
    <t xml:space="preserve">UCMwXzQYeZJ7ml7kQObcvXjA</t>
  </si>
  <si>
    <t xml:space="preserve">UC9CqYEZ6IN144o-YmJZP1gQ</t>
  </si>
  <si>
    <t xml:space="preserve">UCjyLJjiHJEdyzaQB8eUDYww</t>
  </si>
  <si>
    <t xml:space="preserve">UCCX5e1d3Mcj1T8Xyc7ANkvw</t>
  </si>
  <si>
    <t xml:space="preserve">UCyOp-jf0wiFKDlreqoy5INw</t>
  </si>
  <si>
    <t xml:space="preserve">UCGYygfy61VHLjdxahKlGPkw</t>
  </si>
  <si>
    <t xml:space="preserve">UCkKWpg0ZqCBwFd-L6DvTATA</t>
  </si>
  <si>
    <t xml:space="preserve">UC7Os19ttNnSoL0dQVqQ0XTQ</t>
  </si>
  <si>
    <t xml:space="preserve">UCwwqtIwgYqtv_RUl8DKW6vg</t>
  </si>
  <si>
    <t xml:space="preserve">UCUUqw6wGjWuU147ytvwBqtA</t>
  </si>
  <si>
    <t xml:space="preserve">UCE41HQGI0Ln91HQKQYAn9CA</t>
  </si>
  <si>
    <t xml:space="preserve">UCzaHixEQXtejyjOIdEAFRig</t>
  </si>
  <si>
    <t xml:space="preserve">UCKYrFGPx_Hi6EJPQlaw5YZw</t>
  </si>
  <si>
    <t xml:space="preserve">UCXcPmSjgThvZ5U69Z3B8tlQ</t>
  </si>
  <si>
    <t xml:space="preserve">UC4BjX3BqigeWAOp0kLkKSIA</t>
  </si>
  <si>
    <t xml:space="preserve">UCaMaG83fBhaw2wW5yShNjIQ</t>
  </si>
  <si>
    <t xml:space="preserve">UCk3eWT8H_Hyon__NqbiNqUg</t>
  </si>
  <si>
    <t xml:space="preserve">UCk37AZtxmQAfemCDrAM4ftw</t>
  </si>
  <si>
    <t xml:space="preserve">UCpbG0QvrvdpBAegtY_ebeEw</t>
  </si>
  <si>
    <t xml:space="preserve">UCIW2Hf2i0_bMimQ2hidrfrA</t>
  </si>
  <si>
    <t xml:space="preserve">UCfP9XMZZhvXar6Tmq5u2JgQ</t>
  </si>
  <si>
    <t xml:space="preserve">UCy9mbDODzmaRNIKTeqQoHiA</t>
  </si>
  <si>
    <t xml:space="preserve">UCSlTJnomY7jbqSdpaP3NKjA</t>
  </si>
  <si>
    <t xml:space="preserve">UC0HVp7ZcUl0-8F_1WTdnITQ</t>
  </si>
  <si>
    <t xml:space="preserve">UCRiuJZuj-BDudMeMHDRHDMg</t>
  </si>
  <si>
    <t xml:space="preserve">UCNnN-a-wYCT5qPSVS63_-lw</t>
  </si>
  <si>
    <t xml:space="preserve">UCivhspq9t4QYUK1HGQsD0gw</t>
  </si>
  <si>
    <t xml:space="preserve">UCzfkaSiYk6tlaeh6g5pJTUw</t>
  </si>
  <si>
    <t xml:space="preserve">UCPMDhcBogBPsrGQWf5qnArg</t>
  </si>
  <si>
    <t xml:space="preserve">UCCgPaAdKngEyHI8Bwmj9Dxw</t>
  </si>
  <si>
    <t xml:space="preserve">UC7YiIbvHoF2nm4ILb8z_u7A</t>
  </si>
  <si>
    <t xml:space="preserve">UCuNr_1HThlVxHGUlpC6pDGA</t>
  </si>
  <si>
    <t xml:space="preserve">UCKus4cACc23dxnGtapKn3og</t>
  </si>
  <si>
    <t xml:space="preserve">UCNMCLJlFSqiUb1EnXII3zhQ</t>
  </si>
  <si>
    <t xml:space="preserve">UCq3AOBEYM_603_3nw7cO-wQ</t>
  </si>
  <si>
    <t xml:space="preserve">UCtWYTlLYoN76JgvhiJjdevQ</t>
  </si>
  <si>
    <t xml:space="preserve">UCTmo6Mwiw6IXJ-_8Vgzg-tw</t>
  </si>
  <si>
    <t xml:space="preserve">UCRXuOk2U792ckMIa8guVB3Q</t>
  </si>
  <si>
    <t xml:space="preserve">UCsJz_2AY9gM-v4mPbkeatwQ</t>
  </si>
  <si>
    <t xml:space="preserve">UCUAzH52yyGniSDFDBbVVmdg</t>
  </si>
  <si>
    <t xml:space="preserve">UCfU-hzd3TCgK2z41SKcqqXA</t>
  </si>
  <si>
    <t xml:space="preserve">UCKtcc8SgtIQ3WyhIga0Fzuw</t>
  </si>
  <si>
    <t xml:space="preserve">UC8G8fWlJTj1BpmBtCQL-4JQ</t>
  </si>
  <si>
    <t xml:space="preserve">UChCt_TlRW3HSUubweFNzKNw</t>
  </si>
  <si>
    <t xml:space="preserve">UCYE196FOgK9PjXsfAaLHwTw</t>
  </si>
  <si>
    <t xml:space="preserve">UCKHgcjUnD4iptFN70XbuKfA</t>
  </si>
  <si>
    <t xml:space="preserve">UCOBtGJgbBY-v43OvkiWVrnw</t>
  </si>
  <si>
    <t xml:space="preserve">UCQCWud-wZfd18wZ7kxNe4PQ</t>
  </si>
  <si>
    <t xml:space="preserve">UCC7efdpFLJZQ3ekEgRUEJ9g</t>
  </si>
  <si>
    <t xml:space="preserve">UCE_uRktV4Fh9VbN3bl9tATw</t>
  </si>
  <si>
    <t xml:space="preserve">UCkjoHfkLEy7ZT4bA2myJ8xA</t>
  </si>
  <si>
    <t xml:space="preserve">UCksVr8lIwOPd1UtJkE3mdJQ</t>
  </si>
  <si>
    <t xml:space="preserve">UCLZ5zqg3DHDTnjfUUv3gX4w</t>
  </si>
  <si>
    <t xml:space="preserve">UCeMepUlAYyqintZfnxneFXg</t>
  </si>
  <si>
    <t xml:space="preserve">UCIAZbIzdrlqrBkx0YS1dE8A</t>
  </si>
  <si>
    <t xml:space="preserve">UCKAN892rlYqn1GY038fUEvg</t>
  </si>
  <si>
    <t xml:space="preserve">UChjOMfFEJ6uNWMiJPKnonWw</t>
  </si>
  <si>
    <t xml:space="preserve">UC8R7YzmI67W6efiOmlfF6uQ</t>
  </si>
  <si>
    <t xml:space="preserve">UCtbYqEkfmBqXwOd6a5U4_7Q</t>
  </si>
  <si>
    <t xml:space="preserve">UC_x4ZMVpA_PMqMC-gzxH4aQ</t>
  </si>
  <si>
    <t xml:space="preserve">UCW_TIK76420IXT65grYVrwA</t>
  </si>
  <si>
    <t xml:space="preserve">UCIWfLaeOUCi2PnTHTPvANhA</t>
  </si>
  <si>
    <t xml:space="preserve">UCa-oGc2zyXADUr1ohwchLNA</t>
  </si>
  <si>
    <t xml:space="preserve">UCsC61voCIlH9UilBhDZTYzQ</t>
  </si>
  <si>
    <t xml:space="preserve">UC7iLnwfWTSxpw2uC_2xLHcg</t>
  </si>
  <si>
    <t xml:space="preserve">UCZCFT11CWBi3MHNlGf019nw</t>
  </si>
  <si>
    <t xml:space="preserve">UCrJtr5S4B9zxq1J4wZirXpA</t>
  </si>
  <si>
    <t xml:space="preserve">UC2fpiorMFNMHUNp1xF3yehA</t>
  </si>
  <si>
    <t xml:space="preserve">UCihLNfwtBIihjaM0VJXn0zg</t>
  </si>
  <si>
    <t xml:space="preserve">UCkvRE7QapbwT97rFj40u1Dw</t>
  </si>
  <si>
    <t xml:space="preserve">UCmly8yFk82bDeWrPMm2HInA</t>
  </si>
  <si>
    <t xml:space="preserve">UC0f_3P7S_CjNn3ipPQxBQLQ</t>
  </si>
  <si>
    <t xml:space="preserve">UCXzOPXsOLCJQcy1LUtUaUdg</t>
  </si>
  <si>
    <t xml:space="preserve">UCe87mEpxvny4bp3C5-maFGw</t>
  </si>
  <si>
    <t xml:space="preserve">UCA7NHP6iYLDGmFsnrNcD74Q</t>
  </si>
  <si>
    <t xml:space="preserve">UCNh1egMomGI3hjJ0DHExdUg</t>
  </si>
  <si>
    <t xml:space="preserve">UCQ60JFypHS_hvZadpnjdGbQ</t>
  </si>
  <si>
    <t xml:space="preserve">UCmnEsLQNA0P-t541TmQAdFA</t>
  </si>
  <si>
    <t xml:space="preserve">UCOTH8Ug_KMvfiWx_TTouqCw</t>
  </si>
  <si>
    <t xml:space="preserve">UCuQpcZjy4i6IUy88kvkVd2A</t>
  </si>
  <si>
    <t xml:space="preserve">UC5jYE8I9OXtkUE50X534DhQ</t>
  </si>
  <si>
    <t xml:space="preserve">UChsMXGUb6KiyQEw5jwR-JAg</t>
  </si>
  <si>
    <t xml:space="preserve">UCUtOBay7y4UzlYrUyFHbBDA</t>
  </si>
  <si>
    <t xml:space="preserve">UC7r6YicDjoE_CzEM0h3Trww</t>
  </si>
  <si>
    <t xml:space="preserve">UCj3-6UdxvMeARLRP6sEq7vw</t>
  </si>
  <si>
    <t xml:space="preserve">UCa8G8VGSx-xOe3Z7kCRBLyA</t>
  </si>
  <si>
    <t xml:space="preserve">UCjiPxzIyNtfQ2HZZ1eVjZlg</t>
  </si>
  <si>
    <t xml:space="preserve">UCG1LNHAZl7UT8igKJ_Gg_-A</t>
  </si>
  <si>
    <t xml:space="preserve">UCjfvvW4x5Wf6NkEr3Z9Mkgg</t>
  </si>
  <si>
    <t xml:space="preserve">UCZnirBhyCVAKA2i-K9i-cNQ</t>
  </si>
  <si>
    <t xml:space="preserve">UC2PKHjgNzCpQW_PjrNIL_7A</t>
  </si>
  <si>
    <t xml:space="preserve">UCtPtN1WnIJTWBnY8UGsRl_A</t>
  </si>
  <si>
    <t xml:space="preserve">UC0iiPDABxXax-0CstSKHEhw</t>
  </si>
  <si>
    <t xml:space="preserve">UCP3VXqnagI9RwE5skWBTHJQ</t>
  </si>
  <si>
    <t xml:space="preserve">UCSVvcw3fzgeA1PXjmsH7k2g</t>
  </si>
  <si>
    <t xml:space="preserve">UC9QTPQr1BMZXwUFJ0o0KTvQ</t>
  </si>
  <si>
    <t xml:space="preserve">UCi2G9ohi72VcvTgTdbdOXmg</t>
  </si>
  <si>
    <t xml:space="preserve">UC1iljUaI3J9Ir0U8oKcnraQ</t>
  </si>
  <si>
    <t xml:space="preserve">UCZiKYUwDEM-KG0RNwbyfOBw</t>
  </si>
  <si>
    <t xml:space="preserve">UC9mnhwuXFvXhZg0p-3lWyzg</t>
  </si>
  <si>
    <t xml:space="preserve">UChnK-EoSW6er1qtWkwnJDRw</t>
  </si>
  <si>
    <t xml:space="preserve">UCWLGk_kByEZZFdiofH_zOLg</t>
  </si>
  <si>
    <t xml:space="preserve">UC5_w_K68sorikI3Qp-q4e1A</t>
  </si>
  <si>
    <t xml:space="preserve">UC8OCoGX9tmMneOzIFUTWq2Q</t>
  </si>
  <si>
    <t xml:space="preserve">UCa-887S8qGCgxwJav-o6mKw</t>
  </si>
  <si>
    <t xml:space="preserve">UCC0X138UF0QD97aHO7MOGWA</t>
  </si>
  <si>
    <t xml:space="preserve">UCeP4oj6TsUlnlzQqUzKxUjg</t>
  </si>
  <si>
    <t xml:space="preserve">UCnw8VSv2dpitq5WneisxBCg</t>
  </si>
  <si>
    <t xml:space="preserve">UCs-4FDk4iSuJo0B0XAVqImA</t>
  </si>
  <si>
    <t xml:space="preserve">UCneQdPbDLwZ__ZXP0YVwiag</t>
  </si>
  <si>
    <t xml:space="preserve">UCYiXp5BvVm1UPxeAU3eRKEg</t>
  </si>
  <si>
    <t xml:space="preserve">UCp5N1RcLG8w2XIcnQBiAamQ</t>
  </si>
  <si>
    <t xml:space="preserve">UCxo45-IJiod73wimjR62XwQ</t>
  </si>
  <si>
    <t xml:space="preserve">UC29hhUv0eeg_LjVLcHepHJw</t>
  </si>
  <si>
    <t xml:space="preserve">UCOVasAAvzwCvR1QFaxFlpQA</t>
  </si>
  <si>
    <t xml:space="preserve">UCbwXnUipZsLfUckBPsC7Jog</t>
  </si>
  <si>
    <t xml:space="preserve">UCovJEbo4mfudaX0VoZblQRA</t>
  </si>
  <si>
    <t xml:space="preserve">UC0bd1IAfOijSGAZQYhpEypg</t>
  </si>
  <si>
    <t xml:space="preserve">UCZnV1hkn5A3fdpTOVi60tzg</t>
  </si>
  <si>
    <t xml:space="preserve">UCKSGmEx5nKZCgjRny-9LaWQ</t>
  </si>
  <si>
    <t xml:space="preserve">UCRWFdLzS_2x2QvOHXzEYeuw</t>
  </si>
  <si>
    <t xml:space="preserve">UC2hVHyEU3alXMf2oUwUonoA</t>
  </si>
  <si>
    <t xml:space="preserve">UCyEg8coMiEbU2qAVyCkbMhA</t>
  </si>
  <si>
    <t xml:space="preserve">UCZeiFzYDW2MRYUCfk6_IuJQ</t>
  </si>
  <si>
    <t xml:space="preserve">UCvOKCA1sZ10NTd2BPGQKmfg</t>
  </si>
  <si>
    <t xml:space="preserve">UC1vp61AWUWi-vSp1xY2zoPA</t>
  </si>
  <si>
    <t xml:space="preserve">UCgRf62bnK3uX4N-YEhG4Jog</t>
  </si>
  <si>
    <t xml:space="preserve">UCIihexFQucy1Sm7V7yvL_mA</t>
  </si>
  <si>
    <t xml:space="preserve">UC2cfJZ-gQBZzLPckzTZlZSw</t>
  </si>
  <si>
    <t xml:space="preserve">UCwh_2Tw0JzkOEv74yvc20IQ</t>
  </si>
  <si>
    <t xml:space="preserve">UCjbQpmAw7URU7qSa4Ut26dQ</t>
  </si>
  <si>
    <t xml:space="preserve">UCiQLg9dp-ui4YzBWrce9Dsg</t>
  </si>
  <si>
    <t xml:space="preserve">UCqPOSwp5qEyiobGkvbW71Yw</t>
  </si>
  <si>
    <t xml:space="preserve">UCc5MOASmB88rdvyf2LBa-rA</t>
  </si>
  <si>
    <t xml:space="preserve">UCxxh5ogyQagKombRpOC_7Fw</t>
  </si>
  <si>
    <t xml:space="preserve">UCOFZYidKeJaoFrOx3l2wK7A</t>
  </si>
  <si>
    <t xml:space="preserve">UCadPKrZKWAuyA6klaA3zp2w</t>
  </si>
  <si>
    <t xml:space="preserve">UCnXt2toLLxXDDHGj2OR5_8A</t>
  </si>
  <si>
    <t xml:space="preserve">UCTu47HRZ8I8Y-4teHFkpgbg</t>
  </si>
  <si>
    <t xml:space="preserve">UCObEtPlqKoe-teUhbqkI9mw</t>
  </si>
  <si>
    <t xml:space="preserve">UCLeK6v8-lQJgHTZDzfsOqCw</t>
  </si>
  <si>
    <t xml:space="preserve">UC5t7SDwRd4LKGCwBebbG9AQ</t>
  </si>
  <si>
    <t xml:space="preserve">UCLQJkseoOWkevsA0RKZOetQ</t>
  </si>
  <si>
    <t xml:space="preserve">UCDMXq5B7zaiM3AxIG-kQHiw</t>
  </si>
  <si>
    <t xml:space="preserve">UCrr7tDhiiJsnVtlNaAJXDTg</t>
  </si>
  <si>
    <t xml:space="preserve">UCMThgJrCMjCVsMV3F2mngpA</t>
  </si>
  <si>
    <t xml:space="preserve">UCVHRpb5_uQRKnCTnmGagsfQ</t>
  </si>
  <si>
    <t xml:space="preserve">UCw791YE5ppNOG4N1_oD4xxQ</t>
  </si>
  <si>
    <t xml:space="preserve">UCAsVow-8MdMejn4LpwzWDWQ</t>
  </si>
  <si>
    <t xml:space="preserve">UCY3cHUi4DFx-DyGBlH-tVjw</t>
  </si>
  <si>
    <t xml:space="preserve">UCZYbdpG4VSnXwaxfa5gKW1w</t>
  </si>
  <si>
    <t xml:space="preserve">UCSHIuVGOU65gX16_tLr0_IA</t>
  </si>
  <si>
    <t xml:space="preserve">UCg6gBp92yr7JHXBO1QyQzkA</t>
  </si>
  <si>
    <t xml:space="preserve">UCqvLMQTESUNc67-72v5mgfQ</t>
  </si>
  <si>
    <t xml:space="preserve">UCa7KBQxQ5DOs2DvWv7TvoGQ</t>
  </si>
  <si>
    <t xml:space="preserve">UC5fcjujOsqD-126Chn_BAuA</t>
  </si>
  <si>
    <t xml:space="preserve">UC273SUYRAV2gh3UAicZE2WA</t>
  </si>
  <si>
    <t xml:space="preserve">UCNU_lfiiWBdtULKOw6X0Dig</t>
  </si>
  <si>
    <t xml:space="preserve">UCCLzJP8T09kuoy3OGPHNs5g</t>
  </si>
  <si>
    <t xml:space="preserve">UCSh3OOAiMQkf3ooPQ_N7qPw</t>
  </si>
  <si>
    <t xml:space="preserve">UCc3D__Pi5zfQsSP0bshZ9BA</t>
  </si>
  <si>
    <t xml:space="preserve">UCmDgY7fZKvgatlO0Tib2ggQ</t>
  </si>
  <si>
    <t xml:space="preserve">UCKX_3XEl26TfCUtPDg3fRiw</t>
  </si>
  <si>
    <t xml:space="preserve">UCMuXGzMQX65XcPs-zC5P39g</t>
  </si>
  <si>
    <t xml:space="preserve">UCYX7HZKLvs8c3oEnPhoKj0g</t>
  </si>
  <si>
    <t xml:space="preserve">UCOL4iXbiD_L-n72EGZuvcGg</t>
  </si>
  <si>
    <t xml:space="preserve">UC_a4JW3ZQGpVX6ts-eJUAHA</t>
  </si>
  <si>
    <t xml:space="preserve">UCVKJPyNj5PK41sCTw1Vp7Kw</t>
  </si>
  <si>
    <t xml:space="preserve">UCQRH7_cZJo4jJ_csATLMpqg</t>
  </si>
  <si>
    <t xml:space="preserve">UC-tlAxUZWbE4uazRE3-dWWw</t>
  </si>
  <si>
    <t xml:space="preserve">UCxkutMZWzC4cd0p3SNGmueA</t>
  </si>
  <si>
    <t xml:space="preserve">UCFrjzbol2Zy-FaKaCIKIDVA</t>
  </si>
  <si>
    <t xml:space="preserve">UCTidN7Gwqm3Bue8WaNXx0Ew</t>
  </si>
  <si>
    <t xml:space="preserve">UC_7hEWbpvZmbgW8zGC1LgiQ</t>
  </si>
  <si>
    <t xml:space="preserve">UCH3GqX5kJew_o_jC2ZQB_AA</t>
  </si>
  <si>
    <t xml:space="preserve">UCgkY1fdNSGJ-0n0NROMe9kw</t>
  </si>
  <si>
    <t xml:space="preserve">UCqosbxVLcnhDCAGdEr-fVCQ</t>
  </si>
  <si>
    <t xml:space="preserve">UC0z6B6GjsB0ghAt9F_q38VA</t>
  </si>
  <si>
    <t xml:space="preserve">UCSqFmsraqqBf4TMy8HLNlSw</t>
  </si>
  <si>
    <t xml:space="preserve">UCPX1sngcKxui4ivVbVmb_5w</t>
  </si>
  <si>
    <t xml:space="preserve">UCFAr3FQxRhSzVNOD3vq1gMQ</t>
  </si>
  <si>
    <t xml:space="preserve">UC-pfXsfnxfVLnIUuVI0eklQ</t>
  </si>
  <si>
    <t xml:space="preserve">UC8qPi_UNRTEFaTabpzOrFOA</t>
  </si>
  <si>
    <t xml:space="preserve">UCqcEJq8oTXLFOu7YdkEASFg</t>
  </si>
  <si>
    <t xml:space="preserve">UChSmPisHeT_WU2utALjD_GQ</t>
  </si>
  <si>
    <t xml:space="preserve">UCXXq0jk9-22hDAYL2GgL6Wg</t>
  </si>
  <si>
    <t xml:space="preserve">UC4boCfffRCv06xxYDnuJBRw</t>
  </si>
  <si>
    <t xml:space="preserve">UCw-13d9x4WaKNW21k0GSHmQ</t>
  </si>
  <si>
    <t xml:space="preserve">UCOBm5PAfMS7wy_WYPvGjSiQ</t>
  </si>
  <si>
    <t xml:space="preserve">UCxocjKIYgC7bDdAFrNm0f1g</t>
  </si>
  <si>
    <t xml:space="preserve">UCX56XWkzt1NHIoSIrreA5xw</t>
  </si>
  <si>
    <t xml:space="preserve">UCI97XgPe9i0Po7bBHsoTxkQ</t>
  </si>
  <si>
    <t xml:space="preserve">UCHChNsBtUQNlo8ysKVtNTPA</t>
  </si>
  <si>
    <t xml:space="preserve">UCKkASYweDWH_Nqo8rr0SIDA</t>
  </si>
  <si>
    <t xml:space="preserve">UCwZVrhC7kJNE1aV5coPiPwA</t>
  </si>
  <si>
    <t xml:space="preserve">UCzqCnSNqjrow61UvN6hIXKA</t>
  </si>
  <si>
    <t xml:space="preserve">UCd5Os4gT74gxngzUYqGUzzg</t>
  </si>
  <si>
    <t xml:space="preserve">UCUJl8Do5ipeL5NCWSdnkOFw</t>
  </si>
  <si>
    <t xml:space="preserve">UCf1IUYdQ_emhGuDOCWneUQQ</t>
  </si>
  <si>
    <t xml:space="preserve">UCkB-7WQJXmP8n9ZZoqV5KdQ</t>
  </si>
  <si>
    <t xml:space="preserve">UCr8mTakhc_Xg8RZWorwrSjg</t>
  </si>
  <si>
    <t xml:space="preserve">UCx0RH4u8HUbrC6vn_QRR1ww</t>
  </si>
  <si>
    <t xml:space="preserve">UCBs14xuFbPX6Gq8FxORrx_A</t>
  </si>
  <si>
    <t xml:space="preserve">UCs0L7nf_UTKKYkOlmoHJUGg</t>
  </si>
  <si>
    <t xml:space="preserve">UCzR_54cXZM6JoUPz4jfZUPg</t>
  </si>
  <si>
    <t xml:space="preserve">UCMd07ilsid_BHjBkOVXTN3g</t>
  </si>
  <si>
    <t xml:space="preserve">UC87YUJ762K_5ufU2B4t_oNA</t>
  </si>
  <si>
    <t xml:space="preserve">UC8vebkSeSpj--oMpoZfpSjw</t>
  </si>
  <si>
    <t xml:space="preserve">UC6KuMhg4ZzhZxiB8vDmY4wg</t>
  </si>
  <si>
    <t xml:space="preserve">UCsbrh297T27EZVf8qnLQTdQ</t>
  </si>
  <si>
    <t xml:space="preserve">UCLVECJWnapbCQ3FokW19cFQ</t>
  </si>
  <si>
    <t xml:space="preserve">UCtBSbtxzUe6RBplXLt0H2iA</t>
  </si>
  <si>
    <t xml:space="preserve">UCWA5c-eNEUAwWnsz-6izHZQ</t>
  </si>
  <si>
    <t xml:space="preserve">UCEwMEEBp3WfQLNXQhXM_J4g</t>
  </si>
  <si>
    <t xml:space="preserve">UC6YkjPEeAsM2-6TWyk25OJg</t>
  </si>
  <si>
    <t xml:space="preserve">UC66Myveo_O0VetLm-4aSNTw</t>
  </si>
  <si>
    <t xml:space="preserve">UCZg4oSWqniibAcblXMxumtA</t>
  </si>
  <si>
    <t xml:space="preserve">UCKJx-AjPsu3nJuOhfDOvx-A</t>
  </si>
  <si>
    <t xml:space="preserve">UC475kSwAr2v08vxZ3n2Sfvw</t>
  </si>
  <si>
    <t xml:space="preserve">UCeBBy-IqsJxGlt-QcWj35Kg</t>
  </si>
  <si>
    <t xml:space="preserve">UCja2jnO4XXv3WszxNIMwBIQ</t>
  </si>
  <si>
    <t xml:space="preserve">UCIpN4Y3Pt00Q9KoQMWI77_Q</t>
  </si>
  <si>
    <t xml:space="preserve">UCoxB4OnBY2y_xxBdPPAWt4Q</t>
  </si>
  <si>
    <t xml:space="preserve">UCm40kSg56qfys19NtzgXAAg</t>
  </si>
  <si>
    <t xml:space="preserve">UCb8AiNJEAKunasXcn66TjtQ</t>
  </si>
  <si>
    <t xml:space="preserve">UCgUCgVN39J_9tYiBynbVqfg</t>
  </si>
  <si>
    <t xml:space="preserve">UCxxljSYY8VfF6e0HnAoCWtg</t>
  </si>
  <si>
    <t xml:space="preserve">UC0Y45Kd_AkCEGg-EHlEh4Zg</t>
  </si>
  <si>
    <t xml:space="preserve">UCEG5tkfQx_7LcBd43HLRB2g</t>
  </si>
  <si>
    <t xml:space="preserve">UCid1KzwLPMJxMCCNDwPwH4w</t>
  </si>
  <si>
    <t xml:space="preserve">UCflmr7Tyyy38MaAENetim_g</t>
  </si>
  <si>
    <t xml:space="preserve">UC0W0lqAqZFJnoVPy0mz23EA</t>
  </si>
  <si>
    <t xml:space="preserve">UC65I415_fRUE8mIusMWjZ8g</t>
  </si>
  <si>
    <t xml:space="preserve">UCZiOU0XoIPHHplNePB_jaNg</t>
  </si>
  <si>
    <t xml:space="preserve">UC5QU4jsRC31ShrK8y8Ph5gw</t>
  </si>
  <si>
    <t xml:space="preserve">UCHCaK6-vxnPXgjHKbSi2Duw</t>
  </si>
  <si>
    <t xml:space="preserve">UCV3AkAsIDQjNQJHQgYwXjQA</t>
  </si>
  <si>
    <t xml:space="preserve">UC6hTfcDdPADVNUrxXKDlYTg</t>
  </si>
  <si>
    <t xml:space="preserve">UCcjEl-mULYnSKhsqaG7XSaA</t>
  </si>
  <si>
    <t xml:space="preserve">UCOo1wW0llRhP3q7H4Z4z1Zg</t>
  </si>
  <si>
    <t xml:space="preserve">UC3bARXG3Ge1Wmy0w1NvcFgA</t>
  </si>
  <si>
    <t xml:space="preserve">UCjD_oFXbVfCDhGEsHunI-hg</t>
  </si>
  <si>
    <t xml:space="preserve">UCFCVk6D-M2l7keq5rG-USfA</t>
  </si>
  <si>
    <t xml:space="preserve">UCWrEP6EbEMldsSG90kF7eGw</t>
  </si>
  <si>
    <t xml:space="preserve">UCelxoc1vYhrNgODd-LZpDtA</t>
  </si>
  <si>
    <t xml:space="preserve">UCXxcQ_YZA54LQMHamBIw8MQ</t>
  </si>
  <si>
    <t xml:space="preserve">UC3NxURVtCt01hrYWof-MC1g</t>
  </si>
  <si>
    <t xml:space="preserve">UCLu0SEEUn9aZs3n8eI7HCeQ</t>
  </si>
  <si>
    <t xml:space="preserve">UCr4Z40lNLlRQ5hZCorJvWrQ</t>
  </si>
  <si>
    <t xml:space="preserve">UCz6bsE-JWziWZlgLK-ESkYg</t>
  </si>
  <si>
    <t xml:space="preserve">UCIPW2ITBPWv-YzVK7fxRbMQ</t>
  </si>
  <si>
    <t xml:space="preserve">UCAZw0J8soKdCvEo2Z6fB9dw</t>
  </si>
  <si>
    <t xml:space="preserve">UCpKvaNnPFE-IZ2MYefn-1kw</t>
  </si>
  <si>
    <t xml:space="preserve">UCkGS_3D0HEzfflFnG0bD24A</t>
  </si>
  <si>
    <t xml:space="preserve">UCAOwL15bV6JThzY4rRuA9vA</t>
  </si>
  <si>
    <t xml:space="preserve">UC2bBsPXFWZWiBmkRiNlz8vg</t>
  </si>
  <si>
    <t xml:space="preserve">UCUbrjhyuKLULARPBSbskB3w</t>
  </si>
  <si>
    <t xml:space="preserve">UCx2-h_2Ur0tKLPbqncrR8tA</t>
  </si>
  <si>
    <t xml:space="preserve">UCIhyR9uxt0dpX-KdFbpbsiQ</t>
  </si>
  <si>
    <t xml:space="preserve">UCF_R1_yPD9Eh2dIDA-ZZ3eg</t>
  </si>
  <si>
    <t xml:space="preserve">UCgq_XWjYQ00SN0h8Mq78bZQ</t>
  </si>
  <si>
    <t xml:space="preserve">UCOg1YZJNGVEtaD3-aCNiXiQ</t>
  </si>
  <si>
    <t xml:space="preserve">UC1us_5zIzmAgsYaFNSu1juA</t>
  </si>
  <si>
    <t xml:space="preserve">UC_MqdgmUqvRZxhMI6fkRkcw</t>
  </si>
  <si>
    <t xml:space="preserve">UCA7YUDLwkJCg-YBoFwAC3Pg</t>
  </si>
  <si>
    <t xml:space="preserve">UCsVdBczDAVrIlrkyJNLzdGw</t>
  </si>
  <si>
    <t xml:space="preserve">UC_Yb4BuiqYEBWiVJDlEH3ww</t>
  </si>
  <si>
    <t xml:space="preserve">UC3925QSRN5Pxd2GSre0l76g</t>
  </si>
  <si>
    <t xml:space="preserve">UCU8YiKAj3EUd6IE7QG1BThQ</t>
  </si>
  <si>
    <t xml:space="preserve">UCXmUVmeWmuAU6kUqvczMvrg</t>
  </si>
  <si>
    <t xml:space="preserve">UCh5Fyy6OINFQdvQRjAPHlSw</t>
  </si>
  <si>
    <t xml:space="preserve">UCLGmqBEJ75B1fa6WyMHbU3A</t>
  </si>
  <si>
    <t xml:space="preserve">UCXS0LXj5BO9CS8uVBFPBvrg</t>
  </si>
  <si>
    <t xml:space="preserve">UCpagyLd8i4TFIdbeK06QJYw</t>
  </si>
  <si>
    <t xml:space="preserve">UCvRE_fv8Hn4M0keqDnhbjlg</t>
  </si>
  <si>
    <t xml:space="preserve">UCXgGY0wkgOzynnHvSEVmE3A</t>
  </si>
  <si>
    <t xml:space="preserve">UCZhZmvqQM_S8vZ7x13wY4cw</t>
  </si>
  <si>
    <t xml:space="preserve">UCOMXgTrI5rbDOQJxsL_5dQA</t>
  </si>
  <si>
    <t xml:space="preserve">UClFe5TPbW1MVrOPpbNHTDoQ</t>
  </si>
  <si>
    <t xml:space="preserve">UCJsP8akfFckiqqAWlizh7kQ</t>
  </si>
  <si>
    <t xml:space="preserve">UCqe3-9srGs_JY9hyuHrhWHg</t>
  </si>
  <si>
    <t xml:space="preserve">UCgnNMWzQxX4yxYHk6-uK-HA</t>
  </si>
  <si>
    <t xml:space="preserve">UCnSb2DA8qk-fJnocn3uCdsw</t>
  </si>
  <si>
    <t xml:space="preserve">UC2venegqgnT2rk5WUrKfGZA</t>
  </si>
  <si>
    <t xml:space="preserve">UCshoy95dEwB5V3FYcmvadLQ</t>
  </si>
  <si>
    <t xml:space="preserve">UCdsXsX-yN1w1sMvqq572a3w</t>
  </si>
  <si>
    <t xml:space="preserve">UCyiJ5-PRYBnrWsMlHsFHwYg</t>
  </si>
  <si>
    <t xml:space="preserve">UCIV709VoqBcXbe3lRLJ07kw</t>
  </si>
  <si>
    <t xml:space="preserve">UCMdK9x0i5JDfOyAYc7KePKA</t>
  </si>
  <si>
    <t xml:space="preserve">UCTJkhuZ2HqdJr_8p4KGBA6A</t>
  </si>
  <si>
    <t xml:space="preserve">UCkOIowUi4oZ6Y399vq3WTBg</t>
  </si>
  <si>
    <t xml:space="preserve">UC1xvRxqTWRyuZyVO1QZKI2Q</t>
  </si>
  <si>
    <t xml:space="preserve">UC3nhAUpe7aBm1rFCBgoWWcA</t>
  </si>
  <si>
    <t xml:space="preserve">UC-bdz-5EeUPT7lp7oSg4D5w</t>
  </si>
  <si>
    <t xml:space="preserve">UCgZHFBaPcDGphLGOCHTKIPA</t>
  </si>
  <si>
    <t xml:space="preserve">UC0RBaZiyHXUwB_MyBQdrnNA</t>
  </si>
  <si>
    <t xml:space="preserve">UCIl6poj2zyfhZrbq1lFYXBw</t>
  </si>
  <si>
    <t xml:space="preserve">UCKmA8PN6jdOq7bW1DNOGrCg</t>
  </si>
  <si>
    <t xml:space="preserve">UC7mkCr1e2ccrSGNc1Npj-zg</t>
  </si>
  <si>
    <t xml:space="preserve">UCVWXjg9c4o_wc2VqSZtvugg</t>
  </si>
  <si>
    <t xml:space="preserve">UCvsO2SyKzjalhwMv-HhgcWw</t>
  </si>
  <si>
    <t xml:space="preserve">UCa16-D97-w1kxo_JZuQDKwg</t>
  </si>
  <si>
    <t xml:space="preserve">UCuIp3jTJcrZcjVYx_K7o59g</t>
  </si>
  <si>
    <t xml:space="preserve">UCVCaRnqXOgQQ5-Wkty5RRPQ</t>
  </si>
  <si>
    <t xml:space="preserve">UCl0MN4CALU7mJ1clo4Ulszg</t>
  </si>
  <si>
    <t xml:space="preserve">UCbALoji4sNRxH9KHmzJRGGw</t>
  </si>
  <si>
    <t xml:space="preserve">UCxTFPM1NYtPVk1jBwUMJcnw</t>
  </si>
  <si>
    <t xml:space="preserve">UCgaVfVsxeLAbG7T5mRsn9FA</t>
  </si>
  <si>
    <t xml:space="preserve">UCHAeqYA43JwC2MQ0BbEEmPw</t>
  </si>
  <si>
    <t xml:space="preserve">UC3Q1y6PHeoKBvZuaoJ4PrWw</t>
  </si>
  <si>
    <t xml:space="preserve">UCuFE1-r4BllUH6Jc6IAdFVA</t>
  </si>
  <si>
    <t xml:space="preserve">UCm_dtqI5E0aAEy8eRhhHDXg</t>
  </si>
  <si>
    <t xml:space="preserve">UCEQSWysggs3zysnkFdZWaNA</t>
  </si>
  <si>
    <t xml:space="preserve">UC-R6T0M1Qe9nqSn676e4KYg</t>
  </si>
  <si>
    <t xml:space="preserve">UCv6Vt0cc-CNQrRj4yCBG9Ig</t>
  </si>
  <si>
    <t xml:space="preserve">UC-ZKlY4Wzudb5peroU_kjCg</t>
  </si>
  <si>
    <t xml:space="preserve">UCoSvFPM29hYG7AX8ZS7gq1g</t>
  </si>
  <si>
    <t xml:space="preserve">UC920YFSo4MV0KMNdrm7ushQ</t>
  </si>
  <si>
    <t xml:space="preserve">UCFzyeVLrv5xzn2iTjnjaNTw</t>
  </si>
  <si>
    <t xml:space="preserve">UCsdkOiUcDIbwLbttgJEkCbg</t>
  </si>
  <si>
    <t xml:space="preserve">UCgKscN1f8lljHfGpoDQiaWQ</t>
  </si>
  <si>
    <t xml:space="preserve">UCqHJk2u875VHMDIKP9oX2Ng</t>
  </si>
  <si>
    <t xml:space="preserve">UCpmlqW9RIQPqdwh-u0jNPiw</t>
  </si>
  <si>
    <t xml:space="preserve">UC6-2gs-Or14ZmZRN3CrRSkw</t>
  </si>
  <si>
    <t xml:space="preserve">UCWAyT4Yyg2ua2a67tJIX8YQ</t>
  </si>
  <si>
    <t xml:space="preserve">UCnR7bivUZs5Q9lHGnQ2u6gg</t>
  </si>
  <si>
    <t xml:space="preserve">UCBnG19e3YPT3OTMY7uFfu7A</t>
  </si>
  <si>
    <t xml:space="preserve">UCbFQnBzpzxJU5zvdBAQgeIw</t>
  </si>
  <si>
    <t xml:space="preserve">UCKvx6GgDjKfVbWXJBeXGcbQ</t>
  </si>
  <si>
    <t xml:space="preserve">UCKS34cSMNaXaySe2xgXH-3A</t>
  </si>
  <si>
    <t xml:space="preserve">UCYRY748zxmc_WNrnB6UzJpg</t>
  </si>
  <si>
    <t xml:space="preserve">UCy_ibpbm7AT9gBBSeriIsfQ</t>
  </si>
  <si>
    <t xml:space="preserve">UC0o0KmQHl0VAFUoOCUBcbdQ</t>
  </si>
  <si>
    <t xml:space="preserve">UCBqEkWACYxuR5IHlbKuYGqA</t>
  </si>
  <si>
    <t xml:space="preserve">UCBKVf2eWgShfOmW04Okafcw</t>
  </si>
  <si>
    <t xml:space="preserve">UC8FkJPLr2CFgXpfpwaujoDw</t>
  </si>
  <si>
    <t xml:space="preserve">UCKH7p6O31di9voUfWxbqBbQ</t>
  </si>
  <si>
    <t xml:space="preserve">UC4nMiE1jRi1FLID4qMt5pHw</t>
  </si>
  <si>
    <t xml:space="preserve">UCn2FHO6MSDrcSgZv_Y7teqQ</t>
  </si>
  <si>
    <t xml:space="preserve">UCSn2nfmPrDewkgEdEpyE1UQ</t>
  </si>
  <si>
    <t xml:space="preserve">UCLCKMDy2LIDv5A0g-7fIX-w</t>
  </si>
  <si>
    <t xml:space="preserve">UCt22CG7b9crZ0HDk1eTiJjA</t>
  </si>
  <si>
    <t xml:space="preserve">UCqOBJrNEfA2iEpaEFqhgxEQ</t>
  </si>
  <si>
    <t xml:space="preserve">UCbr9s1iYnD4SRszBxzEPELg</t>
  </si>
  <si>
    <t xml:space="preserve">UCLwivhATgumILHTf04RqpmA</t>
  </si>
  <si>
    <t xml:space="preserve">UC2aG3ddqJs7GU-Fq0ETgSLg</t>
  </si>
  <si>
    <t xml:space="preserve">UCYfK27jhpb5U9eRi-vygUUw</t>
  </si>
  <si>
    <t xml:space="preserve">UCvMzpArhmmyAo47g9ENPxhA</t>
  </si>
  <si>
    <t xml:space="preserve">UCZmfb_gIPxsJ_aGmcWNOzlA</t>
  </si>
  <si>
    <t xml:space="preserve">UC5wGYnBavox2y_-G_VvOVig</t>
  </si>
  <si>
    <t xml:space="preserve">UCRmZq4ofmd-t9jcJD9f0Rqw</t>
  </si>
  <si>
    <t xml:space="preserve">UCrpEPrZCzOBIpz4XRMEaUAQ</t>
  </si>
  <si>
    <t xml:space="preserve">UCEu502vFxm_7G13bPrzPhlA</t>
  </si>
  <si>
    <t xml:space="preserve">UCY89C3QuSXSybOiu07Hgabw</t>
  </si>
  <si>
    <t xml:space="preserve">UCXanhQYy0rIhHBYECTJnuZQ</t>
  </si>
  <si>
    <t xml:space="preserve">UC3WUX3IUWi1jf0DTzJMsctw</t>
  </si>
  <si>
    <t xml:space="preserve">UC5npVAigHajUI_6GoJlmKGQ</t>
  </si>
  <si>
    <t xml:space="preserve">UCZBxfor0mAMv1BPoI7oFIVg</t>
  </si>
  <si>
    <t xml:space="preserve">UCtj9c2ALKuzQYYeSlgN6FIA</t>
  </si>
  <si>
    <t xml:space="preserve">UCMDD5kJyjDuBS0r8z6mLS3A</t>
  </si>
  <si>
    <t xml:space="preserve">UCfVr_9LCJDhWfJuSCO0ZdRw</t>
  </si>
  <si>
    <t xml:space="preserve">UC762LVwv3LLuEtAvP_-tpfA</t>
  </si>
  <si>
    <t xml:space="preserve">UCOkh5ImoZmAw20KbXGHhx1Q</t>
  </si>
  <si>
    <t xml:space="preserve">UCvOufQpgXXxNc0Nixg3K79A</t>
  </si>
  <si>
    <t xml:space="preserve">UC-ni0xL6ILMFdzf1A2s4__A</t>
  </si>
  <si>
    <t xml:space="preserve">UC4SUQzurYVmGwgmfdn0yEVg</t>
  </si>
  <si>
    <t xml:space="preserve">UCefc8UJNa1i59EwVNqWyQdg</t>
  </si>
  <si>
    <t xml:space="preserve">UCvHvffta7WtvpQHK5cIWvQA</t>
  </si>
  <si>
    <t xml:space="preserve">UCIvaevG93xJvjGrMGPXq6lQ</t>
  </si>
  <si>
    <t xml:space="preserve">UC1afYOmBmYWeObqzyTyZKaA</t>
  </si>
  <si>
    <t xml:space="preserve">UCtquL7SfwDeeNv-_ZYTHyZg</t>
  </si>
  <si>
    <t xml:space="preserve">UCZyFi6PbooEnAPgRXa1tFZA</t>
  </si>
  <si>
    <t xml:space="preserve">UCnUrJ6BG2I22KRVWwOvxRhg</t>
  </si>
  <si>
    <t xml:space="preserve">UCi8pE9QOXuVaTaH-yjOUmrw</t>
  </si>
  <si>
    <t xml:space="preserve">UC-7roO_wPzwdz3uN3p6k2ew</t>
  </si>
  <si>
    <t xml:space="preserve">UC_rD0WTWsygn28me13EqbkA</t>
  </si>
  <si>
    <t xml:space="preserve">UCpz8IFWrmV9EpxfukeGsw2A</t>
  </si>
  <si>
    <t xml:space="preserve">UCNJHUm49kbu3UiSF_VFHF_g</t>
  </si>
  <si>
    <t xml:space="preserve">UCoG40_RMHT2mKQopLd5rKlA</t>
  </si>
  <si>
    <t xml:space="preserve">UC50-C511u14lvNH0_JX-hBg</t>
  </si>
  <si>
    <t xml:space="preserve">UC67iiEFF9dpd9JRq926hy0w</t>
  </si>
  <si>
    <t xml:space="preserve">UC7b-kvFgpqIt5X4TZnTRLbw</t>
  </si>
  <si>
    <t xml:space="preserve">UCcdyx195HYmtilE4MsBbIug</t>
  </si>
  <si>
    <t xml:space="preserve">UC6pKF6E2uiibwr_3CcvNnww</t>
  </si>
  <si>
    <t xml:space="preserve">UCzt2MEJ975rU7Cd-TO0VIJw</t>
  </si>
  <si>
    <t xml:space="preserve">UCltuKUCkE82ojAtPJy9rFQA</t>
  </si>
  <si>
    <t xml:space="preserve">UChUvKQ5WX6YQlP3dYh-bgCQ</t>
  </si>
  <si>
    <t xml:space="preserve">UCMNbuBxFzn6qIXEXNvMLRPQ</t>
  </si>
  <si>
    <t xml:space="preserve">UCyakDpV1G9UDFDjb9hrKLmg</t>
  </si>
  <si>
    <t xml:space="preserve">UCWwEimxc5QfTFl1kRPdnGsw</t>
  </si>
  <si>
    <t xml:space="preserve">UCbvCqOEH6HeIDawnMy5sb0Q</t>
  </si>
  <si>
    <t xml:space="preserve">UChppmmGGnO0YSAUBBxEiQKw</t>
  </si>
  <si>
    <t xml:space="preserve">UCMdkhodpvWqsZRsIS6aanbw</t>
  </si>
  <si>
    <t xml:space="preserve">UC7pelJY74k-akeQnM9c904Q</t>
  </si>
  <si>
    <t xml:space="preserve">UCel2FW-aAKimLE-R0izie2A</t>
  </si>
  <si>
    <t xml:space="preserve">UC4JqmB6gTvjYSQixZtJ0jHw</t>
  </si>
  <si>
    <t xml:space="preserve">UCFAZiNhH7t_05XFd-BSMaTA</t>
  </si>
  <si>
    <t xml:space="preserve">UC0zw1SQ4qI8HkQ4wgXC4wEg</t>
  </si>
  <si>
    <t xml:space="preserve">UCVimgcUG-RO2sZ8nSSEh_Lw</t>
  </si>
  <si>
    <t xml:space="preserve">UCEYNpe0dQ_fbwDfyo-R_gpA</t>
  </si>
  <si>
    <t xml:space="preserve">UChuqRyDY8O5bGZtRQCFIaZg</t>
  </si>
  <si>
    <t xml:space="preserve">UCjFw-0Vdfy2KW78NClGECXw</t>
  </si>
  <si>
    <t xml:space="preserve">UCpjjSvxSB7Z2NRwMpnMfpWw</t>
  </si>
  <si>
    <t xml:space="preserve">UCDLxH9ONrpemu5LgYT2xMPg</t>
  </si>
  <si>
    <t xml:space="preserve">UCC_-NhK1k3p1m91xj0Hv5CQ</t>
  </si>
  <si>
    <t xml:space="preserve">UC8cEGswq9Oihe96ppLoG9KA</t>
  </si>
  <si>
    <t xml:space="preserve">UCw7z4OnyeKjFSATYX8D5aCQ</t>
  </si>
  <si>
    <t xml:space="preserve">UCdMubk0Op7xihQVaCCnT-HA</t>
  </si>
  <si>
    <t xml:space="preserve">UCfhrT6yr4ktutFfZUeOuvGg</t>
  </si>
  <si>
    <t xml:space="preserve">UCmC-wktipngCaU9nryMdbpQ</t>
  </si>
  <si>
    <t xml:space="preserve">UC09elKy1Fg3_k2wbhpkoOng</t>
  </si>
  <si>
    <t xml:space="preserve">UC2Gdc2VENEag5y8mesm61dg</t>
  </si>
  <si>
    <t xml:space="preserve">UCObs0kLIrDjX2LLSybqNaEA</t>
  </si>
  <si>
    <t xml:space="preserve">UCK-zh7_ihSM9Nh16TKbap7g</t>
  </si>
  <si>
    <t xml:space="preserve">UCGORtCiK3OFUD0AfhjNSZkA</t>
  </si>
  <si>
    <t xml:space="preserve">UCr1X3n7TOReoPWwIKlXXJHQ</t>
  </si>
  <si>
    <t xml:space="preserve">UCz-TkGv-Id18-6HH23EZKvQ</t>
  </si>
  <si>
    <t xml:space="preserve">UC01hPZkQvohjkBD8pFkIL5g</t>
  </si>
  <si>
    <t xml:space="preserve">UC2jA4C5eCh7HtQnk-g_UeOA</t>
  </si>
  <si>
    <t xml:space="preserve">UCV4JkP6p835ZN2nr3RVwicw</t>
  </si>
  <si>
    <t xml:space="preserve">UCi-eFgRhCQXjHTYN6BapsNw</t>
  </si>
  <si>
    <t xml:space="preserve">UCGC3hfY3bFBm1_i7GN2iqxA</t>
  </si>
  <si>
    <t xml:space="preserve">UC7acE3l4cRSzTVXVPZAyggw</t>
  </si>
  <si>
    <t xml:space="preserve">UCqZxg3m8lhp6zFtvlIK9Osw</t>
  </si>
  <si>
    <t xml:space="preserve">UChkldSmdylQA-9MTgc_KN1Q</t>
  </si>
  <si>
    <t xml:space="preserve">UC8rf1wQZqXrbsdnPS8xrisQ</t>
  </si>
  <si>
    <t xml:space="preserve">UCRK4FDIkUyslEAUdyRDdCtQ</t>
  </si>
  <si>
    <t xml:space="preserve">UCau3EDhU5yATEGmAlKn47zw</t>
  </si>
  <si>
    <t xml:space="preserve">UCydShVfAub9TSmL1N4BTlGQ</t>
  </si>
  <si>
    <t xml:space="preserve">UCj2FOkHAiEUGBZJ9A1P_QhQ</t>
  </si>
  <si>
    <t xml:space="preserve">UCAFU6ek5Tbz0RoGoAaG6KCQ</t>
  </si>
  <si>
    <t xml:space="preserve">UCkOd7ibvBNJcY4K2UQ9uijg</t>
  </si>
  <si>
    <t xml:space="preserve">UCIvJRiz1QYeaRIzedkxQayQ</t>
  </si>
  <si>
    <t xml:space="preserve">UC3Y7OyuS9jNdZy3ZadrAbWQ</t>
  </si>
  <si>
    <t xml:space="preserve">UCxNowiShiI4fo6AKz3Z5DuA</t>
  </si>
  <si>
    <t xml:space="preserve">UCwHZNWLHHT9RlW4F80a9byQ</t>
  </si>
  <si>
    <t xml:space="preserve">UCoTlsAQ3J-HFDQn70qD6iUg</t>
  </si>
  <si>
    <t xml:space="preserve">UC3sNc4AhwVr08bxmEkAvmzw</t>
  </si>
  <si>
    <t xml:space="preserve">UCP4KIEuaevJ9JldSrbQHbfQ</t>
  </si>
  <si>
    <t xml:space="preserve">UC5zqPPuIAyEkec2UauNSUYQ</t>
  </si>
  <si>
    <t xml:space="preserve">UCmZZzHSYWGGmZrneLT77G1Q</t>
  </si>
  <si>
    <t xml:space="preserve">UC6dLe_Or2tHSis_i37mAKig</t>
  </si>
  <si>
    <t xml:space="preserve">UClYyCGuDsLqEg7Sr-Bzu_Yg</t>
  </si>
  <si>
    <t xml:space="preserve">UCyXBWoBR6oBbZ3G4hwpWmsA</t>
  </si>
  <si>
    <t xml:space="preserve">UCOkebMGBEoe105vIn_cLkJg</t>
  </si>
  <si>
    <t xml:space="preserve">UCGNcWCBnCWt8fyvjv2WY0Rw</t>
  </si>
  <si>
    <t xml:space="preserve">UCJRyBxk-KqJMhvDZAZUYHEA</t>
  </si>
  <si>
    <t xml:space="preserve">UCuvBr0lmqszAhXmvCuXhpDQ</t>
  </si>
  <si>
    <t xml:space="preserve">UCSL0CW5Uz7l9GaZ6ubqMZlA</t>
  </si>
  <si>
    <t xml:space="preserve">UC3jP_9Hy73cQbIaVo-KBZ8w</t>
  </si>
  <si>
    <t xml:space="preserve">UCRAiOXkZJeHv2Vr7odaHxCA</t>
  </si>
  <si>
    <t xml:space="preserve">UC9zaPE-o3i3wX1-CC8VYUZA</t>
  </si>
  <si>
    <t xml:space="preserve">UCEVbe_5cc7Uq92df-mBfKpw</t>
  </si>
  <si>
    <t xml:space="preserve">UC3QfvUV_Kf4bWxhXbs9HTjg</t>
  </si>
  <si>
    <t xml:space="preserve">UCsutbgin7v6L_k8EDjsxx9w</t>
  </si>
  <si>
    <t xml:space="preserve">UCzdgWZfyWtkrlRUrLwWYfbw</t>
  </si>
  <si>
    <t xml:space="preserve">UCTdnkOQgptCxo9hKW0oBMfw</t>
  </si>
  <si>
    <t xml:space="preserve">UCEGDgFvqR_NTiv2hu7hgLHw</t>
  </si>
  <si>
    <t xml:space="preserve">UCzk0jYAX-PHtML7BfRI0Aiw</t>
  </si>
  <si>
    <t xml:space="preserve">UCmYqeXrUUyNb_K1IMC1cIWg</t>
  </si>
  <si>
    <t xml:space="preserve">UCfgTVakdU0ZF8X1m4lAewMg</t>
  </si>
  <si>
    <t xml:space="preserve">UC-ACIV2qXhSxKD5BL_YcxmA</t>
  </si>
  <si>
    <t xml:space="preserve">UC_WLSFUJEVFOVb9-k3O55xw</t>
  </si>
  <si>
    <t xml:space="preserve">UCQzCFrC6t0zanyTRsg0tOTQ</t>
  </si>
  <si>
    <t xml:space="preserve">UC20AD5GVz6GJhrBcnrwRk7g</t>
  </si>
  <si>
    <t xml:space="preserve">UCTyJBpNC7mdjCT5aF5oulww</t>
  </si>
  <si>
    <t xml:space="preserve">UCZGwlKh9c4jIsIeTlQdyMeQ</t>
  </si>
  <si>
    <t xml:space="preserve">UCK6fYaZuUo9_dENmWOAo0SA</t>
  </si>
  <si>
    <t xml:space="preserve">UCwPac8AUZHTcUXfnPQAtvFA</t>
  </si>
  <si>
    <t xml:space="preserve">UCBE5CX0HutLbNrkQNLxFbDg</t>
  </si>
  <si>
    <t xml:space="preserve">UCgddd6U_7LvgVYX4cp3wybw</t>
  </si>
  <si>
    <t xml:space="preserve">UCh9ttnbZCsGfAqbH2Mi_IRQ</t>
  </si>
  <si>
    <t xml:space="preserve">UCSYFnfGSoFjhLiw8VvML-wg</t>
  </si>
  <si>
    <t xml:space="preserve">UCMgCzscrgIAZj7uK6D0SXYg</t>
  </si>
  <si>
    <t xml:space="preserve">UCsWEj3uf31iAF_STEvO3A2A</t>
  </si>
  <si>
    <t xml:space="preserve">UCzmkF5d5Gp1wEVdhp-5Ikng</t>
  </si>
  <si>
    <t xml:space="preserve">UCZVcQLqXTn1DN-UcDwrc1gQ</t>
  </si>
  <si>
    <t xml:space="preserve">UCQud9U8wB9QegdqHugx7kvw</t>
  </si>
  <si>
    <t xml:space="preserve">UCfQ3dJMtQxPdsR7yLoJR91Q</t>
  </si>
  <si>
    <t xml:space="preserve">UCVXhMt7dMNA3q4nOCZyG6yA</t>
  </si>
  <si>
    <t xml:space="preserve">UCBojFMlkb6JRDZ16jETGyyw</t>
  </si>
  <si>
    <t xml:space="preserve">UCPohbSYq4IXhv0yxiy-sT4g</t>
  </si>
  <si>
    <t xml:space="preserve">UC85BaVmStZexddgDR2vmqTQ</t>
  </si>
  <si>
    <t xml:space="preserve">UCrRvwKQ49YIJ8jtToanksWQ</t>
  </si>
  <si>
    <t xml:space="preserve">UCv3vwGnDVz1DdbWQ-kb20KQ</t>
  </si>
  <si>
    <t xml:space="preserve">UCb9hl4mEViGBV7KPs7a6wPQ</t>
  </si>
  <si>
    <t xml:space="preserve">UCp1p92dYtC6cINJ4rSwJEXw</t>
  </si>
  <si>
    <t xml:space="preserve">UCo87EbKpgO7g_2a8asyvkNg</t>
  </si>
  <si>
    <t xml:space="preserve">UCObWXIaGPPVjX_RJgYDbB1w</t>
  </si>
  <si>
    <t xml:space="preserve">UCnCR63UsN2aoBefBdB2mauQ</t>
  </si>
  <si>
    <t xml:space="preserve">UCTtL9JlFEjObSReB6zTa_EQ</t>
  </si>
  <si>
    <t xml:space="preserve">UCkKdro_JhcnJiMpQlshoCRQ</t>
  </si>
  <si>
    <t xml:space="preserve">UCB6hbV10qLmSGHnBnO2zZ2g</t>
  </si>
  <si>
    <t xml:space="preserve">UCGYWpzvnJqU4cV4Biik145A</t>
  </si>
  <si>
    <t xml:space="preserve">UCSzpGdr998PV6fUe1QRocgQ</t>
  </si>
  <si>
    <t xml:space="preserve">UCIM7NnUgCDQJK9nRLanUZag</t>
  </si>
  <si>
    <t xml:space="preserve">UCO51F72Xv2B8__rrcXxWyVA</t>
  </si>
  <si>
    <t xml:space="preserve">UCzHpza3xQmnZN5ed7cS0E7g</t>
  </si>
  <si>
    <t xml:space="preserve">UCYD6igHhrXnZwUKgza842Dw</t>
  </si>
  <si>
    <t xml:space="preserve">UCi5OWEpC1x26Zbiq0Zx5jBA</t>
  </si>
  <si>
    <t xml:space="preserve">UCKv5vpsAOW0I0bKodUtn3lw</t>
  </si>
  <si>
    <t xml:space="preserve">UCsyvd7I7FvO8wv7KY7NUpTQ</t>
  </si>
  <si>
    <t xml:space="preserve">UCSxL3mufdJKVRpp4jhCDJgw</t>
  </si>
  <si>
    <t xml:space="preserve">UCZ1_MhfxMAotGs8fzZM1f7A</t>
  </si>
  <si>
    <t xml:space="preserve">UCByEAtjrorwxHSpUhqy-wog</t>
  </si>
  <si>
    <t xml:space="preserve">UC0gcptvpaH6s04KaRux1m3Q</t>
  </si>
  <si>
    <t xml:space="preserve">UCvKgvyTC62VZmGZC1xT0USw</t>
  </si>
  <si>
    <t xml:space="preserve">UCRqy4Iq88vWzASHxfJwaAqw</t>
  </si>
  <si>
    <t xml:space="preserve">UCN8I07bA4pBhdSbuzTZ2ngQ</t>
  </si>
  <si>
    <t xml:space="preserve">UCSGtT0xw2aD6gudbueTURGw</t>
  </si>
  <si>
    <t xml:space="preserve">UCxLxRheVrQWOZuZHamTSBbg</t>
  </si>
  <si>
    <t xml:space="preserve">UCtYn65BqtwwC5hg-O2gVtDA</t>
  </si>
  <si>
    <t xml:space="preserve">UCP8Jok-RKUZAnN6xFrfWfTA</t>
  </si>
  <si>
    <t xml:space="preserve">UCM6rj2WUgCHmtjuaHTX_KxA</t>
  </si>
  <si>
    <t xml:space="preserve">UCMTrjCEK2uAt7uzWUfdgxcw</t>
  </si>
  <si>
    <t xml:space="preserve">UCWlWt98vnPTnafx5TPMJ9YQ</t>
  </si>
  <si>
    <t xml:space="preserve">UCziDwO22cX_PwUZyoWcGy5Q</t>
  </si>
  <si>
    <t xml:space="preserve">UCppQZXkwGRfAJgXP6hJrWfQ</t>
  </si>
  <si>
    <t xml:space="preserve">UC5ct4lDoZSBwOiL3kf6uFug</t>
  </si>
  <si>
    <t xml:space="preserve">UCTCb8-uXEG6fjzpJno7cjMQ</t>
  </si>
  <si>
    <t xml:space="preserve">UC2xHKHSbbSNjpwNdPDJAnoA</t>
  </si>
  <si>
    <t xml:space="preserve">UCBqvATpjSubtNxpqUDj4_cA</t>
  </si>
  <si>
    <t xml:space="preserve">UC0c2BU4IW_eulz3vVyO7goQ</t>
  </si>
  <si>
    <t xml:space="preserve">UCYpoE9KwaVGxK7CvIAVzgnA</t>
  </si>
  <si>
    <t xml:space="preserve">UCKwxmrA5c5qxaL-ZDH0KK8w</t>
  </si>
  <si>
    <t xml:space="preserve">UCr5mB2bbUrjEKeWNSYqDpdw</t>
  </si>
  <si>
    <t xml:space="preserve">UC1zc63uygTABP0vnk1jwndQ</t>
  </si>
  <si>
    <t xml:space="preserve">UCtp6V-43hLxyTMGHwWwZuFA</t>
  </si>
  <si>
    <t xml:space="preserve">UC_7QMZFw-6tCGRfvFOlogNw</t>
  </si>
  <si>
    <t xml:space="preserve">UCMgslRVe-Hj4aC0Y-9R3x0w</t>
  </si>
  <si>
    <t xml:space="preserve">UCtKv7_z4rh37OCSEfkZuGow</t>
  </si>
  <si>
    <t xml:space="preserve">UCHEiXYM8ybFqV_wWI69RjGQ</t>
  </si>
  <si>
    <t xml:space="preserve">UCfWo0Z5PKYd86JfQ5ZE5cWg</t>
  </si>
  <si>
    <t xml:space="preserve">UCWCEYVwSqr7Epo6sSCfUgiw</t>
  </si>
  <si>
    <t xml:space="preserve">UCeGa-vSdaxefW7sWtkV_K6A</t>
  </si>
  <si>
    <t xml:space="preserve">UCzcYzGlR-Pz-g0uxycWjOkQ</t>
  </si>
  <si>
    <t xml:space="preserve">UCoJ8Qwf5B7L9so3jzBhgUdQ</t>
  </si>
  <si>
    <t xml:space="preserve">UCvSHp3vBvCQfVUPq7RZ83Kg</t>
  </si>
  <si>
    <t xml:space="preserve">UCzdyCXKtBXyift4oLCxfsZA</t>
  </si>
  <si>
    <t xml:space="preserve">UCUpzcQ89_wuwtNxUFLqmNVw</t>
  </si>
  <si>
    <t xml:space="preserve">UC5LYtpAbd__9SJiKiUuo-8w</t>
  </si>
  <si>
    <t xml:space="preserve">UCbfJpNfBr_ApSMBSFY13f7A</t>
  </si>
  <si>
    <t xml:space="preserve">UCx6SjQP6yC9wbJSdl3Xdwjg</t>
  </si>
  <si>
    <t xml:space="preserve">UCI_mwTKUhicNzFrhm33MzBQ</t>
  </si>
  <si>
    <t xml:space="preserve">UCNwvXInaEC_6V1o9z5Kxj5Q</t>
  </si>
  <si>
    <t xml:space="preserve">UCoEMOWQH4KpyRjAzr1pKIMg</t>
  </si>
  <si>
    <t xml:space="preserve">UCQHELmekg2uKtjUl7G2V1-w</t>
  </si>
  <si>
    <t xml:space="preserve">UCXJ_KQ3t-7g0gaWZhNR3CmA</t>
  </si>
  <si>
    <t xml:space="preserve">UC9jQoxksa5ZL5SytgkCOycA</t>
  </si>
  <si>
    <t xml:space="preserve">UCnRGynbTJF0AoOjqanabIJw</t>
  </si>
  <si>
    <t xml:space="preserve">UCaQ_op46s03JbuxYFzhScng</t>
  </si>
  <si>
    <t xml:space="preserve">UCBVo5w4Cvm3_AEEBqsHjXow</t>
  </si>
  <si>
    <t xml:space="preserve">UCVTMP2Fx3OPSGDiASWrDg4g</t>
  </si>
  <si>
    <t xml:space="preserve">UCcyHbljD0TaleYPlXLPsctg</t>
  </si>
  <si>
    <t xml:space="preserve">UCs5zPgIjULIeXSUvFFYjERg</t>
  </si>
  <si>
    <t xml:space="preserve">UC7FjzHXnckEoiYvE9yASTwQ</t>
  </si>
  <si>
    <t xml:space="preserve">UCMS7ykL2GkTj-KNB_eEkGGw</t>
  </si>
  <si>
    <t xml:space="preserve">UCchVrQxe44AaEP6fI7si8fw</t>
  </si>
  <si>
    <t xml:space="preserve">UCaMhdIYsarYwtSiNHUP8Bmg</t>
  </si>
  <si>
    <t xml:space="preserve">UCehfMPUoL7QQ0CX4L0GcCFw</t>
  </si>
  <si>
    <t xml:space="preserve">UCN9nKeOHC_cH2w9svgVypyA</t>
  </si>
  <si>
    <t xml:space="preserve">UCImLinXeCNMkgWs6pFO7MAw</t>
  </si>
  <si>
    <t xml:space="preserve">UCC1h5XmKeaYky1P2cHcN-5A</t>
  </si>
  <si>
    <t xml:space="preserve">UCUVrr49CvwEMoTw6hCZ-8Mw</t>
  </si>
  <si>
    <t xml:space="preserve">UCTkm-Dcl1TF8tK9HFxkPm2A</t>
  </si>
  <si>
    <t xml:space="preserve">UCddnJhXMUxzHoH8AZkZSd8w</t>
  </si>
  <si>
    <t xml:space="preserve">UCAG1naEs-cVbf2xapq1geMQ</t>
  </si>
  <si>
    <t xml:space="preserve">UC7adosQ7Ji4BJ6yyp5ZthMg</t>
  </si>
  <si>
    <t xml:space="preserve">UCY2pz-Oz34HSDP6-1mgz7Hg</t>
  </si>
  <si>
    <t xml:space="preserve">UCr7kN89LwNy8ohvtcgFRv-w</t>
  </si>
  <si>
    <t xml:space="preserve">UCMZOo-5kM0mnG11KdFI6WLQ</t>
  </si>
  <si>
    <t xml:space="preserve">UC5hBJUC4rG6Rj2mUwHBawjA</t>
  </si>
  <si>
    <t xml:space="preserve">UCNUGa52iPJgs-YxX093YfUw</t>
  </si>
  <si>
    <t xml:space="preserve">UCvYpXe1Lch6IcHBhsMoAZrg</t>
  </si>
  <si>
    <t xml:space="preserve">UCf_tUhlRBFHi1bElzwMWTgg</t>
  </si>
  <si>
    <t xml:space="preserve">UC3M9clGQVim0-j_qpqHZ3Tg</t>
  </si>
  <si>
    <t xml:space="preserve">UCSqcSfgttkm4a99DhJr7xng</t>
  </si>
  <si>
    <t xml:space="preserve">UCwWJjqfERBenxPYc0OuNN0Q</t>
  </si>
  <si>
    <t xml:space="preserve">UCpMoGK8pm4nuNERpX6_DwOQ</t>
  </si>
  <si>
    <t xml:space="preserve">UC3uJIdRFTGgLWrUziaHbzrg</t>
  </si>
  <si>
    <t xml:space="preserve">UCILRK3DIO0jcLyBIJ3lt_FQ</t>
  </si>
  <si>
    <t xml:space="preserve">UCCqGTvGZgWw8mFX5KYTHCkw</t>
  </si>
  <si>
    <t xml:space="preserve">UCRTlrgc3b_adx54XDs3AHbA</t>
  </si>
  <si>
    <t xml:space="preserve">UC5zGU1EbTvzs7kR2T5FptQg</t>
  </si>
  <si>
    <t xml:space="preserve">UC_4Jv3LnJiVMo8jXnBmNtYQ</t>
  </si>
  <si>
    <t xml:space="preserve">UCApUMSkgDT8ayJZU8jBweYw</t>
  </si>
  <si>
    <t xml:space="preserve">UCDg-IXIVZRVWIoU1Eyt84IQ</t>
  </si>
  <si>
    <t xml:space="preserve">UCAy-sQctr13-CvCJBI3-9Zg</t>
  </si>
  <si>
    <t xml:space="preserve">UCSQhwjo8WS5kimas8TaScPg</t>
  </si>
  <si>
    <t xml:space="preserve">UC3Gui3pgIXOL3Q1g7FpfkOg</t>
  </si>
  <si>
    <t xml:space="preserve">UCFP8wzPazQR8TuByuWPlrQw</t>
  </si>
  <si>
    <t xml:space="preserve">UCWdeyiTcwjboM3qLcBPJThQ</t>
  </si>
  <si>
    <t xml:space="preserve">UCkHwyHnzIZC8BKOAFNalM3g</t>
  </si>
  <si>
    <t xml:space="preserve">UCYXn_jH9iacFT2Hwiq_3ydA</t>
  </si>
  <si>
    <t xml:space="preserve">UC-wTAWLHOWLYyZI9m_JV8zg</t>
  </si>
  <si>
    <t xml:space="preserve">UCdIaRztAEBs25CQVVMdhyWg</t>
  </si>
  <si>
    <t xml:space="preserve">UCrsY_XXxKmCI8AI8gRf-0uw</t>
  </si>
  <si>
    <t xml:space="preserve">UCGmXytEjNV0AhO9FcQoXRuA</t>
  </si>
  <si>
    <t xml:space="preserve">UCXLO4T4BQjipp8JQ1tKhpIw</t>
  </si>
  <si>
    <t xml:space="preserve">UCGJ2lYgx2Pm1yTHWNIZN_rw</t>
  </si>
  <si>
    <t xml:space="preserve">UCBD8s5PzU7Desuv3QBDjTJA</t>
  </si>
  <si>
    <t xml:space="preserve">UCJBbGIPqQnADUA72ikE3Xgg</t>
  </si>
  <si>
    <t xml:space="preserve">UCJgHIph1RZwd6UT4Z0XmL0w</t>
  </si>
  <si>
    <t xml:space="preserve">UC36EHC2a5xfBcU4Cst_ZNdg</t>
  </si>
  <si>
    <t xml:space="preserve">UCjwhjLiH7_E6VgOQNEWzRPw</t>
  </si>
  <si>
    <t xml:space="preserve">UC0dgSHLxgOhziV3GETbXBfA</t>
  </si>
  <si>
    <t xml:space="preserve">UCug93rYOwsCk5hdSVF31_rw</t>
  </si>
  <si>
    <t xml:space="preserve">UCAbfX90mOsYK0MP3E7X2hhg</t>
  </si>
  <si>
    <t xml:space="preserve">UCrgK7ODtuc0piCv1LX0eXtA</t>
  </si>
  <si>
    <t xml:space="preserve">UCYOEDSh07bqEozHDI1howYQ</t>
  </si>
  <si>
    <t xml:space="preserve">UCsMkHlkL7sYZIWuXFLrk29Q</t>
  </si>
  <si>
    <t xml:space="preserve">UC7ySZBzw3bqY7MTk6irMd0Q</t>
  </si>
  <si>
    <t xml:space="preserve">UCCkqjjmjv6u7Xqkboz9cstA</t>
  </si>
  <si>
    <t xml:space="preserve">UC_HZY9d5wJ-MEiuq6vhx8hg</t>
  </si>
  <si>
    <t xml:space="preserve">UC7T5n_yWsI3T8EF7Auf6hfQ</t>
  </si>
  <si>
    <t xml:space="preserve">UCbKOgklgfsaI2FDaJ4S_WDw</t>
  </si>
  <si>
    <t xml:space="preserve">UCJ05ihW--SML1w1CYG3Oscw</t>
  </si>
  <si>
    <t xml:space="preserve">UC2s0XHDvEA4p3WoedLrU9Rw</t>
  </si>
  <si>
    <t xml:space="preserve">UCtGHH9UfgLL9TWCUMELBIFQ</t>
  </si>
  <si>
    <t xml:space="preserve">UC0t2alt1lJ8BroEgdPFOa7Q</t>
  </si>
  <si>
    <t xml:space="preserve">UCns2W5MPBzoaenuXNMU-CRA</t>
  </si>
  <si>
    <t xml:space="preserve">UC6kDhr0hIrw3ep2cUM2OetQ</t>
  </si>
  <si>
    <t xml:space="preserve">UC9cDIxnMzArzEcIrnQvchJA</t>
  </si>
  <si>
    <t xml:space="preserve">UCb_XxMGwX9E1E6f6Nx8i-Kg</t>
  </si>
  <si>
    <t xml:space="preserve">UCPLZTmYFXfUQ-5WIV8YZyJA</t>
  </si>
  <si>
    <t xml:space="preserve">UCrR3emCn5euE-1Uf4rck8_A</t>
  </si>
  <si>
    <t xml:space="preserve">UCoh-C01mA3H32unyTAOF0NQ</t>
  </si>
  <si>
    <t xml:space="preserve">UCmJIgd5IXVXuCeJ_eJWiUJQ</t>
  </si>
  <si>
    <t xml:space="preserve">UC6Ofw4_Z92e5Uwe9j5OXVoQ</t>
  </si>
  <si>
    <t xml:space="preserve">UC7CgK2K4A_u-tDkGcaHYdKQ</t>
  </si>
  <si>
    <t xml:space="preserve">UCQQYDc4olHGBUsl_QA-rZrQ</t>
  </si>
  <si>
    <t xml:space="preserve">UCm3EgGWuCD7MApLuHmWJ8XA</t>
  </si>
  <si>
    <t xml:space="preserve">UCsQ6_w5iUOUOMAUPclg2kcg</t>
  </si>
  <si>
    <t xml:space="preserve">UCUBipbd42HLtLGqwDvvJOFw</t>
  </si>
  <si>
    <t xml:space="preserve">UC0H_ymLzolFJT-KImodKWvQ</t>
  </si>
  <si>
    <t xml:space="preserve">UCI_l0eBp252TD1Ie5N3v5qw</t>
  </si>
  <si>
    <t xml:space="preserve">UC8FjAiKjaVtlBYvNzMQgt9w</t>
  </si>
  <si>
    <t xml:space="preserve">UC_DfpzjSfdzLknpZjVa8zhw</t>
  </si>
  <si>
    <t xml:space="preserve">UCb_2aQH7ZcW8tvlnJvjW8rQ</t>
  </si>
  <si>
    <t xml:space="preserve">UCGgBfpadakJnd7-WSkMEG-g</t>
  </si>
  <si>
    <t xml:space="preserve">UCAjCDCz19uenebkf_dQ2JVg</t>
  </si>
  <si>
    <t xml:space="preserve">UCGMfRSOhC8SqZ0nnjfDR1Rg</t>
  </si>
  <si>
    <t xml:space="preserve">UC4QrVz6gzZxJctPMtWCbYcg</t>
  </si>
  <si>
    <t xml:space="preserve">UCihWa4oE6baJGRCTMzvEOYg</t>
  </si>
  <si>
    <t xml:space="preserve">UCY7sbOyJeSBRm1VKv1eei4Q</t>
  </si>
  <si>
    <t xml:space="preserve">UCqYRJEWKf5c-HEUTHOL2ivg</t>
  </si>
  <si>
    <t xml:space="preserve">UCPQHy3hfjcd243Z_BAXSlWQ</t>
  </si>
  <si>
    <t xml:space="preserve">UCXn4dyg9UEuXG9-hBAEuurA</t>
  </si>
  <si>
    <t xml:space="preserve">UCixD-KrpjXtMupkzkdFFlFg</t>
  </si>
  <si>
    <t xml:space="preserve">UCnqJ4Pq4QgZXZVZm8A9bd8w</t>
  </si>
  <si>
    <t xml:space="preserve">UC5QtepGR9prdSaw99-DD0xw</t>
  </si>
  <si>
    <t xml:space="preserve">UCVR5ttwhOemkRc61XAaOz1w</t>
  </si>
  <si>
    <t xml:space="preserve">UCWq9TrIZYPC331_3J8Owucg</t>
  </si>
  <si>
    <t xml:space="preserve">UCND1kfijC9fVGyQqDnWfhzw</t>
  </si>
  <si>
    <t xml:space="preserve">UChkIbljIFrhU_5soyvLbJcA</t>
  </si>
  <si>
    <t xml:space="preserve">UC7VasFaZIQtP7UgFQschyow</t>
  </si>
  <si>
    <t xml:space="preserve">UCTJpJk8bqQQEqeX58z8eimA</t>
  </si>
  <si>
    <t xml:space="preserve">UClEEOiCxih_sf9XdPKpQ00w</t>
  </si>
  <si>
    <t xml:space="preserve">UC2IqlLOT9ExDpYSO9oWOW-w</t>
  </si>
  <si>
    <t xml:space="preserve">UCWT1qpTDnvVmgv15eCk1E5Q</t>
  </si>
  <si>
    <t xml:space="preserve">UCjC5zJ25kXB0mwKxi4erOrg</t>
  </si>
  <si>
    <t xml:space="preserve">UCbNmHbtHBiinCIqcOhyalfg</t>
  </si>
  <si>
    <t xml:space="preserve">UCWrOSeTgUkvsJn5GtS57o5A</t>
  </si>
  <si>
    <t xml:space="preserve">UCHkAUsiEKJHHLogHoaYwZfw</t>
  </si>
  <si>
    <t xml:space="preserve">UCPyNusoMzWJs-0aOSWpKLlQ</t>
  </si>
  <si>
    <t xml:space="preserve">UCauF61y5aLg9g9Y8r04x2Cw</t>
  </si>
  <si>
    <t xml:space="preserve">UCEmHafp8ydHweATAK2i9BJg</t>
  </si>
  <si>
    <t xml:space="preserve">UCAz2ijzsxwsJcaDHUS2K7zg</t>
  </si>
  <si>
    <t xml:space="preserve">UCcEemKX91VohoKl6uRBAPyQ</t>
  </si>
  <si>
    <t xml:space="preserve">UCejXQsQ7DZxlG15mlgVT5zA</t>
  </si>
  <si>
    <t xml:space="preserve">UCP-91GTKfIXUopQnxSq3vBw</t>
  </si>
  <si>
    <t xml:space="preserve">UCjmjWp38PCg15Z5ZS-tmpfw</t>
  </si>
  <si>
    <t xml:space="preserve">UCDgNfERW5x-X-8PNE-DDkng</t>
  </si>
  <si>
    <t xml:space="preserve">UChZf0LwrgjL81hoAynd5RJA</t>
  </si>
  <si>
    <t xml:space="preserve">UC2MwTK90Wd6qeZ1iDDd3Kdg</t>
  </si>
  <si>
    <t xml:space="preserve">UCnfp8dHhZiX_paZjdJExibQ</t>
  </si>
  <si>
    <t xml:space="preserve">UCADEoefqbQNqCoQ7hXN7zvw</t>
  </si>
  <si>
    <t xml:space="preserve">UCSySUTYRibE8aN8am1mNu3A</t>
  </si>
  <si>
    <t xml:space="preserve">UC4B9WdU2U6E6GQoDBKcVeSQ</t>
  </si>
  <si>
    <t xml:space="preserve">UC1tuZL4TA8PB-ihwmDMap-w</t>
  </si>
  <si>
    <t xml:space="preserve">UClEEsT7DkdVO_fkrBw0OTrA</t>
  </si>
  <si>
    <t xml:space="preserve">UC3-l1rOGsJjpBhpbSuk3GyQ</t>
  </si>
  <si>
    <t xml:space="preserve">UCcjwEAaBGu1yc89QE3DC1Tw</t>
  </si>
  <si>
    <t xml:space="preserve">UC3eqKv7kcJy3KMCbqcp003A</t>
  </si>
  <si>
    <t xml:space="preserve">UCvmluEWr9C0tuqPU-I4F92w</t>
  </si>
  <si>
    <t xml:space="preserve">UCWY9bp-Iklq-XByuStk1Npw</t>
  </si>
  <si>
    <t xml:space="preserve">UCeQNUhbjSL-GhSaEzdjTaAQ</t>
  </si>
  <si>
    <t xml:space="preserve">UC87vyqEasIKUMPSJujQLwPw</t>
  </si>
  <si>
    <t xml:space="preserve">UChAG2UF38ajsnb10Kwl4_hw</t>
  </si>
  <si>
    <t xml:space="preserve">UCtlOBrA93cytbIp0YzX_0YA</t>
  </si>
  <si>
    <t xml:space="preserve">UCwIkoczPBSDL--I1AkbPFzQ</t>
  </si>
  <si>
    <t xml:space="preserve">UCDlKEYLzlXCWXRkemjWm0pA</t>
  </si>
  <si>
    <t xml:space="preserve">UCvq2-I2wWR5yOdMwcqZw3Tg</t>
  </si>
  <si>
    <t xml:space="preserve">UCZVSTPYcwi3WaWouumS7WPQ</t>
  </si>
  <si>
    <t xml:space="preserve">UCNpLzMnxf3moSWo1Rsmcc7w</t>
  </si>
  <si>
    <t xml:space="preserve">UC_eZ2D4lLPmQ2uOF8iLnLQA</t>
  </si>
  <si>
    <t xml:space="preserve">UC89Xwcw7Jxx9Hp5-YOhQXCQ</t>
  </si>
  <si>
    <t xml:space="preserve">UCPejejD_vwUqW6chMtg5U5A</t>
  </si>
  <si>
    <t xml:space="preserve">UCU7nmjmXKBRdMNIwaEcxGpw</t>
  </si>
  <si>
    <t xml:space="preserve">UCWlwXxozORjOVZzfGyuV6Vw</t>
  </si>
  <si>
    <t xml:space="preserve">UCQky96IjrfzJcSUiCogID6w</t>
  </si>
  <si>
    <t xml:space="preserve">UC7lwwBIZHabASpYYtONlvKg</t>
  </si>
  <si>
    <t xml:space="preserve">UCKW-1xuyxtrt2NvfF4K386A</t>
  </si>
  <si>
    <t xml:space="preserve">UCob7P94JKbsQ01HwQYv_dzw</t>
  </si>
  <si>
    <t xml:space="preserve">UCW9p1a_A8_VlbL6fgKgYJAA</t>
  </si>
  <si>
    <t xml:space="preserve">UCeqbJQ6gde7wu4mes17W7Pw</t>
  </si>
  <si>
    <t xml:space="preserve">UCVh3tWYARk8wRw8EqjNL6rw</t>
  </si>
  <si>
    <t xml:space="preserve">UCkI_faisVQITOKW-HYCeBPQ</t>
  </si>
  <si>
    <t xml:space="preserve">UC3WjO-25X1guoFyz7ZMkj7w</t>
  </si>
  <si>
    <t xml:space="preserve">UCwVbHnywQAv6NtmVjMMF-lg</t>
  </si>
  <si>
    <t xml:space="preserve">UCm7kZVPkW5uzh3qgBV0ms_g</t>
  </si>
  <si>
    <t xml:space="preserve">UCnjX62N6WppxYF-nG6HiA5Q</t>
  </si>
  <si>
    <t xml:space="preserve">UC4q3cyzR1FQwRDETA5k4m7A</t>
  </si>
  <si>
    <t xml:space="preserve">UCDNDhsKVbWvAxBibarFenrg</t>
  </si>
  <si>
    <t xml:space="preserve">UCgkSFWT82igIy5-3H-9pwyg</t>
  </si>
  <si>
    <t xml:space="preserve">UCShyhNzB2sJ-CUPAKjk42PA</t>
  </si>
  <si>
    <t xml:space="preserve">UCpwBYuAZ_lz-c_nkKmJr0XQ</t>
  </si>
  <si>
    <t xml:space="preserve">UC2Qtlv-ox_TnHx5SA1fDIvA</t>
  </si>
  <si>
    <t xml:space="preserve">UC_gBWogWrJvFcdMlYLN17KA</t>
  </si>
  <si>
    <t xml:space="preserve">UCY7t-zBYtdj6ZgiRpi3WIYg</t>
  </si>
  <si>
    <t xml:space="preserve">UC8Pf05sl4A071UXfx_NY4qg</t>
  </si>
  <si>
    <t xml:space="preserve">UCDtLiFSrUdjxztQ7QlDrFBw</t>
  </si>
  <si>
    <t xml:space="preserve">UCgf5fJVCNeLpqizdrbgtfBg</t>
  </si>
  <si>
    <t xml:space="preserve">UCc7qmRVXmRy6dru5-eteTVw</t>
  </si>
  <si>
    <t xml:space="preserve">UChcQR_Z7YmqRQMZ6lxjD8JA</t>
  </si>
  <si>
    <t xml:space="preserve">UC54Lj6nRJcZjzHYSL-_uuVA</t>
  </si>
  <si>
    <t xml:space="preserve">UCU4IntyTflElE39l4wSyZmw</t>
  </si>
  <si>
    <t xml:space="preserve">UCvsBybR6PH-Turyj3Lkq8Ww</t>
  </si>
  <si>
    <t xml:space="preserve">UCbZADcBB7V4JluQlHJsfCUQ</t>
  </si>
  <si>
    <t xml:space="preserve">UCz67Zq4hwG-PRvChgfZ8dWg</t>
  </si>
  <si>
    <t xml:space="preserve">UCMJOCMYUxWTJCVf785jO0XQ</t>
  </si>
  <si>
    <t xml:space="preserve">UCRS07TwUdb9hTnnX0r5CuxA</t>
  </si>
  <si>
    <t xml:space="preserve">UCz0iMkwrDvGX9WHEY3fL46w</t>
  </si>
  <si>
    <t xml:space="preserve">UCgkljWoraNYPsPgp7Q8pUSg</t>
  </si>
  <si>
    <t xml:space="preserve">UCIuVqphRbGwId7SAPYnF_CA</t>
  </si>
  <si>
    <t xml:space="preserve">UCTQoLtroS0jHEwLF77L_1SA</t>
  </si>
  <si>
    <t xml:space="preserve">UCZrZQ8EkxRWE4BIlRv9VDVQ</t>
  </si>
  <si>
    <t xml:space="preserve">UCE1jupOYW70tfLcb07sxJ_Q</t>
  </si>
  <si>
    <t xml:space="preserve">UCuJwdEMVPhGgwz7EyFDj9EQ</t>
  </si>
  <si>
    <t xml:space="preserve">UCehGPL5op4I98Ey8pMyt25g</t>
  </si>
  <si>
    <t xml:space="preserve">UCmxEX3PGfQquRiR5dnU86XQ</t>
  </si>
  <si>
    <t xml:space="preserve">UCykBuWH5R7wT60JfSDsCZRg</t>
  </si>
  <si>
    <t xml:space="preserve">UCYZG6B766qsa2UlztyjgbCA</t>
  </si>
  <si>
    <t xml:space="preserve">UC4iMgb53ktyDmHQbGFFKuDQ</t>
  </si>
  <si>
    <t xml:space="preserve">UC8nRGLJEn_9VD1Y3VFLP_UA</t>
  </si>
  <si>
    <t xml:space="preserve">UCuSxfYRK74jLTlsPA8kjq1g</t>
  </si>
  <si>
    <t xml:space="preserve">UCLOgQ4E8S-8okzAz18X7CAA</t>
  </si>
  <si>
    <t xml:space="preserve">UCPxgZz2C4cOeMUlAq_LrisA</t>
  </si>
  <si>
    <t xml:space="preserve">UCUIbaroEkfZZGlxKnuW7EwQ</t>
  </si>
  <si>
    <t xml:space="preserve">UCZAUR74s2Jatp2yYtLa8Msw</t>
  </si>
  <si>
    <t xml:space="preserve">UCj_7VBy7pDpul-XyOCgAlhQ</t>
  </si>
  <si>
    <t xml:space="preserve">UCXqG3CCayoUpNXzGSsDbXwQ</t>
  </si>
  <si>
    <t xml:space="preserve">UCX-DVhUnui2Nsso3jLRb1-w</t>
  </si>
  <si>
    <t xml:space="preserve">UCBnQF4yu8du8ypDFnqUDlwA</t>
  </si>
  <si>
    <t xml:space="preserve">UCWqw-SWQV2Ek3HJ_Jr6sFmA</t>
  </si>
  <si>
    <t xml:space="preserve">UCJU4Bk7L4axOfQZ0Kfy6tsg</t>
  </si>
  <si>
    <t xml:space="preserve">UCDJCKyzq-WRw5x6n6VtYZ6w</t>
  </si>
  <si>
    <t xml:space="preserve">UCBJpExmCkeUGlsOkMYIX3qg</t>
  </si>
  <si>
    <t xml:space="preserve">UCwqQWW35J5Z6YGCPMgV70nA</t>
  </si>
  <si>
    <t xml:space="preserve">UCmRmkdmHl_yy0kT1w_VJ8pg</t>
  </si>
  <si>
    <t xml:space="preserve">UChd_6Nk9TDdjgC_lm0rvPNg</t>
  </si>
  <si>
    <t xml:space="preserve">UCdqs-ItofPRWvLm3mM1dNlg</t>
  </si>
  <si>
    <t xml:space="preserve">UCAfPaV9yRJNAk_bKla7Gwjw</t>
  </si>
  <si>
    <t xml:space="preserve">UCzMOo5PyUWcrnGZen0GlY5Q</t>
  </si>
  <si>
    <t xml:space="preserve">UCuiXLOzWADyFdf8wOjyUeow</t>
  </si>
  <si>
    <t xml:space="preserve">UCh7AB69XHIIJgroJjf4HaDg</t>
  </si>
  <si>
    <t xml:space="preserve">UCDh8rhDcwpotH1e2kZORjYQ</t>
  </si>
  <si>
    <t xml:space="preserve">UCVrOJVGsTynuPSef9R8SlQQ</t>
  </si>
  <si>
    <t xml:space="preserve">UCqeNgQLxwkV8TqEyxG_q60Q</t>
  </si>
  <si>
    <t xml:space="preserve">UCbqvr-tvUDgBfXj5-ofn0Fg</t>
  </si>
  <si>
    <t xml:space="preserve">UCRGhnv-DzB-WFQwSMa3xzAw</t>
  </si>
  <si>
    <t xml:space="preserve">UCG1RSkfJLp21ngOhK8I7N5A</t>
  </si>
  <si>
    <t xml:space="preserve">UCgjKoxF0smCvd0JpraXRXCw</t>
  </si>
  <si>
    <t xml:space="preserve">UCWVMtDOtdlfhsegIOqW2m0g</t>
  </si>
  <si>
    <t xml:space="preserve">UCHM7z66S94QrCsO5tXSoISA</t>
  </si>
  <si>
    <t xml:space="preserve">UC0yUbH6uaZ_e5V0PLLgEQsA</t>
  </si>
  <si>
    <t xml:space="preserve">UCCcjXbFfuuODjei25WB2Inw</t>
  </si>
  <si>
    <t xml:space="preserve">UCpK4vBvUmmN9ImvsE0AHk5w</t>
  </si>
  <si>
    <t xml:space="preserve">UCnC736IQWnN9lTAW5MlTHqA</t>
  </si>
  <si>
    <t xml:space="preserve">UC2aX2oIi2TRzXlzbfbSy_dA</t>
  </si>
  <si>
    <t xml:space="preserve">UCUHcAOIdzRjCj99dHLqksWg</t>
  </si>
  <si>
    <t xml:space="preserve">UCzmVLLe_QfhIZkuUbA93ssQ</t>
  </si>
  <si>
    <t xml:space="preserve">UCG6sJyYpCKlLJ2CE0ao3zFw</t>
  </si>
  <si>
    <t xml:space="preserve">UCjctXf2BixUZAmpF7AZ9h0Q</t>
  </si>
  <si>
    <t xml:space="preserve">UCJym5btE-oxUTZQO3WrkoJA</t>
  </si>
  <si>
    <t xml:space="preserve">UCKdQFr0l06DZJOfiGctBvvA</t>
  </si>
  <si>
    <t xml:space="preserve">UCJdWaiN5_1ePqNoclZUzOsQ</t>
  </si>
  <si>
    <t xml:space="preserve">UCHZMv8XTtzbNpJxl1yx66Kw</t>
  </si>
  <si>
    <t xml:space="preserve">UCuMlWVspQ-lBgWxaJRsSHng</t>
  </si>
  <si>
    <t xml:space="preserve">UCxAClhiuDz9kyQ4xjuRuz6w</t>
  </si>
  <si>
    <t xml:space="preserve">UCl8J8ntI5SJkwf4V32ap-4Q</t>
  </si>
  <si>
    <t xml:space="preserve">UCAiFmZ5zbz9Nv9m6iN48cvg</t>
  </si>
  <si>
    <t xml:space="preserve">UCZ84wv5errdn_lYSwJgy0Yw</t>
  </si>
  <si>
    <t xml:space="preserve">UCSQGo8SaO4blSPY37xapBHQ</t>
  </si>
  <si>
    <t xml:space="preserve">UCg85er3o0WAFy2mMTHV7crg</t>
  </si>
  <si>
    <t xml:space="preserve">UCGn_Oe9gkVcyZfJJV5q4qMA</t>
  </si>
  <si>
    <t xml:space="preserve">UCqCXwcVsc15YW-MEaT1NlfQ</t>
  </si>
  <si>
    <t xml:space="preserve">UC30iCxYezu_WlEbjpOVZdUA</t>
  </si>
  <si>
    <t xml:space="preserve">UCGMnmuq_tv4zChNNRzzKcjw</t>
  </si>
  <si>
    <t xml:space="preserve">UCGLio-542Ww9cWJtea25sgA</t>
  </si>
  <si>
    <t xml:space="preserve">UC6j-DoEcBqvUtdyqjxxpGjA</t>
  </si>
  <si>
    <t xml:space="preserve">UC8_JZXwYysWQUT5cpugkwVg</t>
  </si>
  <si>
    <t xml:space="preserve">UCUwH09Aqihie9Xwd5o-PD5Q</t>
  </si>
  <si>
    <t xml:space="preserve">UC6Qmsob6h544d3aWqwvlqLA</t>
  </si>
  <si>
    <t xml:space="preserve">UCQV-7R4qhAJXxdkrWNOglDQ</t>
  </si>
  <si>
    <t xml:space="preserve">UCEGYu1QhbR2J6J_n2qgg7Jw</t>
  </si>
  <si>
    <t xml:space="preserve">UCNQHebTzfRahptcsmuOVufg</t>
  </si>
  <si>
    <t xml:space="preserve">UCEefxzb0Q0N8Gge8MdUgDwA</t>
  </si>
  <si>
    <t xml:space="preserve">UCQmaGuDkWqkdpDF2HBOWAuQ</t>
  </si>
  <si>
    <t xml:space="preserve">UCF4i5BjgwUqSX1A5m2zP9Sg</t>
  </si>
  <si>
    <t xml:space="preserve">UCvnRqmr2a1ylEar8I7nSp-w</t>
  </si>
  <si>
    <t xml:space="preserve">UCVSeJVprPkGT8LiI8dneNUQ</t>
  </si>
  <si>
    <t xml:space="preserve">UCpUrd3nqZlny7Sguk6IFXIw</t>
  </si>
  <si>
    <t xml:space="preserve">UCR3F3TPXHqXpotvmpyqXeQg</t>
  </si>
  <si>
    <t xml:space="preserve">UCRR2SN54K5WeQraIhPVxfwA</t>
  </si>
  <si>
    <t xml:space="preserve">UCEh4iBfZGqqP_geIzpx6a5Q</t>
  </si>
  <si>
    <t xml:space="preserve">UCP3Vud5mQkmJNdKJRVf_Mmw</t>
  </si>
  <si>
    <t xml:space="preserve">UCkFewXBk_F64tJUt9xcqOUw</t>
  </si>
  <si>
    <t xml:space="preserve">UCNJUhkpXnF1GcItcztJM-Ww</t>
  </si>
  <si>
    <t xml:space="preserve">UCWfTQomMl3EoUdIwKoPV9Ag</t>
  </si>
  <si>
    <t xml:space="preserve">UC7L7oTqrKXGqb1ahr5xn2kw</t>
  </si>
  <si>
    <t xml:space="preserve">UC4h5zkgRfnFLjFZtts1N6iA</t>
  </si>
  <si>
    <t xml:space="preserve">UCTgqKYL8LfXeXo3OWMO_-cg</t>
  </si>
  <si>
    <t xml:space="preserve">UCUtdnb8bQYrdu9ond4W06jg</t>
  </si>
  <si>
    <t xml:space="preserve">UCKS2lBhhZZGipYENVHxMBkQ</t>
  </si>
  <si>
    <t xml:space="preserve">UCH_RhBu7gVUDictmhfL6DTg</t>
  </si>
  <si>
    <t xml:space="preserve">UCZlnWM_uiLQ-fZPkS5dA3IQ</t>
  </si>
  <si>
    <t xml:space="preserve">UCZ1Dz9ZNDH47Dj9t9K2b2iw</t>
  </si>
  <si>
    <t xml:space="preserve">UCFH4LTyzM9n1joovrJ-Mg1g</t>
  </si>
  <si>
    <t xml:space="preserve">UCxtAoxftIk9JtUdCVChrfyQ</t>
  </si>
  <si>
    <t xml:space="preserve">UC97C2yrIqESLI_pXPDlHNsA</t>
  </si>
  <si>
    <t xml:space="preserve">UCev59bZ9aP_k5CPNpS5Le0A</t>
  </si>
  <si>
    <t xml:space="preserve">UCaooZvg_gT3gagtkbqJCxMw</t>
  </si>
  <si>
    <t xml:space="preserve">UCpLKqC4BVf57nLX6ew7Omxw</t>
  </si>
  <si>
    <t xml:space="preserve">UCCrmxFzA1VMf8K86OM3zfRw</t>
  </si>
  <si>
    <t xml:space="preserve">UCDpNY3b435STYC8Pk1tw_zA</t>
  </si>
  <si>
    <t xml:space="preserve">UCxzWF_ZG6MG0Yovqr0b3UyQ</t>
  </si>
  <si>
    <t xml:space="preserve">UCprD9Tt-LbH58QqF6Lk4zkw</t>
  </si>
  <si>
    <t xml:space="preserve">UCyB0lqpm-bxkLHw42kb2Qbw</t>
  </si>
  <si>
    <t xml:space="preserve">UCU_hmszWlOKZ_lFzdzJbI8A</t>
  </si>
  <si>
    <t xml:space="preserve">UCO_i4jM7Jdn3gObbJ2gWFyw</t>
  </si>
  <si>
    <t xml:space="preserve">UCfr63IkBL9opvBYDhkR0q1A</t>
  </si>
  <si>
    <t xml:space="preserve">UCDTM4H2YzteOzGMzoGSJwAQ</t>
  </si>
  <si>
    <t xml:space="preserve">UC5v8UfzMIUpo6XgSuiwJoqg</t>
  </si>
  <si>
    <t xml:space="preserve">UC090RHJdaTCuvA_esC_r_Qg</t>
  </si>
  <si>
    <t xml:space="preserve">UCNqTm7z1nHVXpnv43DqwT7g</t>
  </si>
  <si>
    <t xml:space="preserve">UC-3YVzX5LZ6QHFnv_CmAHAA</t>
  </si>
  <si>
    <t xml:space="preserve">UCxdkVB17KnfJd_XRUtc3IIA</t>
  </si>
  <si>
    <t xml:space="preserve">UC-w2Mnh74rRTHZRdeoVcNYA</t>
  </si>
  <si>
    <t xml:space="preserve">UCPIM-Ev-sEJ_aEcpDCndqUQ</t>
  </si>
  <si>
    <t xml:space="preserve">UCjy8Qem4-ydNsVC_BlEa-cA</t>
  </si>
  <si>
    <t xml:space="preserve">UC4JYGJD8NGcfBINhYxsMp8w</t>
  </si>
  <si>
    <t xml:space="preserve">UCnYvT1git-T2jcn_wT1utjQ</t>
  </si>
  <si>
    <t xml:space="preserve">UCXFWPJ2dnOryABAOSoMzbxA</t>
  </si>
  <si>
    <t xml:space="preserve">UCFAJL3SdNbDNp0PlVmjOtRQ</t>
  </si>
  <si>
    <t xml:space="preserve">UCMbE2vM8FPulLE6g8DXqZCw</t>
  </si>
  <si>
    <t xml:space="preserve">UCFBgs2fL5-u-29up4_JF8kw</t>
  </si>
  <si>
    <t xml:space="preserve">UCnC8SAZzQiBGYVSKZ_S3y4Q</t>
  </si>
  <si>
    <t xml:space="preserve">UCzARHhsjYS-qcaaIRv5A0mA</t>
  </si>
  <si>
    <t xml:space="preserve">UCWRd1r1h9GexHyYIbG6b11A</t>
  </si>
  <si>
    <t xml:space="preserve">UC4kEcplaFuB304DWLclReeQ</t>
  </si>
  <si>
    <t xml:space="preserve">UCIafILPPATxI8gSsU5H011A</t>
  </si>
  <si>
    <t xml:space="preserve">UCchgv2VtuWl88CPWmb7rchw</t>
  </si>
  <si>
    <t xml:space="preserve">UC6tfLibr1AWitWTiaA4SN1w</t>
  </si>
  <si>
    <t xml:space="preserve">UC0fL9hx09c0EP9jrcrRc9tw</t>
  </si>
  <si>
    <t xml:space="preserve">UCm0EwKMYv824N6pXa8PAA5w</t>
  </si>
  <si>
    <t xml:space="preserve">UCJnCP6CoFiJaXTz3dkooFEw</t>
  </si>
  <si>
    <t xml:space="preserve">UC_Ua-oIZfwN0ho8topRvD5A</t>
  </si>
  <si>
    <t xml:space="preserve">UCgab8sDWXE7NyBxRbhqlg4Q</t>
  </si>
  <si>
    <t xml:space="preserve">UCqfULU5A_dFoQSALmV01GbQ</t>
  </si>
  <si>
    <t xml:space="preserve">UC1rQo0vVWMD8vTc-mMWcAzA</t>
  </si>
  <si>
    <t xml:space="preserve">UCEWhA_LmJWqoLK_usyRnGqQ</t>
  </si>
  <si>
    <t xml:space="preserve">UCx1_VBqjEtVmZumpmuvszEw</t>
  </si>
  <si>
    <t xml:space="preserve">UCzMBnBZZ__khxsIjdlSnlQw</t>
  </si>
  <si>
    <t xml:space="preserve">UCsCR3VPoiDp1J1MJoPfwLpw</t>
  </si>
  <si>
    <t xml:space="preserve">UCVIJhnbMugETmJBoUFt0YGg</t>
  </si>
  <si>
    <t xml:space="preserve">UCSVellbrvlxvpi6b5-YQzVQ</t>
  </si>
  <si>
    <t xml:space="preserve">UClb8OEBhrUnZgMWc0wTmMvg</t>
  </si>
  <si>
    <t xml:space="preserve">UCGlvL6bMywGq0cwBqv8AsTQ</t>
  </si>
  <si>
    <t xml:space="preserve">UCNY_BMBmlEzCZHIeaTUqZnw</t>
  </si>
  <si>
    <t xml:space="preserve">UCZ0PirxURj8AWtBIdIVSF9Q</t>
  </si>
  <si>
    <t xml:space="preserve">UCEokHFfsu0wGbKlxhM9kZnw</t>
  </si>
  <si>
    <t xml:space="preserve">UCzPF0njh8mIVNH0GFTyxHZw</t>
  </si>
  <si>
    <t xml:space="preserve">UCk3gSmmVE0vedMkICkhWpcQ</t>
  </si>
  <si>
    <t xml:space="preserve">UC_Z3dYf8OgxJ53SSFb7QGrA</t>
  </si>
  <si>
    <t xml:space="preserve">UCjeDdgwverf8ZgMAaqY8F3Q</t>
  </si>
  <si>
    <t xml:space="preserve">UCQ5eTVSm3tB0WWMwTNAoZYw</t>
  </si>
  <si>
    <t xml:space="preserve">UCCOVUkPaT4ZIy6bvx_OO16Q</t>
  </si>
  <si>
    <t xml:space="preserve">UCpvsJWi7d-RRZ0gVaq2ypFQ</t>
  </si>
  <si>
    <t xml:space="preserve">UCMBm2yaVFgr5wZ12YiE-Fyg</t>
  </si>
  <si>
    <t xml:space="preserve">UC7nYQLDyMzoGwjQ-WjRf3aw</t>
  </si>
  <si>
    <t xml:space="preserve">UCN28V9zDyq7CSSAdI2wOrxQ</t>
  </si>
  <si>
    <t xml:space="preserve">UCVUI8hBtmkkZM1dxajUEZmA</t>
  </si>
  <si>
    <t xml:space="preserve">UC6VsKH_O59Kdc_yYATRGc_A</t>
  </si>
  <si>
    <t xml:space="preserve">UCoBYLv7UK9PVhD4Ic3JELpA</t>
  </si>
  <si>
    <t xml:space="preserve">UCZfaz7tO-DyUn28Ahl9G7bQ</t>
  </si>
  <si>
    <t xml:space="preserve">UCgn41QolrUus4cQD7pLuzqA</t>
  </si>
  <si>
    <t xml:space="preserve">UCD_IHEDvNMMk0Y9Kjbq3DaQ</t>
  </si>
  <si>
    <t xml:space="preserve">UCEOx1MOSAw9k0vix1Ay4Ehw</t>
  </si>
  <si>
    <t xml:space="preserve">UC2woPAI_KMAR25R_oezEQqw</t>
  </si>
  <si>
    <t xml:space="preserve">UCwFeCDpU4sVarQfB_o5HjUQ</t>
  </si>
  <si>
    <t xml:space="preserve">UCX_QrUixhlqMZNrko8kjuNA</t>
  </si>
  <si>
    <t xml:space="preserve">UCUpHeFrAvoqcdGgl_W83x6w</t>
  </si>
  <si>
    <t xml:space="preserve">UCevlWBlagXPMKhPYGs8Xs5Q</t>
  </si>
  <si>
    <t xml:space="preserve">UCUBIoaYtssJMnp5WiN9WF-g</t>
  </si>
  <si>
    <t xml:space="preserve">UCxBZnK4jxSffQ7M9bWrXTzQ</t>
  </si>
  <si>
    <t xml:space="preserve">UCvMrxzcIql-6HU7FbkeIpwg</t>
  </si>
  <si>
    <t xml:space="preserve">UClzb8_8OOEICAo1rqc94Lfw</t>
  </si>
  <si>
    <t xml:space="preserve">UCNKDqdtvIJz-bxmea1PnjWg</t>
  </si>
  <si>
    <t xml:space="preserve">UCGQNrcEAk6VKb1ikaZofwOg</t>
  </si>
  <si>
    <t xml:space="preserve">UCviTjeIV2rJdczfqCPSecLw</t>
  </si>
  <si>
    <t xml:space="preserve">UCBwJoe2k55njvR6etpWcP3Q</t>
  </si>
  <si>
    <t xml:space="preserve">UCLE29CdlBCUzhhYUlZ6oZyw</t>
  </si>
  <si>
    <t xml:space="preserve">UCY5Y5DJc-Heqyyk_pzLtiJA</t>
  </si>
  <si>
    <t xml:space="preserve">UCShZdCcb5Gu5IFxyGpY1u6A</t>
  </si>
  <si>
    <t xml:space="preserve">UCmdY6cEbeRd_0qoeV38UIlA</t>
  </si>
  <si>
    <t xml:space="preserve">UCvQy9Bnq6kWgpj9YeEWgdEw</t>
  </si>
  <si>
    <t xml:space="preserve">UCP2BofKNb3lgE645KP4AXRQ</t>
  </si>
  <si>
    <t xml:space="preserve">UCYzSn5Cwfh4sEgAJ0uzJksQ</t>
  </si>
  <si>
    <t xml:space="preserve">UC4kFrILwwSkB9SW2LY4h-qg</t>
  </si>
  <si>
    <t xml:space="preserve">UCGiHHv7qU5WPFI8WyiYJ1XA</t>
  </si>
  <si>
    <t xml:space="preserve">UC98sykVhLeqOcCCNeTC1erw</t>
  </si>
  <si>
    <t xml:space="preserve">UChXqvaGDLD8jfjFXPq66XHg</t>
  </si>
  <si>
    <t xml:space="preserve">UCnTr4c0IFQTiHAgRx7zVfhg</t>
  </si>
  <si>
    <t xml:space="preserve">UC4nLHw0dNct323oRPvW7ecQ</t>
  </si>
  <si>
    <t xml:space="preserve">UCuxvuHhO01W6FcyTxBcBj1g</t>
  </si>
  <si>
    <t xml:space="preserve">UCBfG446cnhCWD8gQiC-u2Gg</t>
  </si>
  <si>
    <t xml:space="preserve">UCWFbPzBb7dCyCWuBA-DBrMA</t>
  </si>
  <si>
    <t xml:space="preserve">UCOTNl3ZK-PQNFHWxYeY9seg</t>
  </si>
  <si>
    <t xml:space="preserve">UClq5YbZ4z2DP-TcSjUEfZng</t>
  </si>
  <si>
    <t xml:space="preserve">UCs2ed9fEbglP629hWSnqrEA</t>
  </si>
  <si>
    <t xml:space="preserve">UC3hNf9tl-m8Kf7XvrxXdviA</t>
  </si>
  <si>
    <t xml:space="preserve">UCZizv8mI3MW25oxjvreL4pA</t>
  </si>
  <si>
    <t xml:space="preserve">UCMsP5CkxEjxnrGvX6-YJXww</t>
  </si>
  <si>
    <t xml:space="preserve">UCxCNGZW9KcBOzLpYPCE_ouQ</t>
  </si>
  <si>
    <t xml:space="preserve">UCL4BAgAktASFCquOg22DkPQ</t>
  </si>
  <si>
    <t xml:space="preserve">UC8eEZ-l5z_zzG8GT0Tu0PaA</t>
  </si>
  <si>
    <t xml:space="preserve">UCK3EVU3QjQoFoz9if2LK5aQ</t>
  </si>
  <si>
    <t xml:space="preserve">UCVUjsfIErUfWI57ep1L7B6Q</t>
  </si>
  <si>
    <t xml:space="preserve">UCWDtr7aXBLPS62INLF5fDKg</t>
  </si>
  <si>
    <t xml:space="preserve">UCF_ENoqUf6yYVzMYSIY8JpA</t>
  </si>
  <si>
    <t xml:space="preserve">UC6wLtl4ETi3gMTqKrFhREZA</t>
  </si>
  <si>
    <t xml:space="preserve">UCDh2jW3DhVDpNYmRPeJUe5A</t>
  </si>
  <si>
    <t xml:space="preserve">UCpU_CumhXHfB2Qwq4rXNDfA</t>
  </si>
  <si>
    <t xml:space="preserve">UCzcveR2jyChJliyOtSgsKpA</t>
  </si>
  <si>
    <t xml:space="preserve">UCHpi7bK-ZGsxfqG_RrRpiBw</t>
  </si>
  <si>
    <t xml:space="preserve">UCnrwZFTms2a4zo9ymNgAL0Q</t>
  </si>
  <si>
    <t xml:space="preserve">UCo2M-E3Xd9oIQoznNfCDGcA</t>
  </si>
  <si>
    <t xml:space="preserve">UCR5qjrYxGLL9UIYskn8cb4Q</t>
  </si>
  <si>
    <t xml:space="preserve">UCCjZ3xh69ROMCOAA2oycpuQ</t>
  </si>
  <si>
    <t xml:space="preserve">UCOGEuizqhGt1pa5cMWotgmg</t>
  </si>
  <si>
    <t xml:space="preserve">UCUeA5XS09dOoXvIvzmUeKlw</t>
  </si>
  <si>
    <t xml:space="preserve">UC0RhatS1pyxInC00YKjjBqQ</t>
  </si>
  <si>
    <t xml:space="preserve">UChDAaJOe6UoNQFl3ibjaY4g</t>
  </si>
  <si>
    <t xml:space="preserve">UC8aVr3DQClWVHCPLc6H-ReQ</t>
  </si>
  <si>
    <t xml:space="preserve">UCA90fIgsGf9HWRfZuY3e9jQ</t>
  </si>
  <si>
    <t xml:space="preserve">UCBeOoFq84k9d5xRRjOpQ6xQ</t>
  </si>
  <si>
    <t xml:space="preserve">UCkoF2InqbcpBEdHC7KlnaLw</t>
  </si>
  <si>
    <t xml:space="preserve">UCaahAQfbvIeoV6Jv0sgnJKw</t>
  </si>
  <si>
    <t xml:space="preserve">UCUhY9EwVnKPcILN67coFR7w</t>
  </si>
  <si>
    <t xml:space="preserve">UCQ7FaPgmzlpv_NAXnkVkyig</t>
  </si>
  <si>
    <t xml:space="preserve">UCBlqNf6jv_9dVkATxtGj_xQ</t>
  </si>
  <si>
    <t xml:space="preserve">UCI3bSml8bhxAsNHh-eQqJEQ</t>
  </si>
  <si>
    <t xml:space="preserve">UCSA8e9rP3qzxlGIzoDrlc0A</t>
  </si>
  <si>
    <t xml:space="preserve">UCsbWQl1KQyRaIEA9OvzW30g</t>
  </si>
  <si>
    <t xml:space="preserve">UCKMqKvCJ-H9vamXaOR_o1dQ</t>
  </si>
  <si>
    <t xml:space="preserve">UCCHppwpgiaRY7G3kv6xE2IA</t>
  </si>
  <si>
    <t xml:space="preserve">UCXwlH6o1KERP6zDqssv1mug</t>
  </si>
  <si>
    <t xml:space="preserve">UCO8j5byKE2WeeZGn93Tmb-A</t>
  </si>
  <si>
    <t xml:space="preserve">UC93fHoH7WbSN9E1vv8riq8A</t>
  </si>
  <si>
    <t xml:space="preserve">UCiCRrC4A0RkgAFpJqQCyZBg</t>
  </si>
  <si>
    <t xml:space="preserve">UCDjqqvPmvZxIHzS8FxKlg9A</t>
  </si>
  <si>
    <t xml:space="preserve">UCfY2tpa5xNzWbS8yu_I7TOg</t>
  </si>
  <si>
    <t xml:space="preserve">UCj8am072AmNj_MwF4hXBCaA</t>
  </si>
  <si>
    <t xml:space="preserve">UCgrtr30_z4YU_pu4YEFQ4tg</t>
  </si>
  <si>
    <t xml:space="preserve">UC4vgd34lbz4rMekxNfmxOIg</t>
  </si>
  <si>
    <t xml:space="preserve">UCmXFP-4hMiVYl-3ZjgP_tpg</t>
  </si>
  <si>
    <t xml:space="preserve">UCpN9lG66FKZY93QTCuz2bFA</t>
  </si>
  <si>
    <t xml:space="preserve">UCtPKjGJw_cjygeCecIs0jBw</t>
  </si>
  <si>
    <t xml:space="preserve">UC2O2g29Lb9faOlvTlsrvcVw</t>
  </si>
  <si>
    <t xml:space="preserve">UC7-5TIdWzD-vtFXO6Tlf54w</t>
  </si>
  <si>
    <t xml:space="preserve">UCTZb5WPOtI0G92JW4Vz9fIw</t>
  </si>
  <si>
    <t xml:space="preserve">UCXWprG_plQuWlEWh7yZw_FQ</t>
  </si>
  <si>
    <t xml:space="preserve">UCYjdjvRXYmiy_EdasYU26Qg</t>
  </si>
  <si>
    <t xml:space="preserve">UCYTil9dRRBHtxEE3se5MVxw</t>
  </si>
  <si>
    <t xml:space="preserve">UCHwXTQ-sDw8sMh0SCu7yFiQ</t>
  </si>
  <si>
    <t xml:space="preserve">UCY3K5KpHpALhyLml3RhF65A</t>
  </si>
  <si>
    <t xml:space="preserve">UCvN7q3vN_DrPOA8Afrc741w</t>
  </si>
  <si>
    <t xml:space="preserve">UC5fIra-7Xl5XR8bHd7iKjBQ</t>
  </si>
  <si>
    <t xml:space="preserve">UCHojWKnC2iljNPxKIVleOcg</t>
  </si>
  <si>
    <t xml:space="preserve">UCMPcI4Cbk5jfXkRDQHJymTA</t>
  </si>
  <si>
    <t xml:space="preserve">UCh29s-RNWI6z63670hUv71Q</t>
  </si>
  <si>
    <t xml:space="preserve">UCVZYN75kl5wbpJv1PFt-gNQ</t>
  </si>
  <si>
    <t xml:space="preserve">UCeBx8HAel8_jDIrjXACJfSg</t>
  </si>
  <si>
    <t xml:space="preserve">UCMamNBjyzIR-824ZjntAXmg</t>
  </si>
  <si>
    <t xml:space="preserve">UCAmGmNMwqMNzIC-a6iOLagg</t>
  </si>
  <si>
    <t xml:space="preserve">UCJPb2eQsaognHUjEWzA3w4A</t>
  </si>
  <si>
    <t xml:space="preserve">UCCxg6r5_5Hh69qxhdsgC14A</t>
  </si>
  <si>
    <t xml:space="preserve">UCm7-32av_9cSJ6n9bI4O9Bw</t>
  </si>
  <si>
    <t xml:space="preserve">UCVJc7bS5lP8OrZGd7vs_yHw</t>
  </si>
  <si>
    <t xml:space="preserve">UCXQlCfDUyoF3_BCt8tmmSbw</t>
  </si>
  <si>
    <t xml:space="preserve">UC0B32YtmHJiDcGhiyL60CwQ</t>
  </si>
  <si>
    <t xml:space="preserve">UCJpLALi4DbmX_R2DQsjzaFA</t>
  </si>
  <si>
    <t xml:space="preserve">UCxcXCGx09Wl55UDWaj2ieSw</t>
  </si>
  <si>
    <t xml:space="preserve">UC_hf7p6ZuZCGggrEs4aw-Gg</t>
  </si>
  <si>
    <t xml:space="preserve">UCHZfx2vngpEZuhybUux5K3A</t>
  </si>
  <si>
    <t xml:space="preserve">UC33GpLZkBcsd8oeG85hBcgg</t>
  </si>
  <si>
    <t xml:space="preserve">UC7dOkV06j5S77L7DL-CNM9A</t>
  </si>
  <si>
    <t xml:space="preserve">UC186STLxmCKY6S8Wie1R_iA</t>
  </si>
  <si>
    <t xml:space="preserve">UCRMR2N07wNKSeWTlY35nY1w</t>
  </si>
  <si>
    <t xml:space="preserve">UCEXuL6SujEWEfZlSumjrYrw</t>
  </si>
  <si>
    <t xml:space="preserve">UC7beWKhXaZuRpD-oKQj852g</t>
  </si>
  <si>
    <t xml:space="preserve">UCBFETKEsjIeIQs-0RIxfYaQ</t>
  </si>
  <si>
    <t xml:space="preserve">UCqziFaXJ9ezdgMj64Ji8RAA</t>
  </si>
  <si>
    <t xml:space="preserve">UCG9Ubyz65muonOIaZndsUFQ</t>
  </si>
  <si>
    <t xml:space="preserve">UCIQ-wgItkzEldk1aI9abpSA</t>
  </si>
  <si>
    <t xml:space="preserve">UCcEJPgHOBxr3yZNhSSoVtRg</t>
  </si>
  <si>
    <t xml:space="preserve">UC8HjP-90GGJfQU6sMbt1QJQ</t>
  </si>
  <si>
    <t xml:space="preserve">UC1OoiQv0yQNkX8JLNfoR7tg</t>
  </si>
  <si>
    <t xml:space="preserve">UC46vj6mN-6kZm5RYWWqebsg</t>
  </si>
  <si>
    <t xml:space="preserve">UCx-7YPrGnNC81ahyqvqu27g</t>
  </si>
  <si>
    <t xml:space="preserve">UCRqWqb-iDlueYhUT98Ouj2A</t>
  </si>
  <si>
    <t xml:space="preserve">UCd8HR9nHw38WFieBXMVnYcQ</t>
  </si>
  <si>
    <t xml:space="preserve">UCyaveiKgxImUKgXycSPurFg</t>
  </si>
  <si>
    <t xml:space="preserve">UCbUYcc4Po_ZOMlKnE-qC34A</t>
  </si>
  <si>
    <t xml:space="preserve">UCJjV2CHB58Xerdqbwyka7QA</t>
  </si>
  <si>
    <t xml:space="preserve">UCPkuX-GgQFWh3eq6zECN5gg</t>
  </si>
  <si>
    <t xml:space="preserve">UCqwb69jPwmkvJ7Ti7Vmn-4w</t>
  </si>
  <si>
    <t xml:space="preserve">UCGi6FJqkhL2UkNi8l5wxX1w</t>
  </si>
  <si>
    <t xml:space="preserve">UCCWHsjI-U_hxf4_2Aqnd-tg</t>
  </si>
  <si>
    <t xml:space="preserve">UCo6qGrwEwgqozkfZV43SdIQ</t>
  </si>
  <si>
    <t xml:space="preserve">UC4HASgkb75MnG2kMbC-zQrQ</t>
  </si>
  <si>
    <t xml:space="preserve">UCf080waNXLQrLQ0roJR0Oaw</t>
  </si>
  <si>
    <t xml:space="preserve">UC1nufIFxyq8u3H9MP40nZKw</t>
  </si>
  <si>
    <t xml:space="preserve">UCObqz9gEwhZmouZ685Uk0fQ</t>
  </si>
  <si>
    <t xml:space="preserve">UCXFRIXunsSkK_5cMOVK3M6A</t>
  </si>
  <si>
    <t xml:space="preserve">UC_hZuRD_lbcy_xWP45o4Rng</t>
  </si>
  <si>
    <t xml:space="preserve">UCJjC1hn78yZqTf0vdTC6wAQ</t>
  </si>
  <si>
    <t xml:space="preserve">UCzEocrCqG06XzIEIObecpgA</t>
  </si>
  <si>
    <t xml:space="preserve">UCGrx5oYz0m92cH6Nke_03zA</t>
  </si>
  <si>
    <t xml:space="preserve">UCSjQV2eg5jHWJBkH1qa9eUQ</t>
  </si>
  <si>
    <t xml:space="preserve">UC1ufvYsM3nnYRg3xHn8V3aQ</t>
  </si>
  <si>
    <t xml:space="preserve">UCuz0lKRxiK9luJD3JnFU0RA</t>
  </si>
  <si>
    <t xml:space="preserve">UC2V5vzgmEmoiWqXfM2jN5_w</t>
  </si>
  <si>
    <t xml:space="preserve">UCg_Jd7CKe5D5AFeHmwXhmNw</t>
  </si>
  <si>
    <t xml:space="preserve">UCYicfrJxAQOa55Whw2-oo_w</t>
  </si>
  <si>
    <t xml:space="preserve">UCCOFj-gvs_Mu1FszmkWgvDw</t>
  </si>
  <si>
    <t xml:space="preserve">UCk8pN8LE3WOTd0ONnPjHG0g</t>
  </si>
  <si>
    <t xml:space="preserve">UCW_EQERE-3EuqDxF9vj0bBA</t>
  </si>
  <si>
    <t xml:space="preserve">UCERcrJom8jkgv6ZxZz1rbyw</t>
  </si>
  <si>
    <t xml:space="preserve">UC4fLaWvOmE4nV5kZu0F1WFw</t>
  </si>
  <si>
    <t xml:space="preserve">UCZO_UA8L4sSpUPL94YpDxPw</t>
  </si>
  <si>
    <t xml:space="preserve">UCAVQMC5MGwRPW2WRv6WAwwg</t>
  </si>
  <si>
    <t xml:space="preserve">UC6gi6ytOl-GebXjefUzzVNA</t>
  </si>
  <si>
    <t xml:space="preserve">UC0-K7BZ5u25nH7_91vXsmBA</t>
  </si>
  <si>
    <t xml:space="preserve">UCwwf7O_Kztzrqhg8QhW9nQA</t>
  </si>
  <si>
    <t xml:space="preserve">UCOqpyBqmT-eJsMinC3ggmbw</t>
  </si>
  <si>
    <t xml:space="preserve">UC3K8piFQM-8ZhS2A12iFtQw</t>
  </si>
  <si>
    <t xml:space="preserve">UCAegStoSCqcdl8OJKoy8G8Q</t>
  </si>
  <si>
    <t xml:space="preserve">UC8ELxp41N1TcN85bd45TsPQ</t>
  </si>
  <si>
    <t xml:space="preserve">UCiuFO2oly5EjOxMfuJbhFhA</t>
  </si>
  <si>
    <t xml:space="preserve">UCeoyATtDjeDXGQzH2ANaYzQ</t>
  </si>
  <si>
    <t xml:space="preserve">UCXCm7csl0jH13rNW-kL692A</t>
  </si>
  <si>
    <t xml:space="preserve">UCM3HUMqkoCzAVKCitq22zMQ</t>
  </si>
  <si>
    <t xml:space="preserve">UCbvw1IPxhJJUFL0fNMxCchA</t>
  </si>
  <si>
    <t xml:space="preserve">UCf6-c99ocCTcN2Vjbr3Af4g</t>
  </si>
  <si>
    <t xml:space="preserve">UCC-IOREf2gXdzF0vPSbaSrw</t>
  </si>
  <si>
    <t xml:space="preserve">UCLSJJeXzUi4F2shYP90a99Q</t>
  </si>
  <si>
    <t xml:space="preserve">UCXK39rdSMfhLG-RFSJr0wcQ</t>
  </si>
  <si>
    <t xml:space="preserve">UCL3e-FUv_F_bGhYObc5neyA</t>
  </si>
  <si>
    <t xml:space="preserve">UCuxdOCCtlwJ8SGfAUCJ54Lg</t>
  </si>
  <si>
    <t xml:space="preserve">UCdCLwSMAaj-db2vyyrp4ncQ</t>
  </si>
  <si>
    <t xml:space="preserve">UCsP9pYat2DEBvnvF_iFGG_w</t>
  </si>
  <si>
    <t xml:space="preserve">UCG2BR1VDhvfqXLuLMLAhLbw</t>
  </si>
  <si>
    <t xml:space="preserve">UCskj1U7tvN6m7sZP7FAPpyQ</t>
  </si>
  <si>
    <t xml:space="preserve">UC1LP0STnqvQ4BMsKm4OE6eA</t>
  </si>
  <si>
    <t xml:space="preserve">UCuBYgRd1_jEHV3xKV9768gA</t>
  </si>
  <si>
    <t xml:space="preserve">UC0_SrJRdNGxPdXMRFOonU9Q</t>
  </si>
  <si>
    <t xml:space="preserve">UC_OaHF736OBZo_vTztGtXEg</t>
  </si>
  <si>
    <t xml:space="preserve">UCZueiLQKvl9eTWfJ9GkWVeA</t>
  </si>
  <si>
    <t xml:space="preserve">UCNoV4HixKd8AoVt5paswr-w</t>
  </si>
  <si>
    <t xml:space="preserve">UC0ofXD6bqb9iZC3TmpyA-XA</t>
  </si>
  <si>
    <t xml:space="preserve">UCW0B5njG6bcOAAbbWU1MBSw</t>
  </si>
  <si>
    <t xml:space="preserve">UC5KLHSGpDJi8331fmlTTk0g</t>
  </si>
  <si>
    <t xml:space="preserve">UCF41McsJJRUMlZG-1hzOgQA</t>
  </si>
  <si>
    <t xml:space="preserve">UCsqnSXQQhaGZ5wiKholJnKg</t>
  </si>
  <si>
    <t xml:space="preserve">UCC9yeZKDWiLyMHAW973yJZQ</t>
  </si>
  <si>
    <t xml:space="preserve">UCITF4jhoG7gG9JDZWoKDtuA</t>
  </si>
  <si>
    <t xml:space="preserve">UChdLNvzDU_zYdMgCSh7LPVA</t>
  </si>
  <si>
    <t xml:space="preserve">UCX1OsZSlxhXL26QH_oeyS5A</t>
  </si>
  <si>
    <t xml:space="preserve">UCFx8S2YX4DFTYicIOV5PQag</t>
  </si>
  <si>
    <t xml:space="preserve">UCv1plsuRhMGNckZShWL8KdQ</t>
  </si>
  <si>
    <t xml:space="preserve">UCDe0kQ21BcjkHPuPqworDxw</t>
  </si>
  <si>
    <t xml:space="preserve">UCA6yfpYhy5sWMjRGOT-OAIQ</t>
  </si>
  <si>
    <t xml:space="preserve">UCRInmSjkFCGLb-VUwUCZR_A</t>
  </si>
  <si>
    <t xml:space="preserve">UCAK9xcpdzEXlJn0rh-E4H4A</t>
  </si>
  <si>
    <t xml:space="preserve">UCIpnoCPKo6szdhGIalxnu5w</t>
  </si>
  <si>
    <t xml:space="preserve">UCRrdtwSwx0Fm-bqC9XMq-dw</t>
  </si>
  <si>
    <t xml:space="preserve">UCldQB9WsQ4gmCjRdS0MN4zg</t>
  </si>
  <si>
    <t xml:space="preserve">UCpqNPTnb4QIsM5Y0HWvZP9Q</t>
  </si>
  <si>
    <t xml:space="preserve">UCHYPejvTTDghc7hIV2nuagg</t>
  </si>
  <si>
    <t xml:space="preserve">UCyhs7pzLHgXgvcsGgfNLaxw</t>
  </si>
  <si>
    <t xml:space="preserve">UCxiv-IYyYR725C2apG_w6fQ</t>
  </si>
  <si>
    <t xml:space="preserve">UC0cNv1KZ5x309hM3a7VhPAA</t>
  </si>
  <si>
    <t xml:space="preserve">UCvO0ndRuwO8Prftc8rUCWIg</t>
  </si>
  <si>
    <t xml:space="preserve">UCCLu5B_Ctsw4N20DJvDykOA</t>
  </si>
  <si>
    <t xml:space="preserve">UCWQ1RwJuUG6_KoOFxWTwWCQ</t>
  </si>
  <si>
    <t xml:space="preserve">UCD3CdwT8lTCe5ZGHbUBxmWA</t>
  </si>
  <si>
    <t xml:space="preserve">UCCjt1NI02ZjvqiISqoNzvMw</t>
  </si>
  <si>
    <t xml:space="preserve">UC0kyFRPcMC8HtnL3XqkVkng</t>
  </si>
  <si>
    <t xml:space="preserve">UCw4BAJn5BW0Pq2mnzhv5ClA</t>
  </si>
  <si>
    <t xml:space="preserve">UCbpuRuuhNupy7YGPQlV0Ktg</t>
  </si>
  <si>
    <t xml:space="preserve">UCjRvv09J1ZxJZY5Bb9TiNjQ</t>
  </si>
  <si>
    <t xml:space="preserve">UCbziSI4DBzIUt1sGI-2DGEA</t>
  </si>
  <si>
    <t xml:space="preserve">UCHN-yL1GsvV2lXp6TF-hOvA</t>
  </si>
  <si>
    <t xml:space="preserve">UChZpCRT_Pe5Ys9eLvNE5_kg</t>
  </si>
  <si>
    <t xml:space="preserve">UCMMlYN-EhNrt0eoEDUK0bdg</t>
  </si>
  <si>
    <t xml:space="preserve">UC0bB4q6DDEop428dHHraWVg</t>
  </si>
  <si>
    <t xml:space="preserve">UCj6ce_hGrdS2S025BNxxE7w</t>
  </si>
  <si>
    <t xml:space="preserve">UC57j-1Nsi0hL8ruR0xWAtfg</t>
  </si>
  <si>
    <t xml:space="preserve">UCWG0swjbNC0ge4-0GtihEAg</t>
  </si>
  <si>
    <t xml:space="preserve">UCwfaAHy4zQUb2APNOGXUCCA</t>
  </si>
  <si>
    <t xml:space="preserve">UC19lE46BUraLSBWSpyBdONA</t>
  </si>
  <si>
    <t xml:space="preserve">UCWhlwos9_SzVUbfqlVt7RFQ</t>
  </si>
  <si>
    <t xml:space="preserve">UCnfQqtKFxoxwAI3mpdVeW9w</t>
  </si>
  <si>
    <t xml:space="preserve">UCpQx09xGL4jJ52DN-oZ4Iag</t>
  </si>
  <si>
    <t xml:space="preserve">UCkM9h8iLrFsCskGxhwJ791w</t>
  </si>
  <si>
    <t xml:space="preserve">UCeBWU9awHX3WPR7chSCoE0g</t>
  </si>
  <si>
    <t xml:space="preserve">UC-gFzX9KuHGZX0aDuZvC-IQ</t>
  </si>
  <si>
    <t xml:space="preserve">UC8pclbRKASF-eyinaBDGGOA</t>
  </si>
  <si>
    <t xml:space="preserve">UCdqtTQjRs-aEZUIzcJrx2xw</t>
  </si>
  <si>
    <t xml:space="preserve">UCQvPhKabcxAV5ggnwimi6Aw</t>
  </si>
  <si>
    <t xml:space="preserve">UCBWMcm6IUyIw7CB7_N1nG6Q</t>
  </si>
  <si>
    <t xml:space="preserve">UCOyIOkqTWPPqE_gQhCUYJIg</t>
  </si>
  <si>
    <t xml:space="preserve">UCb3lxF7yShEwR8DzbhSoCXA</t>
  </si>
  <si>
    <t xml:space="preserve">UCNLSji8o4NDd8eZJQvQ2_vw</t>
  </si>
  <si>
    <t xml:space="preserve">UCjOk74jedF4PgKLM_v2GCqg</t>
  </si>
  <si>
    <t xml:space="preserve">UCzYptAeKRulk15up_6CAsjA</t>
  </si>
  <si>
    <t xml:space="preserve">UCC_o5kGhBvtUK1fKvkjlT7w</t>
  </si>
  <si>
    <t xml:space="preserve">UC9Qxfc5dYhIARz9f8uxyWTg</t>
  </si>
  <si>
    <t xml:space="preserve">UCTduonlM4rLpa-W5gCKm9bg</t>
  </si>
  <si>
    <t xml:space="preserve">UCQp-RmDISHcJLxig7y5WgdQ</t>
  </si>
  <si>
    <t xml:space="preserve">UCtgkkpMSOSoXY90jXKZ9ufw</t>
  </si>
  <si>
    <t xml:space="preserve">UCWFdbzZvJGMR5wEQPZQ9Gtw</t>
  </si>
  <si>
    <t xml:space="preserve">UCrIFHwGW1rI1XO0fUvGteuw</t>
  </si>
  <si>
    <t xml:space="preserve">UCsvQW5Azah0H7HM4r6eHHoA</t>
  </si>
  <si>
    <t xml:space="preserve">UC8IqixmulSFCPfQ7klpgkWQ</t>
  </si>
  <si>
    <t xml:space="preserve">UCegTtsPu5aI40qtnrBqRyHA</t>
  </si>
  <si>
    <t xml:space="preserve">UCv2LuxkoQ96dNy0sSWZvgEg</t>
  </si>
  <si>
    <t xml:space="preserve">UCkul0EjxFOR2hS_0tOokGag</t>
  </si>
  <si>
    <t xml:space="preserve">UChcEcGVMOJtQT_ATfBOURaA</t>
  </si>
  <si>
    <t xml:space="preserve">UC0XbkbFj8I8FehRkZv7EK3w</t>
  </si>
  <si>
    <t xml:space="preserve">UCRVISXQUt2v9FXJWtCNDdPw</t>
  </si>
  <si>
    <t xml:space="preserve">UCRMmRQ2618gs7Ps-76jjRCA</t>
  </si>
  <si>
    <t xml:space="preserve">UCzGu3cYv-VdhRXhCtyyG7vw</t>
  </si>
  <si>
    <t xml:space="preserve">UC-RePsOrv62H7p5ZPpo05Vg</t>
  </si>
  <si>
    <t xml:space="preserve">UCQ0N5BMFODLm2HMztJtXYdQ</t>
  </si>
  <si>
    <t xml:space="preserve">UCQ2eCNVCMsYOqxMjhfWJ91Q</t>
  </si>
  <si>
    <t xml:space="preserve">UCuVDHHCV2rb62e9gKyteM-w</t>
  </si>
  <si>
    <t xml:space="preserve">UCGVUtb3q_VVP8yrXld6Aq7g</t>
  </si>
  <si>
    <t xml:space="preserve">UCYUzMElcGHwuF-KiyXtEuYw</t>
  </si>
  <si>
    <t xml:space="preserve">UChBwcdX8TuubEFgtfVC8PKA</t>
  </si>
  <si>
    <t xml:space="preserve">UCiCzK8JvuBSATbBa4FFaf7w</t>
  </si>
  <si>
    <t xml:space="preserve">UCQH-o7L0zZ-jicCS_5wgdig</t>
  </si>
  <si>
    <t xml:space="preserve">UCWl-Df5puPNrnQS8lG9T9_w</t>
  </si>
  <si>
    <t xml:space="preserve">UCchbmWA__8uHqy23WdclgfA</t>
  </si>
  <si>
    <t xml:space="preserve">UCmJlSkSkgdXama3GSUgMC4g</t>
  </si>
  <si>
    <t xml:space="preserve">UCwNUxiOb3do1pcIxEadK3Jw</t>
  </si>
  <si>
    <t xml:space="preserve">UC3X46W6tL63L7e3PXKkxInQ</t>
  </si>
  <si>
    <t xml:space="preserve">UCp8TSIgLoBWsPS1knyeFhaw</t>
  </si>
  <si>
    <t xml:space="preserve">UCcEXr6ZzppFU1jEbX42QP1A</t>
  </si>
  <si>
    <t xml:space="preserve">UCCfcBJylrCIuyd03dme0XEg</t>
  </si>
  <si>
    <t xml:space="preserve">UCNTtLazdEyRwrTeMPO1rs6Q</t>
  </si>
  <si>
    <t xml:space="preserve">UCsFH3CiwfzeqkuAiWYlnBKQ</t>
  </si>
  <si>
    <t xml:space="preserve">UC7xdLQYOpbYuLpAfGwLN6Kw</t>
  </si>
  <si>
    <t xml:space="preserve">UCbnAeXQFokkprd5JYtQF9MA</t>
  </si>
  <si>
    <t xml:space="preserve">UCgpi__wtcrrD1WDkIeVYsNA</t>
  </si>
  <si>
    <t xml:space="preserve">UCEDWHoZn1doICipTeYy0BMA</t>
  </si>
  <si>
    <t xml:space="preserve">UCBZP7VJynJZCfTeF_bb6d3Q</t>
  </si>
  <si>
    <t xml:space="preserve">UCN_VPZqs0jSDgsGO1d0lgsw</t>
  </si>
  <si>
    <t xml:space="preserve">UCYALsGamB3BIsYTWC8r5VFg</t>
  </si>
  <si>
    <t xml:space="preserve">UCVgQXr1OwlxEKKhVPCTYlKg</t>
  </si>
  <si>
    <t xml:space="preserve">UCBAiv_SaeHK9LM2CmAvZtng</t>
  </si>
  <si>
    <t xml:space="preserve">UCw-6ZZLkONeI7Tq3TLlSl_g</t>
  </si>
  <si>
    <t xml:space="preserve">UCBm0hPI-ykEloE6c8Tf15Vw</t>
  </si>
  <si>
    <t xml:space="preserve">UCpD2AsMkmpq58e8kLlITgTA</t>
  </si>
  <si>
    <t xml:space="preserve">UChKbi4GEhwAaf58TbHgaAMQ</t>
  </si>
  <si>
    <t xml:space="preserve">UCau7AJIOeUe3AQ9eXRmFT0g</t>
  </si>
  <si>
    <t xml:space="preserve">UCmVKu4e3AwDxwCO-FFkOBJQ</t>
  </si>
  <si>
    <t xml:space="preserve">UCaUhVdYgagK4Mzg8Owh388g</t>
  </si>
  <si>
    <t xml:space="preserve">UCYn6UEtQ771a_OWSiNBoG8w</t>
  </si>
  <si>
    <t xml:space="preserve">UCH5to0UwsBvlFVp8Ad5TfaQ</t>
  </si>
  <si>
    <t xml:space="preserve">UCqASGYoa665e0ZH4cnJUnaA</t>
  </si>
  <si>
    <t xml:space="preserve">UCoRjUUZbk4oczOvdvNvMLuQ</t>
  </si>
  <si>
    <t xml:space="preserve">UCW14al5QkJsj9jeCHTbbzVg</t>
  </si>
  <si>
    <t xml:space="preserve">UC7T1Nu4vn4zl8-il-55drqg</t>
  </si>
  <si>
    <t xml:space="preserve">UC9QHX7KyJpOvOYdLu-vM2ug</t>
  </si>
  <si>
    <t xml:space="preserve">UC3HHjWA567A7Lc5aJqdVwfA</t>
  </si>
  <si>
    <t xml:space="preserve">UC_zrER1T7De4cZ1Z5PGWhcQ</t>
  </si>
  <si>
    <t xml:space="preserve">UCdgrUyNsLhuqr7pCHtbxF0A</t>
  </si>
  <si>
    <t xml:space="preserve">UCOS8G_1MHa-VG7HKFAg43Wg</t>
  </si>
  <si>
    <t xml:space="preserve">UCBCioqx1WWawmS-jsNElmrw</t>
  </si>
  <si>
    <t xml:space="preserve">UC24K8-tMIa04qt61Npiv5KQ</t>
  </si>
  <si>
    <t xml:space="preserve">UCEUvsEfdROKsBH_nSNozTTw</t>
  </si>
  <si>
    <t xml:space="preserve">UCVqe_dyLxdU0FuyZ1Q0J0jw</t>
  </si>
  <si>
    <t xml:space="preserve">UCvxcR3k34ydlpNH28vHCFig</t>
  </si>
  <si>
    <t xml:space="preserve">UCx7rNJzsHPIpiBxSeC7LUnw</t>
  </si>
  <si>
    <t xml:space="preserve">UC7eTc0Iuv1LoRpo76PdxW7w</t>
  </si>
  <si>
    <t xml:space="preserve">UCxxrBatcxuiaDxqAsmyX0gQ</t>
  </si>
  <si>
    <t xml:space="preserve">UCi-J9CCaQ8w427GPHmoQGHA</t>
  </si>
  <si>
    <t xml:space="preserve">UCIxm1p1gjaQxY-B79m6hLvA</t>
  </si>
  <si>
    <t xml:space="preserve">UCyp46tOP5f_eRfNi7ubdU8w</t>
  </si>
  <si>
    <t xml:space="preserve">UC4HlZ9D5agwKmjWuYmDL4KA</t>
  </si>
  <si>
    <t xml:space="preserve">UC55w4h52GwDFLwKerARarGA</t>
  </si>
  <si>
    <t xml:space="preserve">UCPyWVSMZZRo_m7FQ6lhW0fQ</t>
  </si>
  <si>
    <t xml:space="preserve">UCcIYb_oPMrdYmoEaHzYrVdQ</t>
  </si>
  <si>
    <t xml:space="preserve">UCmKX-Akbg1PznRAQ8eAZgig</t>
  </si>
  <si>
    <t xml:space="preserve">UCWzjAp-rlTFmWqmie4uStSw</t>
  </si>
  <si>
    <t xml:space="preserve">UCv8AWbcO7l_vzuTf10UMo-g</t>
  </si>
  <si>
    <t xml:space="preserve">UCbcpqs2vCCn-6J-OhhA1dnw</t>
  </si>
  <si>
    <t xml:space="preserve">UCP4S4TCjXz_KSP5N_KLvA0Q</t>
  </si>
  <si>
    <t xml:space="preserve">UCBECG8Hc8rY4OKcuQ3zniFw</t>
  </si>
  <si>
    <t xml:space="preserve">UChAKaDt4lrzOpKtjBXx-IHw</t>
  </si>
  <si>
    <t xml:space="preserve">UCQO1rzsspqOyfEFFMU4ALRw</t>
  </si>
  <si>
    <t xml:space="preserve">UCcfkSA6VQcS7xYCJsz8MoMQ</t>
  </si>
  <si>
    <t xml:space="preserve">UCbpkGw5TsGT2ViRDFz0shVA</t>
  </si>
  <si>
    <t xml:space="preserve">UCo0SKU-hd28YZA-qH5xHExQ</t>
  </si>
  <si>
    <t xml:space="preserve">UCfWlGMz2oah3eoclitMPm6g</t>
  </si>
  <si>
    <t xml:space="preserve">UCA295QVkf9O1RQ8_-s3FVXg</t>
  </si>
  <si>
    <t xml:space="preserve">UCayJSRMRgQEQo71zBySi-RQ</t>
  </si>
  <si>
    <t xml:space="preserve">UC7UFU6Ge1-QDbR3_-x3usyw</t>
  </si>
  <si>
    <t xml:space="preserve">UC9Ot-qxPTTsnCcNwcNkBqoA</t>
  </si>
  <si>
    <t xml:space="preserve">UCwmGsTpKapFzibTBX9zwRTg</t>
  </si>
  <si>
    <t xml:space="preserve">UC8Wux3LtUK_jIdY2ZkD87-w</t>
  </si>
  <si>
    <t xml:space="preserve">UCNHDmIYt2jCSr0NW6IRNaDw</t>
  </si>
  <si>
    <t xml:space="preserve">UC2yacLQgfis_q4i54SXFMmw</t>
  </si>
  <si>
    <t xml:space="preserve">UCdUwrn718gZ-auKM5PrSUCQ</t>
  </si>
  <si>
    <t xml:space="preserve">UCZLW8SmvBaMwhNFh_iXMZ9A</t>
  </si>
  <si>
    <t xml:space="preserve">UCBF8XlZG9_-ziYcNQGSKnQg</t>
  </si>
  <si>
    <t xml:space="preserve">UC3xE9rEV485FTlt937mv1Ig</t>
  </si>
  <si>
    <t xml:space="preserve">UCMTN5qQjbxxGkVfg1ew2rMg</t>
  </si>
  <si>
    <t xml:space="preserve">UCdf14FHPLt7omkE9CmyrVHA</t>
  </si>
  <si>
    <t xml:space="preserve">UCFpzMc7WVZ5vYx18hFZdWog</t>
  </si>
  <si>
    <t xml:space="preserve">UCjljMVSWhuL5e6Oxx_Vf2JQ</t>
  </si>
  <si>
    <t xml:space="preserve">UC3Js3ZrtZv7JYhaAIRa8P9w</t>
  </si>
  <si>
    <t xml:space="preserve">UCHH0HY0Qd8Kw_WI-lvwmlKw</t>
  </si>
  <si>
    <t xml:space="preserve">UCigzaSqrHmRRWP4inanizkg</t>
  </si>
  <si>
    <t xml:space="preserve">UCE7CgeQb2FLPfxIcLuhrybQ</t>
  </si>
  <si>
    <t xml:space="preserve">UCQK-eM1J3dCUWWRUF3vur4Q</t>
  </si>
  <si>
    <t xml:space="preserve">UCGmrfR1zYR1g9BWdqDMMmHw</t>
  </si>
  <si>
    <t xml:space="preserve">UCBVNEynUjBYIh2A8jbqO09Q</t>
  </si>
  <si>
    <t xml:space="preserve">UCSyZ_6izJOqAYi4WCfCNY-w</t>
  </si>
  <si>
    <t xml:space="preserve">UCAwiE0PyuHbNl2lgKmGAiSw</t>
  </si>
  <si>
    <t xml:space="preserve">UCZc3T6enxj1tTlZSb-4KxOA</t>
  </si>
  <si>
    <t xml:space="preserve">UCEOjeKbFCDGUEhATUkyZolQ</t>
  </si>
  <si>
    <t xml:space="preserve">UCrrm-OA2JRaVAGNpziVVVOA</t>
  </si>
  <si>
    <t xml:space="preserve">UCfpZ-S_HZyFstBh24o_1zGQ</t>
  </si>
  <si>
    <t xml:space="preserve">UCJRfBj_ZtllX7q_FAPWqtVg</t>
  </si>
  <si>
    <t xml:space="preserve">UCc0uRjBZBziwzKzfG_6FlWQ</t>
  </si>
  <si>
    <t xml:space="preserve">UC1roX1QGmYdMvuJi0RaCUQA</t>
  </si>
  <si>
    <t xml:space="preserve">UC4GTNmXbITRwayyPAFJLzvA</t>
  </si>
  <si>
    <t xml:space="preserve">UCaejA_9sIs2U1GVxqyxWXSQ</t>
  </si>
  <si>
    <t xml:space="preserve">UCG3B5UDD0rgEgKrpn1hZz3w</t>
  </si>
  <si>
    <t xml:space="preserve">UC2m-hnmtj4leKfWL6S_Idnw</t>
  </si>
  <si>
    <t xml:space="preserve">UC58IAk1i-6d5XgHZG4NnffA</t>
  </si>
  <si>
    <t xml:space="preserve">UCoYqPrh8pM_FzFbOtA3iYXw</t>
  </si>
  <si>
    <t xml:space="preserve">UCQc_CVtWqzhiAP01wzPxU0g</t>
  </si>
  <si>
    <t xml:space="preserve">UCxJLnYkBYQYIgfZywBVJhVg</t>
  </si>
  <si>
    <t xml:space="preserve">UC0FuZIVVZVPN9CFwef_9dwA</t>
  </si>
  <si>
    <t xml:space="preserve">UCOVu1h2Y0DxLoF3TpfudUrA</t>
  </si>
  <si>
    <t xml:space="preserve">UCHx8kg_il4w9T2uSdNRdlkA</t>
  </si>
  <si>
    <t xml:space="preserve">UCkF1I0GSbO1NRXT2s3T0B2g</t>
  </si>
  <si>
    <t xml:space="preserve">UCeOzMrGVo9VK-arSicqMhKg</t>
  </si>
  <si>
    <t xml:space="preserve">UCPvh8euSCaiVTJgD5OhHZCA</t>
  </si>
  <si>
    <t xml:space="preserve">UC2mLmnzyJhRr7W9u9xjsttg</t>
  </si>
  <si>
    <t xml:space="preserve">UC1h0qXQ954HIIBOe34AMg2g</t>
  </si>
  <si>
    <t xml:space="preserve">UCrTXCod9tSvwqyeH6NYcpZQ</t>
  </si>
  <si>
    <t xml:space="preserve">UCk_wmXvLDO4wg7a_dxbjZAA</t>
  </si>
  <si>
    <t xml:space="preserve">UCYboYuslPkWKrVm3EewGjxg</t>
  </si>
  <si>
    <t xml:space="preserve">UCtTSvEddHYoRsPsHI17mUhA</t>
  </si>
  <si>
    <t xml:space="preserve">UCgzPGbRKc_XYpuHFxjg1dgA</t>
  </si>
  <si>
    <t xml:space="preserve">UCDjTJk8Wl_XnxD4P41kwntQ</t>
  </si>
  <si>
    <t xml:space="preserve">UCeuLwuQE8SV7WYFAOoIiI1A</t>
  </si>
  <si>
    <t xml:space="preserve">UC3oDMkJx67vsOssbSOwH4qA</t>
  </si>
  <si>
    <t xml:space="preserve">UCeR1SFp-rR_WJiZEGdXJowA</t>
  </si>
  <si>
    <t xml:space="preserve">UCw0AI1MlQFe3M9Rmp1DvPXw</t>
  </si>
  <si>
    <t xml:space="preserve">UCTp8axSc_jzjPhYgoRKjMYg</t>
  </si>
  <si>
    <t xml:space="preserve">UCvMSKsiXCDfjX41dUNn92yQ</t>
  </si>
  <si>
    <t xml:space="preserve">UCpbr_feRHJAZIixnvYIPWuw</t>
  </si>
  <si>
    <t xml:space="preserve">UCUmQxZa12Q3CNGcJQXsFg9g</t>
  </si>
  <si>
    <t xml:space="preserve">UCvyLsejSg4-_j3oNm7WXbew</t>
  </si>
  <si>
    <t xml:space="preserve">UCQJTzCJD3HaB7NOc9gnd3bg</t>
  </si>
  <si>
    <t xml:space="preserve">UCFfoz79Zzxh1DQdrMIb1HSQ</t>
  </si>
  <si>
    <t xml:space="preserve">UC80PWRj_ZU8Zu0HSMNVwKWw</t>
  </si>
  <si>
    <t xml:space="preserve">UCh0oMxs3JTL_fjENcJpbKRw</t>
  </si>
  <si>
    <t xml:space="preserve">UCeAYSPJ7a483MSb7JK0E2MA</t>
  </si>
  <si>
    <t xml:space="preserve">UCNu2FFzwSDdpwF0Pkdssf5w</t>
  </si>
  <si>
    <t xml:space="preserve">UCe3DPalEieE_zrWK97_QkEA</t>
  </si>
  <si>
    <t xml:space="preserve">UCkVF2PNHACXdkSHO6fLtezg</t>
  </si>
  <si>
    <t xml:space="preserve">UC_03rF65ZuLX5kVBmBBOupg</t>
  </si>
  <si>
    <t xml:space="preserve">UCl4adehAAcqHOd91fvqKnTQ</t>
  </si>
  <si>
    <t xml:space="preserve">UC5an8w2CBECDw4N_ru1V4Ug</t>
  </si>
  <si>
    <t xml:space="preserve">UCEQOJDwT1HlQO0Jmo-kLRrg</t>
  </si>
  <si>
    <t xml:space="preserve">UC3wmxoUxNOVTbgxsJVB2pvQ</t>
  </si>
  <si>
    <t xml:space="preserve">UCN8s0kCZAVgglfoRnXNrAdA</t>
  </si>
  <si>
    <t xml:space="preserve">UCJOYv6KYvqYDUCkklkgxikg</t>
  </si>
  <si>
    <t xml:space="preserve">UCdeBHf-H9V8EwWYNijDvO4A</t>
  </si>
  <si>
    <t xml:space="preserve">UCTX9R4tlcJIPsUY8dvADy2Q</t>
  </si>
  <si>
    <t xml:space="preserve">UCWfInRDNyl6ZoWDcufMDWXg</t>
  </si>
  <si>
    <t xml:space="preserve">UC6cmP-uXwQ1SlwS9uDBmdiQ</t>
  </si>
  <si>
    <t xml:space="preserve">UCNLWF3wjBbLOD2roQ0gk6-g</t>
  </si>
  <si>
    <t xml:space="preserve">UC_oPHgSGG9v3JHh-h20lQng</t>
  </si>
  <si>
    <t xml:space="preserve">UCXj_nj2wfEsejq0wsQ2EjxQ</t>
  </si>
  <si>
    <t xml:space="preserve">UCmfqQddZswnF9qK10BtrXsw</t>
  </si>
  <si>
    <t xml:space="preserve">UCO0BjDuSdOqgGmQr8moTbzQ</t>
  </si>
  <si>
    <t xml:space="preserve">UC9NWjXbt97jHJ1O-jtzBipg</t>
  </si>
  <si>
    <t xml:space="preserve">UCKEwC0TszMVyyPwQNuG2Geg</t>
  </si>
  <si>
    <t xml:space="preserve">UC8XdUfQXhaRWsMy3nr3V4Vw</t>
  </si>
  <si>
    <t xml:space="preserve">UCH954w-MBxvhg3hzvFRnuzw</t>
  </si>
  <si>
    <t xml:space="preserve">UC63URkuUvnugRBeTNqmToKg</t>
  </si>
  <si>
    <t xml:space="preserve">UC0q6WcSP-DVwX4Hgme-I3zw</t>
  </si>
  <si>
    <t xml:space="preserve">UCIB_MLJZL0T_s5OUuqhmbVA</t>
  </si>
  <si>
    <t xml:space="preserve">UCkvfWvN_N3Jv88XFPJ2QOHA</t>
  </si>
  <si>
    <t xml:space="preserve">UCaRrwSXP-Q0eQc-MIcGWufQ</t>
  </si>
  <si>
    <t xml:space="preserve">UCkcPay_Q0M_FKhWnV9SjQ8Q</t>
  </si>
  <si>
    <t xml:space="preserve">UCypj9Vvizo4cCERfDFIG3zw</t>
  </si>
  <si>
    <t xml:space="preserve">UCjOSKlJIk5HpMIN_zlm8f0g</t>
  </si>
  <si>
    <t xml:space="preserve">UCKU3N68Fo2B0RBL8LrqGeUA</t>
  </si>
  <si>
    <t xml:space="preserve">UC_ynZ6hPsF9vRZcVjGZ9x5w</t>
  </si>
  <si>
    <t xml:space="preserve">UCt0GEIWEQV2Uy4EppoXc7dA</t>
  </si>
  <si>
    <t xml:space="preserve">UCl5a8KNSTIlE1myVUSldhnw</t>
  </si>
  <si>
    <t xml:space="preserve">UC_tSnZc5wudA1Qxy7q2YN0Q</t>
  </si>
  <si>
    <t xml:space="preserve">UCABtJKdaaKzdsMIeZhsE69w</t>
  </si>
  <si>
    <t xml:space="preserve">UC26JWZtM9NFJIE3OX41-6-w</t>
  </si>
  <si>
    <t xml:space="preserve">UCrmk2eSxVavd9njIfFj9sgQ</t>
  </si>
  <si>
    <t xml:space="preserve">UCjiEkwIdaueJLz2y327pQtw</t>
  </si>
  <si>
    <t xml:space="preserve">UCXQNehoj_3OOm3VJcmJwf4Q</t>
  </si>
  <si>
    <t xml:space="preserve">UC1Gn8l6GIj5ithhZC4Gqdnw</t>
  </si>
  <si>
    <t xml:space="preserve">UCiwhG73TsKLbLEcmymWSFEA</t>
  </si>
  <si>
    <t xml:space="preserve">UCCkGAgmXmyGQSPBokS2n5ug</t>
  </si>
  <si>
    <t xml:space="preserve">UCE6Y7GPi7LG3_w0cmBFZRwA</t>
  </si>
  <si>
    <t xml:space="preserve">UCMcMbeoE8YIZznLCFiPzcog</t>
  </si>
  <si>
    <t xml:space="preserve">UCUNKYBhbqUsP10nMRQWs9Ow</t>
  </si>
  <si>
    <t xml:space="preserve">UChRqqBs8rIfR2x8Mtak6IFw</t>
  </si>
  <si>
    <t xml:space="preserve">UCS1XMfRDAubjIZ8v0CFnpNg</t>
  </si>
  <si>
    <t xml:space="preserve">UCiNPKlp7CVGnHxEutvXMYoA</t>
  </si>
  <si>
    <t xml:space="preserve">UCn9YQVWevSjx3kjBRjt6yrw</t>
  </si>
  <si>
    <t xml:space="preserve">UC_338PMI9UqDGbuz45SEWEA</t>
  </si>
  <si>
    <t xml:space="preserve">UCI-8GbrDnAB3tP5q09AudbA</t>
  </si>
  <si>
    <t xml:space="preserve">UCu6goZFcE4O9im81ecgPVPA</t>
  </si>
  <si>
    <t xml:space="preserve">UC4EX8zLiBUalk704IX_zu1Q</t>
  </si>
  <si>
    <t xml:space="preserve">UCeDgPXfSizdUl9OMhB9KOBw</t>
  </si>
  <si>
    <t xml:space="preserve">UCQd2bts9KbrEsMdSGgmJ0xQ</t>
  </si>
  <si>
    <t xml:space="preserve">UCh9VEdkhcGD7YOCeW0ZXtTg</t>
  </si>
  <si>
    <t xml:space="preserve">UCN0ZhGZOC3Y5XlFgex0QXXw</t>
  </si>
  <si>
    <t xml:space="preserve">UCIcnMjCxcVZudmr4GnDjsLg</t>
  </si>
  <si>
    <t xml:space="preserve">UClduO5m9o-TZqZY9q0becSg</t>
  </si>
  <si>
    <t xml:space="preserve">UCKcGUzIFEOw5Nitg-qpMQFw</t>
  </si>
  <si>
    <t xml:space="preserve">UCqGaF-9BXTt8imOj-dJnQXQ</t>
  </si>
  <si>
    <t xml:space="preserve">UCzQoueJ9pV-gt_q8d0BanBA</t>
  </si>
  <si>
    <t xml:space="preserve">UCsn6VjaV363s7tp9JiJSv-Q</t>
  </si>
  <si>
    <t xml:space="preserve">UC-jmkjiKCyBuqW5FZoemwEw</t>
  </si>
  <si>
    <t xml:space="preserve">UCYtkDmUOKLsGJ_VCZj2DjsA</t>
  </si>
  <si>
    <t xml:space="preserve">UC_wRrGACBXvi2UW9QWru3Rw</t>
  </si>
  <si>
    <t xml:space="preserve">UC7oqCLUYafRuREAPO0Q7uZg</t>
  </si>
  <si>
    <t xml:space="preserve">UCLLhVCsO2Em-IQXwqq2EVyw</t>
  </si>
  <si>
    <t xml:space="preserve">UC-WHWhLDdRAiiT53kqDe3PA</t>
  </si>
  <si>
    <t xml:space="preserve">UCIXzHhsncFHToqh0n-HBSww</t>
  </si>
  <si>
    <t xml:space="preserve">UC6buVZQlL4RhJVck7AaBHiw</t>
  </si>
  <si>
    <t xml:space="preserve">UCBLm-AXXY8Jd-N5Tx3eoSfw</t>
  </si>
  <si>
    <t xml:space="preserve">UCDf4zaE_kxa6jU0RQnNzsqQ</t>
  </si>
  <si>
    <t xml:space="preserve">UCij6wQXCsmhACo_ZJpPnuHg</t>
  </si>
  <si>
    <t xml:space="preserve">UCXsOq3SXWaSxeE7zNK9FgYA</t>
  </si>
  <si>
    <t xml:space="preserve">UCz-oiNpeSZM4mgDcXVcK3Kw</t>
  </si>
  <si>
    <t xml:space="preserve">UCx2uJwwk-VbxDeH-omCHDuQ</t>
  </si>
  <si>
    <t xml:space="preserve">UCdOu35-oWiAGSKaM-OaRhRg</t>
  </si>
  <si>
    <t xml:space="preserve">UCmz1Dd0Nrq6gynpQravPE2g</t>
  </si>
  <si>
    <t xml:space="preserve">UChDzqpxhZBVggy0VDCD-bGQ</t>
  </si>
  <si>
    <t xml:space="preserve">UCF1whA4-po0ar8XL2eTXKaQ</t>
  </si>
  <si>
    <t xml:space="preserve">UCgF_3RGScUUVLVq3PZ67e3g</t>
  </si>
  <si>
    <t xml:space="preserve">UCWSO_FLordH7r8rGgMYtB2w</t>
  </si>
  <si>
    <t xml:space="preserve">UC5hW21ivlQRd7nid-_efVpg</t>
  </si>
  <si>
    <t xml:space="preserve">UCJrAfJ39rplnIFssSedUQOQ</t>
  </si>
  <si>
    <t xml:space="preserve">UC2yzBf5bvJfbpFw19g8FyoA</t>
  </si>
  <si>
    <t xml:space="preserve">UCCYfKl9qeKj_gFY7IthCnBg</t>
  </si>
  <si>
    <t xml:space="preserve">UCV4jGMQNhVwoMDYfhrx_dtw</t>
  </si>
  <si>
    <t xml:space="preserve">UCQOyO7OC5mX8pZmzKW7Vl6Q</t>
  </si>
  <si>
    <t xml:space="preserve">UCgvrz9ioKv89HMyg42z4pyQ</t>
  </si>
  <si>
    <t xml:space="preserve">UCxjfEikGDmajTIYNhWBdfKQ</t>
  </si>
  <si>
    <t xml:space="preserve">UCVO7OTV4uplZaItL32l7V-g</t>
  </si>
  <si>
    <t xml:space="preserve">UCTtwgKosoquBKWEK0tLruQQ</t>
  </si>
  <si>
    <t xml:space="preserve">UCZAc6j2gnLgbVtvZ9F_biQg</t>
  </si>
  <si>
    <t xml:space="preserve">UCkdlOngwAVi7KJYwtjhvVVg</t>
  </si>
  <si>
    <t xml:space="preserve">UCH8zjp-3hsMqFT89J1bLFCA</t>
  </si>
  <si>
    <t xml:space="preserve">UCdypNN9m5ivK_rAuxguJ-pA</t>
  </si>
  <si>
    <t xml:space="preserve">UC-Pb3WgC4LfJtR48OD0Rg3A</t>
  </si>
  <si>
    <t xml:space="preserve">UCKNCbBWiMiXBVXUmUuu_dsQ</t>
  </si>
  <si>
    <t xml:space="preserve">UCeqZLvtezRjQZo6a3tz_ghQ</t>
  </si>
  <si>
    <t xml:space="preserve">UC1hcSxxoZKNgo9c1TjpPH2g</t>
  </si>
  <si>
    <t xml:space="preserve">UCX62zItQJebfzqEsozv4NOg</t>
  </si>
  <si>
    <t xml:space="preserve">UCMecIwIIgAoj3Es80ZprOhg</t>
  </si>
  <si>
    <t xml:space="preserve">UCoKaZGdtDmW-2TsT1RfW0TA</t>
  </si>
  <si>
    <t xml:space="preserve">UCL_3_9PhDyZXu1oexm8gtFQ</t>
  </si>
  <si>
    <t xml:space="preserve">UCqfjbw7CHTkCbBoN1hfl6hg</t>
  </si>
  <si>
    <t xml:space="preserve">UCfOHfoIZlaq4vOiW4uJGImw</t>
  </si>
  <si>
    <t xml:space="preserve">UCMt2HkUGa5CGiuInbSVry9Q</t>
  </si>
  <si>
    <t xml:space="preserve">UCBdN0UL0aN2S6tvm41J50wQ</t>
  </si>
  <si>
    <t xml:space="preserve">UCTMM_wBtuEAyOG1jm8PiB4A</t>
  </si>
  <si>
    <t xml:space="preserve">UCWxfEDnM8H1cRB2_U7dGIvQ</t>
  </si>
  <si>
    <t xml:space="preserve">UC_Qv0-swMA6JbKEeRMFkanw</t>
  </si>
  <si>
    <t xml:space="preserve">UCi-HnKxk5lAE6Uvj5-dHn1g</t>
  </si>
  <si>
    <t xml:space="preserve">UCVpKsV04t5WzWJcxqRax7rA</t>
  </si>
  <si>
    <t xml:space="preserve">UClT94Y2QG0qAjc37BfAI4GA</t>
  </si>
  <si>
    <t xml:space="preserve">UCpdhSvQSifBXXbpSdh4FTlg</t>
  </si>
  <si>
    <t xml:space="preserve">UC7MEZVcXwfH1GjGC6lVg-Mg</t>
  </si>
  <si>
    <t xml:space="preserve">UCy9yTMc0ooGsNx6-V1dckvQ</t>
  </si>
  <si>
    <t xml:space="preserve">UCN5qpJ_OZl53SfMbVPjA6sg</t>
  </si>
  <si>
    <t xml:space="preserve">UCKQx0RGDtY-K1DrwnUu8Pxg</t>
  </si>
  <si>
    <t xml:space="preserve">UCOU7nxaUPU5q9jtnPI-IflA</t>
  </si>
  <si>
    <t xml:space="preserve">UC6JClaVOigSMNUw56I5Ja2A</t>
  </si>
  <si>
    <t xml:space="preserve">UC9KlcTdjyS8ICXXUPRccjiA</t>
  </si>
  <si>
    <t xml:space="preserve">UCshTkEYr2FyW8QYMEpZc0IA</t>
  </si>
  <si>
    <t xml:space="preserve">UCXe4-WUssAg5m05dm976BpQ</t>
  </si>
  <si>
    <t xml:space="preserve">UC8Ap5InBZDhgORnxCNtW2Pw</t>
  </si>
  <si>
    <t xml:space="preserve">UC05DLAXA9jl1bxaoopjs83w</t>
  </si>
  <si>
    <t xml:space="preserve">UCyWi2qIqXKGZSya5mpvwokA</t>
  </si>
  <si>
    <t xml:space="preserve">UC8XWn0Q8xcNcJ6uj6p3NltQ</t>
  </si>
  <si>
    <t xml:space="preserve">UC2fLQfVAnXdW4eSpC0uBfAA</t>
  </si>
  <si>
    <t xml:space="preserve">UCpygLb267syZMh9ZYsCQTdg</t>
  </si>
  <si>
    <t xml:space="preserve">UCVvkRFMVWfmGB6Ra4N8-r2Q</t>
  </si>
  <si>
    <t xml:space="preserve">UCfmN-Ek-pIkeFFim_SBx3iA</t>
  </si>
  <si>
    <t xml:space="preserve">UCqZJHBjPjCl3dk2PSbAdpnw</t>
  </si>
  <si>
    <t xml:space="preserve">UC5JfnfGKV9LQsBKNm1L9EAw</t>
  </si>
  <si>
    <t xml:space="preserve">UCYv0E3dgiMOLVdYTkXapfwQ</t>
  </si>
  <si>
    <t xml:space="preserve">UCqJYjdpgZrLEe2mLYaJTI4Q</t>
  </si>
  <si>
    <t xml:space="preserve">UCQHLxxBFrbfdrk1jF0moTpw</t>
  </si>
  <si>
    <t xml:space="preserve">UCngpdIYbl5REio0EaQjlHSA</t>
  </si>
  <si>
    <t xml:space="preserve">UC3mjrLGFhSxhWMit0ICh9GQ</t>
  </si>
  <si>
    <t xml:space="preserve">UCkRBhYseE1BfWq-nRUQOlMA</t>
  </si>
  <si>
    <t xml:space="preserve">UCXDY2FHLmmMQ2dacN9Jb8mA</t>
  </si>
  <si>
    <t xml:space="preserve">UCjLCIESGt1238r8Qv4ktagw</t>
  </si>
  <si>
    <t xml:space="preserve">UCQrqpVT_L-Q7FQRJYtMl4gQ</t>
  </si>
  <si>
    <t xml:space="preserve">UCDi0eYKj4VH_m7VBzeeBMBw</t>
  </si>
  <si>
    <t xml:space="preserve">UCi1xSGkWBJss_TZvcOTVy9A</t>
  </si>
  <si>
    <t xml:space="preserve">UCM72umqXJ-eFZO4AeCQkppA</t>
  </si>
  <si>
    <t xml:space="preserve">UCK-jgcnISpQw2GSTn83uSRQ</t>
  </si>
  <si>
    <t xml:space="preserve">UC94Wb0zsO9vr0VovflFaU4A</t>
  </si>
  <si>
    <t xml:space="preserve">UCNB0kOpUqpB7MUqW53zN8aA</t>
  </si>
  <si>
    <t xml:space="preserve">UCrBPaqNc8SP3K0Q_LFJlhIg</t>
  </si>
  <si>
    <t xml:space="preserve">UCfqa93YBE3U3PqJ0NNJqqvQ</t>
  </si>
  <si>
    <t xml:space="preserve">UCWwV4qx048mo-bScv674JLw</t>
  </si>
  <si>
    <t xml:space="preserve">UCiQS3JwbWpj5V2YWB1YUBMw</t>
  </si>
  <si>
    <t xml:space="preserve">UC8xULytJ_JvLtLEzpkqaQdA</t>
  </si>
  <si>
    <t xml:space="preserve">UCuOg3Y1J1JqKhBK8eh32FjQ</t>
  </si>
  <si>
    <t xml:space="preserve">UCTnEn1kecKXNHeCJBcJOkYA</t>
  </si>
  <si>
    <t xml:space="preserve">UCqo4-ml8IiMrW6tYIvzdBIA</t>
  </si>
  <si>
    <t xml:space="preserve">UC9FmSTPVGKkDTXkMc04VEjg</t>
  </si>
  <si>
    <t xml:space="preserve">UCGRIgtqal_cC7V_cD-Zylkg</t>
  </si>
  <si>
    <t xml:space="preserve">UCYaSlsP2wEHSjDFd8xhKkSA</t>
  </si>
  <si>
    <t xml:space="preserve">UCLPUu7CznrdnRune7h85zrg</t>
  </si>
  <si>
    <t xml:space="preserve">UC6Dg-LOtgard1DbSbFmOV0A</t>
  </si>
  <si>
    <t xml:space="preserve">UCTcTU9JvQEKKRCdwQiZlB_w</t>
  </si>
  <si>
    <t xml:space="preserve">UCmgWmWK7FperhuQ3OCxgyrw</t>
  </si>
  <si>
    <t xml:space="preserve">UCxzieQx87jUh6wZArvz05HA</t>
  </si>
  <si>
    <t xml:space="preserve">UCIjNP6BoCpgQgcb3ePga7JA</t>
  </si>
  <si>
    <t xml:space="preserve">UC8FdNWpVMjBrHxv4FTse5rw</t>
  </si>
  <si>
    <t xml:space="preserve">UCiy17i337-P-iXw5J6uKalw</t>
  </si>
  <si>
    <t xml:space="preserve">UCvUCbLAs_bkG8KdqE0AG5Gw</t>
  </si>
  <si>
    <t xml:space="preserve">UCYLUA7FaYqZruSV32Cj19Hw</t>
  </si>
  <si>
    <t xml:space="preserve">UChwksNT6DWt7jrRCV9F0qGg</t>
  </si>
  <si>
    <t xml:space="preserve">UC92EFrsOrH7oCyTjV5gG4bw</t>
  </si>
  <si>
    <t xml:space="preserve">UC5zEdhoYXn2s30EVGbYsJEw</t>
  </si>
  <si>
    <t xml:space="preserve">UCd7HEBXSBkeJ0kbhE4pXOhw</t>
  </si>
  <si>
    <t xml:space="preserve">UClk7Q80nDmztS_6RhHUlG4Q</t>
  </si>
  <si>
    <t xml:space="preserve">UCdAiWq4AKh3-33YtR5xKRMg</t>
  </si>
  <si>
    <t xml:space="preserve">UCC3IGGBNgnNOqJnXAKKkouA</t>
  </si>
  <si>
    <t xml:space="preserve">UCt8w-7d1EKf4F4qiuj_NeUg</t>
  </si>
  <si>
    <t xml:space="preserve">UCp8qsMmzox7vFvUJyPuVr5A</t>
  </si>
  <si>
    <t xml:space="preserve">UCjuRpaI3WmHLBtswDLwxQtA</t>
  </si>
  <si>
    <t xml:space="preserve">UCHKGphX-F3Fq7n9bftE0I5A</t>
  </si>
  <si>
    <t xml:space="preserve">UCTZpL1nuLrltZVaJmRGYQAw</t>
  </si>
  <si>
    <t xml:space="preserve">UCrAVft5wHA0EfWKPMA8rfvQ</t>
  </si>
  <si>
    <t xml:space="preserve">UCchj-4k6JwJKpX4oOJOo9fQ</t>
  </si>
  <si>
    <t xml:space="preserve">UCvSyjU3KIOwxMyc7gJ4hu-w</t>
  </si>
  <si>
    <t xml:space="preserve">UCNt9RWcWdawHQK4XeidefuQ</t>
  </si>
  <si>
    <t xml:space="preserve">UC_j7Nnkv3aDGtys7II5amAg</t>
  </si>
  <si>
    <t xml:space="preserve">UCEc2LCa3sKR5pQ_cGS6gU0Q</t>
  </si>
  <si>
    <t xml:space="preserve">UCtMVgKecqimjQIaC9E9kFFQ</t>
  </si>
  <si>
    <t xml:space="preserve">UCtGMoQ5di1i0yswzxVbQujw</t>
  </si>
  <si>
    <t xml:space="preserve">UCe3SGLXfMSyYlLvnaID_hJA</t>
  </si>
  <si>
    <t xml:space="preserve">UC3WaOrbWFd4gJqJc4EHaAIw</t>
  </si>
  <si>
    <t xml:space="preserve">UC9iLQ-VxXp49r2DiaQ-68nQ</t>
  </si>
  <si>
    <t xml:space="preserve">UCgwCI15HG96WThHqHZi880Q</t>
  </si>
  <si>
    <t xml:space="preserve">UCmewC1m-uC5cMjAxoSiCpjw</t>
  </si>
  <si>
    <t xml:space="preserve">UC5is841BpmO8a-fePasammA</t>
  </si>
  <si>
    <t xml:space="preserve">UCF_OKkh3v7i3DO2a_XUs-vA</t>
  </si>
  <si>
    <t xml:space="preserve">UC00VS-wy8So6dLmvaffOKPw</t>
  </si>
  <si>
    <t xml:space="preserve">UCRCzlYzog-64RwOM10iNcgw</t>
  </si>
  <si>
    <t xml:space="preserve">UCBQW6AF7AmH42qQbWdeIzeA</t>
  </si>
  <si>
    <t xml:space="preserve">UCoNy_EvfX4Vhw0of7bSaP-w</t>
  </si>
  <si>
    <t xml:space="preserve">UCmKIWi-Q_dG-B8TY8-XrVCQ</t>
  </si>
  <si>
    <t xml:space="preserve">UCfrbcT2BbIi9ynWwn0yLzsw</t>
  </si>
  <si>
    <t xml:space="preserve">UCwr-evhuzGZgDFrq_1pLt_A</t>
  </si>
  <si>
    <t xml:space="preserve">UCXSWwwSYaBxhmC1dKQh7Upg</t>
  </si>
  <si>
    <t xml:space="preserve">UCThSFORC5YOJUuUZok02KMA</t>
  </si>
  <si>
    <t xml:space="preserve">UCK9ttgEOeHKnuljOFe_DVug</t>
  </si>
  <si>
    <t xml:space="preserve">UCcXQd6kHKm0b41x8zMVMmMg</t>
  </si>
  <si>
    <t xml:space="preserve">UCVNg8ZPprXsIZN8dtJ03J8w</t>
  </si>
  <si>
    <t xml:space="preserve">UC53HLftlu1kPrzn6pSIB7eQ</t>
  </si>
  <si>
    <t xml:space="preserve">UCQxjICuAu6UT6Sh4AacI8BQ</t>
  </si>
  <si>
    <t xml:space="preserve">UC5eI9iFtsm9rowIbilAq16A</t>
  </si>
  <si>
    <t xml:space="preserve">UCHx8IO7sPMGm0bi54jQEPIA</t>
  </si>
  <si>
    <t xml:space="preserve">UCCYDHLImGk262Aha-FoTZOQ</t>
  </si>
  <si>
    <t xml:space="preserve">UCUskg-yRKc6CGWDgyjdBOVQ</t>
  </si>
  <si>
    <t xml:space="preserve">UCG6WeBZoP_9A1OF3fVr1gEw</t>
  </si>
  <si>
    <t xml:space="preserve">UCprez_8y20y_bZbhw5luqTg</t>
  </si>
  <si>
    <t xml:space="preserve">UCrSxmV5pyUz9iwM9f05UIHQ</t>
  </si>
  <si>
    <t xml:space="preserve">UCHEko_fmvecVRzrXoi7W5WA</t>
  </si>
  <si>
    <t xml:space="preserve">UCDrf0V4fcBr5FlCtKwvpfwA</t>
  </si>
  <si>
    <t xml:space="preserve">UCgyRKstbR0QcNeLxyK-cOfA</t>
  </si>
  <si>
    <t xml:space="preserve">UCCkL9vhAXWN0onzBDn_uaWQ</t>
  </si>
  <si>
    <t xml:space="preserve">UCBGOUQHNNtNGcGzVq5rIXjw</t>
  </si>
  <si>
    <t xml:space="preserve">UCN8OSSpct5MLZFzVclqFt3Q</t>
  </si>
  <si>
    <t xml:space="preserve">UCf-QOwahWZOH5FV_sHVLDxA</t>
  </si>
  <si>
    <t xml:space="preserve">UCcArO2-1_w8HgBmICn5HOkw</t>
  </si>
  <si>
    <t xml:space="preserve">UCOdJ9OLE8mdz78IeqMaDNEw</t>
  </si>
  <si>
    <t xml:space="preserve">UCwMuGiLpWz2TVCTJ66uX7BQ</t>
  </si>
  <si>
    <t xml:space="preserve">UCFbcrQfE_PtpLiGT8XYzhIA</t>
  </si>
  <si>
    <t xml:space="preserve">UCVFU-bTiTNOEbAZCOx_tdMQ</t>
  </si>
  <si>
    <t xml:space="preserve">UCLyqB2diOhDDriEJ3624wxA</t>
  </si>
  <si>
    <t xml:space="preserve">UCv8j8BrOjCMcT8fwVHYRPgg</t>
  </si>
  <si>
    <t xml:space="preserve">UC8zfh0HKWpUJqQ1rWCVkfMQ</t>
  </si>
  <si>
    <t xml:space="preserve">UCS_QrWBFGGBptTWYxGTcbIg</t>
  </si>
  <si>
    <t xml:space="preserve">UCX-sRexkNtFnc2oNRXeFKhw</t>
  </si>
  <si>
    <t xml:space="preserve">UCsv9uKTMVLSDlkZrdzqYWgQ</t>
  </si>
  <si>
    <t xml:space="preserve">UC5WHah3Uq2MsHSGA4cqYNvQ</t>
  </si>
  <si>
    <t xml:space="preserve">UCavHTYxUUpJtUjUGGTCLuGg</t>
  </si>
  <si>
    <t xml:space="preserve">UCL-LW86fWpQejgKbsoWrQqw</t>
  </si>
  <si>
    <t xml:space="preserve">UC0Y4ni4YoIQMS5vJapWi-vg</t>
  </si>
  <si>
    <t xml:space="preserve">UCFQjueN13tXTPf4v61kh1Nw</t>
  </si>
  <si>
    <t xml:space="preserve">UC9Al4wJbNcJrQ6f8TIADxgA</t>
  </si>
  <si>
    <t xml:space="preserve">UC20dkS167RuAFCxyDFEskqQ</t>
  </si>
  <si>
    <t xml:space="preserve">UCDRA2X1Tp2idmQZ4-EASDEA</t>
  </si>
  <si>
    <t xml:space="preserve">UCGs4oNJdWoTwdWMJ8fRqG9Q</t>
  </si>
  <si>
    <t xml:space="preserve">UCy7R5_ZTW_LIUNW-PKTsOGw</t>
  </si>
  <si>
    <t xml:space="preserve">UCg2f0WPLRHw82_W5Jgzp9uQ</t>
  </si>
  <si>
    <t xml:space="preserve">UCEsZ6N56hvNgb7eOzEOlL2g</t>
  </si>
  <si>
    <t xml:space="preserve">UC7pFw8zz6yNNnaSoxXRYREg</t>
  </si>
  <si>
    <t xml:space="preserve">UCYBoh8slRhyXbb4kwAfbGpw</t>
  </si>
  <si>
    <t xml:space="preserve">UC_cDD8XYxpLCB9F3mlQQxJw</t>
  </si>
  <si>
    <t xml:space="preserve">UCsGiTE1u8KJ29v_an2cvzeA</t>
  </si>
  <si>
    <t xml:space="preserve">UCdy9zSPEs7H5g49TtBLXk_g</t>
  </si>
  <si>
    <t xml:space="preserve">UCiuK_yEaC2W8fYgKjP0FU5A</t>
  </si>
  <si>
    <t xml:space="preserve">UCfar6_Z60j8XhcaKlIQSTfw</t>
  </si>
  <si>
    <t xml:space="preserve">UCnGYjI9xg0SNbUowJ7j9hkQ</t>
  </si>
  <si>
    <t xml:space="preserve">UCLFKG5gU_tsLUtpJNLCRzeQ</t>
  </si>
  <si>
    <t xml:space="preserve">UCdTQZCoP_4GrJ6foB3zoFyA</t>
  </si>
  <si>
    <t xml:space="preserve">UCjvd2JmIWGsEWPmLifUS4PA</t>
  </si>
  <si>
    <t xml:space="preserve">UC0Efi3WTrX8wZNvloFvZLiA</t>
  </si>
  <si>
    <t xml:space="preserve">UCH9KCi-tqn9RE6D3xf0L2uw</t>
  </si>
  <si>
    <t xml:space="preserve">UCPhqMywRiYF3nX21DnHvr5g</t>
  </si>
  <si>
    <t xml:space="preserve">UCVnB-vkuwI7wmS3UykiGqKA</t>
  </si>
  <si>
    <t xml:space="preserve">UCadgeyMnG4LeHSNOGUZbzjQ</t>
  </si>
  <si>
    <t xml:space="preserve">UCbw1qrsjHNIuUGHa2omKbKw</t>
  </si>
  <si>
    <t xml:space="preserve">UC82jn6BfZZkDtRZPXWSU8oA</t>
  </si>
  <si>
    <t xml:space="preserve">UCuIvtbO7jDnzvyeLK1gFdYw</t>
  </si>
  <si>
    <t xml:space="preserve">UCLUUVuEvQ0z1RD588CAiHpw</t>
  </si>
  <si>
    <t xml:space="preserve">UCAN1RgmZv2GZ4dLTQP7qe2Q</t>
  </si>
  <si>
    <t xml:space="preserve">UCR08P45zJ1KQA4BcjVZ3H8w</t>
  </si>
  <si>
    <t xml:space="preserve">UCuLk-qQYRLSl3W0rdjeUIJA</t>
  </si>
  <si>
    <t xml:space="preserve">UC7_el_ttqVoss58QCmHI36Q</t>
  </si>
  <si>
    <t xml:space="preserve">UCa3HzT-gUTCoXox4XsMoUKg</t>
  </si>
  <si>
    <t xml:space="preserve">UCvgC-CN_C0gY0r3M7YlhJVA</t>
  </si>
  <si>
    <t xml:space="preserve">UCjchmjvdJYNJggu0xsLESWA</t>
  </si>
  <si>
    <t xml:space="preserve">UCyvZ7PmBAOIgLeV1UksVr_g</t>
  </si>
  <si>
    <t xml:space="preserve">UCXFfzh8JKaB7yRtOzFDEj_w</t>
  </si>
  <si>
    <t xml:space="preserve">UCUpI2QI1u5w3GRqflg7bNIw</t>
  </si>
  <si>
    <t xml:space="preserve">UCdIn_D4Fc9rizl5bkInVoUA</t>
  </si>
  <si>
    <t xml:space="preserve">UCR8NsuqnMSWNQoKihSCdUcQ</t>
  </si>
  <si>
    <t xml:space="preserve">UC3s0lvfVnN83d1-D6ePMAKg</t>
  </si>
  <si>
    <t xml:space="preserve">UC5bQ6WD_2NLGbfeJYIwAIuA</t>
  </si>
  <si>
    <t xml:space="preserve">UCGjf-s8x8fUN3zKumLrwmrA</t>
  </si>
  <si>
    <t xml:space="preserve">UCvSZN2wN5zx6Sx0niV4OARw</t>
  </si>
  <si>
    <t xml:space="preserve">UCBo0L2RTXy3PVrZLJLvfjvQ</t>
  </si>
  <si>
    <t xml:space="preserve">UCW2C18tRBldzeTFdZL5HPXg</t>
  </si>
  <si>
    <t xml:space="preserve">UCL_-QW6gsDkZjQWNphgdPWA</t>
  </si>
  <si>
    <t xml:space="preserve">UCWX_oIdMwDE_hmtolRhjLbw</t>
  </si>
  <si>
    <t xml:space="preserve">UCZoB47kBWUNC9nzoA8YXy8Q</t>
  </si>
  <si>
    <t xml:space="preserve">UCwqrwaW2GDU9uo5WgUggoyQ</t>
  </si>
  <si>
    <t xml:space="preserve">UCiZvRMZ8BQfCHmnsJc96lwg</t>
  </si>
  <si>
    <t xml:space="preserve">UC7EeStj7e61dqkeTFP6cf8Q</t>
  </si>
  <si>
    <t xml:space="preserve">UCuG2WrQb3vsmWKv-A74kONQ</t>
  </si>
  <si>
    <t xml:space="preserve">UCRPMAqdtSgd0Ipeef7iFsKw</t>
  </si>
  <si>
    <t xml:space="preserve">UChBmqnSvUJev5Ky9X62eBBQ</t>
  </si>
  <si>
    <t xml:space="preserve">UCjKEN88-TUqzy2tVRE4l4FQ</t>
  </si>
  <si>
    <t xml:space="preserve">UCjk7V7Rw2jJSflLXYxBOY0g</t>
  </si>
  <si>
    <t xml:space="preserve">UCfUzWTMZ7C8udAjUrz1eldw</t>
  </si>
  <si>
    <t xml:space="preserve">UCuxa-jqB3K7vpP-_UOXVrXA</t>
  </si>
  <si>
    <t xml:space="preserve">UCSfZ8wqaG95bLjwnS8Nh8DA</t>
  </si>
  <si>
    <t xml:space="preserve">UCIOgvkrVt5YZEcVnbA2qVtQ</t>
  </si>
  <si>
    <t xml:space="preserve">UCs46bUSjusijqt5U1Im8zGw</t>
  </si>
  <si>
    <t xml:space="preserve">UCImsszE16WTU8BA2XgQUDzQ</t>
  </si>
  <si>
    <t xml:space="preserve">UC8p48SZjQeeXX0zajGKYYUQ</t>
  </si>
  <si>
    <t xml:space="preserve">UCyQ7gAT0bPxLcWC7VaPuX1Q</t>
  </si>
  <si>
    <t xml:space="preserve">UCFEb0CGFAMpRXlkUvDLpJDg</t>
  </si>
  <si>
    <t xml:space="preserve">UCFgMAyJ1CHXRZbSd-V8ioeg</t>
  </si>
  <si>
    <t xml:space="preserve">UCmnIcDeDKxAZzCGzBZxDtNA</t>
  </si>
  <si>
    <t xml:space="preserve">UCMeJ223QKZ1x9LLo2MNTOcA</t>
  </si>
  <si>
    <t xml:space="preserve">UC_ovpykq47grPDSlhzciLYQ</t>
  </si>
  <si>
    <t xml:space="preserve">UCYxXLB0CSh9_5Jn2KsEkc6w</t>
  </si>
  <si>
    <t xml:space="preserve">UCcwpBjKuIJZDhvk1HQ9DXag</t>
  </si>
  <si>
    <t xml:space="preserve">UC7jFOIyw9Nk_uQpNOsL8ULg</t>
  </si>
  <si>
    <t xml:space="preserve">UCw0TpGjgFmFYyBPvBYs7Eog</t>
  </si>
  <si>
    <t xml:space="preserve">UC4UtgDae_gg97w0eVEezeTw</t>
  </si>
  <si>
    <t xml:space="preserve">UCKFkAQ_b6Rcpl0DP2L8fQ-Q</t>
  </si>
  <si>
    <t xml:space="preserve">UCGk_EOyEtbl-XdbVHRPwnfQ</t>
  </si>
  <si>
    <t xml:space="preserve">UCPyPGoySB1bXEHABvenKBbg</t>
  </si>
  <si>
    <t xml:space="preserve">UCYfng3FNFCbN1xpTBIs8FEA</t>
  </si>
  <si>
    <t xml:space="preserve">UC70iJbY5k-asxC4wO37y2ag</t>
  </si>
  <si>
    <t xml:space="preserve">UCRIKHml7q9UV92gido0H8mg</t>
  </si>
  <si>
    <t xml:space="preserve">UCU1K6P1M8hq-TBnDlHQtO7A</t>
  </si>
  <si>
    <t xml:space="preserve">UCFdjfeDBDRZl-LA6A1A4zAw</t>
  </si>
  <si>
    <t xml:space="preserve">UCq0AD62K4y1zByvaBGt_oNg</t>
  </si>
  <si>
    <t xml:space="preserve">UCB1QhXdZfARJCo0tw3mniGA</t>
  </si>
  <si>
    <t xml:space="preserve">UCIZlw-2iKC-nXMGRJewEPOg</t>
  </si>
  <si>
    <t xml:space="preserve">UCPfOIvsNCmxR8JTuD-1wFKg</t>
  </si>
  <si>
    <t xml:space="preserve">UCkGRccoFIazt6GZUcdq6Byg</t>
  </si>
  <si>
    <t xml:space="preserve">UCpTX8y2PRgN_r6EY0gOBtiw</t>
  </si>
  <si>
    <t xml:space="preserve">UCKnaflu7tLEm2S5yHBYfmtg</t>
  </si>
  <si>
    <t xml:space="preserve">UCw9bdmfact8CXBjfFkk0Cuw</t>
  </si>
  <si>
    <t xml:space="preserve">UCO0FcWPUpJj0SoZ0zBorHvw</t>
  </si>
  <si>
    <t xml:space="preserve">UC5bRDS3Wrlqut7RMF7jqNpw</t>
  </si>
  <si>
    <t xml:space="preserve">UCwrEyDcOzJ65_6aRQ2FjIBw</t>
  </si>
  <si>
    <t xml:space="preserve">UCOjgTuou4IgCyupXtFhB0eQ</t>
  </si>
  <si>
    <t xml:space="preserve">UCHmlroe3LAGD87filYNubXw</t>
  </si>
  <si>
    <t xml:space="preserve">UCUWbS9qoyLKTdOlvgK1GBlA</t>
  </si>
  <si>
    <t xml:space="preserve">UCI_T-LyO27WtEJDKaesoAkA</t>
  </si>
  <si>
    <t xml:space="preserve">UClFO_8FPO2ktYXq53pUA0CA</t>
  </si>
  <si>
    <t xml:space="preserve">UC9R9cRqfJzRoB9e35gnbL9g</t>
  </si>
  <si>
    <t xml:space="preserve">UCUmKezPrj_cwD0LecrbCnLQ</t>
  </si>
  <si>
    <t xml:space="preserve">UCv4sD5M4GkeuNY6HRlDxhGQ</t>
  </si>
  <si>
    <t xml:space="preserve">UCUW0EDTnCIbaY6DTqMsjbUw</t>
  </si>
  <si>
    <t xml:space="preserve">UCPieQDKi3meIXyrVsyYmR9Q</t>
  </si>
  <si>
    <t xml:space="preserve">UC2NdNSdbqpp6PvUJKh7h-Bw</t>
  </si>
  <si>
    <t xml:space="preserve">UCQyn9zpXINuDZNBvv1ZiGfA</t>
  </si>
  <si>
    <t xml:space="preserve">UChUtAsRTkpLgHK9ScjilHMw</t>
  </si>
  <si>
    <t xml:space="preserve">UCFwPtScRFQcGJXutAx9x5wA</t>
  </si>
  <si>
    <t xml:space="preserve">UC-HEBjd4vEvhDfPMzvt76Eg</t>
  </si>
  <si>
    <t xml:space="preserve">UCbYWsdyiIBeC2Ambxabkrqw</t>
  </si>
  <si>
    <t xml:space="preserve">UCpMY_rBIHLiy0KcyQcuSx3g</t>
  </si>
  <si>
    <t xml:space="preserve">UC4VUFtN88sH8CF_j2Y9LPvw</t>
  </si>
  <si>
    <t xml:space="preserve">UC5ZQbH3dE6zMTXZKHEjiGLw</t>
  </si>
  <si>
    <t xml:space="preserve">UCE8bZra0UllpigzQ-E6YAbg</t>
  </si>
  <si>
    <t xml:space="preserve">UC3xwfuSDWRzuaKCgFTdFAsQ</t>
  </si>
  <si>
    <t xml:space="preserve">UCmKQ68cxZFuBsb1q5tXFBew</t>
  </si>
  <si>
    <t xml:space="preserve">UC-SoUByxMIWRxpxo-aQXkjw</t>
  </si>
  <si>
    <t xml:space="preserve">UC-8aQJw9AlyTqjnMzdT5Jnw</t>
  </si>
  <si>
    <t xml:space="preserve">UCMyi2FZAUNLFDUE8ZIf7YOQ</t>
  </si>
  <si>
    <t xml:space="preserve">UC0vW4HcebPx5tMsOQRFq3mA</t>
  </si>
  <si>
    <t xml:space="preserve">UCMJ37-vslb1GDb-yKrUs7MA</t>
  </si>
  <si>
    <t xml:space="preserve">UCmjIcELD07cOV3YRPbjUJfQ</t>
  </si>
  <si>
    <t xml:space="preserve">UCus9rr05BUnLca5V64MiEyg</t>
  </si>
  <si>
    <t xml:space="preserve">UCoVV1yuzToH-yqdd8aw-zLQ</t>
  </si>
  <si>
    <t xml:space="preserve">UC49QIX7RoqJ4Pzj8E4rUk8w</t>
  </si>
  <si>
    <t xml:space="preserve">UCdtT72NvI3SfLApYxtxd6iQ</t>
  </si>
  <si>
    <t xml:space="preserve">UC5sUYEBV7cDlYvWRW8DopuQ</t>
  </si>
  <si>
    <t xml:space="preserve">UCUMAP6ENB2EIq04ZKMw4EqA</t>
  </si>
  <si>
    <t xml:space="preserve">UCzq4OEffLlTLHui58ESCGrA</t>
  </si>
  <si>
    <t xml:space="preserve">UC5Kfv8S2JWyr1gn97l2yYfQ</t>
  </si>
  <si>
    <t xml:space="preserve">UCvls3yZup5f-pDmUilIhIXA</t>
  </si>
  <si>
    <t xml:space="preserve">UCHxQWqbyDEYGzXN242i0xFA</t>
  </si>
  <si>
    <t xml:space="preserve">UC0uKJMOyNHJnhI9frdgE3mA</t>
  </si>
  <si>
    <t xml:space="preserve">UCq9Y9kERJ-cmLCt1Ct6Cwvg</t>
  </si>
  <si>
    <t xml:space="preserve">UCm5NqKUJIszFH0AJ-iWESZg</t>
  </si>
  <si>
    <t xml:space="preserve">UCzNDL--l1YqwUfLNkR39QZw</t>
  </si>
  <si>
    <t xml:space="preserve">UCIqurwRvNsItUX_MN_TjerA</t>
  </si>
  <si>
    <t xml:space="preserve">UCTk-a57urUvdyvXQ8O5t_rA</t>
  </si>
  <si>
    <t xml:space="preserve">UCM1VqjE2rshkzKfp4zRVwKA</t>
  </si>
  <si>
    <t xml:space="preserve">UCJKGU9G_MdI7sNjGJohFTgA</t>
  </si>
  <si>
    <t xml:space="preserve">UC1_nT_7pDSDlh98TLplAh6A</t>
  </si>
  <si>
    <t xml:space="preserve">UC5_-CYb5i9PRVad8rr6VLDw</t>
  </si>
  <si>
    <t xml:space="preserve">UC42qyCQM39vQ6bt_6iz-Z8A</t>
  </si>
  <si>
    <t xml:space="preserve">UCQ5DQDtChvYijmkw3z0FLoQ</t>
  </si>
  <si>
    <t xml:space="preserve">UCMLRVU9x9v6EXgj7BT1qYGw</t>
  </si>
  <si>
    <t xml:space="preserve">UCKH0DuBnfp2Ox7QF8ICsZHQ</t>
  </si>
  <si>
    <t xml:space="preserve">UC-iUwuJelDT_dBqc9tSPUkw</t>
  </si>
  <si>
    <t xml:space="preserve">UC7H6Y5KNu0npnZ3NoobZCJg</t>
  </si>
  <si>
    <t xml:space="preserve">UCnfh2rXvmuGqcj2a4VbZ1lA</t>
  </si>
  <si>
    <t xml:space="preserve">UCliImq_HTFRvNwS3C5GAVnA</t>
  </si>
  <si>
    <t xml:space="preserve">UCGTpolBDuafyPfBjV4tPYtA</t>
  </si>
  <si>
    <t xml:space="preserve">UCSDtOVU4V63W_NylGfc2HsQ</t>
  </si>
  <si>
    <t xml:space="preserve">UCHcRjWV5XOGdYkM7ruvpgxw</t>
  </si>
  <si>
    <t xml:space="preserve">UC0EP-eIJAsFY6bkHX1FKUXQ</t>
  </si>
  <si>
    <t xml:space="preserve">UC86jhxS1150EOzbLloXqGrg</t>
  </si>
  <si>
    <t xml:space="preserve">UC7SUNWBflDLQ4MNJ8E5TJUw</t>
  </si>
  <si>
    <t xml:space="preserve">UCn5B4jBc9RKqsO2ROd3nulA</t>
  </si>
  <si>
    <t xml:space="preserve">UCLSFE12TolQ32AKOQ3YfnqA</t>
  </si>
  <si>
    <t xml:space="preserve">UCfAz3AA3Y2KWdU5h6ThrUnA</t>
  </si>
  <si>
    <t xml:space="preserve">UCKCMVwBKW1AceiI2EjbLL4g</t>
  </si>
  <si>
    <t xml:space="preserve">UCvMnTzkPFCLMZpEyI64VuyA</t>
  </si>
  <si>
    <t xml:space="preserve">UCO6A65zZASHDV3GjSxLHAMg</t>
  </si>
  <si>
    <t xml:space="preserve">UCMCAVBCaVHZQpZeO-ZUuJzw</t>
  </si>
  <si>
    <t xml:space="preserve">UCUzHnTdnf022PTbzXtRn3LQ</t>
  </si>
  <si>
    <t xml:space="preserve">UC9N9JYi-5Qet9IM_QNd-WQQ</t>
  </si>
  <si>
    <t xml:space="preserve">UCk_NHZd5xP6Dnl6rxpNfvSQ</t>
  </si>
  <si>
    <t xml:space="preserve">UCssXmNrk1_z_hJPyqZxzncA</t>
  </si>
  <si>
    <t xml:space="preserve">UCT_cyyW_Kgp77kHnX--mjAA</t>
  </si>
  <si>
    <t xml:space="preserve">UCQUIiUbuOa09-FTwoZrgO_w</t>
  </si>
  <si>
    <t xml:space="preserve">UCzk4zJEoZMnjvpoN0HlKjHQ</t>
  </si>
  <si>
    <t xml:space="preserve">UC1A_QwNdwuIXCn61QqdcQwg</t>
  </si>
  <si>
    <t xml:space="preserve">UCcXSWIVfetN9uks3jnLFQ5g</t>
  </si>
  <si>
    <t xml:space="preserve">UCkvVY2B98311b1CgtNEJnuw</t>
  </si>
  <si>
    <t xml:space="preserve">UC_oCHYqWbFPqj2vswnY26LA</t>
  </si>
  <si>
    <t xml:space="preserve">UCdhvuE19DuY4ax9Xnxnq9lA</t>
  </si>
  <si>
    <t xml:space="preserve">UC82ObtDCmUuWwrWhpQsX-HQ</t>
  </si>
  <si>
    <t xml:space="preserve">UCIX5Sni6eua6aXVQY6MoO1Q</t>
  </si>
  <si>
    <t xml:space="preserve">UCiYomqWkmC8oGXX9W1QFvFA</t>
  </si>
  <si>
    <t xml:space="preserve">UCEMzywdCONMmTWQxpysao_A</t>
  </si>
  <si>
    <t xml:space="preserve">UCdyPgkvsBWu938GZyBrwNzw</t>
  </si>
  <si>
    <t xml:space="preserve">UC8TZO-O8wuoXN9oYQeJt37A</t>
  </si>
  <si>
    <t xml:space="preserve">UCnq8_H00sbQH6NoGJ-8ftJQ</t>
  </si>
  <si>
    <t xml:space="preserve">UCn7DATpF0Nk-YJmjw4gMwfg</t>
  </si>
  <si>
    <t xml:space="preserve">UCiY0rSCiZakRAPkhsEElhBw</t>
  </si>
  <si>
    <t xml:space="preserve">UCDUxlJNxIf6sSag7_A395Bg</t>
  </si>
  <si>
    <t xml:space="preserve">UC0mtnDkx-o1dzP06jQ7nsXA</t>
  </si>
  <si>
    <t xml:space="preserve">UCyDKmTMJkJz2zgwX1tmlhVw</t>
  </si>
  <si>
    <t xml:space="preserve">UC6WOqO71aFJGLH19_8VV_ew</t>
  </si>
  <si>
    <t xml:space="preserve">UCjNE_PwYInBk1jbLBtScwPg</t>
  </si>
  <si>
    <t xml:space="preserve">UCuEDKIFA-XuR8rzLdNUPnbA</t>
  </si>
  <si>
    <t xml:space="preserve">UCj4nEnx8t_HJ5wpL1YPxHaw</t>
  </si>
  <si>
    <t xml:space="preserve">UCRomzz3ZmFhlyDpf0Blk0Og</t>
  </si>
  <si>
    <t xml:space="preserve">UCBU2792nJ93pX4Zkx8gTSgQ</t>
  </si>
  <si>
    <t xml:space="preserve">UC_MpLpQUNC4Tq63IkE6dFuA</t>
  </si>
  <si>
    <t xml:space="preserve">UCeVF1GpfFR8JwuhQHzTa5dQ</t>
  </si>
  <si>
    <t xml:space="preserve">UCSNIRSN7wVHPU-GofD1oaOQ</t>
  </si>
  <si>
    <t xml:space="preserve">UCgUCga0tYK3X01gL02DImvg</t>
  </si>
  <si>
    <t xml:space="preserve">UCI_6tsAyicl0VUPUzxHFHrg</t>
  </si>
  <si>
    <t xml:space="preserve">UCDCkvhiXQnJhCqWa6nJRb4g</t>
  </si>
  <si>
    <t xml:space="preserve">UCtwauzrhiBQ3tkEcbZ_Cypg</t>
  </si>
  <si>
    <t xml:space="preserve">UCxU3E4d67LMyUtDRfUyKIow</t>
  </si>
  <si>
    <t xml:space="preserve">UCinuVxPzuIkjGQB40JZBXSg</t>
  </si>
  <si>
    <t xml:space="preserve">UCMBRKJAw5yAQAx9PD35Jdww</t>
  </si>
  <si>
    <t xml:space="preserve">UCTjFxEdR5h_YSC1R0HWHPaw</t>
  </si>
  <si>
    <t xml:space="preserve">UCqOGtJR9UQk-tbZqYmle9cw</t>
  </si>
  <si>
    <t xml:space="preserve">UCdjCUR6darzu_D5Cdr_p-1w</t>
  </si>
  <si>
    <t xml:space="preserve">UClvHGacv6a2vcFup7xh-3lw</t>
  </si>
  <si>
    <t xml:space="preserve">UCQN9WTcNHKNyWNuu4HFMLXA</t>
  </si>
  <si>
    <t xml:space="preserve">UCefo6NQnXh_-JAoT7bTqhxQ</t>
  </si>
  <si>
    <t xml:space="preserve">UCOwuauJGqEfNCpp-2WxjPyA</t>
  </si>
  <si>
    <t xml:space="preserve">UCHQeR5fDMQ6ZttQ2ln2dfTA</t>
  </si>
  <si>
    <t xml:space="preserve">UCYK9_Xy6IY1od3ERtY2Kr_w</t>
  </si>
  <si>
    <t xml:space="preserve">UC530Ys6le56XCaMKxXJgC8g</t>
  </si>
  <si>
    <t xml:space="preserve">UCkSsO6Ieg9cNpyq_WQWrLbg</t>
  </si>
  <si>
    <t xml:space="preserve">UCN5piaaZEZBfvFJLd_kBHnA</t>
  </si>
  <si>
    <t xml:space="preserve">UCj_MbJEpkmF6FNXPjyZVI0A</t>
  </si>
  <si>
    <t xml:space="preserve">UCihO3xa91qrgYzf-yULIPqA</t>
  </si>
  <si>
    <t xml:space="preserve">UCoUvFwmJcJguSJZtV5ZVk4Q</t>
  </si>
  <si>
    <t xml:space="preserve">UC91G3ji9j3YE0hAWDh44TWQ</t>
  </si>
  <si>
    <t xml:space="preserve">UCypb46Ei2HR9hIA7dpvL6ZQ</t>
  </si>
  <si>
    <t xml:space="preserve">UCIMbvMHsdUL1B7frVvTiNFg</t>
  </si>
  <si>
    <t xml:space="preserve">UCjO0g7qbAcZX-vtdIFCA41Q</t>
  </si>
  <si>
    <t xml:space="preserve">UC8ZKXnTpl06oSQAtPm07cCw</t>
  </si>
  <si>
    <t xml:space="preserve">UCeFv4u_fUqHOfqD2WnUnHwg</t>
  </si>
  <si>
    <t xml:space="preserve">UCB5C3oyks1QkFdKIN-7WopQ</t>
  </si>
  <si>
    <t xml:space="preserve">UCEUzEdw4LTp6fsmnm6SOmdg</t>
  </si>
  <si>
    <t xml:space="preserve">UCT6auWOZiEq3Op698WqJX5Q</t>
  </si>
  <si>
    <t xml:space="preserve">UCCkXU_pKTN98ktKl0TnHjBg</t>
  </si>
  <si>
    <t xml:space="preserve">UCDzXMJ3WtO-Xk4pfo9HcNQg</t>
  </si>
  <si>
    <t xml:space="preserve">UCa_jXolg5kg8lE58gYX9z1g</t>
  </si>
  <si>
    <t xml:space="preserve">UCCpCQxuDE2QPx2adbTzZEdw</t>
  </si>
  <si>
    <t xml:space="preserve">UCKa_4q3ndBBWytqkqXIPslQ</t>
  </si>
  <si>
    <t xml:space="preserve">UC1g_04NgoUdMNEkY_1D5aSg</t>
  </si>
  <si>
    <t xml:space="preserve">UCOcU538BN_CiGYGTTo9OGTQ</t>
  </si>
  <si>
    <t xml:space="preserve">UCldyi11QYNXYXiLjVbyw5dA</t>
  </si>
  <si>
    <t xml:space="preserve">UCESY9RzEDPsb9lRLMxAirwQ</t>
  </si>
  <si>
    <t xml:space="preserve">UCZGgWlETjZnYmHPiKgybing</t>
  </si>
  <si>
    <t xml:space="preserve">UCioUyu2IZHyQPcEizTfxipw</t>
  </si>
  <si>
    <t xml:space="preserve">UCNWa_YW7XUAC88b-rIBWvlA</t>
  </si>
  <si>
    <t xml:space="preserve">UCyYd45zU1ryf6eUCfKJG4IQ</t>
  </si>
  <si>
    <t xml:space="preserve">UCR8kEMlymHz0UYI1ftxhQFw</t>
  </si>
  <si>
    <t xml:space="preserve">UC4cf_hG8kM3lmSGy_hvnfwA</t>
  </si>
  <si>
    <t xml:space="preserve">UC1MjtBgQdAK8tlYLwtypweA</t>
  </si>
  <si>
    <t xml:space="preserve">UCUJCctBq5xtMCbCql9G3eMA</t>
  </si>
  <si>
    <t xml:space="preserve">UC50UyeZOHmRhVnhuPFLfjzQ</t>
  </si>
  <si>
    <t xml:space="preserve">UCZwaMJ8qBUb6qGsPqLBM2pg</t>
  </si>
  <si>
    <t xml:space="preserve">UC6MZVmsrBEwtXobvn_Y0yZA</t>
  </si>
  <si>
    <t xml:space="preserve">UCb2PljffkAo_19l8t68zP2w</t>
  </si>
  <si>
    <t xml:space="preserve">UCW2VhxXe5jfPShIE8vz4Qwg</t>
  </si>
  <si>
    <t xml:space="preserve">UCW3Sbu9ZFb2g2thct6mZlXA</t>
  </si>
  <si>
    <t xml:space="preserve">UCeZO5d7nmK8mnDDbAEJML5A</t>
  </si>
  <si>
    <t xml:space="preserve">UC1038dBQ36pHs7r3VsqXWQQ</t>
  </si>
  <si>
    <t xml:space="preserve">UCx8J9Kt0Hulz-n0RfxWls2w</t>
  </si>
  <si>
    <t xml:space="preserve">UCd3weB8e8-OkKUmKoSOtKEw</t>
  </si>
  <si>
    <t xml:space="preserve">UCvdxiDKZpfunxPrkd91RRpA</t>
  </si>
  <si>
    <t xml:space="preserve">UCG7bm5MTOI9WydJnWLnZ7Eg</t>
  </si>
  <si>
    <t xml:space="preserve">UCWWZeKIZmh6mgRrOgSQk5Rg</t>
  </si>
  <si>
    <t xml:space="preserve">UCGWnoGKRiFNJmDlrkIJCRKA</t>
  </si>
  <si>
    <t xml:space="preserve">UCXlIvD6MtbHB7YhP3vudmHQ</t>
  </si>
  <si>
    <t xml:space="preserve">UCLR82CfYrRfU8geY6c0JLig</t>
  </si>
  <si>
    <t xml:space="preserve">UCZPvp_QV03rYZYzKFQ3qM0Q</t>
  </si>
  <si>
    <t xml:space="preserve">UCY-0bG0XyOGAxG7GsEZ22yA</t>
  </si>
  <si>
    <t xml:space="preserve">UC0Fni6pBWueVeCabNGuOFeg</t>
  </si>
  <si>
    <t xml:space="preserve">UCihPYlorLXjroDGnQL17YvQ</t>
  </si>
  <si>
    <t xml:space="preserve">UChkupSYPdg_2uuEa0zDC_dA</t>
  </si>
  <si>
    <t xml:space="preserve">UCtdpoOjnMUzhgG1qe6uqp7w</t>
  </si>
  <si>
    <t xml:space="preserve">UCnd5xZAWXs0soICzuxGNtFw</t>
  </si>
  <si>
    <t xml:space="preserve">UCbRXSH_Zj1y5z3R69ak9sPg</t>
  </si>
  <si>
    <t xml:space="preserve">UC00rSCnbZHfkfi7LFhO1CYg</t>
  </si>
  <si>
    <t xml:space="preserve">UC9BZSIFQ3lrmUoBGntZJT3Q</t>
  </si>
  <si>
    <t xml:space="preserve">UCkcat7kqDsxCiuFQL1ujRiA</t>
  </si>
  <si>
    <t xml:space="preserve">UC2BBnNqCUNPe5yF-Fo04OnQ</t>
  </si>
  <si>
    <t xml:space="preserve">UCmCZWTJjbkleSsDdcSgzamA</t>
  </si>
  <si>
    <t xml:space="preserve">UCJD5R47XWLmJ7nn18T2ZW4w</t>
  </si>
  <si>
    <t xml:space="preserve">UCOD6l1LSVhZq1Ycv77UOZvw</t>
  </si>
  <si>
    <t xml:space="preserve">UCBpz2Pcab3W4n_PqzpJlcBA</t>
  </si>
  <si>
    <t xml:space="preserve">UC9Bx2oMpMdZLl-h3EiXcU9Q</t>
  </si>
  <si>
    <t xml:space="preserve">UCbKc18IZll7cxpNOxVmE1MA</t>
  </si>
  <si>
    <t xml:space="preserve">UC6ZkHcW5QQubZ-Q6XYINE3Q</t>
  </si>
  <si>
    <t xml:space="preserve">UCluuM5wWPn0CcIkRYrU8AAA</t>
  </si>
  <si>
    <t xml:space="preserve">UCZZSschh7IG4n0jCj9zD55w</t>
  </si>
  <si>
    <t xml:space="preserve">UCsGuKEwl9gbHs7yXIe2Ej1Q</t>
  </si>
  <si>
    <t xml:space="preserve">UC512aL5wp8icOicjwwWtOyg</t>
  </si>
  <si>
    <t xml:space="preserve">UCKZ3ad95WlLhLGnAH_pyMRA</t>
  </si>
  <si>
    <t xml:space="preserve">UC28jASJbyVv4i93DDxKctOA</t>
  </si>
  <si>
    <t xml:space="preserve">UCsuBjlk1u-9oybSzdLsTeCQ</t>
  </si>
  <si>
    <t xml:space="preserve">UCnoUO6EX0pCDyNiGdjMKtEQ</t>
  </si>
  <si>
    <t xml:space="preserve">UCcK1Rkwx-88PydJBeBgKlCQ</t>
  </si>
  <si>
    <t xml:space="preserve">UC5oTaFLOFlLNeAJt_dt5rBw</t>
  </si>
  <si>
    <t xml:space="preserve">UCJskGeByzRRSvmOyZOz61ig</t>
  </si>
  <si>
    <t xml:space="preserve">UC_GqkTpSPvriLlWbWRLjBuA</t>
  </si>
  <si>
    <t xml:space="preserve">UCs7DyKrIjDH3pAfp2F1dLkw</t>
  </si>
  <si>
    <t xml:space="preserve">UCQZrhfNVuBayDaSanl2HCMw</t>
  </si>
  <si>
    <t xml:space="preserve">UCKgAaCGmyCRKgMZD0LBvMNA</t>
  </si>
  <si>
    <t xml:space="preserve">UCDOuAKAT8Dilmjlu09uUgPA</t>
  </si>
  <si>
    <t xml:space="preserve">UCM7JMuKBZ_y9IeMnOpWn8cg</t>
  </si>
  <si>
    <t xml:space="preserve">UC3HV8dmAtAK9dBPqix_O0Lw</t>
  </si>
  <si>
    <t xml:space="preserve">UC2ZlZqXygcTCTlf5oNU_nfg</t>
  </si>
  <si>
    <t xml:space="preserve">UCiG2YUBOnDDQa-lc09TOCLQ</t>
  </si>
  <si>
    <t xml:space="preserve">UCuLpN3P90qg-PP0lZ-t7FTw</t>
  </si>
  <si>
    <t xml:space="preserve">UC8xgalHz7T48nKqblwMTpuQ</t>
  </si>
  <si>
    <t xml:space="preserve">UCk_LLcOS5hWWgcMHH87HCNA</t>
  </si>
  <si>
    <t xml:space="preserve">UCDAHPNNwhhOKcw-3wPcUbqw</t>
  </si>
  <si>
    <t xml:space="preserve">UCfRyYabFdIpe5VKmsRurJQQ</t>
  </si>
  <si>
    <t xml:space="preserve">UCb69SRZkA-QNtp8WX1xFJxQ</t>
  </si>
  <si>
    <t xml:space="preserve">UC8EI7ZEA_pwGywSAFilnH5A</t>
  </si>
  <si>
    <t xml:space="preserve">UCnGgbUTaQfCfBTxWXEp8whg</t>
  </si>
  <si>
    <t xml:space="preserve">UCfqKvCzkm_vL_ETy2viO4Bg</t>
  </si>
  <si>
    <t xml:space="preserve">UCXkB9S7KRhr_QNyj43b09Qw</t>
  </si>
  <si>
    <t xml:space="preserve">UCVcV3CXKCRM8qjBTzxdJtGA</t>
  </si>
  <si>
    <t xml:space="preserve">UCVB4hJoKCvuq5MwyX11socg</t>
  </si>
  <si>
    <t xml:space="preserve">UCP3BWBwlMPIFUokoP9u7oPQ</t>
  </si>
  <si>
    <t xml:space="preserve">UCgGcLre2r7BkmXanznMGApw</t>
  </si>
  <si>
    <t xml:space="preserve">UCZNI_S7xTn5w6evaKQGA59g</t>
  </si>
  <si>
    <t xml:space="preserve">UCrrDEWgOuw9u_w1wpnuWn7A</t>
  </si>
  <si>
    <t xml:space="preserve">UClXmo4wm4gnot2XfV4HPGVg</t>
  </si>
  <si>
    <t xml:space="preserve">UCNR3iA52221fCBfQoYVVoBw</t>
  </si>
  <si>
    <t xml:space="preserve">UCdvbAeOE-qQ73hWAyNKTW_g</t>
  </si>
  <si>
    <t xml:space="preserve">UCD7kbZQyYIR6RgJQYW9w0Tg</t>
  </si>
  <si>
    <t xml:space="preserve">UCS-_nVJBVHKLGqTTfY9D-aQ</t>
  </si>
  <si>
    <t xml:space="preserve">UCNzo21QIvEWkB2UIXdRBL6A</t>
  </si>
  <si>
    <t xml:space="preserve">UCqcn8gszrD4FJJ8gWGI8lPQ</t>
  </si>
  <si>
    <t xml:space="preserve">UC-lAUwNOnPmFeB5IoUg7leg</t>
  </si>
  <si>
    <t xml:space="preserve">UCduqJFfoFV6FwJPC_cCwvIg</t>
  </si>
  <si>
    <t xml:space="preserve">UCUMFOBJkgPBxS32pVEVkZ7g</t>
  </si>
  <si>
    <t xml:space="preserve">UCOLw-GeNkiFu7rKofm4q29A</t>
  </si>
  <si>
    <t xml:space="preserve">UCk5hKoREliAXeP6LVrkx6WA</t>
  </si>
  <si>
    <t xml:space="preserve">UCAxc94GxnW6mi1ACG_gElIQ</t>
  </si>
  <si>
    <t xml:space="preserve">UCcT3MvPSu4pp5xW2jk8gOUA</t>
  </si>
  <si>
    <t xml:space="preserve">UCCFDpd2lZT8wf1ix71EtUYA</t>
  </si>
  <si>
    <t xml:space="preserve">UCLhe0ws4_Ks-nzKQg8K86Vg</t>
  </si>
  <si>
    <t xml:space="preserve">UC208W3XdnCTUD0k8y_M-mew</t>
  </si>
  <si>
    <t xml:space="preserve">UCjlgLOeEVhzVub7ShnDsa0g</t>
  </si>
  <si>
    <t xml:space="preserve">UCY2fZEvo6Cmp7d1vMbH-gxw</t>
  </si>
  <si>
    <t xml:space="preserve">UCfZbZ8393rPBwf9M5H1vfPA</t>
  </si>
  <si>
    <t xml:space="preserve">UCKkFcZ_xE1Pho9-MUJnI01g</t>
  </si>
  <si>
    <t xml:space="preserve">UCN1kuzw22hNT908Pt0W_j-g</t>
  </si>
  <si>
    <t xml:space="preserve">UCpBq2LkWcGc4nrVnbOhuPuw</t>
  </si>
  <si>
    <t xml:space="preserve">UCnfBI9u4u1PUgnNuFGKh6Cg</t>
  </si>
  <si>
    <t xml:space="preserve">UCS3gK4FP8Dfox_6LLccjB0w</t>
  </si>
  <si>
    <t xml:space="preserve">UCpqkCh5xFtRSE7kuL5LB5yw</t>
  </si>
  <si>
    <t xml:space="preserve">UCesM8-tQ8Xbph4F5Oup0EOw</t>
  </si>
  <si>
    <t xml:space="preserve">UCcjvkYcjyEIzoS47IGDqEBg</t>
  </si>
  <si>
    <t xml:space="preserve">UCKLN9wGq6WfD2JgJk6P7ODQ</t>
  </si>
  <si>
    <t xml:space="preserve">UCqTkkb-S9f4XBYBbOisEWZA</t>
  </si>
  <si>
    <t xml:space="preserve">UCM5oAuLh_VFIfzwWc9N6ing</t>
  </si>
  <si>
    <t xml:space="preserve">UCdqYozvPycxumtHHelkyegw</t>
  </si>
  <si>
    <t xml:space="preserve">UCw7W5MUsosRX93tyfpwvGXg</t>
  </si>
  <si>
    <t xml:space="preserve">UCU0SV3NNGOEWlUi3aJGiYGQ</t>
  </si>
  <si>
    <t xml:space="preserve">UCOrzKyEf7dBFG5UrjBegZ7g</t>
  </si>
  <si>
    <t xml:space="preserve">UCk2MflaDb9D46GQtmBo9N-Q</t>
  </si>
  <si>
    <t xml:space="preserve">UCQtSSzjFvdPaN4HMRt8a_HQ</t>
  </si>
  <si>
    <t xml:space="preserve">UCz3KHYDb0gRl7cw5ZTe74xQ</t>
  </si>
  <si>
    <t xml:space="preserve">UC90jA5f1LD7sUdI-3WPCurw</t>
  </si>
  <si>
    <t xml:space="preserve">UCfPexGPHFe2PDtJAEJBvpNw</t>
  </si>
  <si>
    <t xml:space="preserve">UCfPsNzkmjmFPjwdl715UwDQ</t>
  </si>
  <si>
    <t xml:space="preserve">UC9uHr3VpMRqwDIYRea1S3ZQ</t>
  </si>
  <si>
    <t xml:space="preserve">UC4T2ovrPfl2fXjfZXrhFbzA</t>
  </si>
  <si>
    <t xml:space="preserve">UCKjEJMmxbfd_6Soe_WD4YJQ</t>
  </si>
  <si>
    <t xml:space="preserve">UC21CWNbgiZhbNhNP2E4C_JA</t>
  </si>
  <si>
    <t xml:space="preserve">UCdbMxSVAgPENqhYVeYkAA2w</t>
  </si>
  <si>
    <t xml:space="preserve">UCc5FkTYiWH5L3Gk5IyW6Rmw</t>
  </si>
  <si>
    <t xml:space="preserve">UCxXoLC9O1-dEjL8tkEaBl6g</t>
  </si>
  <si>
    <t xml:space="preserve">UCsGp2twNDDvV4_CqXHM8VHA</t>
  </si>
  <si>
    <t xml:space="preserve">UCXJYqBUcAGc6cgZ3aez-aiw</t>
  </si>
  <si>
    <t xml:space="preserve">UC5rlwkY3KorhN8a3t2EtrHw</t>
  </si>
  <si>
    <t xml:space="preserve">UCF3rv_VNe-N0YNLNMQzL5ww</t>
  </si>
  <si>
    <t xml:space="preserve">UCh-ohfog9pJS7EizXs7Jfvg</t>
  </si>
  <si>
    <t xml:space="preserve">UCpTi5sLZXyYVnQEyqM-2Kig</t>
  </si>
  <si>
    <t xml:space="preserve">UCKm7N7Hu3nhfsgRvV6LrwAA</t>
  </si>
  <si>
    <t xml:space="preserve">UCCePjqFGoddqNsEU9LRlRow</t>
  </si>
  <si>
    <t xml:space="preserve">UCR95rhO2Wa8fENnenDBNMXA</t>
  </si>
  <si>
    <t xml:space="preserve">UCIc9bwI5Z6s1JI3d4zyiOmw</t>
  </si>
  <si>
    <t xml:space="preserve">UCViWZfowG3KNJjm44nYXFgQ</t>
  </si>
  <si>
    <t xml:space="preserve">UCOYVUlXPMjzp9o9nVamqC7Q</t>
  </si>
  <si>
    <t xml:space="preserve">UCwghTsFqVk94gkV6hoCfKew</t>
  </si>
  <si>
    <t xml:space="preserve">UCOF6vGE6pqu0pVwI7C5ldAQ</t>
  </si>
  <si>
    <t xml:space="preserve">UCwOFO2mso90eiBi6g6mOjAg</t>
  </si>
  <si>
    <t xml:space="preserve">UCugqrWakCIAn5-F61gRocNQ</t>
  </si>
  <si>
    <t xml:space="preserve">UCKNerTE_kVPFUngiQ-vpn7w</t>
  </si>
  <si>
    <t xml:space="preserve">UCV3_BD-3TvasEuBL2OOvOFw</t>
  </si>
  <si>
    <t xml:space="preserve">UCCIKSGa9uR5ghHGNnBO7Ldw</t>
  </si>
  <si>
    <t xml:space="preserve">UCu0l8LEELZa2XqAjvMNZamg</t>
  </si>
  <si>
    <t xml:space="preserve">UCMx1buKzKAMZhA0QjuBJMsg</t>
  </si>
  <si>
    <t xml:space="preserve">UCterAWyyNSM8bwwPnI5X7ig</t>
  </si>
  <si>
    <t xml:space="preserve">UC7DY5cLQEWwVHKjekor11IQ</t>
  </si>
  <si>
    <t xml:space="preserve">UCbEsYzquftFIxnkgNK5vo5A</t>
  </si>
  <si>
    <t xml:space="preserve">UCNSmgU-V9kMcfPMpsMacOvA</t>
  </si>
  <si>
    <t xml:space="preserve">UCRCkN0-GKbLzpgK1ezD6mGQ</t>
  </si>
  <si>
    <t xml:space="preserve">UCabG_p6WxOHayOlwMJ8TG5A</t>
  </si>
  <si>
    <t xml:space="preserve">UCZviKjIaKxi-qDfyRpcD_2w</t>
  </si>
  <si>
    <t xml:space="preserve">UC_Zn3Q8roTOAxR21U0gvuzA</t>
  </si>
  <si>
    <t xml:space="preserve">UCIyxmVVpkCsMSlhQHU4mT7g</t>
  </si>
  <si>
    <t xml:space="preserve">UC8p6OJi4XdiKI9LzrCoLI4w</t>
  </si>
  <si>
    <t xml:space="preserve">UC3o1RTvivm5oGuuC7IrnoAA</t>
  </si>
  <si>
    <t xml:space="preserve">UCox3g1eATzDHVOl2na0NNGA</t>
  </si>
  <si>
    <t xml:space="preserve">UCnOPSWq4TRnyq1UlBGkQi-w</t>
  </si>
  <si>
    <t xml:space="preserve">UCz8_gPq2xCPCGvRM1naAtcQ</t>
  </si>
  <si>
    <t xml:space="preserve">UClDVWIdbYk0mCnL9nkRHSxw</t>
  </si>
  <si>
    <t xml:space="preserve">UCs-2DhK0sAghcpVCap0cH2g</t>
  </si>
  <si>
    <t xml:space="preserve">UCZ61I9J3tIuE3biJbr9dFcQ</t>
  </si>
  <si>
    <t xml:space="preserve">UC31gwV3_mJ7p-Cnrp2SUVnw</t>
  </si>
  <si>
    <t xml:space="preserve">UCUor5LTOaHUS6F7q17lNi4w</t>
  </si>
  <si>
    <t xml:space="preserve">UC2JNrw4j7Eo4R5cZXXn8rNw</t>
  </si>
  <si>
    <t xml:space="preserve">UCbjJZdJbaxGVW88CispTk8g</t>
  </si>
  <si>
    <t xml:space="preserve">UCdOW3cPYnZhQK-0AnjF6bmw</t>
  </si>
  <si>
    <t xml:space="preserve">UC556QJVm0HsEPmmS-zd3vvg</t>
  </si>
  <si>
    <t xml:space="preserve">UC_wzfoN-qa2W6XCwvb6-pkA</t>
  </si>
  <si>
    <t xml:space="preserve">UCrChDgWamU1TgliBNsMYwOQ</t>
  </si>
  <si>
    <t xml:space="preserve">UCwmXwlQhdUn2cyZQCiElSAQ</t>
  </si>
  <si>
    <t xml:space="preserve">UCrlH_AfznOGEJF-NFf_Oy0g</t>
  </si>
  <si>
    <t xml:space="preserve">UCQ8kxAu_on_YzVPMjB03rqA</t>
  </si>
  <si>
    <t xml:space="preserve">UCTt7pyY-o0eltq14glaG5dg</t>
  </si>
  <si>
    <t xml:space="preserve">UCXnHaSVj-fcdvQZG9oUnXvg</t>
  </si>
  <si>
    <t xml:space="preserve">UCeL_tnyseelrbmosp_OMgnQ</t>
  </si>
  <si>
    <t xml:space="preserve">UCQ3ZwLf92CtRYqJw0QcMa4Q</t>
  </si>
  <si>
    <t xml:space="preserve">UCM0xbVk64eDMUbkkILW7EOQ</t>
  </si>
  <si>
    <t xml:space="preserve">UCBZKjEIhCYkNH1rpXsLyUzw</t>
  </si>
  <si>
    <t xml:space="preserve">UCnZMvpusUQe9axsQvQW2few</t>
  </si>
  <si>
    <t xml:space="preserve">UCyfZyQz37aOcyFmbWGKEpqQ</t>
  </si>
  <si>
    <t xml:space="preserve">UC5J2lSWL0tnJ1UOZTtbwEPA</t>
  </si>
  <si>
    <t xml:space="preserve">UCRZN6a1r1enIkKP7eW8OQgg</t>
  </si>
  <si>
    <t xml:space="preserve">UCvBoAyWLQbveDWr8U08UDUQ</t>
  </si>
  <si>
    <t xml:space="preserve">UCgbfkk6-aPCjTYEw50oBVfA</t>
  </si>
  <si>
    <t xml:space="preserve">UCuphZ5BwKpxwqGDJBe6VRyg</t>
  </si>
  <si>
    <t xml:space="preserve">UC9Jr3q-Io1BI9tyjiNX5oWQ</t>
  </si>
  <si>
    <t xml:space="preserve">UCySNacfra_khshM9r8qWCCw</t>
  </si>
  <si>
    <t xml:space="preserve">UC5uDx5_Rvvw44BEaN9jM_NQ</t>
  </si>
  <si>
    <t xml:space="preserve">UCoGvVJF1Z4tbnX8UdNE2hZQ</t>
  </si>
  <si>
    <t xml:space="preserve">UC0D_d1vH531GdiQg6mkihgg</t>
  </si>
  <si>
    <t xml:space="preserve">UCaLzaA3GkPCuoTTcZEdXZNg</t>
  </si>
  <si>
    <t xml:space="preserve">UCRj_BU95SebaRi2FziXEoTg</t>
  </si>
  <si>
    <t xml:space="preserve">UCYSTnniSPDm4uUkcEAmBQ7w</t>
  </si>
  <si>
    <t xml:space="preserve">UC65fI5xVny50pb_ZOjhSKEA</t>
  </si>
  <si>
    <t xml:space="preserve">UCBElRVEL-H0eDYdL2mb1Sng</t>
  </si>
  <si>
    <t xml:space="preserve">UCw-gVGL_c2rrMNlKHB2xl-A</t>
  </si>
  <si>
    <t xml:space="preserve">UCxb86iW3quipRwnAxQElH3g</t>
  </si>
  <si>
    <t xml:space="preserve">UCe--4gMsLOGUHF_8ccu_5Vw</t>
  </si>
  <si>
    <t xml:space="preserve">UCSteEao6bakMOaxTtXxX5zg</t>
  </si>
  <si>
    <t xml:space="preserve">UCKon549hAsE7b9_YsrJOE4Q</t>
  </si>
  <si>
    <t xml:space="preserve">UCCaJBxPSI0QLUQ36lqbkm8g</t>
  </si>
  <si>
    <t xml:space="preserve">UCDlffaDJ9GhF5fopDAyKhoQ</t>
  </si>
  <si>
    <t xml:space="preserve">UCuPxN9QXshmNOIloddPz48w</t>
  </si>
  <si>
    <t xml:space="preserve">UCOfVpvYVa6pv0_U_vGBT9_Q</t>
  </si>
  <si>
    <t xml:space="preserve">UCUXLSXXkXRoPZw6jLeGVpRQ</t>
  </si>
  <si>
    <t xml:space="preserve">UCbciQXVE5id86aS9FYjLx5A</t>
  </si>
  <si>
    <t xml:space="preserve">UCAqOAiVjCgJdATfPlBr3KrQ</t>
  </si>
  <si>
    <t xml:space="preserve">UCy0-3xdx7dTXMYmJc1jMbBQ</t>
  </si>
  <si>
    <t xml:space="preserve">UCco04pGIpOtfHePXG5MnB9g</t>
  </si>
  <si>
    <t xml:space="preserve">UCq3BP0ghOcQ_r5oV9803aMA</t>
  </si>
  <si>
    <t xml:space="preserve">UC2YC5LmgVD-ERNWOL0jHR0Q</t>
  </si>
  <si>
    <t xml:space="preserve">UCx0PycR_tM8B2_ca2adWLUw</t>
  </si>
  <si>
    <t xml:space="preserve">UCfgZeIeivhxtAVdtq7UBoCA</t>
  </si>
  <si>
    <t xml:space="preserve">UCnBCO0JTZXsZG6o1J16rvwg</t>
  </si>
  <si>
    <t xml:space="preserve">UCDAq6oTOKSi0iF0i89EytDg</t>
  </si>
  <si>
    <t xml:space="preserve">UCKWceoSxoHneDL3ZRDnwgjg</t>
  </si>
  <si>
    <t xml:space="preserve">UCTl0HWZ0g98Cmg0L8az-ZLg</t>
  </si>
  <si>
    <t xml:space="preserve">UCfPfBtwKr6hVCIbVXKa3Z1w</t>
  </si>
  <si>
    <t xml:space="preserve">UCF2KsJriYzifyuNYnQppUGw</t>
  </si>
  <si>
    <t xml:space="preserve">UCDgcSEEGTW78AfxZ528O2Sw</t>
  </si>
  <si>
    <t xml:space="preserve">UC14T68CULCHnqxZWdzawXpw</t>
  </si>
  <si>
    <t xml:space="preserve">UClj42T5rXaBowqp3zlLBTXg</t>
  </si>
  <si>
    <t xml:space="preserve">UCy-FOeN-HxrFueHB9Jd8saA</t>
  </si>
  <si>
    <t xml:space="preserve">UCQ5WvA3NMrx3LNmogr97byA</t>
  </si>
  <si>
    <t xml:space="preserve">UC-N8Snur9X0fcBVBOflW40Q</t>
  </si>
  <si>
    <t xml:space="preserve">UC5NesWr54QFI4T9L5zOGe3g</t>
  </si>
  <si>
    <t xml:space="preserve">UC2dL1ZN6Ojykyl7HirHtNig</t>
  </si>
  <si>
    <t xml:space="preserve">UCGx6lp4goRrRcYnTmippBtg</t>
  </si>
  <si>
    <t xml:space="preserve">UCZS-o-SDElQ8ymDYGF7mW7Q</t>
  </si>
  <si>
    <t xml:space="preserve">UCP1FNirDftjDP1qtrLG7UsA</t>
  </si>
  <si>
    <t xml:space="preserve">UCuJUmPQgcV9B2P_2C_0mn7A</t>
  </si>
  <si>
    <t xml:space="preserve">UCspjvQsQ2wONMdhvQitj-Qg</t>
  </si>
  <si>
    <t xml:space="preserve">UCDH860UZT3-ozUjtoqdaUFQ</t>
  </si>
  <si>
    <t xml:space="preserve">UCIRAYFbJmrP--jyrC9MAIWQ</t>
  </si>
  <si>
    <t xml:space="preserve">UCRjwDRhYScyJklLhRJ1QEwg</t>
  </si>
  <si>
    <t xml:space="preserve">UCldScWaC5wcLM-xrS2YmWxw</t>
  </si>
  <si>
    <t xml:space="preserve">UCfVwmt-h2DpEMK6jZLdFqtQ</t>
  </si>
  <si>
    <t xml:space="preserve">UCh6bcmmp9KyAVC5uXj88Dmw</t>
  </si>
  <si>
    <t xml:space="preserve">UCiIrZf4bn1i0IOf8YgSMzWA</t>
  </si>
  <si>
    <t xml:space="preserve">UCcEtOg-QgGkA7V2m0TP4Zig</t>
  </si>
  <si>
    <t xml:space="preserve">UC49KpNwxY28o_t3-J4ZipOg</t>
  </si>
  <si>
    <t xml:space="preserve">UCk19x9BG23f5xkHOzihhclA</t>
  </si>
  <si>
    <t xml:space="preserve">UCvSM87j1um-606TMhbA_kkQ</t>
  </si>
  <si>
    <t xml:space="preserve">UCWjSd1bbKt7Clin6NruG_-Q</t>
  </si>
  <si>
    <t xml:space="preserve">UC7Wv94Wg4Yz1d1r_uOSYmmQ</t>
  </si>
  <si>
    <t xml:space="preserve">UC5wkd9g3tcTf6Dyzx62NtIg</t>
  </si>
  <si>
    <t xml:space="preserve">UCKbGPpepdFDgJ0FMM90aI7g</t>
  </si>
  <si>
    <t xml:space="preserve">UCX7bj5Fv2uBpAy1dRC1IhTw</t>
  </si>
  <si>
    <t xml:space="preserve">UCL3pVAJWPWuNzibnrmQThnQ</t>
  </si>
  <si>
    <t xml:space="preserve">UCLAgCBDdtqbXPHJ1k8IW4kg</t>
  </si>
  <si>
    <t xml:space="preserve">UCwRQXOGs3LTBzloxbg-gzkg</t>
  </si>
  <si>
    <t xml:space="preserve">UCD_KCa8zHhofTiDG1XxDIVA</t>
  </si>
  <si>
    <t xml:space="preserve">UCko6jJyo-wUQmWhjGNAIrwg</t>
  </si>
  <si>
    <t xml:space="preserve">UCojAM4c4qTb4-igXUYYBVIQ</t>
  </si>
  <si>
    <t xml:space="preserve">UCp9E2xr3-Y3SjqUt7hsLw4w</t>
  </si>
  <si>
    <t xml:space="preserve">UCZD02nQUkC96yDPRlv2L1YQ</t>
  </si>
  <si>
    <t xml:space="preserve">UCdfhsPbo90K3iJcJSg6X36A</t>
  </si>
  <si>
    <t xml:space="preserve">UCMkpWZfMBmu3eFbc32MVFRg</t>
  </si>
  <si>
    <t xml:space="preserve">UCwzkIBttlFZYgN0q66KFTPw</t>
  </si>
  <si>
    <t xml:space="preserve">UCfbo8iaSdOZwyel39GMhtlQ</t>
  </si>
  <si>
    <t xml:space="preserve">UCY6DeO0JlJ8dcdWPX9DDzRg</t>
  </si>
  <si>
    <t xml:space="preserve">UC3n8BZY2K3VdcX8SrBmBIiA</t>
  </si>
  <si>
    <t xml:space="preserve">UCxxspVw0NzEGNWuNyJLhm7g</t>
  </si>
  <si>
    <t xml:space="preserve">UCfuHubXBszR4tFrs2Nv3mlQ</t>
  </si>
  <si>
    <t xml:space="preserve">UCYIh7_DyymRW_bWCLFxTvlw</t>
  </si>
  <si>
    <t xml:space="preserve">UCKsPgpLMluk-ezZQ53BnKjA</t>
  </si>
  <si>
    <t xml:space="preserve">UC7b7VERUfoNg0UiSLwlaEmA</t>
  </si>
  <si>
    <t xml:space="preserve">UCzB2vC0kH-PPbrGmqeII9hQ</t>
  </si>
  <si>
    <t xml:space="preserve">UCC-F98h3zNfV3j8XV8QK9Ww</t>
  </si>
  <si>
    <t xml:space="preserve">UCIuYhhXA4wzNfl3wpmXUIBA</t>
  </si>
  <si>
    <t xml:space="preserve">UC-Uaz9tVnQS-wiOF1woadGA</t>
  </si>
  <si>
    <t xml:space="preserve">UCxrFcQb_DgCwOerXif7E0xQ</t>
  </si>
  <si>
    <t xml:space="preserve">UC6ESpT0pYVsXsYGLjskbHPg</t>
  </si>
  <si>
    <t xml:space="preserve">UCnnpO6ul_Z3u0l5IpNQeamw</t>
  </si>
  <si>
    <t xml:space="preserve">UCQWkGLAVDPznrQnhAYmkuMQ</t>
  </si>
  <si>
    <t xml:space="preserve">UCNSFAApX2nMkAVu96edpu0A</t>
  </si>
  <si>
    <t xml:space="preserve">UCxvNvggBNyPbDyCHSul3f9w</t>
  </si>
  <si>
    <t xml:space="preserve">UCBZJL83X0i6IsH0ayBQgw_A</t>
  </si>
  <si>
    <t xml:space="preserve">UC-B8c-sTigedLuU46MugPyw</t>
  </si>
  <si>
    <t xml:space="preserve">UCWHcygs3qfuAfzGJLSrhhhg</t>
  </si>
  <si>
    <t xml:space="preserve">UCZ5rU5yxtyxujpFZflq-1NQ</t>
  </si>
  <si>
    <t xml:space="preserve">UCpRLiwxTIGnp-k0DPKu3tcQ</t>
  </si>
  <si>
    <t xml:space="preserve">UC_gSVprxopdeBY0fFSLPTZQ</t>
  </si>
  <si>
    <t xml:space="preserve">UCD5dQXr1QJxcaZr1y8cMxGA</t>
  </si>
  <si>
    <t xml:space="preserve">UCtPDC9vUUhqJSONNJ_-VeTg</t>
  </si>
  <si>
    <t xml:space="preserve">UCrY2g9ytqs_A5ehPUl9rCqg</t>
  </si>
  <si>
    <t xml:space="preserve">UCFeIPY_Xa9hddLEIQHCJVpg</t>
  </si>
  <si>
    <t xml:space="preserve">UCHhFJtydvr4rbRT7_Xuckxg</t>
  </si>
  <si>
    <t xml:space="preserve">UCN9qzrsT8gYS2I3tbYVKfcA</t>
  </si>
  <si>
    <t xml:space="preserve">UCzVNBEQqF3b_TSMe2pNgpLw</t>
  </si>
  <si>
    <t xml:space="preserve">UC4HJnltamaHXcSoreTREyOw</t>
  </si>
  <si>
    <t xml:space="preserve">UCQA9tK0nRK1e_Bqg0uETs8A</t>
  </si>
  <si>
    <t xml:space="preserve">UCsBmkYt1ZtPlfLyxIRP8zCA</t>
  </si>
  <si>
    <t xml:space="preserve">UC__ECR4YoPaa43oyFRzj0Ow</t>
  </si>
  <si>
    <t xml:space="preserve">UCi7vv6xNjGB-pODyJs9Yclw</t>
  </si>
  <si>
    <t xml:space="preserve">UCYDTEnuN66w_xzul0qo4-XA</t>
  </si>
  <si>
    <t xml:space="preserve">UCUbOhcyLgbZHx3lmcUnglcQ</t>
  </si>
  <si>
    <t xml:space="preserve">UC1Cu3e5iBvYOVj4Te3Wyz1g</t>
  </si>
  <si>
    <t xml:space="preserve">UCcSzflzWqHZknf2FhIGq9Gg</t>
  </si>
  <si>
    <t xml:space="preserve">UCXH_5KjFzmYnoVWEW7pdoMQ</t>
  </si>
  <si>
    <t xml:space="preserve">UCezatk470GZ8va_cgl1666Q</t>
  </si>
  <si>
    <t xml:space="preserve">UCdc6ObxhdQ8eZIFquU2xolA</t>
  </si>
  <si>
    <t xml:space="preserve">UCiHUgpAhPyaUN1qxodlzGxQ</t>
  </si>
  <si>
    <t xml:space="preserve">UCyzB63eVU_DEkMjJCwgjP-w</t>
  </si>
  <si>
    <t xml:space="preserve">UCrQQwsXU_yOpMdhuv0ZlY4Q</t>
  </si>
  <si>
    <t xml:space="preserve">UCxetM4udY0C3Mh4TjEoB4FA</t>
  </si>
  <si>
    <t xml:space="preserve">UCZx0rxHRES7WsaZjyEPpfHA</t>
  </si>
  <si>
    <t xml:space="preserve">UC58p2R5bPtOlvU87t0P1m9w</t>
  </si>
  <si>
    <t xml:space="preserve">UCw7vTEHfXHIp1dfcSH6Zjuw</t>
  </si>
  <si>
    <t xml:space="preserve">UCiGsv5vWHWelQjekHviFPyA</t>
  </si>
  <si>
    <t xml:space="preserve">UCnM9pqZekwMMetlnVZ90c-w</t>
  </si>
  <si>
    <t xml:space="preserve">UC64at48rIDPKiFPKjPb9SBA</t>
  </si>
  <si>
    <t xml:space="preserve">UCubgLw1XNl1Vo04Ed8xH1oQ</t>
  </si>
  <si>
    <t xml:space="preserve">UCPPD1qh99VDWVd3jwaPewxw</t>
  </si>
  <si>
    <t xml:space="preserve">UCnAxw7wnfu5uHxKGK3mK2IQ</t>
  </si>
  <si>
    <t xml:space="preserve">UCYi4JJcjDYtNGLX0N6e7g5A</t>
  </si>
  <si>
    <t xml:space="preserve">UCKaQCFp_N_avHkBoCHzy6hA</t>
  </si>
  <si>
    <t xml:space="preserve">UCnolQJ_QMttixHj4IFPLsnA</t>
  </si>
  <si>
    <t xml:space="preserve">UCLNgTw8zZpKlAcw2Kx5pW_w</t>
  </si>
  <si>
    <t xml:space="preserve">UC0wYM9DQb_K5CJVpLSdKnoA</t>
  </si>
  <si>
    <t xml:space="preserve">UCRm26mMjo4eLm6AU33xJB4A</t>
  </si>
  <si>
    <t xml:space="preserve">UCkpUU4DRXid8pacXQGSUetQ</t>
  </si>
  <si>
    <t xml:space="preserve">UC2HYFUVT45FiO9Je28QMoxA</t>
  </si>
  <si>
    <t xml:space="preserve">UCsQoiOrh7jzKmE8NBofhTnQ</t>
  </si>
  <si>
    <t xml:space="preserve">UCM-P09CiVXjKsbmR6bke1rg</t>
  </si>
  <si>
    <t xml:space="preserve">UC30KMy77vMwgJ_O2HmS7JHA</t>
  </si>
  <si>
    <t xml:space="preserve">UCIppx_eRDndeIIxVfXbLNVw</t>
  </si>
  <si>
    <t xml:space="preserve">UCUPe5gB5L5LViTP4HS25tjQ</t>
  </si>
  <si>
    <t xml:space="preserve">UCmr5ryAi4mAH1_527jxFIAA</t>
  </si>
  <si>
    <t xml:space="preserve">UCCirR6z97rZtQ0hG-klkSfA</t>
  </si>
  <si>
    <t xml:space="preserve">UChK3pCi0rVa58MdkcNdNK2w</t>
  </si>
  <si>
    <t xml:space="preserve">UCT9ME2x6FR2B_vGUM83UyfA</t>
  </si>
  <si>
    <t xml:space="preserve">UCYt0ODfyaYT8PZAT32A-E2g</t>
  </si>
  <si>
    <t xml:space="preserve">UCEA6dsMe8d1xN1q-B5i5rFw</t>
  </si>
  <si>
    <t xml:space="preserve">UCwDWzhNMMq8WqsvX6_TO2eQ</t>
  </si>
  <si>
    <t xml:space="preserve">UCq2rxidEqjoviYqbA0iQ8VQ</t>
  </si>
  <si>
    <t xml:space="preserve">UCKOmT34ovd1YpljmJXZ3QSg</t>
  </si>
  <si>
    <t xml:space="preserve">UC8AifQv4xFBk7I1pf1pDwEQ</t>
  </si>
  <si>
    <t xml:space="preserve">UCoZu9KiI5DocU83rWNPE3Bw</t>
  </si>
  <si>
    <t xml:space="preserve">UCI9-3sdWwj9UJnFlNC01HVQ</t>
  </si>
  <si>
    <t xml:space="preserve">UCn1P85eKDEXS2iwbcasBm-g</t>
  </si>
  <si>
    <t xml:space="preserve">UCfc1N7eI-ZJnvCa8GvKnNYg</t>
  </si>
  <si>
    <t xml:space="preserve">UCE7Ewb35YBWO9TNjfiL6BbA</t>
  </si>
  <si>
    <t xml:space="preserve">UCNxvisovZE-EccQ0aBONSjQ</t>
  </si>
  <si>
    <t xml:space="preserve">UCNDgzqvGOpSNspj16nT_twA</t>
  </si>
  <si>
    <t xml:space="preserve">UCFqTfpH5x5QLXtfA6Hr7UYw</t>
  </si>
  <si>
    <t xml:space="preserve">UClXPLxleq-pTUsmzZnjcU-A</t>
  </si>
  <si>
    <t xml:space="preserve">UCvoqgfbi1_FnDx_DEppjK_Q</t>
  </si>
  <si>
    <t xml:space="preserve">UCR3zPCS507TygloTBofLqnA</t>
  </si>
  <si>
    <t xml:space="preserve">UCn0M8BcDRGW5ya78cOgzOeA</t>
  </si>
  <si>
    <t xml:space="preserve">UCnsEsbJ0_1LnPu4uy1P_n_A</t>
  </si>
  <si>
    <t xml:space="preserve">UC88s854iaGReKSEJiT5qOeQ</t>
  </si>
  <si>
    <t xml:space="preserve">UCCPWi_OwWMR5JTiujn7v-7g</t>
  </si>
  <si>
    <t xml:space="preserve">UCayrlw1M_o7uINKVD2z1ZvA</t>
  </si>
  <si>
    <t xml:space="preserve">UC3e3MWDBEP2jxXO0BRAC6FA</t>
  </si>
  <si>
    <t xml:space="preserve">UCbEQY-Tbl8fKD-VtJbYrVsg</t>
  </si>
  <si>
    <t xml:space="preserve">UCUy1dy4ErYxqMD9fld8Gg1A</t>
  </si>
  <si>
    <t xml:space="preserve">UCa0oOGPYVZFgZn0aKAEwsCg</t>
  </si>
  <si>
    <t xml:space="preserve">UCFa11Y0g0Mqp4XoGXt7X8Eg</t>
  </si>
  <si>
    <t xml:space="preserve">UCgz8oz-Yc5wu6oy89JxS_MA</t>
  </si>
  <si>
    <t xml:space="preserve">UCMxPdZZ-5GLpMTOxuJ_zsvA</t>
  </si>
  <si>
    <t xml:space="preserve">UCRf6KVUGWr8RFGOYgI0NyfQ</t>
  </si>
  <si>
    <t xml:space="preserve">UChu2-u_W4JJ4IJQU8PPU5VQ</t>
  </si>
  <si>
    <t xml:space="preserve">UC5QyO20zwntfjs8_WXYEWlQ</t>
  </si>
  <si>
    <t xml:space="preserve">UCA7fAu_z_hYW1YGAnGkKGXg</t>
  </si>
  <si>
    <t xml:space="preserve">UCLclCK8G604rzyFih31Becw</t>
  </si>
  <si>
    <t xml:space="preserve">UC_yVJyx7hIbUmunNAZobd4Q</t>
  </si>
  <si>
    <t xml:space="preserve">UCtPsiRQ_56oR3FGxU1BcaSQ</t>
  </si>
  <si>
    <t xml:space="preserve">UCJwohnd3xmmFtazAOtKVmSA</t>
  </si>
  <si>
    <t xml:space="preserve">UC61aeX6L7M8QU1n5zzYKMJg</t>
  </si>
  <si>
    <t xml:space="preserve">UC7D9zpWTmcTa_v6ckqndV9g</t>
  </si>
  <si>
    <t xml:space="preserve">UC1eVTa8-e7uenX0dEASD1eg</t>
  </si>
  <si>
    <t xml:space="preserve">UCAPDuc6Kfpe1mKjMX367qmA</t>
  </si>
  <si>
    <t xml:space="preserve">UCEQWMySGPnIpFhDhVDH2Y_Q</t>
  </si>
  <si>
    <t xml:space="preserve">UCbPEH-AjDfcjrsjzHTeGnKw</t>
  </si>
  <si>
    <t xml:space="preserve">UCGGyj54Bu5Lr4J0qBwr6KEg</t>
  </si>
  <si>
    <t xml:space="preserve">UCvx7dUSfVAEfPTHhohTYZ-A</t>
  </si>
  <si>
    <t xml:space="preserve">UCQHeqq2qgTY8P28eO3KdQKw</t>
  </si>
  <si>
    <t xml:space="preserve">UCUg96ekzjuX_VBgTbp0m_mA</t>
  </si>
  <si>
    <t xml:space="preserve">UCmYIY7Viw0TngjkpS3ERHRw</t>
  </si>
  <si>
    <t xml:space="preserve">UCcqUR8iufaKhP978UyOPlLA</t>
  </si>
  <si>
    <t xml:space="preserve">UC58_wzhvJta3hDSPvRLDAqg</t>
  </si>
  <si>
    <t xml:space="preserve">UCedGWzHaGtnUkQg2bWmRa8A</t>
  </si>
  <si>
    <t xml:space="preserve">UCnx6m6FSBkFXsTptL5iCydw</t>
  </si>
  <si>
    <t xml:space="preserve">UCPRuTbHmEsGe4hcSlvnBjag</t>
  </si>
  <si>
    <t xml:space="preserve">UCTjYxU04HjYDb5oPmGWmKCw</t>
  </si>
  <si>
    <t xml:space="preserve">UCjd7Hr17wfg5-xwcMYhyEpQ</t>
  </si>
  <si>
    <t xml:space="preserve">UCTPlNEVhogn_t03OSP2tyXg</t>
  </si>
  <si>
    <t xml:space="preserve">UCSSypU6npXFCKRAj_KtYXXQ</t>
  </si>
  <si>
    <t xml:space="preserve">UCl5f5H0OeTpfb-dag0xvWXA</t>
  </si>
  <si>
    <t xml:space="preserve">UCTELOYSiRIY-7JqRQw-8gMg</t>
  </si>
  <si>
    <t xml:space="preserve">UCoKhPgMdljSozR4T3ylBbZw</t>
  </si>
  <si>
    <t xml:space="preserve">UCVyoU99HOs9jFbc2q1rsjNA</t>
  </si>
  <si>
    <t xml:space="preserve">UCRem0cxZp0CNrJaFGRB2Tpw</t>
  </si>
  <si>
    <t xml:space="preserve">UC0Jnop6Vw19vv-URIqSIyZQ</t>
  </si>
  <si>
    <t xml:space="preserve">UCza_Fl_1HdzhwWS4s351YBw</t>
  </si>
  <si>
    <t xml:space="preserve">UCxHZoipk6QMDqAwcph1w_iQ</t>
  </si>
  <si>
    <t xml:space="preserve">UCZn4MD1gjzkC65GIY-TcXoQ</t>
  </si>
  <si>
    <t xml:space="preserve">UCeGnSjNcwojC5YT_xOb5zlQ</t>
  </si>
  <si>
    <t xml:space="preserve">UCdrjdJ6mGQvhL3sJE9AKATg</t>
  </si>
  <si>
    <t xml:space="preserve">UCwhXQRePRbW6ItU0R9yhOSg</t>
  </si>
  <si>
    <t xml:space="preserve">UCfom8n4X4vfVjZEOFt7he7w</t>
  </si>
  <si>
    <t xml:space="preserve">UCOyrlvrZ1x0_hByV9nRCrzQ</t>
  </si>
  <si>
    <t xml:space="preserve">UCzmgJ3ZRPp0VWemOvfSWGMQ</t>
  </si>
  <si>
    <t xml:space="preserve">UCRvkTlUg_G_eobICv9hE6og</t>
  </si>
  <si>
    <t xml:space="preserve">UCOUTtOzagfpXm-XhCp7eADA</t>
  </si>
  <si>
    <t xml:space="preserve">UCqO2M35Z1Z4ejIXu6ZgAD4Q</t>
  </si>
  <si>
    <t xml:space="preserve">UCJCNPG41NUkCWRcuuuUDA1w</t>
  </si>
  <si>
    <t xml:space="preserve">UCUbnrg9wVoBHqvTbsmlPbKg</t>
  </si>
  <si>
    <t xml:space="preserve">UCMSzgP1EtSf562Sb78zTuIA</t>
  </si>
  <si>
    <t xml:space="preserve">UCa8sbY6C7pBoSw4z20BKEFQ</t>
  </si>
  <si>
    <t xml:space="preserve">UCSaXY8yqc6eJgM2TfGTjjyw</t>
  </si>
  <si>
    <t xml:space="preserve">UCFprXUqO0areMNbMt5wtAnw</t>
  </si>
  <si>
    <t xml:space="preserve">UCwO9iuWaLXES0WTXHDRy1KQ</t>
  </si>
  <si>
    <t xml:space="preserve">UCR3SpezLY-8owQVntm92CjA</t>
  </si>
  <si>
    <t xml:space="preserve">UC1gBk2nNZ9_VgJ5CrdQjnyQ</t>
  </si>
  <si>
    <t xml:space="preserve">UCzZ5hnmyR6qraHdI7PO9Thw</t>
  </si>
  <si>
    <t xml:space="preserve">UC727I8GVqxzyofIZydm-_CQ</t>
  </si>
  <si>
    <t xml:space="preserve">UCNuPx810akEPrbwAUpdNPyw</t>
  </si>
  <si>
    <t xml:space="preserve">UC3IyzCYdA8rdhMaOJcsW3aQ</t>
  </si>
  <si>
    <t xml:space="preserve">UCuBU8dj6OhRDCQ0yGa68mvA</t>
  </si>
  <si>
    <t xml:space="preserve">UCz_fJR_cHMOVal2mDFvn_rA</t>
  </si>
  <si>
    <t xml:space="preserve">UCfC8CDjlbdH_srvxPI0TDpQ</t>
  </si>
  <si>
    <t xml:space="preserve">UCu7HfUzAaqTQhRBlbbPe0WQ</t>
  </si>
  <si>
    <t xml:space="preserve">UCa1pGJj1-QRVKIioYJr6avA</t>
  </si>
  <si>
    <t xml:space="preserve">UCx3h5GiJeT6uhjR2nQeDqNw</t>
  </si>
  <si>
    <t xml:space="preserve">UCBcG9TT58nA1w9Oo3Os3MMg</t>
  </si>
  <si>
    <t xml:space="preserve">UCESJCxXeA-94PoKFQdQL6SQ</t>
  </si>
  <si>
    <t xml:space="preserve">UCKB4ERIKw52xw2BEnn-xz3Q</t>
  </si>
  <si>
    <t xml:space="preserve">UC-VPf3yXgkbjH6PFKQBblYg</t>
  </si>
  <si>
    <t xml:space="preserve">UC19_TS1z5BIBIrF-3wrehaA</t>
  </si>
  <si>
    <t xml:space="preserve">UC7SDODnNGaMjzKmdmmiQbwQ</t>
  </si>
  <si>
    <t xml:space="preserve">UCv8ZoZxvYcA3kEEl4Ct8J6w</t>
  </si>
  <si>
    <t xml:space="preserve">UCdj9RwSeEB5-phUHigoSvKg</t>
  </si>
  <si>
    <t xml:space="preserve">UCS7UIBUDGBnUXyXcV1DyHOg</t>
  </si>
  <si>
    <t xml:space="preserve">UCdPsNbQIs6U36fyMdkzOvbQ</t>
  </si>
  <si>
    <t xml:space="preserve">UCgLdvn6Z9-y0-EmEz5vy-LA</t>
  </si>
  <si>
    <t xml:space="preserve">UCQsly7rO_Ix8eCKzIJ2BbzQ</t>
  </si>
  <si>
    <t xml:space="preserve">UC8By4wqKBbSZ8mAfc3UVuIw</t>
  </si>
  <si>
    <t xml:space="preserve">UCd4qYVpdfqVyh42i4Fmh_rQ</t>
  </si>
  <si>
    <t xml:space="preserve">UCym-2ZOKKDfUO_Uaj64x5gg</t>
  </si>
  <si>
    <t xml:space="preserve">UCuu0NEMlEATOlNkNjE19Dng</t>
  </si>
  <si>
    <t xml:space="preserve">UCYfd26xvO-vxjza1jnLwYvg</t>
  </si>
  <si>
    <t xml:space="preserve">UCsbZHKPjCryX487HhdpFurA</t>
  </si>
  <si>
    <t xml:space="preserve">UC4L6deQXFEH5v0swN2yufgg</t>
  </si>
  <si>
    <t xml:space="preserve">UCscEkpKvlVqWNfqc3N8riew</t>
  </si>
  <si>
    <t xml:space="preserve">UCQRrhG9xXLnR9zglXbUyF0A</t>
  </si>
  <si>
    <t xml:space="preserve">UCvc9hxE8iOoBGrnRf0Du34A</t>
  </si>
  <si>
    <t xml:space="preserve">UC_OdVag6-c0e33psEEcgfQg</t>
  </si>
  <si>
    <t xml:space="preserve">UCQzd9sH9oRdGHrRbdb73P2A</t>
  </si>
  <si>
    <t xml:space="preserve">UCAC_UXum0ZEnsPqpYg6JjSw</t>
  </si>
  <si>
    <t xml:space="preserve">UCp_mv-b7LlThVhmoHQL54BA</t>
  </si>
  <si>
    <t xml:space="preserve">UCqVR_y-lETnkZqg3QPMVnSg</t>
  </si>
  <si>
    <t xml:space="preserve">UCLiBVD0YIEOr7HjAw45wNUw</t>
  </si>
  <si>
    <t xml:space="preserve">UC60F6NyFgxctkc_9JmPalyg</t>
  </si>
  <si>
    <t xml:space="preserve">UCV13JB6_nn1x5fRuR3alO-Q</t>
  </si>
  <si>
    <t xml:space="preserve">UCdrBdVO1ey3JyuxXjzZW6oA</t>
  </si>
  <si>
    <t xml:space="preserve">UCYETzQonXCnu9wc88patwxg</t>
  </si>
  <si>
    <t xml:space="preserve">UCpobQfkxQzD1DrKvbYNrXiA</t>
  </si>
  <si>
    <t xml:space="preserve">UCxUaan3QLspRoTS-LIJK5qQ</t>
  </si>
  <si>
    <t xml:space="preserve">UC2ibciXMK2d1UWoS4ZG7a3w</t>
  </si>
  <si>
    <t xml:space="preserve">UCu3-WjWHKW5P_6Bcyqy8GOw</t>
  </si>
  <si>
    <t xml:space="preserve">UCZnEYrbT_gKgVESCc37Z2BQ</t>
  </si>
  <si>
    <t xml:space="preserve">UC4f4J4bxnuyCl7QsqQKlQAw</t>
  </si>
  <si>
    <t xml:space="preserve">UCuHuJ9rXrqKFmczf5vEZZAg</t>
  </si>
  <si>
    <t xml:space="preserve">UCTAG4XZHdAlN2-m4rr9WKoA</t>
  </si>
  <si>
    <t xml:space="preserve">UCWid-GwErK2Xy-m22dpjfcA</t>
  </si>
  <si>
    <t xml:space="preserve">UCKjfp-0lfnO-kd4zfdTw8UQ</t>
  </si>
  <si>
    <t xml:space="preserve">UCQcRmyRFPgwY0g3TqvSokUg</t>
  </si>
  <si>
    <t xml:space="preserve">UCO0jOC3LDOCJONfVeWiGcXA</t>
  </si>
  <si>
    <t xml:space="preserve">UCefwHBWfv98twiv6muJnwhQ</t>
  </si>
  <si>
    <t xml:space="preserve">UCiYPuRU7vt27vgCLLcpfyjA</t>
  </si>
  <si>
    <t xml:space="preserve">UCZlAB0yiVf-w9rPANz5jAwA</t>
  </si>
  <si>
    <t xml:space="preserve">UCk4rGBu0OeXjzUiip06UNOQ</t>
  </si>
  <si>
    <t xml:space="preserve">UCNvvQ09Sowur4ciLiOBo-bQ</t>
  </si>
  <si>
    <t xml:space="preserve">UCBiuk8xy8rUJ0heqCps04Gg</t>
  </si>
  <si>
    <t xml:space="preserve">UC1-J2ZuH_PBe8VSDA_R7yxA</t>
  </si>
  <si>
    <t xml:space="preserve">UCX05ggNIYFyMKonA1JvGqxQ</t>
  </si>
  <si>
    <t xml:space="preserve">UCAJVCEQ-iLSBclhC3bL1l6A</t>
  </si>
  <si>
    <t xml:space="preserve">UC_OdfpjYRf0MKDMdC60zswA</t>
  </si>
  <si>
    <t xml:space="preserve">UCb98D8yeSsC0SivbiXhOAIw</t>
  </si>
  <si>
    <t xml:space="preserve">UCWUFwrNEs9MnFTc8LcQh8Pg</t>
  </si>
  <si>
    <t xml:space="preserve">UCs5z1yZs2wtOCnBBb-eI4dg</t>
  </si>
  <si>
    <t xml:space="preserve">UCvSejiNI319kuQlUocQ6wqQ</t>
  </si>
  <si>
    <t xml:space="preserve">UCUFKB9lrxAexf6cyYjy4D0Q</t>
  </si>
  <si>
    <t xml:space="preserve">UCWNmkeOPUQWEvpaNOPJrW-A</t>
  </si>
  <si>
    <t xml:space="preserve">UCe5qELN2g77Ke-WY6CDqTDA</t>
  </si>
  <si>
    <t xml:space="preserve">UC5Y3LWkfanTATTOLu5FkIZA</t>
  </si>
  <si>
    <t xml:space="preserve">UCHZyAHx9RsBminUd9-15s4w</t>
  </si>
  <si>
    <t xml:space="preserve">UCLPCvTftdZpZQSM-mckfqXQ</t>
  </si>
  <si>
    <t xml:space="preserve">UCuIWOffpytCuh4x-IlR9NvA</t>
  </si>
  <si>
    <t xml:space="preserve">UCiIjCoTppoB66t1TnWl5OsQ</t>
  </si>
  <si>
    <t xml:space="preserve">UClAiexH-BLIaNj6ffiG5uQg</t>
  </si>
  <si>
    <t xml:space="preserve">UCwu6C_eT9TX4tLzv12iPnkw</t>
  </si>
  <si>
    <t xml:space="preserve">UCAidhU356a0ej2MtFEylvBA</t>
  </si>
  <si>
    <t xml:space="preserve">UCgw1IeF_B6mZpDSP-Z6mINA</t>
  </si>
  <si>
    <t xml:space="preserve">UC4eEFUtZeW6iOqH8e9e0CyQ</t>
  </si>
  <si>
    <t xml:space="preserve">UCByoEPQbSxyB7PGFDmqtHwQ</t>
  </si>
  <si>
    <t xml:space="preserve">UCqNrRvhgV2Mulm-cW8N01wg</t>
  </si>
  <si>
    <t xml:space="preserve">UCf4GVf9SLQKzhu-HcQ8IxUA</t>
  </si>
  <si>
    <t xml:space="preserve">UC8J5vMZhF_D0G46Bf6RCy9w</t>
  </si>
  <si>
    <t xml:space="preserve">UCFdyj9XtVS52WYXHh51OOaQ</t>
  </si>
  <si>
    <t xml:space="preserve">UCGfluwZUeQNG5HvHuKfSKgw</t>
  </si>
  <si>
    <t xml:space="preserve">UCDKjTPE7vph9C-j145GW5zQ</t>
  </si>
  <si>
    <t xml:space="preserve">UC3-UMAJGrPSgy7PTTHsGD-A</t>
  </si>
  <si>
    <t xml:space="preserve">UCAZ6H34DAUuTjv82xyzrB4Q</t>
  </si>
  <si>
    <t xml:space="preserve">UCb0ep7SPATARFTbozJ_EXwg</t>
  </si>
  <si>
    <t xml:space="preserve">UCuAmFZV2FkLBeWglzoLYt3w</t>
  </si>
  <si>
    <t xml:space="preserve">UCfRiRInD2L7Q9QDWh_kV0wQ</t>
  </si>
  <si>
    <t xml:space="preserve">UCCHrTE-Z_GRWAUpnf1FVeGw</t>
  </si>
  <si>
    <t xml:space="preserve">UCACOSeuSSUBS2wLIJvw-NJQ</t>
  </si>
  <si>
    <t xml:space="preserve">UC-6XySAR_z9CsE2vC2epkNw</t>
  </si>
  <si>
    <t xml:space="preserve">UCwzwVfkcza_PsfVlZPy5R0Q</t>
  </si>
  <si>
    <t xml:space="preserve">UCWwjfPshdZDseO1uLp7bA4Q</t>
  </si>
  <si>
    <t xml:space="preserve">UCcQ_ST-TB3IxPXrKPVsvz8Q</t>
  </si>
  <si>
    <t xml:space="preserve">UCXvDVS7m3jnoXNtOJKfcFew</t>
  </si>
  <si>
    <t xml:space="preserve">UCMteDngU043yyM1DHgK1Ubw</t>
  </si>
  <si>
    <t xml:space="preserve">UClnGNJdMfv8-5vrlGbK5omA</t>
  </si>
  <si>
    <t xml:space="preserve">UCY3uee3H-t7uht8SQBA0xPQ</t>
  </si>
  <si>
    <t xml:space="preserve">UC85wwlWgryqd32Zq9D5ve-w</t>
  </si>
  <si>
    <t xml:space="preserve">UCeg5BUPvgkjJJTp0bsBAytg</t>
  </si>
  <si>
    <t xml:space="preserve">UC0r-CdwXEHbiW8RuW7qbnZw</t>
  </si>
  <si>
    <t xml:space="preserve">UCji2FBiPdkmRSIlVNeGm3tA</t>
  </si>
  <si>
    <t xml:space="preserve">UCOmcxWqeumO7OwY6Hwb9iAw</t>
  </si>
  <si>
    <t xml:space="preserve">UC45XLo9u6yUMGd2EsrtYWpA</t>
  </si>
  <si>
    <t xml:space="preserve">UCP6OB0KmfTcsJt_c6owbCgQ</t>
  </si>
  <si>
    <t xml:space="preserve">UCf6-KxAa1Oz8y3m8usuCAmw</t>
  </si>
  <si>
    <t xml:space="preserve">UC8Q2FRvxje0mUuz6rJlGUzw</t>
  </si>
  <si>
    <t xml:space="preserve">UC6J-dfT-L1oymJHV-1jVbsA</t>
  </si>
  <si>
    <t xml:space="preserve">UCCgt5Kzi_GFF63DCVbWBdtg</t>
  </si>
  <si>
    <t xml:space="preserve">UC8f-BbdxSjx7L1yvG7IKZeQ</t>
  </si>
  <si>
    <t xml:space="preserve">UCLnuTrdp3MBzo9ZPig5szbQ</t>
  </si>
  <si>
    <t xml:space="preserve">UCXFZvm0_pzPmWUWAJJ5rDYA</t>
  </si>
  <si>
    <t xml:space="preserve">UCBwyPtDNDq-ow16vB0QZROg</t>
  </si>
  <si>
    <t xml:space="preserve">UCbBBs_0db5BTNeNDVJ9dHrw</t>
  </si>
  <si>
    <t xml:space="preserve">UCN6Ev4r0VQJmQlk_MtA56vQ</t>
  </si>
  <si>
    <t xml:space="preserve">UCVgOWXEyCmRPEVEerK_49Fw</t>
  </si>
  <si>
    <t xml:space="preserve">UC-ofj6O0yXSgXnn_Ivc7vag</t>
  </si>
  <si>
    <t xml:space="preserve">UCOBg7ENhcly_wqObD_P2xRA</t>
  </si>
  <si>
    <t xml:space="preserve">UCId8gYgO7Q5ITNcD2_E3zzA</t>
  </si>
  <si>
    <t xml:space="preserve">UCXm4CgLv0pY3wBF9Y9oNhjQ</t>
  </si>
  <si>
    <t xml:space="preserve">UC_HwwBpEDJPupdMkT3OVYQw</t>
  </si>
  <si>
    <t xml:space="preserve">UCrbQKtL47yzrnUjdqhQJ8TA</t>
  </si>
  <si>
    <t xml:space="preserve">UCm9yJFiEju1WReWmC0lpwxg</t>
  </si>
  <si>
    <t xml:space="preserve">UCUgUjyt6jcyxfM4FCmxZcgw</t>
  </si>
  <si>
    <t xml:space="preserve">UCvo6eEtGT5LehydhnMo5sKw</t>
  </si>
  <si>
    <t xml:space="preserve">UCfRxj2eDIc21mGQyZyEOlyg</t>
  </si>
  <si>
    <t xml:space="preserve">UC-dKbzpfDuKqNPP8hvHUHoQ</t>
  </si>
  <si>
    <t xml:space="preserve">UChZKqB_5RTTgCbKDpQkyk2w</t>
  </si>
  <si>
    <t xml:space="preserve">UCOcDG1LUDDVkgSffGi4LaOg</t>
  </si>
  <si>
    <t xml:space="preserve">UCJAWXtmA7f0azO1_uvO-HlA</t>
  </si>
  <si>
    <t xml:space="preserve">UCc-NfvlXZ04DReQ9ogeSiZA</t>
  </si>
  <si>
    <t xml:space="preserve">UCkBTsiqJtMyTZYKY03-EtaA</t>
  </si>
  <si>
    <t xml:space="preserve">UCWzJV0Z8NsRPqFXinD45SUw</t>
  </si>
  <si>
    <t xml:space="preserve">UCcCwDHN7VK_4jKOdN5TsLsA</t>
  </si>
  <si>
    <t xml:space="preserve">UCdmCZSDvpEsZtHIIG2tgDyQ</t>
  </si>
  <si>
    <t xml:space="preserve">UCQ1JMoEHqsiin0VwhVUzLfQ</t>
  </si>
  <si>
    <t xml:space="preserve">UCK-2IffgTyH7nOcuoa9-0qw</t>
  </si>
  <si>
    <t xml:space="preserve">UCCpODyCXM28CEsO0WKS0lqg</t>
  </si>
  <si>
    <t xml:space="preserve">UC_aS8tb8bjH7dekfIBB5mNw</t>
  </si>
  <si>
    <t xml:space="preserve">UCKFxLbgrdutKHDr-B2-y5bg</t>
  </si>
  <si>
    <t xml:space="preserve">UCKqY3T2Eor2STa4e3iyeVfQ</t>
  </si>
  <si>
    <t xml:space="preserve">UCAAjvBZiHpBbNZI-yKYqN9w</t>
  </si>
  <si>
    <t xml:space="preserve">UCLyz9Bmwct21qQKxmTxK1AQ</t>
  </si>
  <si>
    <t xml:space="preserve">UCGDQNvybfDDeGTf4GtigXaw</t>
  </si>
  <si>
    <t xml:space="preserve">UCAD5EifHr9KAvpq9e-UfodA</t>
  </si>
  <si>
    <t xml:space="preserve">UC58h4dsLUJREQ7tMJYpW_vQ</t>
  </si>
  <si>
    <t xml:space="preserve">UC3lY58Jb6jycvsowicsvQew</t>
  </si>
  <si>
    <t xml:space="preserve">UC1oJWYYvOoFKxF5npN-OU3A</t>
  </si>
  <si>
    <t xml:space="preserve">UCBS2TBsSg4bl--zknEC6cbQ</t>
  </si>
  <si>
    <t xml:space="preserve">UCQrsQb-zLm0Sm_4S3D0aG8w</t>
  </si>
  <si>
    <t xml:space="preserve">UC7Q7OMQisTXIcEbl4RkalIw</t>
  </si>
  <si>
    <t xml:space="preserve">UCPPRit30U3t-mQ9XbK8KD8Q</t>
  </si>
  <si>
    <t xml:space="preserve">UCXj6mMb_UXtVyn4ckyJG9vg</t>
  </si>
  <si>
    <t xml:space="preserve">UCFigxIZMmPqh5VoTXj2zNew</t>
  </si>
  <si>
    <t xml:space="preserve">UCD9sMacymtTtma0mjxCqYPQ</t>
  </si>
  <si>
    <t xml:space="preserve">UCgde7SHoGdviHQMKF6XvWBQ</t>
  </si>
  <si>
    <t xml:space="preserve">UCmfIyH9O1pD5Fl_OQjCiOlw</t>
  </si>
  <si>
    <t xml:space="preserve">UCnzEDPzft9pxNvMxfXBabeA</t>
  </si>
  <si>
    <t xml:space="preserve">UCYOp7ZcvlwACp8MKIE6_q7w</t>
  </si>
  <si>
    <t xml:space="preserve">UCLVVtaAU_qVKNF-fi4MTCXQ</t>
  </si>
  <si>
    <t xml:space="preserve">UCC8Sw4FDucKK-Sx2wRlUc5A</t>
  </si>
  <si>
    <t xml:space="preserve">UC-JKDZnS2lOYDIBkTmBMIRA</t>
  </si>
  <si>
    <t xml:space="preserve">UCUzqJZOkCejFoc5eqWWA9Eg</t>
  </si>
  <si>
    <t xml:space="preserve">UCm88pzhNNWVrV8PJ69gFg5Q</t>
  </si>
  <si>
    <t xml:space="preserve">UCcvOduMAw5ZSRWy1fuIEQZw</t>
  </si>
  <si>
    <t xml:space="preserve">UCevFxuywBS1MWPKnbTyiStA</t>
  </si>
  <si>
    <t xml:space="preserve">UCbt1DAkkCfIMshASbRp64Uw</t>
  </si>
  <si>
    <t xml:space="preserve">UCO4pYZ5DHKABwhsGDLY2AEw</t>
  </si>
  <si>
    <t xml:space="preserve">UCvNUkNxiaiFFxn8l9Q22LMg</t>
  </si>
  <si>
    <t xml:space="preserve">UCk9FT5QzIwkyli87q9aQ-hw</t>
  </si>
  <si>
    <t xml:space="preserve">UCbKcdPfFY77iaaqYH_c-fYw</t>
  </si>
  <si>
    <t xml:space="preserve">UCOXQNCEO2iTIcChVpcD1Flw</t>
  </si>
  <si>
    <t xml:space="preserve">UCxnKV2baVgPTZ0__yMxhNrA</t>
  </si>
  <si>
    <t xml:space="preserve">UCV4dDQROJachxGP474rTT2A</t>
  </si>
  <si>
    <t xml:space="preserve">UC3dmdkTdjAY5ufNf_aRrWUw</t>
  </si>
  <si>
    <t xml:space="preserve">UCZ_sh7Adgm6BqnnK3elBErA</t>
  </si>
  <si>
    <t xml:space="preserve">UCEc6IrOCWMl7FCpaPmL6LQw</t>
  </si>
  <si>
    <t xml:space="preserve">UCYDc3WTAsDxbLqW8K5N8z0Q</t>
  </si>
  <si>
    <t xml:space="preserve">UCveySpY2oIgRbn4ZhszaFeQ</t>
  </si>
  <si>
    <t xml:space="preserve">UCk0M6yoryloUjFmO8jrXUAQ</t>
  </si>
  <si>
    <t xml:space="preserve">UCgxbAqMwULsFBCytdxkLmJg</t>
  </si>
  <si>
    <t xml:space="preserve">UCaVYINljOxLW-mX5kA9XdOg</t>
  </si>
  <si>
    <t xml:space="preserve">UCzV07t6mx27AcEPmpAUJYXw</t>
  </si>
  <si>
    <t xml:space="preserve">UCao9wvAfFPJQef3OTQQ4LXw</t>
  </si>
  <si>
    <t xml:space="preserve">UCNztNpU3j_zycg-TOHNonwA</t>
  </si>
  <si>
    <t xml:space="preserve">UCy3ddRXbGJ1EDoOaNb-6D7A</t>
  </si>
  <si>
    <t xml:space="preserve">UCRtmCZR613ebOuSydaL-L3g</t>
  </si>
  <si>
    <t xml:space="preserve">UCXLqc5crh1UO5wEMsdREmQQ</t>
  </si>
  <si>
    <t xml:space="preserve">UCnNuqlk8ZY1BFUCGPnujTMA</t>
  </si>
  <si>
    <t xml:space="preserve">UCO1tTiswW1Vu-5cT4E2W-PQ</t>
  </si>
  <si>
    <t xml:space="preserve">UCDSkjqkm5k0xv9ejdV2QlPQ</t>
  </si>
  <si>
    <t xml:space="preserve">UCjlJ7ZLdf0-y08P8815b-XA</t>
  </si>
  <si>
    <t xml:space="preserve">UC4oxmVhnA9T4_fndEgbwf5Q</t>
  </si>
  <si>
    <t xml:space="preserve">UCBPVpj96HKkF25p7duJk5nA</t>
  </si>
  <si>
    <t xml:space="preserve">UCjL8VD_IqE9-Fnmw2oHVGbA</t>
  </si>
  <si>
    <t xml:space="preserve">UCNHqkDH43r00-NhbfBqV1rw</t>
  </si>
  <si>
    <t xml:space="preserve">UCGLL4RjClG-fRmXlCBFO-XQ</t>
  </si>
  <si>
    <t xml:space="preserve">UC6Buqv2eLUiwsSqu-Z5tlGQ</t>
  </si>
  <si>
    <t xml:space="preserve">UC3aUW89zc3A12CLqVQ42oVQ</t>
  </si>
  <si>
    <t xml:space="preserve">UCCveJZcpEe8OA2wRGzXT7pQ</t>
  </si>
  <si>
    <t xml:space="preserve">UCpVAI3RAdETiTbcCbClZw0g</t>
  </si>
  <si>
    <t xml:space="preserve">UCNZ-eZ6MO75bwbO9CzgTw2w</t>
  </si>
  <si>
    <t xml:space="preserve">UCE2FLrGyQmLArGisXVR_9hw</t>
  </si>
  <si>
    <t xml:space="preserve">UCxuMkh1PHZqgyaeP8LMuEVw</t>
  </si>
  <si>
    <t xml:space="preserve">UCNHnuW2Vkm5ootHX00aYNkg</t>
  </si>
  <si>
    <t xml:space="preserve">UCllCXvP6PHHKWvsR0IL6A7w</t>
  </si>
  <si>
    <t xml:space="preserve">UCDJwdGOu1qclueuSsUwaw8A</t>
  </si>
  <si>
    <t xml:space="preserve">UCUVRcQRNAYTJsMIvpXAL6RQ</t>
  </si>
  <si>
    <t xml:space="preserve">UC_nYNWmHSlBSAEVEaS0OFpg</t>
  </si>
  <si>
    <t xml:space="preserve">UCWRE9l3j3jv8vDoOZK7KPQg</t>
  </si>
  <si>
    <t xml:space="preserve">UCKU8jtXk4mZ3Ej5uYbAYcoQ</t>
  </si>
  <si>
    <t xml:space="preserve">UCBKjWIpsq9NPYs7Yhsa_9xg</t>
  </si>
  <si>
    <t xml:space="preserve">UC2lYY9pPyl44YyBd3kIEqHA</t>
  </si>
  <si>
    <t xml:space="preserve">UCarfoIUuF5uqdrZLdInvUcg</t>
  </si>
  <si>
    <t xml:space="preserve">UCu2isHQ2wBep59wArOvPIrg</t>
  </si>
  <si>
    <t xml:space="preserve">UCjdDlAuU7rblfuYDmqklolw</t>
  </si>
  <si>
    <t xml:space="preserve">UCoNgWvc-p0fCsp40KE7ZiPg</t>
  </si>
  <si>
    <t xml:space="preserve">UCgQH__KQFjEZDbOiM0c5_Pg</t>
  </si>
  <si>
    <t xml:space="preserve">UCC0EDDTQ5D7yIrnHrKTK7_Q</t>
  </si>
  <si>
    <t xml:space="preserve">UC7LfH-Zzkj1FxvJBePWh-hw</t>
  </si>
  <si>
    <t xml:space="preserve">UCXNNt45KTxX6T01R-4US8ww</t>
  </si>
  <si>
    <t xml:space="preserve">UCJwuhbBn1Q79YGYUuY3X-ig</t>
  </si>
  <si>
    <t xml:space="preserve">UCOEvZD4vMW1sqvIrOONVbvg</t>
  </si>
  <si>
    <t xml:space="preserve">UC1CoHycGuxE6zybq8s14aRQ</t>
  </si>
  <si>
    <t xml:space="preserve">UC75TOPCl6Ogv2MnDEvU9IeA</t>
  </si>
  <si>
    <t xml:space="preserve">UCKLXFXgvJ665OFySSDbbRaw</t>
  </si>
  <si>
    <t xml:space="preserve">UCv0JhfZeULiyWG-iOiU5scw</t>
  </si>
  <si>
    <t xml:space="preserve">UCVK9vMmvjJHGRpWUjp9FfwA</t>
  </si>
  <si>
    <t xml:space="preserve">UCtZ1Pm42gx7yCSqR9w77Kew</t>
  </si>
  <si>
    <t xml:space="preserve">UCE3ViUzo4DUMMkSlZyr-CqA</t>
  </si>
  <si>
    <t xml:space="preserve">UC825Qnr_bPDodZ96cHTvLTA</t>
  </si>
  <si>
    <t xml:space="preserve">UCmQ4ckFkmkGiBaTd-sgbp8w</t>
  </si>
  <si>
    <t xml:space="preserve">UCvvXggu0Ppu97v8UMWAW-Xg</t>
  </si>
  <si>
    <t xml:space="preserve">UC3Kc83m3zNNyhYvQj5U-0mQ</t>
  </si>
  <si>
    <t xml:space="preserve">UCfvBdJc19LgQ9MracAerOYg</t>
  </si>
  <si>
    <t xml:space="preserve">UC5H_lY2y5X3zhjy5KTez-vQ</t>
  </si>
  <si>
    <t xml:space="preserve">UC24DWBOeqHzkiltNtydpZ1A</t>
  </si>
  <si>
    <t xml:space="preserve">UCdgKKqjvM8lxtFDWP8QhBSQ</t>
  </si>
  <si>
    <t xml:space="preserve">UCGyZg4DZmWyj0q3H3IY15EA</t>
  </si>
  <si>
    <t xml:space="preserve">UCx69AN_GQvUMRnV3urv1VEA</t>
  </si>
  <si>
    <t xml:space="preserve">UCiGk78dvOUUegStMPZ8y6Ag</t>
  </si>
  <si>
    <t xml:space="preserve">UClgfHaXYiFOuQQKONQA2kjQ</t>
  </si>
  <si>
    <t xml:space="preserve">UCMtmSzrb_OaHxwG5ClJqC9w</t>
  </si>
  <si>
    <t xml:space="preserve">UC5pSjq2beevPd-kE0I4thpw</t>
  </si>
  <si>
    <t xml:space="preserve">UChC-qt80cJxW1xQEsq7BETg</t>
  </si>
  <si>
    <t xml:space="preserve">UCsjHCfd2HoG0n2doTuWdfBg</t>
  </si>
  <si>
    <t xml:space="preserve">UCgV1qSyP6eOmLDhgaF1OkGw</t>
  </si>
  <si>
    <t xml:space="preserve">UCtgFNlzNr4gMadkoSI2dIyA</t>
  </si>
  <si>
    <t xml:space="preserve">UCzPcFtRDQ1vQHLtfLjsAgqg</t>
  </si>
  <si>
    <t xml:space="preserve">UC1fN8yA78g_iMj0ULHho3Ow</t>
  </si>
  <si>
    <t xml:space="preserve">UCQ3-0QMJl46hjzx06wYKbaA</t>
  </si>
  <si>
    <t xml:space="preserve">UCmRdU4CTSMF7-9_-hW8bSlw</t>
  </si>
  <si>
    <t xml:space="preserve">UCdlnqMpRrMcClK2fT6z8EEw</t>
  </si>
  <si>
    <t xml:space="preserve">UC8dTfoE3auBa5YLHcJ0GycA</t>
  </si>
  <si>
    <t xml:space="preserve">UCbNvYsZ0SSy7ol46jjU_MOA</t>
  </si>
  <si>
    <t xml:space="preserve">UC5DiQQpFuh3g2dJXnq4q0HQ</t>
  </si>
  <si>
    <t xml:space="preserve">UCuFkA1HPWVD0mXl8o1uBZzA</t>
  </si>
  <si>
    <t xml:space="preserve">UCmCiLA0nRNAYBz1n5eHLUAw</t>
  </si>
  <si>
    <t xml:space="preserve">UCI2QmUmCfAA4IRKTUCR1unA</t>
  </si>
  <si>
    <t xml:space="preserve">UC9tG6dzduFKfjlCEiq6kMLg</t>
  </si>
  <si>
    <t xml:space="preserve">UCIanqbWI0T2MikkW3ew8NGw</t>
  </si>
  <si>
    <t xml:space="preserve">UCvLQxHLRrlCuASnl_QhfRHA</t>
  </si>
  <si>
    <t xml:space="preserve">UCUBjF1GMMqLG9pZR5tEvl-w</t>
  </si>
  <si>
    <t xml:space="preserve">UCLIN66-647b-omkRJGYDI-w</t>
  </si>
  <si>
    <t xml:space="preserve">UC_I3vINOa1fO1z3ZY1VrLPA</t>
  </si>
  <si>
    <t xml:space="preserve">UCUI3jrUJcs8LD84girFwvlQ</t>
  </si>
  <si>
    <t xml:space="preserve">UC0jB9fB5gzCplA3-2pGw6ag</t>
  </si>
  <si>
    <t xml:space="preserve">UC8XhDaINgxvYEfKl0TLZvFg</t>
  </si>
  <si>
    <t xml:space="preserve">UCbZwGSs9d8BLnl90_2QiBrA</t>
  </si>
  <si>
    <t xml:space="preserve">UCkJR0-8wBVekqQIdfwnZFTw</t>
  </si>
  <si>
    <t xml:space="preserve">UCQSfcikymnrcuakAINA3K0A</t>
  </si>
  <si>
    <t xml:space="preserve">UC_z7nOTHZV1oXYC03e6kCag</t>
  </si>
  <si>
    <t xml:space="preserve">UCJHCKETd4_zhx3w0NrJdx6Q</t>
  </si>
  <si>
    <t xml:space="preserve">UCMSzlNEGGys0G330I1SJygA</t>
  </si>
  <si>
    <t xml:space="preserve">UCH2m2pAYYVN8RYOc27W3gJQ</t>
  </si>
  <si>
    <t xml:space="preserve">UCvYkVu-qtEqIln1v4wOoOwQ</t>
  </si>
  <si>
    <t xml:space="preserve">UCYygCG6TUfP8_BCXlmM_rsA</t>
  </si>
  <si>
    <t xml:space="preserve">UCqh6FkzXdz_0XA9u7cIK4-w</t>
  </si>
  <si>
    <t xml:space="preserve">UC9Vxp0gHR-zk0opNGVJg94g</t>
  </si>
  <si>
    <t xml:space="preserve">UCEXEhr6mQPc1MIBDyIjQD4w</t>
  </si>
  <si>
    <t xml:space="preserve">UCjaeV7cD0tEkM7iTDIAo-GQ</t>
  </si>
  <si>
    <t xml:space="preserve">UCa3scTuNRSp5MdG1xSVAhtA</t>
  </si>
  <si>
    <t xml:space="preserve">UCzq9vkvcsKqPmqsPloALTRA</t>
  </si>
  <si>
    <t xml:space="preserve">UCZz8q2tZC7QuQiFwPKQ4Bug</t>
  </si>
  <si>
    <t xml:space="preserve">UCEDcSp3Yzln4zcdLBy3x8zQ</t>
  </si>
  <si>
    <t xml:space="preserve">UCkdqtg0tEcRb1wMCFr2wN2A</t>
  </si>
  <si>
    <t xml:space="preserve">UCHCO5nlLFsgZpPSip9mQCwg</t>
  </si>
  <si>
    <t xml:space="preserve">UC4fxiAHHYmtQB4QYT41isnA</t>
  </si>
  <si>
    <t xml:space="preserve">UCiD617JAitCJwfolfBESZ5A</t>
  </si>
  <si>
    <t xml:space="preserve">UC-YkXhpfenY7wD8yGbe4Szw</t>
  </si>
  <si>
    <t xml:space="preserve">UCA6v8ZCf98X0jlcvvMK6q1g</t>
  </si>
  <si>
    <t xml:space="preserve">UCgnh_5aORNOw2YQyso7naNw</t>
  </si>
  <si>
    <t xml:space="preserve">UCeqG5xk1KiPoRdVPHkwGTAA</t>
  </si>
  <si>
    <t xml:space="preserve">UCd6ed8k7a4_Jwz9gBf5O2NQ</t>
  </si>
  <si>
    <t xml:space="preserve">UCamo50fqIKK6O-JYoS6rM2g</t>
  </si>
  <si>
    <t xml:space="preserve">UCiA-G7P_OjM0QZ5UtJjcd2A</t>
  </si>
  <si>
    <t xml:space="preserve">UCSaFPR78kmaDM61LQLkc5eg</t>
  </si>
  <si>
    <t xml:space="preserve">UCGUdMvfRYbEK7r9XYUT5p_Q</t>
  </si>
  <si>
    <t xml:space="preserve">UCwyT11qAbCIrh8yhHNio2WA</t>
  </si>
  <si>
    <t xml:space="preserve">UCenCCz4JcsX68r1J-4MfyJg</t>
  </si>
  <si>
    <t xml:space="preserve">UCHFfhP3WCbnhbRZCkwm1odg</t>
  </si>
  <si>
    <t xml:space="preserve">UCPWlVsXt4j-0tsNGA7HLzGg</t>
  </si>
  <si>
    <t xml:space="preserve">UCPN235tnqFZ2bAdZjT-tZgg</t>
  </si>
  <si>
    <t xml:space="preserve">UCXRbnD680LtEo01waoaOlsA</t>
  </si>
  <si>
    <t xml:space="preserve">UCBMtWSTjoYfakbUUqEJeYsw</t>
  </si>
  <si>
    <t xml:space="preserve">UC-E5HkOL3H8OqzRy7ngWLIg</t>
  </si>
  <si>
    <t xml:space="preserve">UC1OqFNGQe7k6iJuBuPGUyhg</t>
  </si>
  <si>
    <t xml:space="preserve">UCpHt3kjz7UZjt5UcwcWkJMg</t>
  </si>
  <si>
    <t xml:space="preserve">UCKNTeWxHa2LUv5xfhR2pphQ</t>
  </si>
  <si>
    <t xml:space="preserve">UCwc0yUTHpZrsxP0ykt4z7wg</t>
  </si>
  <si>
    <t xml:space="preserve">UCBDr84m_kcMea-oEQ0C6ckA</t>
  </si>
  <si>
    <t xml:space="preserve">UCxj71BF8DBO7Oh0g6aE1xUw</t>
  </si>
  <si>
    <t xml:space="preserve">UCN_EASl4i7q3H_AazpPjJWw</t>
  </si>
  <si>
    <t xml:space="preserve">UCLtvQf_DYDj8AE0aET3EOHA</t>
  </si>
  <si>
    <t xml:space="preserve">UCy556qzNEKn2ylgkPlolhTQ</t>
  </si>
  <si>
    <t xml:space="preserve">UCJb1MeQClvGeSMeBSVLKnDQ</t>
  </si>
  <si>
    <t xml:space="preserve">UCjrgUWrrpQ73GiObaeR9WUw</t>
  </si>
  <si>
    <t xml:space="preserve">UCVGeZ0-Qr4chKIO50s73GwA</t>
  </si>
  <si>
    <t xml:space="preserve">UCRS9p2X9c14byFMbtjlYifg</t>
  </si>
  <si>
    <t xml:space="preserve">UCMcreiI9FVnFqfgarRFF41A</t>
  </si>
  <si>
    <t xml:space="preserve">UCKGdt06ga3XQHBswNqmh1Rg</t>
  </si>
  <si>
    <t xml:space="preserve">UC1SNzhAmC87xSj9R-8YvdWw</t>
  </si>
  <si>
    <t xml:space="preserve">UClWi9plc663mtEGlQ0xS7QQ</t>
  </si>
  <si>
    <t xml:space="preserve">UCluFktzG6Se0YsQS5fatp8g</t>
  </si>
  <si>
    <t xml:space="preserve">UCLeX_nbbodPPbATysOqfXtg</t>
  </si>
  <si>
    <t xml:space="preserve">UCHxYDy5uZ3tCaM3fn2Y3U-g</t>
  </si>
  <si>
    <t xml:space="preserve">UC99w_Bzj8ikOz8Gpv0prbNg</t>
  </si>
  <si>
    <t xml:space="preserve">UCMS6jAdlfsDW2l6yGYtd18A</t>
  </si>
  <si>
    <t xml:space="preserve">UCsmiws5SJRzbVAExbkj5P1A</t>
  </si>
  <si>
    <t xml:space="preserve">UCHT1zBeaLm5K75BRAB88lVQ</t>
  </si>
  <si>
    <t xml:space="preserve">UC1IX2pFlD57ek0ojDmeql3w</t>
  </si>
  <si>
    <t xml:space="preserve">UCDjj8HQl1XhOoeArf3SVyQw</t>
  </si>
  <si>
    <t xml:space="preserve">UCvkYsW0OfnbS6pQ9rGleKVg</t>
  </si>
  <si>
    <t xml:space="preserve">UC4nS4ghzk9NVSXZdlCKsGzA</t>
  </si>
  <si>
    <t xml:space="preserve">UC81Q2wnuk5KqOFVgAbq4nUw</t>
  </si>
  <si>
    <t xml:space="preserve">UCX07ZrhKXTq1hbFoRqZVNFQ</t>
  </si>
  <si>
    <t xml:space="preserve">UCoPw5MBbqPzTtt3epEKvueg</t>
  </si>
  <si>
    <t xml:space="preserve">UCeOoUjlLiP5qKBozcdIjnGA</t>
  </si>
  <si>
    <t xml:space="preserve">UC9jcqrmogdYp7BsUpMVl09w</t>
  </si>
  <si>
    <t xml:space="preserve">UCHeH0iw9x1tdIT7MQZOIDqg</t>
  </si>
  <si>
    <t xml:space="preserve">UCVDK0n2GgtlpKgQ9cuFj3vA</t>
  </si>
  <si>
    <t xml:space="preserve">UCtxynYUjLDq_B5nxJl144tQ</t>
  </si>
  <si>
    <t xml:space="preserve">UCCkF0yo4udgCLfShTUcodDg</t>
  </si>
  <si>
    <t xml:space="preserve">UC0JzvnKz2XTzi1cpE3ljEFA</t>
  </si>
  <si>
    <t xml:space="preserve">UCNQNjKgkGDrKl-_4W47x05w</t>
  </si>
  <si>
    <t xml:space="preserve">UC0XmDYRBmiUm3c6ZpVv-aaw</t>
  </si>
  <si>
    <t xml:space="preserve">UCE40MTks0-ugnuym0x5gE9w</t>
  </si>
  <si>
    <t xml:space="preserve">UCLIMdoS-InL1-GIBUKSvydg</t>
  </si>
  <si>
    <t xml:space="preserve">UCVpXmNvObE3DfJgKJpJ-ILw</t>
  </si>
  <si>
    <t xml:space="preserve">UC6VSrbqPIy4te3Fwfx5lcig</t>
  </si>
  <si>
    <t xml:space="preserve">UCHJZ7qbSarSL0VQpYKCaqDA</t>
  </si>
  <si>
    <t xml:space="preserve">UC3Kb7E4YLtpi-xfAO1GOD3A</t>
  </si>
  <si>
    <t xml:space="preserve">UCn5Dqt4RYAiRL3drrgqGaVQ</t>
  </si>
  <si>
    <t xml:space="preserve">UCUY1lBrjYDYFzappUdKU39w</t>
  </si>
  <si>
    <t xml:space="preserve">UCNYx33Cwri__SCHVKtf3qLQ</t>
  </si>
  <si>
    <t xml:space="preserve">UC9TIoIaBbsSQiTyNY8WqYGQ</t>
  </si>
  <si>
    <t xml:space="preserve">UCqNYdYsA-7Ps3g7Ke7LpIbQ</t>
  </si>
  <si>
    <t xml:space="preserve">UC-qg7DMU1WKgm516dV_NMtg</t>
  </si>
  <si>
    <t xml:space="preserve">UCj1KaZtIXFBdc35sAVZzbLQ</t>
  </si>
  <si>
    <t xml:space="preserve">UCTUvDLTW9meuDXWcbmISPdA</t>
  </si>
  <si>
    <t xml:space="preserve">UCNmLkKVnH75bDPK3PKUPYog</t>
  </si>
  <si>
    <t xml:space="preserve">UCtxBUSeCEU6i4wwmJl9UXwg</t>
  </si>
  <si>
    <t xml:space="preserve">UCdIawGl2i_LOIHmGUw1S9Ug</t>
  </si>
  <si>
    <t xml:space="preserve">UCzt3wUqBZsIUYeRDIaIMF8w</t>
  </si>
  <si>
    <t xml:space="preserve">UCWCK4isu0Th6gnHzsDHoukg</t>
  </si>
  <si>
    <t xml:space="preserve">UC6kQSJ-9-XyJtYylJGMX3lw</t>
  </si>
  <si>
    <t xml:space="preserve">UCJLmpzT9MkBAfJjSNJ-4Zmw</t>
  </si>
  <si>
    <t xml:space="preserve">UCkzZSe70O8EZEjFqOAX-xCA</t>
  </si>
  <si>
    <t xml:space="preserve">UCJI5hJW8Xup-cDrnZKJg1GA</t>
  </si>
  <si>
    <t xml:space="preserve">UCg3nlZB9Oq7L57TY-g_XS4g</t>
  </si>
  <si>
    <t xml:space="preserve">UCVUwUsE04S2ivtdfskq8sqQ</t>
  </si>
  <si>
    <t xml:space="preserve">UCIoiiTQR8LBR319lf2uF-RA</t>
  </si>
  <si>
    <t xml:space="preserve">UCEgmxTQ3TLiym5VbYTg1ObQ</t>
  </si>
  <si>
    <t xml:space="preserve">UCi9SjOgQgUBedh298NLTplQ</t>
  </si>
  <si>
    <t xml:space="preserve">UCHjP384mFdDUO_qca23ts5Q</t>
  </si>
  <si>
    <t xml:space="preserve">UCCDB1Hwlr5Bk-zO4eEcWNTQ</t>
  </si>
  <si>
    <t xml:space="preserve">UCKIaDo4NG9XtL2Yc86cv6EA</t>
  </si>
  <si>
    <t xml:space="preserve">UC6fij0p0oWkpOkhrs0SA_yw</t>
  </si>
  <si>
    <t xml:space="preserve">UCjG61kvLhkebq2eUHst2ZnA</t>
  </si>
  <si>
    <t xml:space="preserve">UCBZlEu3UmIrvGl5JvuyaAKg</t>
  </si>
  <si>
    <t xml:space="preserve">UCju1iuBcl-Jb_di_KQ7CyRg</t>
  </si>
  <si>
    <t xml:space="preserve">UCJ1hQRH4qoLZkPnfvPeJg_A</t>
  </si>
  <si>
    <t xml:space="preserve">UCjhTfq5TACq6pu2Dl2aYTGw</t>
  </si>
  <si>
    <t xml:space="preserve">UCOKfBcSJ0yBenOOBcUuct4g</t>
  </si>
  <si>
    <t xml:space="preserve">UCuzLJii6tz5Dj20kKfEFDSQ</t>
  </si>
  <si>
    <t xml:space="preserve">UCIYZsndkqCTs4VHfwzt7Ycg</t>
  </si>
  <si>
    <t xml:space="preserve">UCHwJlvWKQ-jbYU00CwBClGQ</t>
  </si>
  <si>
    <t xml:space="preserve">UCF5D1UXunGdRsYkjsjerp2A</t>
  </si>
  <si>
    <t xml:space="preserve">UCq7aFYvG9lBEg55VMiG22rQ</t>
  </si>
  <si>
    <t xml:space="preserve">UCeMOLIAQKx-4jChxBfh57vg</t>
  </si>
  <si>
    <t xml:space="preserve">UCA589Ju7weQSfWiJV7WL0rg</t>
  </si>
  <si>
    <t xml:space="preserve">UCPf8VFKs98W92lR01_WhOVw</t>
  </si>
  <si>
    <t xml:space="preserve">UCB_rMQ7N1lOsuyWxuhIIX5A</t>
  </si>
  <si>
    <t xml:space="preserve">UCCIb2IRSMXoZ9Fc2u7rGXIg</t>
  </si>
  <si>
    <t xml:space="preserve">UCvuJAtwzU-fTQH3zQpvt7Fg</t>
  </si>
  <si>
    <t xml:space="preserve">UCSQ0yDqLPhsBxpKBkxzVQdg</t>
  </si>
  <si>
    <t xml:space="preserve">UCVhr2Lmw0P8rNV5j6fd914g</t>
  </si>
  <si>
    <t xml:space="preserve">UCloz8x2MbUSk-9NmsWvWkUw</t>
  </si>
  <si>
    <t xml:space="preserve">UChJzBD4UxhPr0Wb5_JkrwWA</t>
  </si>
  <si>
    <t xml:space="preserve">UC1aNKykCenhuPP3HvZXONfg</t>
  </si>
  <si>
    <t xml:space="preserve">UCRpJjJRVJiK7pE67OWhSu3A</t>
  </si>
  <si>
    <t xml:space="preserve">UCxRRfF6qIoYntp3zNOozonQ</t>
  </si>
  <si>
    <t xml:space="preserve">UCh8A88yV3-oVIPSfRL3VliQ</t>
  </si>
  <si>
    <t xml:space="preserve">UCmuGlwqVE6JcstCo4Mq44gw</t>
  </si>
  <si>
    <t xml:space="preserve">UCB7hjHN7-kcToQAWDY8TrIw</t>
  </si>
  <si>
    <t xml:space="preserve">UCJWbqyjfNPQkg0Ms4sLqKBA</t>
  </si>
  <si>
    <t xml:space="preserve">UC1hVe-uDzbYae7z0RHWmyxw</t>
  </si>
  <si>
    <t xml:space="preserve">UCubNBasII91Hvy1wEmiljxQ</t>
  </si>
  <si>
    <t xml:space="preserve">UCRPLiNeBXlPXA-crUb59PFw</t>
  </si>
  <si>
    <t xml:space="preserve">UC8caqZ7IYdZOfGTFK915CuA</t>
  </si>
  <si>
    <t xml:space="preserve">UC_PLtQ-9VBghrhfGOUCA92w</t>
  </si>
  <si>
    <t xml:space="preserve">UCC9Ao4zJsk4NzCwUeyg-UQQ</t>
  </si>
  <si>
    <t xml:space="preserve">UCUcLC0AJahT15if3agMlAxg</t>
  </si>
  <si>
    <t xml:space="preserve">UC6A_TgEtnbkSaKSqKL4FIwQ</t>
  </si>
  <si>
    <t xml:space="preserve">UCKncvlaA3gRyWESh08Bo6lA</t>
  </si>
  <si>
    <t xml:space="preserve">UCLICwoQk9zLpb8FpKq9UxpQ</t>
  </si>
  <si>
    <t xml:space="preserve">UC8PvyQeIIy9LSKkAy0l12-w</t>
  </si>
  <si>
    <t xml:space="preserve">UC-7zF4kZkadrzJIxxEkCsaQ</t>
  </si>
  <si>
    <t xml:space="preserve">UCZx5xKJXc5ZgOFpGTx4VsTw</t>
  </si>
  <si>
    <t xml:space="preserve">UCze70Wozmq_2VzhrNbziSgg</t>
  </si>
  <si>
    <t xml:space="preserve">UCXZTnQ3pmX29VbQ1-XbhLsw</t>
  </si>
  <si>
    <t xml:space="preserve">UCSZd47a2r_oOLdUjmTwD-3w</t>
  </si>
  <si>
    <t xml:space="preserve">UC6oNqozh42DIdzFme2daoLQ</t>
  </si>
  <si>
    <t xml:space="preserve">UCwZ_ilsAreXB4JE-R7P9ctw</t>
  </si>
  <si>
    <t xml:space="preserve">UCTxiQtB8zLn74_V2OTOxesw</t>
  </si>
  <si>
    <t xml:space="preserve">UC03LQ-S4ipZ8iQWrJBcxTPA</t>
  </si>
  <si>
    <t xml:space="preserve">UCRBqOIWFbHlKHrGpQ0KupvQ</t>
  </si>
  <si>
    <t xml:space="preserve">UC5JEdmPhs_Rz7ac4hIS-GMg</t>
  </si>
  <si>
    <t xml:space="preserve">UC-ejHh8riB2AAG_C2Jy8_2g</t>
  </si>
  <si>
    <t xml:space="preserve">UCbgq4Y6WypFnBBzrBDgR0zA</t>
  </si>
  <si>
    <t xml:space="preserve">UC-BtJ25DtEl1LatxBtrfinQ</t>
  </si>
  <si>
    <t xml:space="preserve">UCYb_KPi8zN1rzRS8RIXfQNA</t>
  </si>
  <si>
    <t xml:space="preserve">UCs14N3QNFfnJYKQGoFHZdqw</t>
  </si>
  <si>
    <t xml:space="preserve">UCxT_ot3XD111IsI-XSFrRfg</t>
  </si>
  <si>
    <t xml:space="preserve">UC2g2yAbBKyuaP6eLoeopb4g</t>
  </si>
  <si>
    <t xml:space="preserve">UCOw3uyJI7GgSSJWXDKh2azA</t>
  </si>
  <si>
    <t xml:space="preserve">UCIJGRdTZ3ZUo8h8YGMu2iMA</t>
  </si>
  <si>
    <t xml:space="preserve">UCmwtMT7FdUQi631IyIBgEpg</t>
  </si>
  <si>
    <t xml:space="preserve">UCT7N5Zn9YSF1IQcc4-fRM5A</t>
  </si>
  <si>
    <t xml:space="preserve">UCiBK5CavDP2tzVNVM9W8ttA</t>
  </si>
  <si>
    <t xml:space="preserve">UCSco8_QjU2tkyrMGXe_DKow</t>
  </si>
  <si>
    <t xml:space="preserve">UCrxLfAJy4cbNk-Yo_7aCduQ</t>
  </si>
  <si>
    <t xml:space="preserve">UCkPnh62CvRAPE1sbtbJ0xhw</t>
  </si>
  <si>
    <t xml:space="preserve">UCPwa_76UF-899rkeDWJRtPQ</t>
  </si>
  <si>
    <t xml:space="preserve">UCxv9T8da7658T9R8LQT_3PQ</t>
  </si>
  <si>
    <t xml:space="preserve">UC2_Kceh_bA-KdYXlcqsmEtA</t>
  </si>
  <si>
    <t xml:space="preserve">UC8InskZDYBypOb5yUFVAQoQ</t>
  </si>
  <si>
    <t xml:space="preserve">UCHvuTTmf4wG_WDj7LFBZzQg</t>
  </si>
  <si>
    <t xml:space="preserve">UCKAB3SSR5WnYA_VuDCX5AVQ</t>
  </si>
  <si>
    <t xml:space="preserve">UC2H3vFRuN6hIXUr06HhDCkw</t>
  </si>
  <si>
    <t xml:space="preserve">UCbtHchJ3oGeVZTlp2RlHzXw</t>
  </si>
  <si>
    <t xml:space="preserve">UC6vijbGj8Nl9kgO2_tJX46Q</t>
  </si>
  <si>
    <t xml:space="preserve">UCYMUPjHP-YMeYLOYH788u_g</t>
  </si>
  <si>
    <t xml:space="preserve">UClz0pLkTqii1UhWHUIxBTOA</t>
  </si>
  <si>
    <t xml:space="preserve">UCRfh7Bj2qW8v93SpCro_rzQ</t>
  </si>
  <si>
    <t xml:space="preserve">UCnwYtf5dNjp-GFfyLFFMSkA</t>
  </si>
  <si>
    <t xml:space="preserve">UC-Yzz2q5vFkCxbUiqJQzcEQ</t>
  </si>
  <si>
    <t xml:space="preserve">UCgBpqQTAMs_BeiNTuUXk1Ww</t>
  </si>
  <si>
    <t xml:space="preserve">UCe7PzihY2Clb7Rv2enaU79g</t>
  </si>
  <si>
    <t xml:space="preserve">UC9-rTiiMrmFjE7NL74uwPjA</t>
  </si>
  <si>
    <t xml:space="preserve">UCY01zR5p6IUBSKbt-VIvZfQ</t>
  </si>
  <si>
    <t xml:space="preserve">UCsBugi21eZVhGJ-0Ie1TLug</t>
  </si>
  <si>
    <t xml:space="preserve">UCoFSwfRGHru5K82atxgsLGA</t>
  </si>
  <si>
    <t xml:space="preserve">UCMYj9OKsHF6d7qBGDDC49Vw</t>
  </si>
  <si>
    <t xml:space="preserve">UCPGHdAWB9L4ZlblpxO20VcQ</t>
  </si>
  <si>
    <t xml:space="preserve">UCM8C7n7PUnDEqFLRTVMa1gg</t>
  </si>
  <si>
    <t xml:space="preserve">UCznAVGW0rciFfbJzDkgBybg</t>
  </si>
  <si>
    <t xml:space="preserve">UC4cS7rJKqKs8JcnUZiSmSww</t>
  </si>
  <si>
    <t xml:space="preserve">UC_X_HtD4vKMEybwDVpqRHKw</t>
  </si>
  <si>
    <t xml:space="preserve">UC4tmQP_JpszPDGzBVaKh2Iw</t>
  </si>
  <si>
    <t xml:space="preserve">UCrKMptPCBDXmXUWG7GvpE9Q</t>
  </si>
  <si>
    <t xml:space="preserve">UCu-O7o7aiHZtJHdhcVJShrg</t>
  </si>
  <si>
    <t xml:space="preserve">UCv6tPdGo6FVzz0d8md03TZQ</t>
  </si>
  <si>
    <t xml:space="preserve">UCUMDw1Q9GnncEEMgIA7kcpA</t>
  </si>
  <si>
    <t xml:space="preserve">UCxrVGGQQKfl4iHeY6PE3vGQ</t>
  </si>
  <si>
    <t xml:space="preserve">UCYXx4jZK2_M74wxzojMYvpA</t>
  </si>
  <si>
    <t xml:space="preserve">UCC0r1EnAVu4eINS1DthE8Nw</t>
  </si>
  <si>
    <t xml:space="preserve">UCFtNmxu30quYY_RpyaC35Jw</t>
  </si>
  <si>
    <t xml:space="preserve">UCo-VPc_p5kDXBwaJlFcRP6A</t>
  </si>
  <si>
    <t xml:space="preserve">UCqG-SOUK7PgdovU0YPpvShg</t>
  </si>
  <si>
    <t xml:space="preserve">UCBuVs6kEBf8v5j6IJVyOvWA</t>
  </si>
  <si>
    <t xml:space="preserve">UCXmu3Cn6OtUdsXzBodTJLJQ</t>
  </si>
  <si>
    <t xml:space="preserve">UCcqgVmdS3vHUvRRPZfaNw1g</t>
  </si>
  <si>
    <t xml:space="preserve">UCcLf37Mq1sIeaHTppLtkd6g</t>
  </si>
  <si>
    <t xml:space="preserve">UC6VmMm1SLHemozkwJroTOZw</t>
  </si>
  <si>
    <t xml:space="preserve">UCYiTNpIpM4FwMRa2mckEnHQ</t>
  </si>
  <si>
    <t xml:space="preserve">UCZJyL1GiRcQA5NdyK9RL63Q</t>
  </si>
  <si>
    <t xml:space="preserve">UC2hRc0Odw5no2SCY9qB7K7A</t>
  </si>
  <si>
    <t xml:space="preserve">UCVpTRuuPRWaJiptoK6ZbDoQ</t>
  </si>
  <si>
    <t xml:space="preserve">UCwYDCNWqN2S5QQaPPvCgMVg</t>
  </si>
  <si>
    <t xml:space="preserve">UCLyQ1KLWr8cWK9xWKrSnl3Q</t>
  </si>
  <si>
    <t xml:space="preserve">UCF5tCQmxJqYZOZq-kuWAZ3g</t>
  </si>
  <si>
    <t xml:space="preserve">UCDqSm_yZhvFFNDFPqMFz5KQ</t>
  </si>
  <si>
    <t xml:space="preserve">UCywAMoCPZ7ms5HBmD_i-0hw</t>
  </si>
  <si>
    <t xml:space="preserve">UCUX2NIPzZXT87MI7zLm5vQg</t>
  </si>
  <si>
    <t xml:space="preserve">UCcL4GN_zrF8RMQvCxxVrFBA</t>
  </si>
  <si>
    <t xml:space="preserve">UCnLEXRdb8usxQenqVBTqvAw</t>
  </si>
  <si>
    <t xml:space="preserve">UCGmi-oiJyKRWWpLf28Qg0Zw</t>
  </si>
  <si>
    <t xml:space="preserve">UC1AmTsnhnrcLQQ6WoEArbnQ</t>
  </si>
  <si>
    <t xml:space="preserve">UCiKTk-XlOBGSQxSCluiCRjw</t>
  </si>
  <si>
    <t xml:space="preserve">UCROu-urdUxMO2f8qjrsyxxw</t>
  </si>
  <si>
    <t xml:space="preserve">UCI05XZZ7iTB1crFf0_cz4KQ</t>
  </si>
  <si>
    <t xml:space="preserve">UC-7KxIKb9rk_ysvdvDRzPEA</t>
  </si>
  <si>
    <t xml:space="preserve">UCwEY7pRjWJkCNhsPgi2I6Sg</t>
  </si>
  <si>
    <t xml:space="preserve">UCQo-CTPVeeqX78r34QUcahQ</t>
  </si>
  <si>
    <t xml:space="preserve">UCcpdljqWcmC75P7usMD_xGQ</t>
  </si>
  <si>
    <t xml:space="preserve">UCHoCCv70rfin33TBzuxBYsw</t>
  </si>
  <si>
    <t xml:space="preserve">UCSJ-wkiI8c4c_g0Kg7qHIWw</t>
  </si>
  <si>
    <t xml:space="preserve">UCFuWdVAHWsgebcp5Zbkj_dw</t>
  </si>
  <si>
    <t xml:space="preserve">UCE2OieM2MpMR8tQ0JaKzQRg</t>
  </si>
  <si>
    <t xml:space="preserve">UCY1MVKfPEj7tWo_zmjae1Dw</t>
  </si>
  <si>
    <t xml:space="preserve">UCcN3IuIAR6Fn74FWMQf6lFA</t>
  </si>
  <si>
    <t xml:space="preserve">UCbg1fucJLGhyRG9bEb9zqLA</t>
  </si>
  <si>
    <t xml:space="preserve">UCD6VbIovCAXYWJQttSN2nnQ</t>
  </si>
  <si>
    <t xml:space="preserve">UC8B2DG9y4SGBbDqwWbC8ZJA</t>
  </si>
  <si>
    <t xml:space="preserve">UCCntC_aZviAbcM3e_SrEZWQ</t>
  </si>
  <si>
    <t xml:space="preserve">UC3o1Qo_zRKv1G9c-vXHCDAg</t>
  </si>
  <si>
    <t xml:space="preserve">UCjXcsv8vDKrPcjiYnh-YtYQ</t>
  </si>
  <si>
    <t xml:space="preserve">UCiMmSU8mhBzkdObN3nCKcYA</t>
  </si>
  <si>
    <t xml:space="preserve">UCcrA0fyD86119ddIN267YdA</t>
  </si>
  <si>
    <t xml:space="preserve">UCaFzd0xHHr-mg4a48jhhZLA</t>
  </si>
  <si>
    <t xml:space="preserve">UC3uS5eUdxeYrIwp19Z2LaWw</t>
  </si>
  <si>
    <t xml:space="preserve">UC01EtaKeqYoJnAzr-EqlXnQ</t>
  </si>
  <si>
    <t xml:space="preserve">UCKcukj-n3-kUJ5u59L-bwgg</t>
  </si>
  <si>
    <t xml:space="preserve">UC1FPyeZ89u5NXo9bCid2TcQ</t>
  </si>
  <si>
    <t xml:space="preserve">UCo9w6xHWUs4-tIlN5ICoU9w</t>
  </si>
  <si>
    <t xml:space="preserve">UCXwbpD5cEcM9ecJnKiasouw</t>
  </si>
  <si>
    <t xml:space="preserve">UCy6btkQvCDBu11VHKPC434Q</t>
  </si>
  <si>
    <t xml:space="preserve">UCw72g2VQje20BynmENJ0hOg</t>
  </si>
  <si>
    <t xml:space="preserve">UCPGNioeYrJq4nyAt-DVIHZg</t>
  </si>
  <si>
    <t xml:space="preserve">UCf49YH1uS1A74yni0d5yXwQ</t>
  </si>
  <si>
    <t xml:space="preserve">UCkfWV1SKR6yqItXW5rqlUPQ</t>
  </si>
  <si>
    <t xml:space="preserve">UCBIXGOelNbEG9b6HzWBt5vg</t>
  </si>
  <si>
    <t xml:space="preserve">UC_fccPOac9gS27TRyRgZ0Qw</t>
  </si>
  <si>
    <t xml:space="preserve">UCAlBwBSu9hrj1zULNahm4zg</t>
  </si>
  <si>
    <t xml:space="preserve">UCI4NUaIMk14z09i7cOj21HQ</t>
  </si>
  <si>
    <t xml:space="preserve">UC-dqsmy1qOtU06d3-U896lQ</t>
  </si>
  <si>
    <t xml:space="preserve">UCWzZlyLnfkKOl-penrcjAXQ</t>
  </si>
  <si>
    <t xml:space="preserve">UCN6lrK_pEwFgHJ0KSu0NnMA</t>
  </si>
  <si>
    <t xml:space="preserve">UCP7XS4KsEVZYpyhhqVS_piw</t>
  </si>
  <si>
    <t xml:space="preserve">UC4QCsW-DiJnPW0NRUQ2Bz9A</t>
  </si>
  <si>
    <t xml:space="preserve">UClyw32fdzLCsqbkfzhdrtXA</t>
  </si>
  <si>
    <t xml:space="preserve">UC5iwCP_iy_4v3JwhVZqq27w</t>
  </si>
  <si>
    <t xml:space="preserve">UCV_Iv2bCHU7y5TJr60YPOhg</t>
  </si>
  <si>
    <t xml:space="preserve">UCiz-jzWFaj388elTbLBGX6g</t>
  </si>
  <si>
    <t xml:space="preserve">UCkMkkPChzTjIhckIkhteCYw</t>
  </si>
  <si>
    <t xml:space="preserve">UCdJ-PIBs38ZxH8gJm-YHyAQ</t>
  </si>
  <si>
    <t xml:space="preserve">UCjFB4M-M6ZU1xXA8V4M7RtA</t>
  </si>
  <si>
    <t xml:space="preserve">UC4ERiIwf--06tT-ZBFEW5lA</t>
  </si>
  <si>
    <t xml:space="preserve">UCYCcTaBNpmgEOo157NBcOQA</t>
  </si>
  <si>
    <t xml:space="preserve">UCetwolh7fy4_RR7RXEL1M0A</t>
  </si>
  <si>
    <t xml:space="preserve">UCNoHsqym50PGenDErDE_0jA</t>
  </si>
  <si>
    <t xml:space="preserve">UC2lltFyQdSDzA_AvDzDYPYQ</t>
  </si>
  <si>
    <t xml:space="preserve">UCzAiFZM8KDiUMG_rCX5DmaA</t>
  </si>
  <si>
    <t xml:space="preserve">UCoAkOJtcToS0piLQMO-W4uw</t>
  </si>
  <si>
    <t xml:space="preserve">UCmKAn3VOiP1ltsIS_oNUbJg</t>
  </si>
  <si>
    <t xml:space="preserve">UCitSLfqd9TZ9DE2_AWV6Gtg</t>
  </si>
  <si>
    <t xml:space="preserve">UCC82HCRTm9fJ9M5_1jZ83Sg</t>
  </si>
  <si>
    <t xml:space="preserve">UC1-V-fHmQNKY2eJ4SRi1d6w</t>
  </si>
  <si>
    <t xml:space="preserve">UCAi_uX1pYa6DpxOn1x8ZnaA</t>
  </si>
  <si>
    <t xml:space="preserve">UCnyDWOvRZoVua81-piUCxJA</t>
  </si>
  <si>
    <t xml:space="preserve">UCEkzEvvn4uM1oZskGiPD9zQ</t>
  </si>
  <si>
    <t xml:space="preserve">UCZiYyEARRaKK-K5IXKAIcVQ</t>
  </si>
  <si>
    <t xml:space="preserve">UCC3ld44jBPgWuyiE4PRdSTw</t>
  </si>
  <si>
    <t xml:space="preserve">UCyOuAR7CC8jY5AGX77gwovQ</t>
  </si>
  <si>
    <t xml:space="preserve">UCwFm80xpKaoTf6Oe-zCnkNw</t>
  </si>
  <si>
    <t xml:space="preserve">UChwyt_s_yHXXTDe_fMOOjpg</t>
  </si>
  <si>
    <t xml:space="preserve">UCH4YXG1SMJQsbG8T8gK42Lg</t>
  </si>
  <si>
    <t xml:space="preserve">UC27w4vmOy-CQsUHY4Mo7zEQ</t>
  </si>
  <si>
    <t xml:space="preserve">UC9-c1Zm1s1eAj62l0Aoihlw</t>
  </si>
  <si>
    <t xml:space="preserve">UCM2lbbD6cXNlVeMu49EWLUw</t>
  </si>
  <si>
    <t xml:space="preserve">UCG1mBlrX5EqLkVjQj0DUipA</t>
  </si>
  <si>
    <t xml:space="preserve">UCSnyFNVsXYlBLv7J75yr32Q</t>
  </si>
  <si>
    <t xml:space="preserve">UCp7JqoEePjFRZAI88J3hf6g</t>
  </si>
  <si>
    <t xml:space="preserve">UCfCVCOBAEGZWHNQLtNMH2Hg</t>
  </si>
  <si>
    <t xml:space="preserve">UCCqWQsAZFE7aN5YIERzhHaQ</t>
  </si>
  <si>
    <t xml:space="preserve">UCSgnyZZzgR630OENguTn3JQ</t>
  </si>
  <si>
    <t xml:space="preserve">UCPVdnn4PnO5rVJptc6cylOg</t>
  </si>
  <si>
    <t xml:space="preserve">UCkGJP_v2J0kEy70x-iLkAUA</t>
  </si>
  <si>
    <t xml:space="preserve">UCF4dDe9Xas61NX1BF6VK1WA</t>
  </si>
  <si>
    <t xml:space="preserve">UCl6aN-8AnzaQ7xDLyzk5hrQ</t>
  </si>
  <si>
    <t xml:space="preserve">UCu8MxhB2tIXy0FAW3JJOT4Q</t>
  </si>
  <si>
    <t xml:space="preserve">UCyKYvZzVUnabf1F7RunRtoQ</t>
  </si>
  <si>
    <t xml:space="preserve">UCVfVZs2SSaMSrW7ZsNqBXiA</t>
  </si>
  <si>
    <t xml:space="preserve">UCRvTQgaKQ4AKsxKf0rZUtuQ</t>
  </si>
  <si>
    <t xml:space="preserve">UC2l-lwyEEflFTDh7BCOOOWA</t>
  </si>
  <si>
    <t xml:space="preserve">UCZOZ8ASpFoSzCkA7h4o-vZQ</t>
  </si>
  <si>
    <t xml:space="preserve">UCYyI34qrma9J18rTcIp5IAQ</t>
  </si>
  <si>
    <t xml:space="preserve">UCi5RpNkW929mTVCoU2C_02g</t>
  </si>
  <si>
    <t xml:space="preserve">UCSTu2EeaCO18DX3VQYT-AVg</t>
  </si>
  <si>
    <t xml:space="preserve">UC7pVho4O31FyfQsZdXWejEw</t>
  </si>
  <si>
    <t xml:space="preserve">UCkMtfEIyBQZEuFtw-teDILw</t>
  </si>
  <si>
    <t xml:space="preserve">UC5b0n4Ip-wMstZEDJ9vlTvA</t>
  </si>
  <si>
    <t xml:space="preserve">UCBWOy9nogTG5vJs3Hbtv6Sw</t>
  </si>
  <si>
    <t xml:space="preserve">UCZ3q5B6hXjFI2GOtFhvYU9A</t>
  </si>
  <si>
    <t xml:space="preserve">UC8WVf3YFA_Olu-xU5Ir6yPA</t>
  </si>
  <si>
    <t xml:space="preserve">UCEdl9D7TKhemxBST1FdqPOw</t>
  </si>
  <si>
    <t xml:space="preserve">UCiE2gEfINCt7InqJP6SOrQQ</t>
  </si>
  <si>
    <t xml:space="preserve">UCPgSvf862xLLX_flxKalw6A</t>
  </si>
  <si>
    <t xml:space="preserve">UCFbCcl4z7EA40OS0lRI76yg</t>
  </si>
  <si>
    <t xml:space="preserve">UCBdxSSyIlnwo3Aj5O0c6RWQ</t>
  </si>
  <si>
    <t xml:space="preserve">UCcsGvc6kII6Eh-0Q7dy2-dA</t>
  </si>
  <si>
    <t xml:space="preserve">UCcIIEOebqRux1YTU9DSLoSw</t>
  </si>
  <si>
    <t xml:space="preserve">UCkOyeaZyRpdS_6isgaUKNvw</t>
  </si>
  <si>
    <t xml:space="preserve">UCvtIoElh8qwKV9oOeoCn_pw</t>
  </si>
  <si>
    <t xml:space="preserve">UCMIobchb8wgycijrgc1UnZw</t>
  </si>
  <si>
    <t xml:space="preserve">UCBwqsXurNFnytnlFxS7GYzA</t>
  </si>
  <si>
    <t xml:space="preserve">UCHRe4xQE3XMdqsMTuT61NbQ</t>
  </si>
  <si>
    <t xml:space="preserve">UC8aFE06Cti9OnQcKpl6rDvQ</t>
  </si>
  <si>
    <t xml:space="preserve">UCdkjpQg7zEvfazcfLFNjdBg</t>
  </si>
  <si>
    <t xml:space="preserve">UCASuMnBU9gD8iZQUC9NSa4w</t>
  </si>
  <si>
    <t xml:space="preserve">UCMIgfomhGEqdWVMAzU5i13w</t>
  </si>
  <si>
    <t xml:space="preserve">UCZz5YKlQqTDI6aQRtDO0pZQ</t>
  </si>
  <si>
    <t xml:space="preserve">UCRMgZ4oNKAfVFQsWLIN9efQ</t>
  </si>
  <si>
    <t xml:space="preserve">UCUqyIhvsv2nvyECHhUDqoXg</t>
  </si>
  <si>
    <t xml:space="preserve">UC6sOW5RX9miothdP0MteJvQ</t>
  </si>
  <si>
    <t xml:space="preserve">UCT0o7kYX2gkU2OFoRW48p0Q</t>
  </si>
  <si>
    <t xml:space="preserve">UCNWB7dmCGihTx48EV1XoHjQ</t>
  </si>
  <si>
    <t xml:space="preserve">UCDWsC0cesPDrxqDOWh0BU6A</t>
  </si>
  <si>
    <t xml:space="preserve">UCefxMr_Nb8Pn8T6ZRkamO7g</t>
  </si>
  <si>
    <t xml:space="preserve">UCzRgJGBXixxoN7SES7w4AzA</t>
  </si>
  <si>
    <t xml:space="preserve">UCnGReZv1AVeM-ENR2paOlSA</t>
  </si>
  <si>
    <t xml:space="preserve">UCQI2hklnrjXiQ_ys8tx3NTw</t>
  </si>
  <si>
    <t xml:space="preserve">UCjupRVwRRuhZzFWGlGH3ksg</t>
  </si>
  <si>
    <t xml:space="preserve">UClO6QGFlI3_yTt-WXr3sM8A</t>
  </si>
  <si>
    <t xml:space="preserve">UCvoNWXdItPb_xzX2_BGOkEw</t>
  </si>
  <si>
    <t xml:space="preserve">UC4PdY2VZPHwBltVqiHNvRcw</t>
  </si>
  <si>
    <t xml:space="preserve">UCAu-hKgdcS_yellPTydUdyQ</t>
  </si>
  <si>
    <t xml:space="preserve">UCpjs8ca_snn1pWB4ZICRzvg</t>
  </si>
  <si>
    <t xml:space="preserve">UC6qDLH_ykD1gBDhRzETPK3A</t>
  </si>
  <si>
    <t xml:space="preserve">UCSrTh6nylEDfi2_7H4jD9Ug</t>
  </si>
  <si>
    <t xml:space="preserve">UCCId5ua_II0LByUno6Ch5bw</t>
  </si>
  <si>
    <t xml:space="preserve">UC92gfU5reJoxoQkLO9p4BPw</t>
  </si>
  <si>
    <t xml:space="preserve">UCspMHsNQ_sqJHIB7zYDZDhw</t>
  </si>
  <si>
    <t xml:space="preserve">UCwODS2-18GmykXE9DS8Q_ag</t>
  </si>
  <si>
    <t xml:space="preserve">UCO3SGOyrUGuJG7OIsHZafFw</t>
  </si>
  <si>
    <t xml:space="preserve">UCKOq40YAw_709HNW6gCg6GA</t>
  </si>
  <si>
    <t xml:space="preserve">UCo1Rx0-CfOuxoTmOcjiCtHQ</t>
  </si>
  <si>
    <t xml:space="preserve">UC8NkuGCBKQieUtDHL6Hf2_Q</t>
  </si>
  <si>
    <t xml:space="preserve">UCHRwuDX0Pkg36i02St_fQ4A</t>
  </si>
  <si>
    <t xml:space="preserve">UCJURt0EHGLMYDuIYc0kL_SQ</t>
  </si>
  <si>
    <t xml:space="preserve">UCy7WiMF4DpVeoqV7C9Xpc6w</t>
  </si>
  <si>
    <t xml:space="preserve">UCjntzZe5MOlfxDPOQdIIBzg</t>
  </si>
  <si>
    <t xml:space="preserve">UCHIbErciyS3Hs0kjAz-at5Q</t>
  </si>
  <si>
    <t xml:space="preserve">UCPKFrp_QsbxyN-mVIx236gg</t>
  </si>
  <si>
    <t xml:space="preserve">UCTAYNAQuQEmouHDTjX5k3Kg</t>
  </si>
  <si>
    <t xml:space="preserve">UCGdT3PfHbSJD8BUrr0awK-Q</t>
  </si>
  <si>
    <t xml:space="preserve">UCCDy9fZB5gaIYcTriUu8xhQ</t>
  </si>
  <si>
    <t xml:space="preserve">UCIKhrCDBQnShE0XkJbXVknw</t>
  </si>
  <si>
    <t xml:space="preserve">UCMLP5czpOa2_iFADFNRYnhA</t>
  </si>
  <si>
    <t xml:space="preserve">UCTi2Ugg8QmdYXhFAY3MwVeA</t>
  </si>
  <si>
    <t xml:space="preserve">UCNIn1jlEWSNazwREMYjIWQQ</t>
  </si>
  <si>
    <t xml:space="preserve">UCMwmcywlWYcEADXEiPOYlzw</t>
  </si>
  <si>
    <t xml:space="preserve">UCokvR--MJCoGhQZRl4AFVcQ</t>
  </si>
  <si>
    <t xml:space="preserve">UC4wnqNN6_6ioHQDs8OyLkfQ</t>
  </si>
  <si>
    <t xml:space="preserve">UCsMyMEn8D3h2HMZAbRk7gvw</t>
  </si>
  <si>
    <t xml:space="preserve">UCD4dsOoS9jauVWpdzYjBihQ</t>
  </si>
  <si>
    <t xml:space="preserve">UCRY5um0ZKvw7xWy-Rb7vQbg</t>
  </si>
  <si>
    <t xml:space="preserve">UCkuJJrqFRjR_8VD_fpX7L6g</t>
  </si>
  <si>
    <t xml:space="preserve">UCRvyktUWpCPuN_Pt2vnwhaA</t>
  </si>
  <si>
    <t xml:space="preserve">UCqqxghMUcYiMp-CrT1XiIEg</t>
  </si>
  <si>
    <t xml:space="preserve">UCWlYYTM0_kX0OUAOhptJ3yg</t>
  </si>
  <si>
    <t xml:space="preserve">UCam9BL1K9GWwYgziDUUin6w</t>
  </si>
  <si>
    <t xml:space="preserve">UCKZbgzsJ_XsgGevLAKI1DwA</t>
  </si>
  <si>
    <t xml:space="preserve">UCtxXih2fLIxJQKRFbjsNwhg</t>
  </si>
  <si>
    <t xml:space="preserve">UC3Fci14HzLNhI9_stjLWV7g</t>
  </si>
  <si>
    <t xml:space="preserve">UCIfmKWMicNsBGoMgTpHX1ng</t>
  </si>
  <si>
    <t xml:space="preserve">UCKCth3j_wzUnwrBkJ58-Ncw</t>
  </si>
  <si>
    <t xml:space="preserve">UCM7GxkMbEpoy3DYHx6OvE2g</t>
  </si>
  <si>
    <t xml:space="preserve">UCSYUsidxsx-nHK1BHRONPMg</t>
  </si>
  <si>
    <t xml:space="preserve">UC6ANXBiD4ZRNp1gSzCO9y8g</t>
  </si>
  <si>
    <t xml:space="preserve">UCWKWBq9tXVs_BRNev86taLQ</t>
  </si>
  <si>
    <t xml:space="preserve">UCCZNyXp_n_nwUl7_8l4tkJg</t>
  </si>
  <si>
    <t xml:space="preserve">UCtZTKBPvDTU1htZ_MONM-Xw</t>
  </si>
  <si>
    <t xml:space="preserve">UCf9fTBXZz6fpHOjSnj3tkkg</t>
  </si>
  <si>
    <t xml:space="preserve">UCSIRmKsrk-tYW8p736ZYhfg</t>
  </si>
  <si>
    <t xml:space="preserve">UCtaRP_1sShiUPX1g3u8ikYw</t>
  </si>
  <si>
    <t xml:space="preserve">UCu6lSkIHJMwAWklolaYu61Q</t>
  </si>
  <si>
    <t xml:space="preserve">UC9MZXcE-nKiR_1fzhzimb2Q</t>
  </si>
  <si>
    <t xml:space="preserve">UC8_PN2r5U3l8bagk0ozjbJw</t>
  </si>
  <si>
    <t xml:space="preserve">UC870VPpm2zZOl6CCqXNRnaA</t>
  </si>
  <si>
    <t xml:space="preserve">UClkIn6RQXOdVO98PVUgETog</t>
  </si>
  <si>
    <t xml:space="preserve">UCkdsZhDPjz_icf9xCZxAHow</t>
  </si>
  <si>
    <t xml:space="preserve">UC0flkAPwSoMmN9-Xjnlu9_A</t>
  </si>
  <si>
    <t xml:space="preserve">UC1O5yeDG4cvesN63rOb-9Pw</t>
  </si>
  <si>
    <t xml:space="preserve">UCyaCNGT6iHvzz4UyCIzTxMw</t>
  </si>
  <si>
    <t xml:space="preserve">UCTf3uwh9qWZOx7JRJf1iU4Q</t>
  </si>
  <si>
    <t xml:space="preserve">UCmiF2GcrQwFeiTdnKJ_023A</t>
  </si>
  <si>
    <t xml:space="preserve">UC3pScBFRYTdh8h-7sYleKtQ</t>
  </si>
  <si>
    <t xml:space="preserve">UC8WezHud7HQyAJ7XQIVdnGw</t>
  </si>
  <si>
    <t xml:space="preserve">UCjgiEGaXfuQaI7xdDSXRZ6A</t>
  </si>
  <si>
    <t xml:space="preserve">UC6vboCYU06qEsxrV7mvyijQ</t>
  </si>
  <si>
    <t xml:space="preserve">UCiYV2R07BRox8uiC8omkMpw</t>
  </si>
  <si>
    <t xml:space="preserve">UCZbFVWxjQ2y6BUBnbWNiQhQ</t>
  </si>
  <si>
    <t xml:space="preserve">UCu2W-Sfpa22kGH5gcSTzKmA</t>
  </si>
  <si>
    <t xml:space="preserve">UCaZWcLUx_UYJwRZrzZOAenw</t>
  </si>
  <si>
    <t xml:space="preserve">UCC99riGj-vNiE4sGr04YPGw</t>
  </si>
  <si>
    <t xml:space="preserve">UCDvJLq4OoK-R4rhe4SQeZRw</t>
  </si>
  <si>
    <t xml:space="preserve">UCgqTkS9QHPKKIX8nxCnZ65A</t>
  </si>
  <si>
    <t xml:space="preserve">UCqkQzjePM64LtMOWzShh_SQ</t>
  </si>
  <si>
    <t xml:space="preserve">UCVo5iBU7VNJCOuybbD-dGbQ</t>
  </si>
  <si>
    <t xml:space="preserve">UCRRMknivc5UwOEj8qREsxuA</t>
  </si>
  <si>
    <t xml:space="preserve">UCQ2_VMqkl_l9Rcnafaa53sQ</t>
  </si>
  <si>
    <t xml:space="preserve">UCAkvk9geQFj4JinmiQ7IutA</t>
  </si>
  <si>
    <t xml:space="preserve">UC04LPlFi4cf3RHiBUCWdf4w</t>
  </si>
  <si>
    <t xml:space="preserve">UC5n8crK5mSTkUFC8GlN3gQg</t>
  </si>
  <si>
    <t xml:space="preserve">UCYlQPz_ONrXppNXZ89P3zyQ</t>
  </si>
  <si>
    <t xml:space="preserve">UCI_s-QDMxiA95dLmM7mFEWw</t>
  </si>
  <si>
    <t xml:space="preserve">UC5PniYrLDj4MJfZXelC9grg</t>
  </si>
  <si>
    <t xml:space="preserve">UCMIyNCLPQ91wZxDkqMx6pSA</t>
  </si>
  <si>
    <t xml:space="preserve">UCnDl1lJkp4KgEbJKLnVLPjQ</t>
  </si>
  <si>
    <t xml:space="preserve">UCSLhL7W5F3VLNd5ES1gpOAw</t>
  </si>
  <si>
    <t xml:space="preserve">UCjJTgeZ8M9JPA3nVjv-i0Sg</t>
  </si>
  <si>
    <t xml:space="preserve">UCIAwmOj2qC6qV0MkBV-XBsQ</t>
  </si>
  <si>
    <t xml:space="preserve">UC-6DMKINj9t3izwjDGYJO8g</t>
  </si>
  <si>
    <t xml:space="preserve">UCIDvoyJcqSu7hB0gXRXo81g</t>
  </si>
  <si>
    <t xml:space="preserve">UCtDAJiFT4sy42oNPA8zo0sw</t>
  </si>
  <si>
    <t xml:space="preserve">UCY1-91vKeDNzyS3_cY-lh_w</t>
  </si>
  <si>
    <t xml:space="preserve">UCIujpQDjxt8TLzSMzuXAjjw</t>
  </si>
  <si>
    <t xml:space="preserve">UCdsnV1DUpCQhaTgXsKG7lgw</t>
  </si>
  <si>
    <t xml:space="preserve">UCf7lc-J9jmh9Po4FzOLplnQ</t>
  </si>
  <si>
    <t xml:space="preserve">UCPy7lCfyCDnNX5L9pa3tTvA</t>
  </si>
  <si>
    <t xml:space="preserve">UCMIoUo62-lFZb8LwAYPdJvA</t>
  </si>
  <si>
    <t xml:space="preserve">UCUVJf9GvRRxUDauQi-qCcfQ</t>
  </si>
  <si>
    <t xml:space="preserve">UCltI3cHugjE78CtUl__8HBA</t>
  </si>
  <si>
    <t xml:space="preserve">UC-yXU5FTDjNcvq-RJbtBPlA</t>
  </si>
  <si>
    <t xml:space="preserve">UCggPd3Vf9ooG2r4I_ZNWBzA</t>
  </si>
  <si>
    <t xml:space="preserve">UCmmMbh6_u2aj20gWrGceXqg</t>
  </si>
  <si>
    <t xml:space="preserve">UCruQUP9qeou8KGv4G4HWCMQ</t>
  </si>
  <si>
    <t xml:space="preserve">UCJsXCL-JtiPUNLcNotztqmA</t>
  </si>
  <si>
    <t xml:space="preserve">UCzFMyyeq8uj2Y2xo9WsPQGA</t>
  </si>
  <si>
    <t xml:space="preserve">UCtvCxQIO0E3wOSs1HlN7Hwg</t>
  </si>
  <si>
    <t xml:space="preserve">UCMNdtrMSmlOMMEkf5HQ12Dg</t>
  </si>
  <si>
    <t xml:space="preserve">UCgDGv_nLBDsFvXU0siImzrg</t>
  </si>
  <si>
    <t xml:space="preserve">UCY8FAZBxRGaLQnhc1P-4cfQ</t>
  </si>
  <si>
    <t xml:space="preserve">UCerIKNuFNoQDqfWdsLqJiJg</t>
  </si>
  <si>
    <t xml:space="preserve">UCVe8CMJF4caRzuckVYV8CaQ</t>
  </si>
  <si>
    <t xml:space="preserve">UC5Qh5THlWdnMnYvjetfDlaA</t>
  </si>
  <si>
    <t xml:space="preserve">UCLoGUtiLFmU6P_5GHZ6IujA</t>
  </si>
  <si>
    <t xml:space="preserve">UCnZwDjekzIMcyHXmLO9pcIg</t>
  </si>
  <si>
    <t xml:space="preserve">UCf6Xd3DGafkr_sBRBeqYb0w</t>
  </si>
  <si>
    <t xml:space="preserve">UCHNZyUCGf-ngK9TuUfabIuQ</t>
  </si>
  <si>
    <t xml:space="preserve">UCIKAsBdkwH3ERoJd3hJQ-Jg</t>
  </si>
  <si>
    <t xml:space="preserve">UCUgA8t4DaUt50fvL79oF5wA</t>
  </si>
  <si>
    <t xml:space="preserve">UCkxfbAky2v0yXuKWOKCDy1w</t>
  </si>
  <si>
    <t xml:space="preserve">UCrqMNzXeqsSWVnKT3Vrd8Hw</t>
  </si>
  <si>
    <t xml:space="preserve">UCkgQvUg3XFuUI8lcElEuxaQ</t>
  </si>
  <si>
    <t xml:space="preserve">UCF1Hn7EhG8mhJdRkV_Riuhg</t>
  </si>
  <si>
    <t xml:space="preserve">UCYWMHVeeDesx3jLVr7vRiNQ</t>
  </si>
  <si>
    <t xml:space="preserve">UCBQKK1C-ZQtplqMLEFBnDWg</t>
  </si>
  <si>
    <t xml:space="preserve">UCpUts22VGxghvKCLF8vbgBw</t>
  </si>
  <si>
    <t xml:space="preserve">UC5e8SELCtwEGTnLYYhnAxbA</t>
  </si>
  <si>
    <t xml:space="preserve">UC5st95_QYS08wF_JfUoBtrA</t>
  </si>
  <si>
    <t xml:space="preserve">UC_nsY3qit9How8AMHJIGQyw</t>
  </si>
  <si>
    <t xml:space="preserve">UCBtNaFEMqd017VXYhDKQGvA</t>
  </si>
  <si>
    <t xml:space="preserve">UCWiydzii3UVz4rtGWvtUrBw</t>
  </si>
  <si>
    <t xml:space="preserve">UCJKBOiNeVjr6MnfsJA9COkQ</t>
  </si>
  <si>
    <t xml:space="preserve">UC8k5OyMHHM2WPbWFDDL06jA</t>
  </si>
  <si>
    <t xml:space="preserve">UC_ebLnatS9Fje8LhydkCqOg</t>
  </si>
  <si>
    <t xml:space="preserve">UCGjFT22L8fJMqzkMQs2Cx6Q</t>
  </si>
  <si>
    <t xml:space="preserve">UCvFG3Dm8C1D2E3r2A2odeNw</t>
  </si>
  <si>
    <t xml:space="preserve">UCX6S71YiSkrEnJ_zcIKaI9g</t>
  </si>
  <si>
    <t xml:space="preserve">UCzUgCORf79EjqlNHmGRHFkA</t>
  </si>
  <si>
    <t xml:space="preserve">UCbp561fErZj8EikdJxiwyXQ</t>
  </si>
  <si>
    <t xml:space="preserve">UCqAgbXJlJ4ogSLh1gy9JCEA</t>
  </si>
  <si>
    <t xml:space="preserve">UCQgWK91IvWlYdNeTTw3LZVw</t>
  </si>
  <si>
    <t xml:space="preserve">UC9cB7ZzQJf2xFoRiWaN6OaA</t>
  </si>
  <si>
    <t xml:space="preserve">UCEJNskm_7oiPqWcOOA5d61Q</t>
  </si>
  <si>
    <t xml:space="preserve">UCnsflXk7nAsqADM35Ysx6qg</t>
  </si>
  <si>
    <t xml:space="preserve">UCnYK_VfOJz2QBqSPBE7mDtg</t>
  </si>
  <si>
    <t xml:space="preserve">UCv0FWVD4urZ9B-JTyq_ezXA</t>
  </si>
  <si>
    <t xml:space="preserve">UCz195GbeSgXtOUMvFCw6xhQ</t>
  </si>
  <si>
    <t xml:space="preserve">UCKq2F4LZ726kAlJG42Q01nQ</t>
  </si>
  <si>
    <t xml:space="preserve">UCtLpa_eIXtkXt-NukPahiwg</t>
  </si>
  <si>
    <t xml:space="preserve">UCvTLyB-aixsl4MhiMEomVRQ</t>
  </si>
  <si>
    <t xml:space="preserve">UCD4GIMeUOVV5s1_WFqZIODA</t>
  </si>
  <si>
    <t xml:space="preserve">UCvIhADotRzZd_CBxq1nntwQ</t>
  </si>
  <si>
    <t xml:space="preserve">UCPwf9mzQOyj9FQxQuy3cvNg</t>
  </si>
  <si>
    <t xml:space="preserve">UCs881ywmdMxv7BZiCIu8xHg</t>
  </si>
  <si>
    <t xml:space="preserve">UCgXNWT92k5aVFrItbheqYMg</t>
  </si>
  <si>
    <t xml:space="preserve">UCGBK70Wfkp-FllDkzePuRsg</t>
  </si>
  <si>
    <t xml:space="preserve">UCeQL4oTHw0NXuMbvLvgpfmw</t>
  </si>
  <si>
    <t xml:space="preserve">UCkU_qwxePORLdWQmSWoSxEQ</t>
  </si>
  <si>
    <t xml:space="preserve">UCKPw9cg3CRRJInyUAT9rNlA</t>
  </si>
  <si>
    <t xml:space="preserve">UCBVDOqAOemETfc-MOn4fqgA</t>
  </si>
  <si>
    <t xml:space="preserve">UC_mw456JrB5ym6rk8l0-SPQ</t>
  </si>
  <si>
    <t xml:space="preserve">UCEdUvwbkIctpLez-_i3ukbA</t>
  </si>
  <si>
    <t xml:space="preserve">UCgWQt7jFwIHUmS4zlfQEgdw</t>
  </si>
  <si>
    <t xml:space="preserve">UC_V8EukIC5IXAuTY5qoQW8g</t>
  </si>
  <si>
    <t xml:space="preserve">UCejpwAlUf60sX7nW7egWC_g</t>
  </si>
  <si>
    <t xml:space="preserve">UCJPcKBMt_5hzQelLxfWFVBQ</t>
  </si>
  <si>
    <t xml:space="preserve">UCn5N03prvdzaZxEwq3AtHAw</t>
  </si>
  <si>
    <t xml:space="preserve">UC6lpikyd1sIrbSH_g74INrw</t>
  </si>
  <si>
    <t xml:space="preserve">UCBeHrRb35zt8JNh1BfUUZsg</t>
  </si>
  <si>
    <t xml:space="preserve">UC4BbyR1c6hvhLTR6yGXMp7A</t>
  </si>
  <si>
    <t xml:space="preserve">UCzpP7IIzeMkWNGGVx6SQJaQ</t>
  </si>
  <si>
    <t xml:space="preserve">UCzd0ywXXPoe7DMynDO_fA0A</t>
  </si>
  <si>
    <t xml:space="preserve">UCetco_rU_J_VHD8_7SefLag</t>
  </si>
  <si>
    <t xml:space="preserve">UCuwxuGc36QSFZsOPJEFzvmw</t>
  </si>
  <si>
    <t xml:space="preserve">UCoareuiQIir6egK_5qWjjKg</t>
  </si>
  <si>
    <t xml:space="preserve">UCv-HLVvjUM8E_U-SaI8piYw</t>
  </si>
  <si>
    <t xml:space="preserve">UCcdMarl-tpIy8URZUqt0dCA</t>
  </si>
  <si>
    <t xml:space="preserve">UCPcBKJL9ctvzkxR96GnyI5g</t>
  </si>
  <si>
    <t xml:space="preserve">UCaYlsnmYMA0s1bWaTIgUhHw</t>
  </si>
  <si>
    <t xml:space="preserve">UCzfv6QRUpASfQgxDnyi_X8A</t>
  </si>
  <si>
    <t xml:space="preserve">UCXbOHyrDMgAIGy_IU8B0tUg</t>
  </si>
  <si>
    <t xml:space="preserve">UCtShOLvSYZ3A27dkQIh9Vzg</t>
  </si>
  <si>
    <t xml:space="preserve">UC8LM8K05BDbdXsP78Eu_FTg</t>
  </si>
  <si>
    <t xml:space="preserve">UCHDXXHPrz-1GVbK_qk82hBQ</t>
  </si>
  <si>
    <t xml:space="preserve">UCgLwh52YWc8bsQzCMdXLKgw</t>
  </si>
  <si>
    <t xml:space="preserve">UCOh7tEBX9Yk-Z3CwJF21F8g</t>
  </si>
  <si>
    <t xml:space="preserve">UCMqQ_qOyhzdu6f0bBVE6Oow</t>
  </si>
  <si>
    <t xml:space="preserve">UCmoLbtGZiZc0I4KN9DYdkmQ</t>
  </si>
  <si>
    <t xml:space="preserve">UCGfHTDcSpvHVORkNdRwfdyQ</t>
  </si>
  <si>
    <t xml:space="preserve">UCfk9uH4qd5Q7eIYb56jwIOw</t>
  </si>
  <si>
    <t xml:space="preserve">UCZohJK9ImfUhFXHRpgz_WPQ</t>
  </si>
  <si>
    <t xml:space="preserve">UCzDbg392XuzwwWKdkpa41xg</t>
  </si>
  <si>
    <t xml:space="preserve">UCjlAbeQGG7DHoRyvRiM74zw</t>
  </si>
  <si>
    <t xml:space="preserve">UCknVIVm8mspptFcD1CVKUZA</t>
  </si>
  <si>
    <t xml:space="preserve">UCALm21WfUxhtlghNPGDZgPw</t>
  </si>
  <si>
    <t xml:space="preserve">UC5B8k9hvuWEyL4-K-tVPKmQ</t>
  </si>
  <si>
    <t xml:space="preserve">UC48U7yukrkY3LJEEmyxA8Ug</t>
  </si>
  <si>
    <t xml:space="preserve">UCezPSx0YV9D45jj_XVfPPHA</t>
  </si>
  <si>
    <t xml:space="preserve">UC6o7qEdDftUpTQz7FiXb-Dg</t>
  </si>
  <si>
    <t xml:space="preserve">UC983fqJ4dzw5ww77gK5TDZg</t>
  </si>
  <si>
    <t xml:space="preserve">UCMTHH5cBUMY9x6lNsc5te3w</t>
  </si>
  <si>
    <t xml:space="preserve">UCSJY9MGZL6EflsxaEIES2rA</t>
  </si>
  <si>
    <t xml:space="preserve">UCLJq-_oywCBig1yhTBLTh-Q</t>
  </si>
  <si>
    <t xml:space="preserve">UCXJKOPxx4O1f63nnfsoiEug</t>
  </si>
  <si>
    <t xml:space="preserve">UC3AKk5imp4VDAO5rNFtIeVQ</t>
  </si>
  <si>
    <t xml:space="preserve">UC2uYdvEvx7LtmfDARjyd0og</t>
  </si>
  <si>
    <t xml:space="preserve">UCDNCbFmOyTh95LqbFavA4MA</t>
  </si>
  <si>
    <t xml:space="preserve">UC4OWemh_5L2BpEmbObjIoYw</t>
  </si>
  <si>
    <t xml:space="preserve">UC8ZEw3OxJztpFNCG_7ZoUyA</t>
  </si>
  <si>
    <t xml:space="preserve">UCdbFNTUZygLhENdsJmfLG6Q</t>
  </si>
  <si>
    <t xml:space="preserve">UC8jD2MO_NUnI-TASWQp-7NQ</t>
  </si>
  <si>
    <t xml:space="preserve">UCKYNupIBFOS9mfvmZEtWe4A</t>
  </si>
  <si>
    <t xml:space="preserve">UCJjW6_TFe962RYMSLr9B4kQ</t>
  </si>
  <si>
    <t xml:space="preserve">UCYcxV4VWMV2O9_I0H8dM24g</t>
  </si>
  <si>
    <t xml:space="preserve">UCHOKvQW2N4kLVhKYn2bvF7A</t>
  </si>
  <si>
    <t xml:space="preserve">UCf8MxefNs0xEAof52f_fRTw</t>
  </si>
  <si>
    <t xml:space="preserve">UC8P99MwSLl2J9FuNl5sIwdw</t>
  </si>
  <si>
    <t xml:space="preserve">UCZkmkoOGDynAMpIsfmdiQXg</t>
  </si>
  <si>
    <t xml:space="preserve">UC9b6IA2-87twJu2CSENeNVw</t>
  </si>
  <si>
    <t xml:space="preserve">UCRW6uwoNbobz5cfmwxMKxYw</t>
  </si>
  <si>
    <t xml:space="preserve">UCppBFsVCY_SuZV8gSnjG7eQ</t>
  </si>
  <si>
    <t xml:space="preserve">UC6Rr1gQPyDc61hFEag0-Rcg</t>
  </si>
  <si>
    <t xml:space="preserve">UCnzOAFFbgwLTc1a3XXKkq3Q</t>
  </si>
  <si>
    <t xml:space="preserve">UCLCZBW7hoJwjgdjqo8Um4lQ</t>
  </si>
  <si>
    <t xml:space="preserve">UCr8q3gJ5BA1Qdsj-bb4cIDA</t>
  </si>
  <si>
    <t xml:space="preserve">UCXZvhCBxTSvPf38GN0NtKiw</t>
  </si>
  <si>
    <t xml:space="preserve">UCv-ngS1fLOrTAOzIeICcJKA</t>
  </si>
  <si>
    <t xml:space="preserve">UCxiP9QrlWCeFuGfErI-ZF9w</t>
  </si>
  <si>
    <t xml:space="preserve">UCsgt_2RcUxSqbO_mkUmC52Q</t>
  </si>
  <si>
    <t xml:space="preserve">UCAXxuSl8n8cXU62ZIzFL0qg</t>
  </si>
  <si>
    <t xml:space="preserve">UCZknyXD-6tETm9aN8GQCi8g</t>
  </si>
  <si>
    <t xml:space="preserve">UC-L-6C4YZExUKfLK30sk_gA</t>
  </si>
  <si>
    <t xml:space="preserve">UC-AjkFwlNKCBQi9HBlfFd0Q</t>
  </si>
  <si>
    <t xml:space="preserve">UC-_69zIxp2ngn2e7jwkLvEA</t>
  </si>
  <si>
    <t xml:space="preserve">UC2RD8S7cc0US-2W7FOnyz5w</t>
  </si>
  <si>
    <t xml:space="preserve">UCl1FGrEzFZklmLGymtzzG-g</t>
  </si>
  <si>
    <t xml:space="preserve">UCw5ZboYVFjKOfMYs3sfybRA</t>
  </si>
  <si>
    <t xml:space="preserve">UCaoUDEfHH2PJB5A5rdVx_tg</t>
  </si>
  <si>
    <t xml:space="preserve">UC303cqLXxFtfZcRVCNwIqag</t>
  </si>
  <si>
    <t xml:space="preserve">UCPS78Aqj_ohsxOCIbNHsjiQ</t>
  </si>
  <si>
    <t xml:space="preserve">UCN3gnh0GGXfiHIGExIpOaFg</t>
  </si>
  <si>
    <t xml:space="preserve">UC_2LktXWOIGvgFNmtGADquw</t>
  </si>
  <si>
    <t xml:space="preserve">UCS1uitan9RXyn6gBq6e8N0Q</t>
  </si>
  <si>
    <t xml:space="preserve">UCntcDTFMseZmBwDd413t1Pg</t>
  </si>
  <si>
    <t xml:space="preserve">UCuo5SE1KbIJl1MH8tC9emFQ</t>
  </si>
  <si>
    <t xml:space="preserve">UCEAFMWbv_4NedJ4-GBfRwWw</t>
  </si>
  <si>
    <t xml:space="preserve">UCziTM2UndVHq50FtgJ7NSNA</t>
  </si>
  <si>
    <t xml:space="preserve">UCaqgoG_VCMhjccHPUIPpXfQ</t>
  </si>
  <si>
    <t xml:space="preserve">UC7rvWd5e1bOifTABIQqWKjw</t>
  </si>
  <si>
    <t xml:space="preserve">UCVdz-waVIpNSD-WuAS_Q90g</t>
  </si>
  <si>
    <t xml:space="preserve">UCASmdodj_EJLytWf9BjfLOg</t>
  </si>
  <si>
    <t xml:space="preserve">UCvc_2dvrBYh8RRUQBlth2FQ</t>
  </si>
  <si>
    <t xml:space="preserve">UCfIkxSJgWnFPJH1WVV-uAoA</t>
  </si>
  <si>
    <t xml:space="preserve">UClfDMGHE_lLoPB5G0-JYXeg</t>
  </si>
  <si>
    <t xml:space="preserve">UCjVnQmMxNwMpfWb7yf6dw2g</t>
  </si>
  <si>
    <t xml:space="preserve">UCbpLD76CnWWZ-JqZ9LjR2Mw</t>
  </si>
  <si>
    <t xml:space="preserve">UCiJy3FiIjPhYZe5Swngx47Q</t>
  </si>
  <si>
    <t xml:space="preserve">UCEeey_4nQMkhTTd0J2HZxoA</t>
  </si>
  <si>
    <t xml:space="preserve">UCCUHO0PDIEwTL0zxx_wKNTg</t>
  </si>
  <si>
    <t xml:space="preserve">UCBD--Snisc-1feqQi6upurA</t>
  </si>
  <si>
    <t xml:space="preserve">UCmZtOJ9L3boXkPnZSRgy6Lw</t>
  </si>
  <si>
    <t xml:space="preserve">UCLghXUkk-8KM6Q1iv1sLdRQ</t>
  </si>
  <si>
    <t xml:space="preserve">UCd1aVEq8M_aLcumnlvMHjNw</t>
  </si>
  <si>
    <t xml:space="preserve">UCVimDiP6HW4uT1-QCDRi4jQ</t>
  </si>
  <si>
    <t xml:space="preserve">UC4U1xWHmAKufMw-XqZenJRg</t>
  </si>
  <si>
    <t xml:space="preserve">UCXqdkLhS3A5xqiwsdrjkXJw</t>
  </si>
  <si>
    <t xml:space="preserve">UCaTkVutJ9f-AoE7cz7VLlTw</t>
  </si>
  <si>
    <t xml:space="preserve">UCdHuYLhqsFKZUj8iPdrLBpQ</t>
  </si>
  <si>
    <t xml:space="preserve">UCfqSWWQLqN4FoL2Br9za55Q</t>
  </si>
  <si>
    <t xml:space="preserve">UCvqKL_IkDyOzp2bCNXXnSFw</t>
  </si>
  <si>
    <t xml:space="preserve">UCKrcf4apXwAVFcr_wnv0vPQ</t>
  </si>
  <si>
    <t xml:space="preserve">UCRP8_YOI7gdxZiJzZ8bNamg</t>
  </si>
  <si>
    <t xml:space="preserve">UCXrA9ceeFEmPRyE7oYU-BqA</t>
  </si>
  <si>
    <t xml:space="preserve">UCFxgxTp926xnRdaEyj6zPeg</t>
  </si>
  <si>
    <t xml:space="preserve">UC-g0lWAIK9DPz6BM36zRu6Q</t>
  </si>
  <si>
    <t xml:space="preserve">UClrB_eV2yMramAyTFIlLCcQ</t>
  </si>
  <si>
    <t xml:space="preserve">UCRU9vwwARx8jEACqNpi_KFA</t>
  </si>
  <si>
    <t xml:space="preserve">UCT9FXdNHUR1cFy6GrlqyM6w</t>
  </si>
  <si>
    <t xml:space="preserve">UCDK_CtYQpnMpu-s4kOxlsog</t>
  </si>
  <si>
    <t xml:space="preserve">UCvaFEANaw06VvBsQHnj47Ug</t>
  </si>
  <si>
    <t xml:space="preserve">UCiWa7fJvb3J7q59ifMCue_Q</t>
  </si>
  <si>
    <t xml:space="preserve">UCbOe5GzWdxrbZYiHa-wF98w</t>
  </si>
  <si>
    <t xml:space="preserve">UC60YvD_EAsoU2lIcQdxwR1Q</t>
  </si>
  <si>
    <t xml:space="preserve">UCR4VMfe7IGvuXefVyTMWHag</t>
  </si>
  <si>
    <t xml:space="preserve">UC96eMzyrzPLddo01FBiK8kQ</t>
  </si>
  <si>
    <t xml:space="preserve">UCrBe4ZT4UjKQpmll0Gm5j5g</t>
  </si>
  <si>
    <t xml:space="preserve">UC-5C4MadZwbHGj1ng5x2eLw</t>
  </si>
  <si>
    <t xml:space="preserve">UC0mF_99rWiO2uHF8rmW7daA</t>
  </si>
  <si>
    <t xml:space="preserve">UCj-C89kPbQJuXk-9Brzqk6w</t>
  </si>
  <si>
    <t xml:space="preserve">UClGZjdigXwMyWLyIl-Up0gg</t>
  </si>
  <si>
    <t xml:space="preserve">UCfpVnIwj6RnNBJ-sqp01p9Q</t>
  </si>
  <si>
    <t xml:space="preserve">UC4SJfBX0tBamgUQiT1oPOAg</t>
  </si>
  <si>
    <t xml:space="preserve">UC_pGrB8WASUAmA1oFFKzyUA</t>
  </si>
  <si>
    <t xml:space="preserve">UCUN57Wq9jlcIuJyrS6zfRGw</t>
  </si>
  <si>
    <t xml:space="preserve">UCx87VyGiAhpWtvcpoocaUdw</t>
  </si>
  <si>
    <t xml:space="preserve">UCGQgcuZyggelP3XAcyieFdg</t>
  </si>
  <si>
    <t xml:space="preserve">UCnj_w9EmglKmfkriEQN0SQw</t>
  </si>
  <si>
    <t xml:space="preserve">UCSW6H3UNUts_T-PhOJCT-ZA</t>
  </si>
  <si>
    <t xml:space="preserve">UCHEwkuwPboDSFPbgro4Ac7w</t>
  </si>
  <si>
    <t xml:space="preserve">UCKfeQP0TmST6mwhqOMZGLxg</t>
  </si>
  <si>
    <t xml:space="preserve">UC-zrBaPKlcaSj0I1-9WsErw</t>
  </si>
  <si>
    <t xml:space="preserve">UCGDSuWYAYiOoDKzefTfqB6Q</t>
  </si>
  <si>
    <t xml:space="preserve">UCUIWWn9hjn4BQM3QEgr6oRg</t>
  </si>
  <si>
    <t xml:space="preserve">UCxz6gP3R8_yH5pD-BHcUw-Q</t>
  </si>
  <si>
    <t xml:space="preserve">UCP3zRrPp5o9LzLbiwm6d1-g</t>
  </si>
  <si>
    <t xml:space="preserve">UCHepftuP68VmXFkAI8nIPNg</t>
  </si>
  <si>
    <t xml:space="preserve">UC3yRku4B3ytnGzR5dqT5rgg</t>
  </si>
  <si>
    <t xml:space="preserve">UCcrTBfMy2DlmRnEsJP6VAew</t>
  </si>
  <si>
    <t xml:space="preserve">UCExoqB0cNsoMLyFEMjJpBhg</t>
  </si>
  <si>
    <t xml:space="preserve">UC2MU9phoTYy5sigZCkrvwiw</t>
  </si>
  <si>
    <t xml:space="preserve">UCv6ecxVkQTf9uTUESO2HGDA</t>
  </si>
  <si>
    <t xml:space="preserve">UCpoeBBJnPtgAqC_-pnY_K4w</t>
  </si>
  <si>
    <t xml:space="preserve">UCPY_WYvlIr8eD_p6CLCbmVA</t>
  </si>
  <si>
    <t xml:space="preserve">UCjJLDJ7iW7WRtIHpEBMutkg</t>
  </si>
  <si>
    <t xml:space="preserve">UCZ5W0OnYPiVz_ygDm5oan5Q</t>
  </si>
  <si>
    <t xml:space="preserve">UC2uanoAlkz63nv0_uJDB5dg</t>
  </si>
  <si>
    <t xml:space="preserve">UCCzNCKUR7asv3sO3_EMnGvQ</t>
  </si>
  <si>
    <t xml:space="preserve">UC_FyOqaHbb40oZtw3MZN9Mg</t>
  </si>
  <si>
    <t xml:space="preserve">UCrVc8Y_v-chFfXie-PSPW0A</t>
  </si>
  <si>
    <t xml:space="preserve">UCXLg3fo9KWs5Q8pOE8SHKRg</t>
  </si>
  <si>
    <t xml:space="preserve">UCJoPBLMDmcZXc1NH4eaUL3A</t>
  </si>
  <si>
    <t xml:space="preserve">UCHyj3VAnx6VZdC19mfFzdXg</t>
  </si>
  <si>
    <t xml:space="preserve">UCbORNteRe-zunn7o2bNrPhQ</t>
  </si>
  <si>
    <t xml:space="preserve">UCitUChqXuiwZFCgAyc1_wxQ</t>
  </si>
  <si>
    <t xml:space="preserve">UCpTqBTridY-SDOMdSzCF6hg</t>
  </si>
  <si>
    <t xml:space="preserve">UCXzijBCcqBKjrEaw3wU0tfw</t>
  </si>
  <si>
    <t xml:space="preserve">UCh1WPjadbRiW8Cr-aXXqRtw</t>
  </si>
  <si>
    <t xml:space="preserve">UCgctH8YL4Z-Ch1qvprHOP5A</t>
  </si>
  <si>
    <t xml:space="preserve">UCTgJIG8ddlh4lXLv7tAuiog</t>
  </si>
  <si>
    <t xml:space="preserve">UC0y9y9lun6P3A4NcXV_e9HA</t>
  </si>
  <si>
    <t xml:space="preserve">UCJgOIRUdsXtrC-1-vgwmy0A</t>
  </si>
  <si>
    <t xml:space="preserve">UCNSJNfZs972_0JK9m9w4aQg</t>
  </si>
  <si>
    <t xml:space="preserve">UC9isDB28v0Ht45XxHOZzTPA</t>
  </si>
  <si>
    <t xml:space="preserve">UCfOWuLO_fdzQRcdFDldRqCA</t>
  </si>
  <si>
    <t xml:space="preserve">UCOVyi8_BOeuTI2YJN7WGj6w</t>
  </si>
  <si>
    <t xml:space="preserve">UCoE1hRvqqd-p2_sAAgjIZmw</t>
  </si>
  <si>
    <t xml:space="preserve">UCempdMpk0mbj6OhH-O0AHBA</t>
  </si>
  <si>
    <t xml:space="preserve">UCpET7w-LPvJloZWO75c1zZA</t>
  </si>
  <si>
    <t xml:space="preserve">UCwclZU8ZPeK5S6FeesyOnpQ</t>
  </si>
  <si>
    <t xml:space="preserve">UCF1ekYTGpVzwyKKHWjL-dEg</t>
  </si>
  <si>
    <t xml:space="preserve">UCSZVTk6wAtmorpBjP_uEjpw</t>
  </si>
  <si>
    <t xml:space="preserve">UCh6qJZH9ZJtwFzuZx1P2dQg</t>
  </si>
  <si>
    <t xml:space="preserve">UCT6DOuQVW9PD62dl0A-xbNg</t>
  </si>
  <si>
    <t xml:space="preserve">UC3n1mH4UkCQ0avQRmIfMOow</t>
  </si>
  <si>
    <t xml:space="preserve">UC2jbSa52rXPjFZ4YCZGVpVw</t>
  </si>
  <si>
    <t xml:space="preserve">UCxS40ZkX9d1YswvVzCr29qA</t>
  </si>
  <si>
    <t xml:space="preserve">UCoBYeDKCf8HXDZG-qL6Ml_Q</t>
  </si>
  <si>
    <t xml:space="preserve">UC0eEwj43r1VMJhHmwAn1Org</t>
  </si>
  <si>
    <t xml:space="preserve">UCIb9lNIDtsvUjkz5afVLq_w</t>
  </si>
  <si>
    <t xml:space="preserve">UCnS6rr1MkhQcrUITUj8t8Ew</t>
  </si>
  <si>
    <t xml:space="preserve">UCZSgm98OLObgY3D7sn7z2Wg</t>
  </si>
  <si>
    <t xml:space="preserve">UCGUjVDj-wdagUHhaNwaUoRQ</t>
  </si>
  <si>
    <t xml:space="preserve">UCZXYjAuUOjdbjL7PTO90e6g</t>
  </si>
  <si>
    <t xml:space="preserve">UC6HlGuJZ0_M_rSgm0hoRhDQ</t>
  </si>
  <si>
    <t xml:space="preserve">UCfypZcMCIGrewIKWLh-2Sgw</t>
  </si>
  <si>
    <t xml:space="preserve">UC38K-XiyJpDe4sdmWR23XCQ</t>
  </si>
  <si>
    <t xml:space="preserve">UCxnlpmmszhz6MH51uOIw6IQ</t>
  </si>
  <si>
    <t xml:space="preserve">UCsGlG2pCmAXrx8j6pLojn-g</t>
  </si>
  <si>
    <t xml:space="preserve">UCXuxkbGDoP1ZQz8dIOsrGgg</t>
  </si>
  <si>
    <t xml:space="preserve">UCl8pIdFFwkevWKPxU7npUzQ</t>
  </si>
  <si>
    <t xml:space="preserve">UCuiMhf2qe2sA0kCDOTl1dow</t>
  </si>
  <si>
    <t xml:space="preserve">UCSRbTczdE4MkWZfiWm8S6WQ</t>
  </si>
  <si>
    <t xml:space="preserve">UCDHDjKlpYIszdXPNPS_Ti_Q</t>
  </si>
  <si>
    <t xml:space="preserve">UCyN1KaitRBAaDPZRwDk9Ygg</t>
  </si>
  <si>
    <t xml:space="preserve">UC0XNeK5rhEaOcdI-P5Hinrw</t>
  </si>
  <si>
    <t xml:space="preserve">UCNhscTCXg-7L17Vnz8Z4S9Q</t>
  </si>
  <si>
    <t xml:space="preserve">UCGT0pirandEMtvu-3JwePSw</t>
  </si>
  <si>
    <t xml:space="preserve">UCbayGn77dpNV_atSIUiVBHw</t>
  </si>
  <si>
    <t xml:space="preserve">UCCjAW-snoLeQoq6PUKeLK3A</t>
  </si>
  <si>
    <t xml:space="preserve">UCUDk4lEtfnLEN9rDlj82YKg</t>
  </si>
  <si>
    <t xml:space="preserve">UCrqADgV0mfkMr8WdYmlXJyQ</t>
  </si>
  <si>
    <t xml:space="preserve">UCAMBPWytucFgoUGspUioAyA</t>
  </si>
  <si>
    <t xml:space="preserve">UCld4n6dNdq1pmST2eRvg-Aw</t>
  </si>
  <si>
    <t xml:space="preserve">UC-lVXYqLRJFxDn313ETON_w</t>
  </si>
  <si>
    <t xml:space="preserve">UCvvIz8oxPZVOJI30lWzRPOQ</t>
  </si>
  <si>
    <t xml:space="preserve">UCVvNhq0766oOowpETDiCMQg</t>
  </si>
  <si>
    <t xml:space="preserve">UC0InVdvqNyNzKBl1-TL348A</t>
  </si>
  <si>
    <t xml:space="preserve">UCwflLMRkOzrH72zW6hpyY7Q</t>
  </si>
  <si>
    <t xml:space="preserve">UC8AhWQSB09yTlNVp6Y4aACw</t>
  </si>
  <si>
    <t xml:space="preserve">UCWhHehm6dkmuf9EdEkuZ8RA</t>
  </si>
  <si>
    <t xml:space="preserve">UCr7B_Fq105N9nf5MICZ237A</t>
  </si>
  <si>
    <t xml:space="preserve">UCAkbpsE-MVLBRdI9jCyR5EQ</t>
  </si>
  <si>
    <t xml:space="preserve">UC6rSNad1UTIVOY-Mk_wDvmg</t>
  </si>
  <si>
    <t xml:space="preserve">UChn5FTvc2Wrj2BEbKv5gz_Q</t>
  </si>
  <si>
    <t xml:space="preserve">UC5vAaJEAf3t8_LE_C7jtB8A</t>
  </si>
  <si>
    <t xml:space="preserve">UCjS-Hn6CZN0sISJSjIflECQ</t>
  </si>
  <si>
    <t xml:space="preserve">UC4wKhLjYfMFPEYI1D5Erc-Q</t>
  </si>
  <si>
    <t xml:space="preserve">UCil1JOkL-mRtl_Mi64Z8AWg</t>
  </si>
  <si>
    <t xml:space="preserve">UCcgD_iypPpMwOPmyU0urxUg</t>
  </si>
  <si>
    <t xml:space="preserve">UCYKwtzEUK4mfpZpvl8u2QTg</t>
  </si>
  <si>
    <t xml:space="preserve">UC5sVjevJfKZdNheKRabSYBQ</t>
  </si>
  <si>
    <t xml:space="preserve">UCp4xatCkObOcmIM-NuvrkYw</t>
  </si>
  <si>
    <t xml:space="preserve">UCJpKrZ8rOKZp0uISVBfKBvQ</t>
  </si>
  <si>
    <t xml:space="preserve">UCJ8XOk2sGguSo7NBSJplwgw</t>
  </si>
  <si>
    <t xml:space="preserve">UCDeRTE-v_8HtUvOuKMGBGIQ</t>
  </si>
  <si>
    <t xml:space="preserve">UC-nTc-72hWCNk6Of8d14UFg</t>
  </si>
  <si>
    <t xml:space="preserve">UCN8fsigDn8DMJV1XOOhuvDg</t>
  </si>
  <si>
    <t xml:space="preserve">UCAflTQOHfpuX3tEvN5mkLTg</t>
  </si>
  <si>
    <t xml:space="preserve">UCOGsOVaFPJBUp1IQbXb3MEg</t>
  </si>
  <si>
    <t xml:space="preserve">UCuQd2yFTRML5kGNB2ELeFhA</t>
  </si>
  <si>
    <t xml:space="preserve">UCX6ZDCw2HTd93A09WJk1KpA</t>
  </si>
  <si>
    <t xml:space="preserve">UC53vEuFJ17QT1StSAfw653A</t>
  </si>
  <si>
    <t xml:space="preserve">UCd-HN6ZBWIFJdG6KSLATd6g</t>
  </si>
  <si>
    <t xml:space="preserve">UCL-aKC9jOCAO94U2WsX5ZKg</t>
  </si>
  <si>
    <t xml:space="preserve">UCF7yooS3ACc57ynnzS1E1GA</t>
  </si>
  <si>
    <t xml:space="preserve">UCpDJ1bTe3Ve4wU1vjKUHVgw</t>
  </si>
  <si>
    <t xml:space="preserve">UCxo3u8dr62tLUwOKT-DGyfA</t>
  </si>
  <si>
    <t xml:space="preserve">UCXHbcFqlFAUneXW-DWqnkOQ</t>
  </si>
  <si>
    <t xml:space="preserve">UC85ErID-Lyzg0SZTFZE8ROQ</t>
  </si>
  <si>
    <t xml:space="preserve">UCbCj0m7Zr9wObjRbV5tO_4g</t>
  </si>
  <si>
    <t xml:space="preserve">UCwT6E0lXfNkMWessQSKchpQ</t>
  </si>
  <si>
    <t xml:space="preserve">UCKWFXFYZ3V3wLXCkfzS5kXQ</t>
  </si>
  <si>
    <t xml:space="preserve">UC6L_ZtUQqoeISYDvXxEsQvQ</t>
  </si>
  <si>
    <t xml:space="preserve">UCuPRPhprya3DQHdEXWEQkzQ</t>
  </si>
  <si>
    <t xml:space="preserve">UCt8TeHIxuWXYUyQpR2vyqvA</t>
  </si>
  <si>
    <t xml:space="preserve">UCaOzsrV-Vde2PYH6XgXFnVw</t>
  </si>
  <si>
    <t xml:space="preserve">UCd75t9LDF5kEl64AVeT6eKg</t>
  </si>
  <si>
    <t xml:space="preserve">UCda68NPokNuVts7Du5GvlSA</t>
  </si>
  <si>
    <t xml:space="preserve">UCYrej78OpWfvfKyNYa6dLHA</t>
  </si>
  <si>
    <t xml:space="preserve">UCx7hc3iMcqTHQF2X16QfXww</t>
  </si>
  <si>
    <t xml:space="preserve">UC_5DZ3jc9-Q8G1SM0WniobA</t>
  </si>
  <si>
    <t xml:space="preserve">UChXSil_1vl7u5YxwQiQ9n4Q</t>
  </si>
  <si>
    <t xml:space="preserve">UC42E8HELpSuR_qo9zq8lnoA</t>
  </si>
  <si>
    <t xml:space="preserve">UC1CR5ZqLfXXeCm79wnz0WjQ</t>
  </si>
  <si>
    <t xml:space="preserve">UCzrVzyYXcbTAcqSQ-TuenIA</t>
  </si>
  <si>
    <t xml:space="preserve">UCXNvJtLy7mw9e5UEUcQvebg</t>
  </si>
  <si>
    <t xml:space="preserve">UCJrlWn_y50_xb1X1I5O3DYg</t>
  </si>
  <si>
    <t xml:space="preserve">UCDDwYBs7MvNWyWLBPMoi8-w</t>
  </si>
  <si>
    <t xml:space="preserve">UCpBoSi9jc4l6EAT4snpzgcA</t>
  </si>
  <si>
    <t xml:space="preserve">UCIrnBx2VlSd4gS9z2KMUalg</t>
  </si>
  <si>
    <t xml:space="preserve">UCi-MPuZaplEjdCTwquSMETQ</t>
  </si>
  <si>
    <t xml:space="preserve">UC2AHnxSbmtaKrk74noBMv-Q</t>
  </si>
  <si>
    <t xml:space="preserve">UCHBr10zrIF2tr4WO00AA1TA</t>
  </si>
  <si>
    <t xml:space="preserve">UCQkfDHUXS-Vw-629IlOjzaw</t>
  </si>
  <si>
    <t xml:space="preserve">UCPbLVsiAR-1IuruyKpUdarQ</t>
  </si>
  <si>
    <t xml:space="preserve">UCjACPqQfMbJid2WlEp840UA</t>
  </si>
  <si>
    <t xml:space="preserve">UCueHtbsVJ6xgHDmjoIcAzyA</t>
  </si>
  <si>
    <t xml:space="preserve">UCk8c2dDR-V1FNaDs3dIFpZQ</t>
  </si>
  <si>
    <t xml:space="preserve">UCf6G4DxJ17OUWqvYWUl08Hw</t>
  </si>
  <si>
    <t xml:space="preserve">UCTTUsQJAdGSd2mMsGGfvzhQ</t>
  </si>
  <si>
    <t xml:space="preserve">UCqFyxYi9eyTVGcKZdEDRedw</t>
  </si>
  <si>
    <t xml:space="preserve">UCvOUT2UcJQfBPwathwvp24A</t>
  </si>
  <si>
    <t xml:space="preserve">UC7rsLhwnh16xSxIuVP1DE5Q</t>
  </si>
  <si>
    <t xml:space="preserve">UC6xtBsih5GrQlQSfRHEkHyA</t>
  </si>
  <si>
    <t xml:space="preserve">UCZutt2hncKchEGEiBmvapbw</t>
  </si>
  <si>
    <t xml:space="preserve">UCsUNye3mMDmKjY7IlaqeukA</t>
  </si>
  <si>
    <t xml:space="preserve">UC7oDzYXRKa28a2WaSRx3XpA</t>
  </si>
  <si>
    <t xml:space="preserve">UCdDEcmELwWVr_77GpqldKmg</t>
  </si>
  <si>
    <t xml:space="preserve">UCnqtMFtOv3AKCAhyEYtSXiA</t>
  </si>
  <si>
    <t xml:space="preserve">UCc3uMdbYd13NuR4FnkXJeGw</t>
  </si>
  <si>
    <t xml:space="preserve">UCdY9pIsXomSdctPA-ddV93g</t>
  </si>
  <si>
    <t xml:space="preserve">UCE81YzUkrvSDLgvDCnZFF1Q</t>
  </si>
  <si>
    <t xml:space="preserve">UCkzTvW96mwyton90o45-pmw</t>
  </si>
  <si>
    <t xml:space="preserve">UCG0hKATP2lXhHbB6Ow0S_pw</t>
  </si>
  <si>
    <t xml:space="preserve">UCP_iGXz-GoybDzuPOlX668w</t>
  </si>
  <si>
    <t xml:space="preserve">UCfCmfKp0sPir57TVrDJY-vw</t>
  </si>
  <si>
    <t xml:space="preserve">UCC-9Vbok0SPOW4YuZT1SyhQ</t>
  </si>
  <si>
    <t xml:space="preserve">UC-LrkTq7pfBJR6sZGHOcRBA</t>
  </si>
  <si>
    <t xml:space="preserve">UCCf0az3QRgpRqSggQlnkvLA</t>
  </si>
  <si>
    <t xml:space="preserve">UCghwm6uwnvbjyQtZ8Az-Ivg</t>
  </si>
  <si>
    <t xml:space="preserve">UCN4SpqL3qJ8CBbGPM58l3nQ</t>
  </si>
  <si>
    <t xml:space="preserve">UC3tqH99vMHIuUYIsYY5yIcg</t>
  </si>
  <si>
    <t xml:space="preserve">UCnlhwVFzpcg063jIBObFsIg</t>
  </si>
  <si>
    <t xml:space="preserve">UCzw2w66LHrxzNU0SzKZTZEw</t>
  </si>
  <si>
    <t xml:space="preserve">UCQsob4fGjHWhYHW0OLb6rew</t>
  </si>
  <si>
    <t xml:space="preserve">UC44KdlZ8z3R3bgqUwMch8UQ</t>
  </si>
  <si>
    <t xml:space="preserve">UC0k30_2YGreNiJ5_0SeSIUw</t>
  </si>
  <si>
    <t xml:space="preserve">UCYPX9fqR7_vX4OA4BPyeaUQ</t>
  </si>
  <si>
    <t xml:space="preserve">UC1PgC8N4fwmcJLbwWxW00hw</t>
  </si>
  <si>
    <t xml:space="preserve">UCUjNic3odwdhnKIeDIWMYKg</t>
  </si>
  <si>
    <t xml:space="preserve">UCySeIFRBvusyHvMAl6KU4FQ</t>
  </si>
  <si>
    <t xml:space="preserve">UCW1fMdthk_Jn6w4tdX8aVOg</t>
  </si>
  <si>
    <t xml:space="preserve">UCM6ZN5_yWl4VtWU7BSgmVJA</t>
  </si>
  <si>
    <t xml:space="preserve">UCPIPWHRyAvOCwTzu9yi_hmw</t>
  </si>
  <si>
    <t xml:space="preserve">UCORwrgOvkK-9YvJvI2DuKKw</t>
  </si>
  <si>
    <t xml:space="preserve">UCVOyyXupdtEblFbno_4ibLQ</t>
  </si>
  <si>
    <t xml:space="preserve">UCqvuLvdIkUjAtSFrKw5LhXg</t>
  </si>
  <si>
    <t xml:space="preserve">UCIX2IJcV0_fN6larO3wT9sw</t>
  </si>
  <si>
    <t xml:space="preserve">UCB7GnQlJPIL6rBBqEoX87vA</t>
  </si>
  <si>
    <t xml:space="preserve">UCyQQyc5SoZDG1hXg5BjZkEw</t>
  </si>
  <si>
    <t xml:space="preserve">UCoBXOEKmbTMiq2djxPufd4g</t>
  </si>
  <si>
    <t xml:space="preserve">UCXwy__UPWwhckVm8V5u3Z2w</t>
  </si>
  <si>
    <t xml:space="preserve">UCSyKQNXt1UDpNS5_3LEHSBQ</t>
  </si>
  <si>
    <t xml:space="preserve">UCIWg_hyiOBEesubS5u8TvPw</t>
  </si>
  <si>
    <t xml:space="preserve">UCu2sYH2i5SOEVTwl5_BJ1eA</t>
  </si>
  <si>
    <t xml:space="preserve">UCnHt7P6ZPoPuVL74xurkpjg</t>
  </si>
  <si>
    <t xml:space="preserve">UCm9upt-0Jr5NM0AxjWdARhw</t>
  </si>
  <si>
    <t xml:space="preserve">UC2Wsofh_s5KBWQy3GuPyBSg</t>
  </si>
  <si>
    <t xml:space="preserve">UCIAyn9ZqfI5x3Xh2iLGlbNg</t>
  </si>
  <si>
    <t xml:space="preserve">UCkFZNhDgHW1XX9tCj-NPR-Q</t>
  </si>
  <si>
    <t xml:space="preserve">UCYJhto4Of0p8eKKxmB2un9g</t>
  </si>
  <si>
    <t xml:space="preserve">UCgG0gMEBXulmHaqp8JjuDLg</t>
  </si>
  <si>
    <t xml:space="preserve">UCwI2pV0eVj0ImyQCi-wW3xw</t>
  </si>
  <si>
    <t xml:space="preserve">UCx8NnncI5THY2k4taIqMwmA</t>
  </si>
  <si>
    <t xml:space="preserve">UC_b-_sxiL3pK63fwKen8TIw</t>
  </si>
  <si>
    <t xml:space="preserve">UCysgWs30lvHo-q35OOOVFDQ</t>
  </si>
  <si>
    <t xml:space="preserve">UCdFyoExlK9Kaspe0MHLHHKw</t>
  </si>
  <si>
    <t xml:space="preserve">UCQXwgooTlP6tk2a-u6vgyUA</t>
  </si>
  <si>
    <t xml:space="preserve">UCcdCMzwxpy5XmslZQCfujwQ</t>
  </si>
  <si>
    <t xml:space="preserve">UCvWsX4zex8wTT5HafXqxiYA</t>
  </si>
  <si>
    <t xml:space="preserve">UC7NSMiR1nojOx0-gpRzL2GA</t>
  </si>
  <si>
    <t xml:space="preserve">UCKzEA2Xx-eCUVCRsKSa12KA</t>
  </si>
  <si>
    <t xml:space="preserve">UCWvLcpVvVVH9TGeOtKlZ9qw</t>
  </si>
  <si>
    <t xml:space="preserve">UCB80Pufy6rBnViEJPxXbwUQ</t>
  </si>
  <si>
    <t xml:space="preserve">UC79yP-cMGqbsgoiHyaPkZQw</t>
  </si>
  <si>
    <t xml:space="preserve">UCsNgTISaQJEvaENT0FWC0qg</t>
  </si>
  <si>
    <t xml:space="preserve">UCQdKZQ0LpbKv-pk4tL5qBVA</t>
  </si>
  <si>
    <t xml:space="preserve">UCgpeOD0YCFunnrzoRR38INQ</t>
  </si>
  <si>
    <t xml:space="preserve">UCBWFCIAmmnCoHuKAlTDjhbA</t>
  </si>
  <si>
    <t xml:space="preserve">UCHihootMqyGz175gqOPahtw</t>
  </si>
  <si>
    <t xml:space="preserve">UCmapkf4A5883lT90j86WXFg</t>
  </si>
  <si>
    <t xml:space="preserve">UCizzKXJoo5EDoEE9iyBdEjA</t>
  </si>
  <si>
    <t xml:space="preserve">UCJ0FT6Ijeyf6Mr-GdOBsVAQ</t>
  </si>
  <si>
    <t xml:space="preserve">UC5bioO_68ZFx8mPtaMcK6tQ</t>
  </si>
  <si>
    <t xml:space="preserve">UC58pbsr1afo8EwuUtVPxqJg</t>
  </si>
  <si>
    <t xml:space="preserve">UCpegmk-k_LyK6obtAMjn-OA</t>
  </si>
  <si>
    <t xml:space="preserve">UCmcveOnc7PoOFd3EWnL1Ydw</t>
  </si>
  <si>
    <t xml:space="preserve">UC4xUwrZ1IlPQd1zaJCf_jjQ</t>
  </si>
  <si>
    <t xml:space="preserve">UCV5pR3B6gigb79qT9OQTszg</t>
  </si>
  <si>
    <t xml:space="preserve">UCpqGS8cL9KEyxdPF6cwML_g</t>
  </si>
  <si>
    <t xml:space="preserve">UCf31eCPlIbv-2dOTakELxOg</t>
  </si>
  <si>
    <t xml:space="preserve">UCo7e-Mg061PRrr-o30Vv9QQ</t>
  </si>
  <si>
    <t xml:space="preserve">UC8ksY66BjKuR6YmKvVSHK4Q</t>
  </si>
  <si>
    <t xml:space="preserve">UCrpQ9Ly_7ytoVgoHb3a6M4A</t>
  </si>
  <si>
    <t xml:space="preserve">UC1p7z5FynnMIxe3_0M95tQg</t>
  </si>
  <si>
    <t xml:space="preserve">UCS9cQhD-RfxZdTR49Fx8_EA</t>
  </si>
  <si>
    <t xml:space="preserve">UCdmDDJXog3qWbYAf7Gud8vQ</t>
  </si>
  <si>
    <t xml:space="preserve">UCrnnE90PnwTuAjNsC8uJ5YQ</t>
  </si>
  <si>
    <t xml:space="preserve">UClOcxA7toqd4NAuhVvEv5Sw</t>
  </si>
  <si>
    <t xml:space="preserve">UCC5d54zKHW9Vmu4lRFdMYJQ</t>
  </si>
  <si>
    <t xml:space="preserve">UC29KG5oBRUjArBpY7EptlPg</t>
  </si>
  <si>
    <t xml:space="preserve">UCxD5G0enm5Ug9SyHu9UxAsg</t>
  </si>
  <si>
    <t xml:space="preserve">UCg5_K50hLTKerLkSE7I1yWQ</t>
  </si>
  <si>
    <t xml:space="preserve">UCwypQ9TtkH7hXv7o8Ofa2Hw</t>
  </si>
  <si>
    <t xml:space="preserve">UC69Prb5R0m71_z6ojQkJHAw</t>
  </si>
  <si>
    <t xml:space="preserve">UCjIyd2LW54xancf6B_87_vw</t>
  </si>
  <si>
    <t xml:space="preserve">UCoCbt0YNJL4_MtIo6Lg1ybA</t>
  </si>
  <si>
    <t xml:space="preserve">UCNF_ljXjqRDnm3KGvqfkqUA</t>
  </si>
  <si>
    <t xml:space="preserve">UCakE9NFBpuVvMgkzIF2dABw</t>
  </si>
  <si>
    <t xml:space="preserve">UCgbgSICdqm8aXO1rxm5aiVg</t>
  </si>
  <si>
    <t xml:space="preserve">UCcQ10GNXaBBtr2IWavGWMWg</t>
  </si>
  <si>
    <t xml:space="preserve">UC5aSqyG6P1dCNfp07tmpdSA</t>
  </si>
  <si>
    <t xml:space="preserve">UCXfLkbllhF1_2lQhwYIgaRw</t>
  </si>
  <si>
    <t xml:space="preserve">UCmVQmh5qWCp2AhcPL0Dp1sw</t>
  </si>
  <si>
    <t xml:space="preserve">UCgtGttZSS4dYI2rKCt1wPZg</t>
  </si>
  <si>
    <t xml:space="preserve">UCnNbqPAMg6h7jN7DyabPUww</t>
  </si>
  <si>
    <t xml:space="preserve">UCFyG-oKbV6Vs357EoQbJiBg</t>
  </si>
  <si>
    <t xml:space="preserve">UCDBw9CkXARRKNL8TBLgqtng</t>
  </si>
  <si>
    <t xml:space="preserve">UC4FfvPBXCNfy2NbDCFl2dbQ</t>
  </si>
  <si>
    <t xml:space="preserve">UCBBwckGNrdSAgKXkybPnlFg</t>
  </si>
  <si>
    <t xml:space="preserve">UCBxV8D_3M8002AFxfFLKjzA</t>
  </si>
  <si>
    <t xml:space="preserve">UCbWW7i7KnwQfqp6HFg1diFw</t>
  </si>
  <si>
    <t xml:space="preserve">UCVAYATU4KQj2oEeVa02Am1g</t>
  </si>
  <si>
    <t xml:space="preserve">UC9CCDQ-2AC1z3QOrgjGvFgA</t>
  </si>
  <si>
    <t xml:space="preserve">UCDmxC0-UzH9BOqXN6v0tMRw</t>
  </si>
  <si>
    <t xml:space="preserve">UCL2n1iNbGv2DioRdL6R8JPw</t>
  </si>
  <si>
    <t xml:space="preserve">UC1R5O53t95Ij0Y-dO21a0Kg</t>
  </si>
  <si>
    <t xml:space="preserve">UCl6DpzDUBx2sxuheHPsCtUw</t>
  </si>
  <si>
    <t xml:space="preserve">UCD0k_Ivw0Ng15JDI4NuHa7Q</t>
  </si>
  <si>
    <t xml:space="preserve">UCwCVYRExd3NqD-F9Zw9vgRg</t>
  </si>
  <si>
    <t xml:space="preserve">UCqfecsjYi0F3dQV7kkEF33w</t>
  </si>
  <si>
    <t xml:space="preserve">UCPQwEOBvLR4mEzM_DHlQ0UA</t>
  </si>
  <si>
    <t xml:space="preserve">UCgLXoet_J8D11J_XyVUpBMA</t>
  </si>
  <si>
    <t xml:space="preserve">UCau2ps2xJyOEWpUk-490gAg</t>
  </si>
  <si>
    <t xml:space="preserve">UC7UfA3VcUEh9i3gPNmM7VmA</t>
  </si>
  <si>
    <t xml:space="preserve">UCgAFrg7HHotCgkZ7TGIYIpQ</t>
  </si>
  <si>
    <t xml:space="preserve">UCzeUUFlW42vi9ysffMPJWkg</t>
  </si>
  <si>
    <t xml:space="preserve">UCZVwwcHt3o-EXY4ORHwqVBg</t>
  </si>
  <si>
    <t xml:space="preserve">UCEA0-BgIm1dLOQQ_yGbq8Ww</t>
  </si>
  <si>
    <t xml:space="preserve">UCLQwsnrM-c84ZxvLzql0yIw</t>
  </si>
  <si>
    <t xml:space="preserve">UCx40uOuEOo9UXReZdowt7Ng</t>
  </si>
  <si>
    <t xml:space="preserve">UCAh7pOQBKgUZzQ3D6y6B9PQ</t>
  </si>
  <si>
    <t xml:space="preserve">UCyY-FQH8aBdC5EaAN49imLA</t>
  </si>
  <si>
    <t xml:space="preserve">UCRZLZxjQKQ_sPSuX6__-z1A</t>
  </si>
  <si>
    <t xml:space="preserve">UC-PjtEukiopVSe9bNhORfsA</t>
  </si>
  <si>
    <t xml:space="preserve">UCPu7Aw4nrBF0_61xhteB_9Q</t>
  </si>
  <si>
    <t xml:space="preserve">UCHi3aP-fmyuZc5pMVOlwQPQ</t>
  </si>
  <si>
    <t xml:space="preserve">UCnrCcE_0MJ_i7bBrHM93Wxg</t>
  </si>
  <si>
    <t xml:space="preserve">UChQcF-mvLdaR-Yboiw_sd5Q</t>
  </si>
  <si>
    <t xml:space="preserve">UCrADVpzMi-lShxPiw4ODJSw</t>
  </si>
  <si>
    <t xml:space="preserve">UC1mslqPBnGvcoFSXGvQF_Mg</t>
  </si>
  <si>
    <t xml:space="preserve">UC7jxZTeEJGUCOC0-3m-H44w</t>
  </si>
  <si>
    <t xml:space="preserve">UCTChynuGKtNCSCAkDem0sww</t>
  </si>
  <si>
    <t xml:space="preserve">UCLbZa_rmuBD6CIjYkptfPLA</t>
  </si>
  <si>
    <t xml:space="preserve">UCibRpCOikSzneiHE1sVa5rA</t>
  </si>
  <si>
    <t xml:space="preserve">UCFW3jZkwff9mVzTAVtgTjzA</t>
  </si>
  <si>
    <t xml:space="preserve">UCqIbObitFkT9TReYaBJYsAA</t>
  </si>
  <si>
    <t xml:space="preserve">UChBtTjZu8UPrmqXgzkAjI9g</t>
  </si>
  <si>
    <t xml:space="preserve">UC-yhEJs0ipx_pkUvH4EW9bw</t>
  </si>
  <si>
    <t xml:space="preserve">UCNeSH822T0De3g6LjO55Y7w</t>
  </si>
  <si>
    <t xml:space="preserve">UCVjhkpoOrrGOkqHU3URKuGg</t>
  </si>
  <si>
    <t xml:space="preserve">UC0rpxsHBn1j3kBTtKJ_wQjQ</t>
  </si>
  <si>
    <t xml:space="preserve">UCHhytYnSiFnB8ZUnayWncjw</t>
  </si>
  <si>
    <t xml:space="preserve">UCpmzrQ0tpR7pG4R2NL0RxKw</t>
  </si>
  <si>
    <t xml:space="preserve">UCCLQi2V8OjOoSbOUxHQZhQw</t>
  </si>
  <si>
    <t xml:space="preserve">UCx5C0n2h-XfTHEyMFEGZVnA</t>
  </si>
  <si>
    <t xml:space="preserve">UCvK_ahNBM42GlyjwB_BDZOA</t>
  </si>
  <si>
    <t xml:space="preserve">UCtZvpybq_UgHIv5nammDoyA</t>
  </si>
  <si>
    <t xml:space="preserve">UCsx87mIBxB-JZ2rKxkVmJtw</t>
  </si>
  <si>
    <t xml:space="preserve">UCl8-qETRc0SaL9639MdZJRw</t>
  </si>
  <si>
    <t xml:space="preserve">UC5KYBkMAdc4X3cZcr0gQPyQ</t>
  </si>
  <si>
    <t xml:space="preserve">UCw27QsX2tkSTvH4Y1C_cDvQ</t>
  </si>
  <si>
    <t xml:space="preserve">UCHIJT2-mlieOGZFtPzAcZfA</t>
  </si>
  <si>
    <t xml:space="preserve">UCehHoZ2932g_6Nst9JNHZNg</t>
  </si>
  <si>
    <t xml:space="preserve">UClCltwxFyAN1TK1HCm08J4A</t>
  </si>
  <si>
    <t xml:space="preserve">UCJigKBjNneO7p8xvHLrGRCg</t>
  </si>
  <si>
    <t xml:space="preserve">UCAGldPzfgGghdWo3hl4nmsA</t>
  </si>
  <si>
    <t xml:space="preserve">UCxSMm46FxM1s4jvgCSI2bcQ</t>
  </si>
  <si>
    <t xml:space="preserve">UCe4UCtILIAdQ7_D36TuqUhA</t>
  </si>
  <si>
    <t xml:space="preserve">UCetYTqitBXg4f6f40KUdNxQ</t>
  </si>
  <si>
    <t xml:space="preserve">UChl-MciRVsq6RPyhaIMceOg</t>
  </si>
  <si>
    <t xml:space="preserve">UCury-5d6-wP1dfOgNHEESLA</t>
  </si>
  <si>
    <t xml:space="preserve">UC_DT4dQh65-itd1Qwt_E6Yw</t>
  </si>
  <si>
    <t xml:space="preserve">UCgo5K-jt0D3sSdgdoViqcsg</t>
  </si>
  <si>
    <t xml:space="preserve">UCIfHa3Bfqf3qNKWbR0aVstQ</t>
  </si>
  <si>
    <t xml:space="preserve">UCo4mY1rrLD-uS9LDgz8r0NA</t>
  </si>
  <si>
    <t xml:space="preserve">UCjW5u7vHnvwuXiVQx2ahs4A</t>
  </si>
  <si>
    <t xml:space="preserve">UCDBZFYB9-q7h33g99gENSFQ</t>
  </si>
  <si>
    <t xml:space="preserve">UCl9X9tNEwSqh5-48iMI01EA</t>
  </si>
  <si>
    <t xml:space="preserve">UCBnnsrvmuQ7tFdTL511dzBQ</t>
  </si>
  <si>
    <t xml:space="preserve">UCNXapAc8mXTwW82MTncdfzQ</t>
  </si>
  <si>
    <t xml:space="preserve">UCDfvQcmL3XuTRBcG4LR0j4w</t>
  </si>
  <si>
    <t xml:space="preserve">UCME-uQDMlInGIFuC0-9ZrgQ</t>
  </si>
  <si>
    <t xml:space="preserve">UCEV6bsiC42qevMvSI37WVQg</t>
  </si>
  <si>
    <t xml:space="preserve">UC6_1rITF64nN519UxlPz6Xg</t>
  </si>
  <si>
    <t xml:space="preserve">UCFc2mmuwGZI4sftcs7MdekA</t>
  </si>
  <si>
    <t xml:space="preserve">UC8__WrbeFcTjzkwkX08DkEQ</t>
  </si>
  <si>
    <t xml:space="preserve">UCzuYmh_kQUpJpguQCwLKoPg</t>
  </si>
  <si>
    <t xml:space="preserve">UCqsxWl1B_seBmex7n5_ihlA</t>
  </si>
  <si>
    <t xml:space="preserve">UC53Fnr1rJc62f9IJg8h5CiA</t>
  </si>
  <si>
    <t xml:space="preserve">UCX7kmna5ORZ6V4yKUErNPjg</t>
  </si>
  <si>
    <t xml:space="preserve">UCi2E0xtKUj9EgfS6X_orqFw</t>
  </si>
  <si>
    <t xml:space="preserve">UCY_ATVb4tfOusJCMTyQXy4g</t>
  </si>
  <si>
    <t xml:space="preserve">UCe6dGx8oBzpSDEolLf14a3w</t>
  </si>
  <si>
    <t xml:space="preserve">UCOqU-HfQxoyImaCW2tCDxJA</t>
  </si>
  <si>
    <t xml:space="preserve">UC9i5fwLq3maKVXAnu10YAuw</t>
  </si>
  <si>
    <t xml:space="preserve">UChfAg1FGPHBNH4Rm52UgHMQ</t>
  </si>
  <si>
    <t xml:space="preserve">UCeam8_fV4Bhgm0Fx9ygHSrA</t>
  </si>
  <si>
    <t xml:space="preserve">UCIPYexFm665KvqnUrtk2dpQ</t>
  </si>
  <si>
    <t xml:space="preserve">UCEqZhDlUI-Va6ICUsYh5FZA</t>
  </si>
  <si>
    <t xml:space="preserve">UCbIG1mKvHxyi7kxwXHQgSmg</t>
  </si>
  <si>
    <t xml:space="preserve">UCMQYWOVbZixaYkaTn6jkE2Q</t>
  </si>
  <si>
    <t xml:space="preserve">UCAKToOOqAtSJOAv2fbEqV3Q</t>
  </si>
  <si>
    <t xml:space="preserve">UCSaA50dPTKM4XWZmZos8bpQ</t>
  </si>
  <si>
    <t xml:space="preserve">UCf0Xc0ipXZhoEYyZcxJDB6w</t>
  </si>
  <si>
    <t xml:space="preserve">UCLoQ-GKBsf7n-N9DyHNe7TA</t>
  </si>
  <si>
    <t xml:space="preserve">UCquRyfazjru5NwO--yLPcPA</t>
  </si>
  <si>
    <t xml:space="preserve">UCTsydUuYrNm7PZ7UVbIsh7w</t>
  </si>
  <si>
    <t xml:space="preserve">UC2h-7gYf6JWgqEIP326mmKg</t>
  </si>
  <si>
    <t xml:space="preserve">UCB47Yh5FM9P-qy7QwwjQDvA</t>
  </si>
  <si>
    <t xml:space="preserve">UCNn75PJi2J5OmZGuLCZGJPg</t>
  </si>
  <si>
    <t xml:space="preserve">UCB8ZK0KGUD-jVEiFjATnsXg</t>
  </si>
  <si>
    <t xml:space="preserve">UCwO6AYOIRYgyP1KJ5aPbDlw</t>
  </si>
  <si>
    <t xml:space="preserve">UChs6DU4eSIt8Gsj4H3DdAQQ</t>
  </si>
  <si>
    <t xml:space="preserve">UCPimTqwbncE1zTQiQQ52DPw</t>
  </si>
  <si>
    <t xml:space="preserve">UCzlQ4LgPbuedoeBoK-oDJMA</t>
  </si>
  <si>
    <t xml:space="preserve">UC4Qku9ZrZI1YCJIEAuG32gQ</t>
  </si>
  <si>
    <t xml:space="preserve">UC-o1VBZ5l7jcBxUb6rTROPQ</t>
  </si>
  <si>
    <t xml:space="preserve">UCuqFlEcQsy7QvTjNVvjs17Q</t>
  </si>
  <si>
    <t xml:space="preserve">UCSJXwgF3SePNfyojYG3yt6Q</t>
  </si>
  <si>
    <t xml:space="preserve">UCxYJ-54gCObifLYwzieoUkg</t>
  </si>
  <si>
    <t xml:space="preserve">UCzJu-7z7kVW71gfLWUe7Ahw</t>
  </si>
  <si>
    <t xml:space="preserve">UCa0mvXpcwOGCBOdUBaIFe7A</t>
  </si>
  <si>
    <t xml:space="preserve">UC6Z1RjWzkPruAlcy02ZdbLg</t>
  </si>
  <si>
    <t xml:space="preserve">UC9GcCj_q5EXu_Im6gvLS4PA</t>
  </si>
  <si>
    <t xml:space="preserve">UC2R0nGlj407CXb6nQYyDfRw</t>
  </si>
  <si>
    <t xml:space="preserve">UCUPVSsLvsyr5Q1cUfReIzRw</t>
  </si>
  <si>
    <t xml:space="preserve">UCm4YKoh7jOJQuznM5PaV8UA</t>
  </si>
  <si>
    <t xml:space="preserve">UCNrfs-wsE7yadASGhw6iKWg</t>
  </si>
  <si>
    <t xml:space="preserve">UCaGwH4JooqsvBt-gJtB85Lg</t>
  </si>
  <si>
    <t xml:space="preserve">UCkuQDT_EGAqb77j0mS_CbTw</t>
  </si>
  <si>
    <t xml:space="preserve">UCGfq28f57IvaQnod6DC4oxA</t>
  </si>
  <si>
    <t xml:space="preserve">UCvf0kmeVOmqL2KpCJ1wtIvA</t>
  </si>
  <si>
    <t xml:space="preserve">UChQmLfhPADwYT_qElU3pckQ</t>
  </si>
  <si>
    <t xml:space="preserve">UCDI5IfZGKC3iOcStCPwTG9A</t>
  </si>
  <si>
    <t xml:space="preserve">UCfc1PpwDsphDTwpOXW8HLnw</t>
  </si>
  <si>
    <t xml:space="preserve">UCbPUDwXjjV7KOYGdz3tLpXw</t>
  </si>
  <si>
    <t xml:space="preserve">UCVnlJ3_LHKxxRDDaQe_KEMw</t>
  </si>
  <si>
    <t xml:space="preserve">UCTWeF8oCyo-X-j299Ejp0Tg</t>
  </si>
  <si>
    <t xml:space="preserve">UC_9DVYOpjFeERgpAKMFqvPA</t>
  </si>
  <si>
    <t xml:space="preserve">UCigG7qiPLBvkObUmolSfDpg</t>
  </si>
  <si>
    <t xml:space="preserve">UCofS2Tx0VXd_P5RExvgXwUA</t>
  </si>
  <si>
    <t xml:space="preserve">UC0LdFQHqtBcmWKwE4ZlSTXg</t>
  </si>
  <si>
    <t xml:space="preserve">UCQItYmt8xH-WJGHIGqEzj4A</t>
  </si>
  <si>
    <t xml:space="preserve">UCfggIjwiHJ1z5M1pS-Xfedw</t>
  </si>
  <si>
    <t xml:space="preserve">UCNmfEa6DKdYJMO31VG7UR_g</t>
  </si>
  <si>
    <t xml:space="preserve">UCbnsKJ2aIL0BG6tar_f9Dlw</t>
  </si>
  <si>
    <t xml:space="preserve">UCLLFmbPgu2OyZfZ2a4pze1g</t>
  </si>
  <si>
    <t xml:space="preserve">UC4gDqipO4FBSDv8OYMarZJw</t>
  </si>
  <si>
    <t xml:space="preserve">UCuqujDDdRfaDggv-eECJnrQ</t>
  </si>
  <si>
    <t xml:space="preserve">UCySJrnD7XS16fF4qLFSaNuw</t>
  </si>
  <si>
    <t xml:space="preserve">UCvhPXToMzoWvDzhrqdP2FrQ</t>
  </si>
  <si>
    <t xml:space="preserve">UC3xSIa2eylx9jvkotsA6GGQ</t>
  </si>
  <si>
    <t xml:space="preserve">UC5OhhLoILL7Mhm-NJXHucSQ</t>
  </si>
  <si>
    <t xml:space="preserve">UCVqzdziTU0LGATI6BY7tnBA</t>
  </si>
  <si>
    <t xml:space="preserve">UCdY42Liu4wC4c5WTNVjZ_IA</t>
  </si>
  <si>
    <t xml:space="preserve">UC52iLVrQ4EpeSdAB3911rsg</t>
  </si>
  <si>
    <t xml:space="preserve">UCXmEe7GrufJ20HhxclJq7sQ</t>
  </si>
  <si>
    <t xml:space="preserve">UCS1MOwERzW7-ymkV4TuHXUw</t>
  </si>
  <si>
    <t xml:space="preserve">UCTOqL2qDFeSUZPcjutMC61g</t>
  </si>
  <si>
    <t xml:space="preserve">UCaMMR5rYM2P-BLtxQyIOSxA</t>
  </si>
  <si>
    <t xml:space="preserve">UCDB6Rql3lBoBGtG6xff94qA</t>
  </si>
  <si>
    <t xml:space="preserve">UC3Ek3fDt-W8hJeRu1CU_XSA</t>
  </si>
  <si>
    <t xml:space="preserve">UC_0vAivjbJUH6RShuK8h5Mg</t>
  </si>
  <si>
    <t xml:space="preserve">UCUtSGBFJHqQEM3ycODX2tjw</t>
  </si>
  <si>
    <t xml:space="preserve">UCHplhEFexpUMDSdzn4ZwpIg</t>
  </si>
  <si>
    <t xml:space="preserve">UCwVsJ_Z9lXhcT-E1NNbOFfQ</t>
  </si>
  <si>
    <t xml:space="preserve">UC3ZHtYaJtposbfvcQ-7ybSQ</t>
  </si>
  <si>
    <t xml:space="preserve">UCTY02IiFoTqS47RvyAV_YnA</t>
  </si>
  <si>
    <t xml:space="preserve">UCB02gUU4RR8_z0wmtGlopZA</t>
  </si>
  <si>
    <t xml:space="preserve">UCV1KOaw6Tb8N21m9k6cTwXA</t>
  </si>
  <si>
    <t xml:space="preserve">UCbnM9Ll4hMA0Y6TK_wxnZdg</t>
  </si>
  <si>
    <t xml:space="preserve">UC4P9PTfWJjXk10TFOaamWrQ</t>
  </si>
  <si>
    <t xml:space="preserve">UCCgOMpG5piKXUqQrmI3iDbA</t>
  </si>
  <si>
    <t xml:space="preserve">UCyxdH6b62AC4x-gfkSiDYyQ</t>
  </si>
  <si>
    <t xml:space="preserve">UCzqJIntkB9JF0nUhOfODGwA</t>
  </si>
  <si>
    <t xml:space="preserve">UCg0hjntziS1RJPiebG5wAaw</t>
  </si>
  <si>
    <t xml:space="preserve">UCAZsQoOUb8b2hRKd_6ZgZUA</t>
  </si>
  <si>
    <t xml:space="preserve">UClNS-1DaDOfP0383XRVCVYA</t>
  </si>
  <si>
    <t xml:space="preserve">UC1RYchByUCNuPUw1fEMfyow</t>
  </si>
  <si>
    <t xml:space="preserve">UCJcjRwKGfYlENM7T5g1fOug</t>
  </si>
  <si>
    <t xml:space="preserve">UCppBCkwdLJvMV1SscIT1CdQ</t>
  </si>
  <si>
    <t xml:space="preserve">UC0JyS3YYGP9S6bc5Kh2Y3WA</t>
  </si>
  <si>
    <t xml:space="preserve">UCcO8c5xCPYHQtst3X56ufsQ</t>
  </si>
  <si>
    <t xml:space="preserve">UCS8DMV8mw_vfx8IUBso8jhQ</t>
  </si>
  <si>
    <t xml:space="preserve">UCiMrTohczoY08TBtSd6FKgg</t>
  </si>
  <si>
    <t xml:space="preserve">UC2ZMiuXsWi9xrm66WEBPuZQ</t>
  </si>
  <si>
    <t xml:space="preserve">UC9Jxk_mBmLLqOnm61r9EBuw</t>
  </si>
  <si>
    <t xml:space="preserve">UCOQT0D8BvzsHj7djk8cQYbw</t>
  </si>
  <si>
    <t xml:space="preserve">UCBl_W5_GtiObF0Cu4NKM1ng</t>
  </si>
  <si>
    <t xml:space="preserve">UCA3sH6-ecjBRS1oVOc-1HiQ</t>
  </si>
  <si>
    <t xml:space="preserve">UC5bfIeshJGEYM7yAvUpfUYg</t>
  </si>
  <si>
    <t xml:space="preserve">UCaR5rs-2ptjz25T-f1JJ6iw</t>
  </si>
  <si>
    <t xml:space="preserve">UCXFxwj7DwumpUu5RNWlznTw</t>
  </si>
  <si>
    <t xml:space="preserve">UCUMmfOox0ktKS_eizQGfATQ</t>
  </si>
  <si>
    <t xml:space="preserve">UCaC4prHJ6uWSIKyaEvfU00A</t>
  </si>
  <si>
    <t xml:space="preserve">UC8-RDhShhhv6sgQZpf37uqw</t>
  </si>
  <si>
    <t xml:space="preserve">UCfadej2Rxk1wKhCI4KSH58w</t>
  </si>
  <si>
    <t xml:space="preserve">UC6nY9-2IrbD2tUoF6Xfgo0Q</t>
  </si>
  <si>
    <t xml:space="preserve">UCFEHCvUfFakdJyTl4Xuq92w</t>
  </si>
  <si>
    <t xml:space="preserve">UCvg_Mq4x-I70bkap3vvGpvA</t>
  </si>
  <si>
    <t xml:space="preserve">UC3y9tlNtHuxEw4E4xzcOm3w</t>
  </si>
  <si>
    <t xml:space="preserve">UCYpVkUX-DPiC4eXlL7wurvg</t>
  </si>
  <si>
    <t xml:space="preserve">UCNqBY4bm_Lbr7RokOFAS8Qw</t>
  </si>
  <si>
    <t xml:space="preserve">UCAuCGdk9-HUWdujEoJaEpKg</t>
  </si>
  <si>
    <t xml:space="preserve">UCSkhtV3EP-_Dj9g76D9HwHg</t>
  </si>
  <si>
    <t xml:space="preserve">UCEWNq-lFsOReP-voi2hnpaQ</t>
  </si>
  <si>
    <t xml:space="preserve">UCfczltCm62FOjB9zo9I0OlA</t>
  </si>
  <si>
    <t xml:space="preserve">UCOrWx1zDhibPGHu328HOc7Q</t>
  </si>
  <si>
    <t xml:space="preserve">UCB8t1aexYjhX2ey5n98SPRg</t>
  </si>
  <si>
    <t xml:space="preserve">UCGfe0iX2k7q0ouHcwjtVvyQ</t>
  </si>
  <si>
    <t xml:space="preserve">UCStOJC8F-Zn_oxeMi2lfQog</t>
  </si>
  <si>
    <t xml:space="preserve">UCKn7YUw5fcKp2vMr9TcJT_A</t>
  </si>
  <si>
    <t xml:space="preserve">UCkEOPdkMsBcodhDKAhyDTpQ</t>
  </si>
  <si>
    <t xml:space="preserve">UCV1P-0SN-WC4ETp5X7Z-S8g</t>
  </si>
  <si>
    <t xml:space="preserve">UCzrBR9Zo-bobJFsL9CDjTiQ</t>
  </si>
  <si>
    <t xml:space="preserve">UCt7K74a8SrA5Ig-xMbI5aZQ</t>
  </si>
  <si>
    <t xml:space="preserve">UCPLAMNJtETkoySu45tCJMdA</t>
  </si>
  <si>
    <t xml:space="preserve">UCEW_Fg9lQ2VaS7DLVma01Cg</t>
  </si>
  <si>
    <t xml:space="preserve">UCNUbHp-oak_7Rwxsg0Qyggg</t>
  </si>
  <si>
    <t xml:space="preserve">UCOW8E7o_ENEGYQb0lyzLhPA</t>
  </si>
  <si>
    <t xml:space="preserve">UCP7UwcLEDzJVYHuLmShYMrg</t>
  </si>
  <si>
    <t xml:space="preserve">UCgGo5gRflFY0m_YIiaZKk_Q</t>
  </si>
  <si>
    <t xml:space="preserve">UCEqxMIEiUNl7xhlY5l32Iyg</t>
  </si>
  <si>
    <t xml:space="preserve">UCGrzJFGyomJUV44HxhazlNw</t>
  </si>
  <si>
    <t xml:space="preserve">UCcHe90OcuzFFxI01SfBMu8Q</t>
  </si>
  <si>
    <t xml:space="preserve">UCV8gPq1U53yCiq4TOb_nJsg</t>
  </si>
  <si>
    <t xml:space="preserve">UCVgHeVqf7aIlqXQtB83v4sw</t>
  </si>
  <si>
    <t xml:space="preserve">UCI4oqJiBhSsZEEdzxnSppwg</t>
  </si>
  <si>
    <t xml:space="preserve">UCmmpqdInUPIIDXobjE__nHg</t>
  </si>
  <si>
    <t xml:space="preserve">UCuKx6skgXwFTA5sqbNDk9fA</t>
  </si>
  <si>
    <t xml:space="preserve">UCOIo6FrzLwf9H9r8kq4aBaQ</t>
  </si>
  <si>
    <t xml:space="preserve">UCk2VkCk0BwPDiPUgja41vkA</t>
  </si>
  <si>
    <t xml:space="preserve">UCOULzmNRKoQD5wl6HsXpgxw</t>
  </si>
  <si>
    <t xml:space="preserve">UCodtmsu-lJgqJhiWNa7uQRA</t>
  </si>
  <si>
    <t xml:space="preserve">UCxtZyGDTBGIJetWgep1ZRbg</t>
  </si>
  <si>
    <t xml:space="preserve">UCXMeQFZaNWnF7l8iHrLxxEQ</t>
  </si>
  <si>
    <t xml:space="preserve">UCT1STxZniQJ5B3sdChzuKvg</t>
  </si>
  <si>
    <t xml:space="preserve">UCCvpM7DecY_8xtKY8aeSCxg</t>
  </si>
  <si>
    <t xml:space="preserve">UCFOt62F9cFogxtHqgPnhyHA</t>
  </si>
  <si>
    <t xml:space="preserve">UCst7dIH10mMvu_PVpXMr7Hw</t>
  </si>
  <si>
    <t xml:space="preserve">UCOnoeC0owG-E_pMAw3xIvTA</t>
  </si>
  <si>
    <t xml:space="preserve">UC4_VDC6SgLANxJczhJz8WEg</t>
  </si>
  <si>
    <t xml:space="preserve">UC4f29h2XXPYgACXqYgdTquQ</t>
  </si>
  <si>
    <t xml:space="preserve">UCISDiVUynxni-0nju7e9k4w</t>
  </si>
  <si>
    <t xml:space="preserve">UC0iDL9CSqHtlzJDZLGKJX0Q</t>
  </si>
  <si>
    <t xml:space="preserve">UC6DjkmnqmM5cm0_22MeVdOw</t>
  </si>
  <si>
    <t xml:space="preserve">UCLBRUKmsxn76xnlyHDQx-rA</t>
  </si>
  <si>
    <t xml:space="preserve">UCdmVcQVvFNSU3ZryWvIXpdA</t>
  </si>
  <si>
    <t xml:space="preserve">UCMGQYesmpuP1xzJDKEAXgXg</t>
  </si>
  <si>
    <t xml:space="preserve">UCfMuCAP9_izClomt7CQ70uA</t>
  </si>
  <si>
    <t xml:space="preserve">UCwADKD62xOgWPxoe68rzMVA</t>
  </si>
  <si>
    <t xml:space="preserve">UCA2tmZh8zP-Cu_RNCs_NI-Q</t>
  </si>
  <si>
    <t xml:space="preserve">UCPXmsyUYvsiZtoe6JbH3giQ</t>
  </si>
  <si>
    <t xml:space="preserve">UCKQDWtkXTykKSgNtHCJH2Wg</t>
  </si>
  <si>
    <t xml:space="preserve">UC3nj1JNLJvK9jV4KTbZw_qg</t>
  </si>
  <si>
    <t xml:space="preserve">UCYRIzR9gXzrCObYW9defmow</t>
  </si>
  <si>
    <t xml:space="preserve">UC3k9loYBP7YaReV2j6vduUA</t>
  </si>
  <si>
    <t xml:space="preserve">UCqQfK7YxUCmIWu4hl_Qv74g</t>
  </si>
  <si>
    <t xml:space="preserve">UChqOY0OYg-Iwh6G_1g-8LqQ</t>
  </si>
  <si>
    <t xml:space="preserve">UC6Uzzt7V7ciOmz5doAF_2kQ</t>
  </si>
  <si>
    <t xml:space="preserve">UCQ6mb97-kuBBp4ko6v4yKEw</t>
  </si>
  <si>
    <t xml:space="preserve">UCezoQqJ5WwSEChnmOXjL_Vg</t>
  </si>
  <si>
    <t xml:space="preserve">UCkgipZF3jZ092pI5SmqQE2A</t>
  </si>
  <si>
    <t xml:space="preserve">UCWoB5-oINs55zsWe3_sygzQ</t>
  </si>
  <si>
    <t xml:space="preserve">UC_oJGwWKdmd60g-TgzUsftA</t>
  </si>
  <si>
    <t xml:space="preserve">UCuaEAjCWMlisLdTjMaIYqoA</t>
  </si>
  <si>
    <t xml:space="preserve">UC8w2DN9jurGyj5sutscVs-A</t>
  </si>
  <si>
    <t xml:space="preserve">UC4jZ2BALmfj-jaqVRTMqllg</t>
  </si>
  <si>
    <t xml:space="preserve">UCHXQiDwicRon0tRuWj6r9HA</t>
  </si>
  <si>
    <t xml:space="preserve">UC7GOb_cdkMDFEMmWkpEgXxg</t>
  </si>
  <si>
    <t xml:space="preserve">UCCowzpLYUF9jiAiRvjVZUWg</t>
  </si>
  <si>
    <t xml:space="preserve">UChlm7CpCV3mjsYy75yAYmsg</t>
  </si>
  <si>
    <t xml:space="preserve">UC-XyYZQKwuvQn_054LwxW1g</t>
  </si>
  <si>
    <t xml:space="preserve">UCLTnwHxWXAstqT5UKz77Nrw</t>
  </si>
  <si>
    <t xml:space="preserve">UCx9alO2pQnxgu1NgSYvJk6w</t>
  </si>
  <si>
    <t xml:space="preserve">UCCe_Q4HpmEkO8LVm5iNWu2w</t>
  </si>
  <si>
    <t xml:space="preserve">UCAWc1T5KonQo_mUddZT7Jtw</t>
  </si>
  <si>
    <t xml:space="preserve">UCvyZuLnV2dpRH967KlZGitQ</t>
  </si>
  <si>
    <t xml:space="preserve">UCLEQTAREdFM_m8sb0x5Ybyw</t>
  </si>
  <si>
    <t xml:space="preserve">UCefjfxxzMUYefvTRHCmZDDQ</t>
  </si>
  <si>
    <t xml:space="preserve">UCzqqr31HSE-B4HcM1Cw4RiQ</t>
  </si>
  <si>
    <t xml:space="preserve">UCCn4pflwQQ87UBGpNa2aW8w</t>
  </si>
  <si>
    <t xml:space="preserve">UCFj_1lZPayzuQg-6qV0B_Fg</t>
  </si>
  <si>
    <t xml:space="preserve">UCM5Mdndebnhub-s4zCpZJgw</t>
  </si>
  <si>
    <t xml:space="preserve">UCsLnFXaQlNS5I15LEyY6XWA</t>
  </si>
  <si>
    <t xml:space="preserve">UCj5LGFfFcoXdATF2scVy0RQ</t>
  </si>
  <si>
    <t xml:space="preserve">UCpK0OmWgjd58g_9AjZFA6bg</t>
  </si>
  <si>
    <t xml:space="preserve">UC6G_BGNiPKWdUR1UfPWNb2g</t>
  </si>
  <si>
    <t xml:space="preserve">UC4VZcxg_iUSWFeroXeJRvvQ</t>
  </si>
  <si>
    <t xml:space="preserve">UCu4W71AyIzu7ha5DDdk0R2w</t>
  </si>
  <si>
    <t xml:space="preserve">UC99DlBJSwIIXVoZoIhcEc_w</t>
  </si>
  <si>
    <t xml:space="preserve">UCTliR7g25Jjg7MgaR_tbYWA</t>
  </si>
  <si>
    <t xml:space="preserve">UCJH1MAjd60bwan3LemCpvUw</t>
  </si>
  <si>
    <t xml:space="preserve">UC9iE_IUroAr5neQGrxqCp0A</t>
  </si>
  <si>
    <t xml:space="preserve">UCFv7K8PR140E4Hq0nVhE3-w</t>
  </si>
  <si>
    <t xml:space="preserve">UCAKqOR5_3SPm23t3E45VFxw</t>
  </si>
  <si>
    <t xml:space="preserve">UCfIb90qNkuW8jHPWrBgpQlw</t>
  </si>
  <si>
    <t xml:space="preserve">UCzyEmDMbOrhnhOUsaowVbkg</t>
  </si>
  <si>
    <t xml:space="preserve">UCkOGIPvrOfL-KUkTY5e6liw</t>
  </si>
  <si>
    <t xml:space="preserve">UCTbdNxjDpncG9eEA-Y0Y-OQ</t>
  </si>
  <si>
    <t xml:space="preserve">UC0tSe4U6Bq6msRckWOWjadw</t>
  </si>
  <si>
    <t xml:space="preserve">UC8f_M_lyvvi04LEPgo-eUhw</t>
  </si>
  <si>
    <t xml:space="preserve">UCst4MaGPWdKNsCnVk4HxPPg</t>
  </si>
  <si>
    <t xml:space="preserve">UC9BvPOEYsxcCevGMjtCUk2w</t>
  </si>
  <si>
    <t xml:space="preserve">UC-zFoffRUAR5G-TQPOeMeLA</t>
  </si>
  <si>
    <t xml:space="preserve">UCbxanGmDdJ3MrTvAb2Mx72A</t>
  </si>
  <si>
    <t xml:space="preserve">UCdM4H956LWBYnt0HOGJxmmw</t>
  </si>
  <si>
    <t xml:space="preserve">UC9cpGw2hVv-6G-76HO22jQg</t>
  </si>
  <si>
    <t xml:space="preserve">UCy7cu23HkXwAtXad_V169tA</t>
  </si>
  <si>
    <t xml:space="preserve">UCbNNiJzzLQWW1umv3soLhAg</t>
  </si>
  <si>
    <t xml:space="preserve">UC6pfNw4PF5JZMiKTyzsu_6w</t>
  </si>
  <si>
    <t xml:space="preserve">UCr18ZJbdVHBUL5QYkknePIw</t>
  </si>
  <si>
    <t xml:space="preserve">UCka-LOLt8jecvEorBQdzE0A</t>
  </si>
  <si>
    <t xml:space="preserve">UC4sCKRhRbvNFDbwZrQzcl8g</t>
  </si>
  <si>
    <t xml:space="preserve">UClwbBBJGp2TZQFMcsoObY8g</t>
  </si>
  <si>
    <t xml:space="preserve">UC3PsooDxvFG0aEBe4JVtAbg</t>
  </si>
  <si>
    <t xml:space="preserve">UCeR7VYq8u0ztlwOI8kK5KDA</t>
  </si>
  <si>
    <t xml:space="preserve">UC8ee7jOTBnuxUc9PlUkMhrw</t>
  </si>
  <si>
    <t xml:space="preserve">UCCGyRy9giQHL7txcI56Jx7w</t>
  </si>
  <si>
    <t xml:space="preserve">UC2NK9G9_Y1B7Dy97PtyKj4g</t>
  </si>
  <si>
    <t xml:space="preserve">UCbIdbdCA00n15L5FrolDIqw</t>
  </si>
  <si>
    <t xml:space="preserve">UCtoaqVcJ_Q2xz04LlPAjHMQ</t>
  </si>
  <si>
    <t xml:space="preserve">UCwktdXEtJ7ApalkqBVWFZ_g</t>
  </si>
  <si>
    <t xml:space="preserve">UCjwORsbw3fUFk2mYOy-8KTA</t>
  </si>
  <si>
    <t xml:space="preserve">UC2wu_pEdxcHmb5WmWqI2HHw</t>
  </si>
  <si>
    <t xml:space="preserve">UClF9UTljviumfJf7t-VR5tg</t>
  </si>
  <si>
    <t xml:space="preserve">UCZKdxkPSW9eaVFxdXed7cBA</t>
  </si>
  <si>
    <t xml:space="preserve">UCb88xuI9FpqcfStKbHKmXVw</t>
  </si>
  <si>
    <t xml:space="preserve">UCnldP2FT5jLcCrB7EEM05Jw</t>
  </si>
  <si>
    <t xml:space="preserve">UCeDZR-AoIIU-uBMemvchiKA</t>
  </si>
  <si>
    <t xml:space="preserve">UCRTwo9eeCfOwIeJvHXOfvWw</t>
  </si>
  <si>
    <t xml:space="preserve">UC-h4fwgQ2dUapgYgQyFZ06Q</t>
  </si>
  <si>
    <t xml:space="preserve">UC0hxGTlhX0_J8NE38nMf6pw</t>
  </si>
  <si>
    <t xml:space="preserve">UCn8RZ3IPOPT63fBiaH7suYQ</t>
  </si>
  <si>
    <t xml:space="preserve">UC1QlyoPizYPh_orRUhX5TOQ</t>
  </si>
  <si>
    <t xml:space="preserve">UCwic-oH6HYwBrQ8BOdO-JQQ</t>
  </si>
  <si>
    <t xml:space="preserve">UCvTzEmkbDC4BEcZgBIPwL-A</t>
  </si>
  <si>
    <t xml:space="preserve">UCUZ2UNkLRRBE9RV2FW54SIw</t>
  </si>
  <si>
    <t xml:space="preserve">UCQroRFb1JnNLmma4PEEFJgw</t>
  </si>
  <si>
    <t xml:space="preserve">UCnslQg3WwOlY_vyStYBuneA</t>
  </si>
  <si>
    <t xml:space="preserve">UCDfsPgs4LYv9D59ztH3VYMw</t>
  </si>
  <si>
    <t xml:space="preserve">UCvPi6VoWdrDOiHLpQKEYuCA</t>
  </si>
  <si>
    <t xml:space="preserve">UC-M9uVxX2f7Zo1iClFzc7xQ</t>
  </si>
  <si>
    <t xml:space="preserve">UCJsfZlThv4zh5DAU2w9PoKA</t>
  </si>
  <si>
    <t xml:space="preserve">UCbzivAoD7ihV4tUwFttgmbw</t>
  </si>
  <si>
    <t xml:space="preserve">UCAUtDYwrT-id3YngcV9zjsQ</t>
  </si>
  <si>
    <t xml:space="preserve">UCLoSA4APnVIgkMSCvUq0PBQ</t>
  </si>
  <si>
    <t xml:space="preserve">UC2A1C1TObH9Q8VqeC_ibWRw</t>
  </si>
  <si>
    <t xml:space="preserve">UCImDs2bgIdG1Sttrn-SwBPA</t>
  </si>
  <si>
    <t xml:space="preserve">UCBsy7f40NzuWOhP3YdyyBjA</t>
  </si>
  <si>
    <t xml:space="preserve">UC0yk_ZxVXm1A0zEiNMGmE-w</t>
  </si>
  <si>
    <t xml:space="preserve">UC-9zRQ9QyMxAEdzBaWUoReg</t>
  </si>
  <si>
    <t xml:space="preserve">UCyMkeofMCqsaOaKvhjQCQ7A</t>
  </si>
  <si>
    <t xml:space="preserve">UCcTU1xyKRbYwaT3VkHdCYBQ</t>
  </si>
  <si>
    <t xml:space="preserve">UC1XjCuRAiE22S6b1wMIakUA</t>
  </si>
  <si>
    <t xml:space="preserve">UCk6qkhdKuV94gG8Qr6j3Ikg</t>
  </si>
  <si>
    <t xml:space="preserve">UCcm3sM3TqzIhls-UsidvT-A</t>
  </si>
  <si>
    <t xml:space="preserve">UC26fqIs836AbDW3E5_c9UIg</t>
  </si>
  <si>
    <t xml:space="preserve">UCQNN77y7ScDfVDTTQNGeLJw</t>
  </si>
  <si>
    <t xml:space="preserve">UCRmedmgFcPmW2d8OMa2SUmg</t>
  </si>
  <si>
    <t xml:space="preserve">UCnw8UBdf1vlxNztylIUxHfg</t>
  </si>
  <si>
    <t xml:space="preserve">UCMqVAkpkap8Y6vLZo-yHu8g</t>
  </si>
  <si>
    <t xml:space="preserve">UCLR9WWhUuOwaVzk795dLopA</t>
  </si>
  <si>
    <t xml:space="preserve">UCWqLe3aVj0hjIGFQW57BLAw</t>
  </si>
  <si>
    <t xml:space="preserve">UCwjWUUCiv_TPoErI9AZv6Lg</t>
  </si>
  <si>
    <t xml:space="preserve">UCuRJxbyJDgX7U3pt3f8-weQ</t>
  </si>
  <si>
    <t xml:space="preserve">UC3Hf04FCarkXvNWEzm4FK6Q</t>
  </si>
  <si>
    <t xml:space="preserve">UCk_KyyWtMiARvSsrJ1iScYw</t>
  </si>
  <si>
    <t xml:space="preserve">UCK4heKgj4nD12NyWiaDZYxw</t>
  </si>
  <si>
    <t xml:space="preserve">UCsrLgUBOY1xMvIebiqlCchg</t>
  </si>
  <si>
    <t xml:space="preserve">UCGhBQTaYICEZCdXXrlFVUFA</t>
  </si>
  <si>
    <t xml:space="preserve">UCOsYbKWJfxGlpoYgLIJToeg</t>
  </si>
  <si>
    <t xml:space="preserve">UCMAwt7WeThwk_XqI-xtGivg</t>
  </si>
  <si>
    <t xml:space="preserve">UC-xP_ERtjrN8Ng4NR2knspw</t>
  </si>
  <si>
    <t xml:space="preserve">UCmnJL119P9QDC-4-oO6SJrg</t>
  </si>
  <si>
    <t xml:space="preserve">UCYNEOQVEgkIJjuJUriz_qhQ</t>
  </si>
  <si>
    <t xml:space="preserve">UC5MRyJnE_YgwyWXzEsGH8Kg</t>
  </si>
  <si>
    <t xml:space="preserve">UCD7huOuTMLbAwiWUnjBovdg</t>
  </si>
  <si>
    <t xml:space="preserve">UCnKlS1M4ddOOR0GV9bnYBig</t>
  </si>
  <si>
    <t xml:space="preserve">UCNFug3OBXaPcAZxZ8_9mU-Q</t>
  </si>
  <si>
    <t xml:space="preserve">UCe3FaaUqcE6Sw0rNDYiskrA</t>
  </si>
  <si>
    <t xml:space="preserve">UCEwFnZ6cY4bKdDV0oUgQqrQ</t>
  </si>
  <si>
    <t xml:space="preserve">UCzFbjdenBiv4hLKFB9GEGcg</t>
  </si>
  <si>
    <t xml:space="preserve">UC74w1jZV3k4xsaTIY9EfcVg</t>
  </si>
  <si>
    <t xml:space="preserve">UCCyRi6xglLj3fNaXaTtNLXg</t>
  </si>
  <si>
    <t xml:space="preserve">UCn-c789u_dmDzlG63IJRGKQ</t>
  </si>
  <si>
    <t xml:space="preserve">UC-2Ga6vFz3l4Q-O0jFVnIIg</t>
  </si>
  <si>
    <t xml:space="preserve">UCXLfkdCKRL-Z50FNeSpstfQ</t>
  </si>
  <si>
    <t xml:space="preserve">UCBMWFg3WTe4WTxiEv5OZYYg</t>
  </si>
  <si>
    <t xml:space="preserve">UCKYcfwIUDfVooez2xt1j0iQ</t>
  </si>
  <si>
    <t xml:space="preserve">UC-njV1M9SnQgDofzkcSB2Pg</t>
  </si>
  <si>
    <t xml:space="preserve">UCMhk9axSPCJMlW-lM16n-Tg</t>
  </si>
  <si>
    <t xml:space="preserve">UC9gxbqFx4jhKvdl-3mMmKNw</t>
  </si>
  <si>
    <t xml:space="preserve">UCUNjWvu4ifdUw6uFQuxDPOA</t>
  </si>
  <si>
    <t xml:space="preserve">UCI5xmP-dHazQME_H8es0sFA</t>
  </si>
  <si>
    <t xml:space="preserve">UCmOXxBg4BgIKTQX_OO2VJNg</t>
  </si>
  <si>
    <t xml:space="preserve">UCghFg2WDkSS4FvVu6UVQ0dQ</t>
  </si>
  <si>
    <t xml:space="preserve">UCBGVW3mrW4mfSvfEHXW3icQ</t>
  </si>
  <si>
    <t xml:space="preserve">UCLgCKWviabKF5dINmgY669g</t>
  </si>
  <si>
    <t xml:space="preserve">UCyzb5WMm21Meb0KRMuzi5zQ</t>
  </si>
  <si>
    <t xml:space="preserve">UCkEC_eogExYEwhRxvAIDxug</t>
  </si>
  <si>
    <t xml:space="preserve">UCEAg-K4CF15qlSB3P-GNGeQ</t>
  </si>
  <si>
    <t xml:space="preserve">UCYFuxO6A0B-QfkxbPj33zrA</t>
  </si>
  <si>
    <t xml:space="preserve">UCsq4gc-EDXqxZZbaRjqFeTw</t>
  </si>
  <si>
    <t xml:space="preserve">UCASrUmw7uENmtokdrcWSQPg</t>
  </si>
  <si>
    <t xml:space="preserve">UCK4YALcySHCyYa2pEe7t0NQ</t>
  </si>
  <si>
    <t xml:space="preserve">UCYoj2l9OTYs6bKRreQebYXA</t>
  </si>
  <si>
    <t xml:space="preserve">UCklxTnDkt61GE7TShQOOrcg</t>
  </si>
  <si>
    <t xml:space="preserve">UCN6s7SY8cFX60Dc1ra_b89Q</t>
  </si>
  <si>
    <t xml:space="preserve">UCD_yzrvcYJkjfnF6Bf1JrnQ</t>
  </si>
  <si>
    <t xml:space="preserve">UCux9hwsBA6Uw02rJfvPveiA</t>
  </si>
  <si>
    <t xml:space="preserve">UCukWs-5bVk49S0DPkrognPw</t>
  </si>
  <si>
    <t xml:space="preserve">UCGnG89EnP8FgEiaQN26pgVw</t>
  </si>
  <si>
    <t xml:space="preserve">UC3TtRPcS6V0qb98uygXCpuQ</t>
  </si>
  <si>
    <t xml:space="preserve">UCrWZZJICp2nafJWnC9EnszQ</t>
  </si>
  <si>
    <t xml:space="preserve">UChb1SU40i5uYn0EHcvVyzAg</t>
  </si>
  <si>
    <t xml:space="preserve">UC8D0OhZKnAbbFhFP6362tTw</t>
  </si>
  <si>
    <t xml:space="preserve">UCPFemX6Rioygkc3gqx2V3Jw</t>
  </si>
  <si>
    <t xml:space="preserve">UCJ7czAlpYL2ePjJpNxLuwxQ</t>
  </si>
  <si>
    <t xml:space="preserve">UC3YQHxI-65ip5Mw3Z1eqb4w</t>
  </si>
  <si>
    <t xml:space="preserve">UCQlb-d65WXc74ni08kHZR1g</t>
  </si>
  <si>
    <t xml:space="preserve">UCpuFs1OlhuxbOPSA_FC8PUQ</t>
  </si>
  <si>
    <t xml:space="preserve">UC3T4fKy6TaBb_WViSgQl1Ww</t>
  </si>
  <si>
    <t xml:space="preserve">UCtnztQV4Lfuh5vxJU_3EP_A</t>
  </si>
  <si>
    <t xml:space="preserve">UCA2QkPzEOTVw5sFpHATSH7A</t>
  </si>
  <si>
    <t xml:space="preserve">UCU_5oIcVdb5pjLlhrWrI_Tg</t>
  </si>
  <si>
    <t xml:space="preserve">UCZodJZRZMJmgnq_Nih6vCEw</t>
  </si>
  <si>
    <t xml:space="preserve">UCDje1pl9oyWbwovZaMmEivg</t>
  </si>
  <si>
    <t xml:space="preserve">UCXpIVRiyfsMB2aXXn2yq6LA</t>
  </si>
  <si>
    <t xml:space="preserve">UCZvancwkgqJAxzL4potZd4g</t>
  </si>
  <si>
    <t xml:space="preserve">UCfMW5pK0WTjv8JSoSIo4uUg</t>
  </si>
  <si>
    <t xml:space="preserve">UCCbP6Kg5y5ljnK5dsT94kdQ</t>
  </si>
  <si>
    <t xml:space="preserve">UCl6YtJZLfKe3Z3x6h-_Yzcw</t>
  </si>
  <si>
    <t xml:space="preserve">UCMwMSdGFIw95LN8q2Gh9vcw</t>
  </si>
  <si>
    <t xml:space="preserve">UCrVOcb2fJCaVQlsI1_O_kHQ</t>
  </si>
  <si>
    <t xml:space="preserve">UCXkTX01spUrR2ZqlClESArw</t>
  </si>
  <si>
    <t xml:space="preserve">UClRPR4RDy-go2SbfZ8odFGA</t>
  </si>
  <si>
    <t xml:space="preserve">UCDIXpN8WOTPEDtx4ZaoPF0w</t>
  </si>
  <si>
    <t xml:space="preserve">UCw5qNQgqEhO8Um-av1UX4lA</t>
  </si>
  <si>
    <t xml:space="preserve">UCc9013Dj8CIjnBvYmu9edjA</t>
  </si>
  <si>
    <t xml:space="preserve">UCTXoitMnml5ViuIHY73qfpw</t>
  </si>
  <si>
    <t xml:space="preserve">UCFzKlPaWmFRIOZDgTUNGRiQ</t>
  </si>
  <si>
    <t xml:space="preserve">UCaReSBAGlIG99UYS5ry7wUw</t>
  </si>
  <si>
    <t xml:space="preserve">UCymXLWWse2egh1gq1yxsxyQ</t>
  </si>
  <si>
    <t xml:space="preserve">UC9Awl_4qjLO8-SqJ2VkpMZg</t>
  </si>
  <si>
    <t xml:space="preserve">UCJHtUUFE8lnVsf1o2FJODJQ</t>
  </si>
  <si>
    <t xml:space="preserve">UC08grsjqNoRswN1_H8iD38w</t>
  </si>
  <si>
    <t xml:space="preserve">UCtMa0aeC2SNsyOBAYRpDIzg</t>
  </si>
  <si>
    <t xml:space="preserve">UC2ZNaSf4OXcNQfebPrdMKAw</t>
  </si>
  <si>
    <t xml:space="preserve">UC1SC0EAixPdfQZHGywNk4Qw</t>
  </si>
  <si>
    <t xml:space="preserve">UCH3NyccoVmX0O6Bp3dlyqdw</t>
  </si>
  <si>
    <t xml:space="preserve">UCPFMiu2-9YKCvJ7eoB7dKUA</t>
  </si>
  <si>
    <t xml:space="preserve">UC9v_KhFxEX6D4f3oDd9_LIQ</t>
  </si>
  <si>
    <t xml:space="preserve">UC-Qby4x-8JDiznGG9l1wLpw</t>
  </si>
  <si>
    <t xml:space="preserve">UCazfE6mXdHXkSU6c0sEqlYQ</t>
  </si>
  <si>
    <t xml:space="preserve">UC1ZJMxWLx_JSRGCzJ1V7VdA</t>
  </si>
  <si>
    <t xml:space="preserve">UC4iA_MT5xczu_8cCQPBk0fA</t>
  </si>
  <si>
    <t xml:space="preserve">UCmor3c2v7S0846OdelClrNQ</t>
  </si>
  <si>
    <t xml:space="preserve">UCMrxij-L0HJ7dQJ_QQid3Xg</t>
  </si>
  <si>
    <t xml:space="preserve">UC9o_tB1YdmB8qFwAZZU5dtg</t>
  </si>
  <si>
    <t xml:space="preserve">UC507uEmHkM4ZRoEYswIqMFQ</t>
  </si>
  <si>
    <t xml:space="preserve">UCnyW0rpQk893kds7RCGR49g</t>
  </si>
  <si>
    <t xml:space="preserve">UCB_3ozr38H1A4Qh4jvBZHGg</t>
  </si>
  <si>
    <t xml:space="preserve">UCyjy3LTL7AIV_Iwf4A9PeGw</t>
  </si>
  <si>
    <t xml:space="preserve">UCKavz3-g2yDA-dds-fIQqWw</t>
  </si>
  <si>
    <t xml:space="preserve">UCp1T3Oi6gaNy7cngeEfQ09g</t>
  </si>
  <si>
    <t xml:space="preserve">UCLsRpB5Vfpm4cr1f-cbPUzA</t>
  </si>
  <si>
    <t xml:space="preserve">UCCThDD5tzLSspr3voqBhOvw</t>
  </si>
  <si>
    <t xml:space="preserve">UC36y73-6QGeyZxN3x_w-aFQ</t>
  </si>
  <si>
    <t xml:space="preserve">UCD-j8GPJ8zoIif6rNkzRamg</t>
  </si>
  <si>
    <t xml:space="preserve">UCCP4EvINOkgSZl60x1jPwIA</t>
  </si>
  <si>
    <t xml:space="preserve">UCgeBWUC7114kTI9MiopMHUA</t>
  </si>
  <si>
    <t xml:space="preserve">UCZLc48-3Z-lqU05NojeSjUA</t>
  </si>
  <si>
    <t xml:space="preserve">UCyCg7eZGaE5MPNer0AuZjoA</t>
  </si>
  <si>
    <t xml:space="preserve">UC1PbgMLgUZVxKTksBSlmbtg</t>
  </si>
  <si>
    <t xml:space="preserve">UCxv-bOfqQbEoK-ahXfjlazQ</t>
  </si>
  <si>
    <t xml:space="preserve">UCMFVP3Y12JCFgf2kKdq7sDg</t>
  </si>
  <si>
    <t xml:space="preserve">UCj071jozR0lDwkeBXA8k4og</t>
  </si>
  <si>
    <t xml:space="preserve">UCezx5_ObFYw0YRKj6qHyGbA</t>
  </si>
  <si>
    <t xml:space="preserve">UCEg0ejS8pCtjcfcJwYLpJog</t>
  </si>
  <si>
    <t xml:space="preserve">UCnaATjUxlDlOHbGQ8rNFmrw</t>
  </si>
  <si>
    <t xml:space="preserve">UCtEUnJ6P2gfffyK9olbutag</t>
  </si>
  <si>
    <t xml:space="preserve">UCKQ_lwJiewjitaaBDTfIWGg</t>
  </si>
  <si>
    <t xml:space="preserve">UCUumszIie8-D0LXi9AbvYCg</t>
  </si>
  <si>
    <t xml:space="preserve">UCK74VTJajtiAWbkfl7qHe0w</t>
  </si>
  <si>
    <t xml:space="preserve">UCHp2l85XAthEd4CPblhmT7Q</t>
  </si>
  <si>
    <t xml:space="preserve">UCiWowcNr-TrfODGOV08TCkw</t>
  </si>
  <si>
    <t xml:space="preserve">UC9CmdMkTppMfKGn231QOJvg</t>
  </si>
  <si>
    <t xml:space="preserve">UC7sax4ynbiUJ5TtPCKxqTIg</t>
  </si>
  <si>
    <t xml:space="preserve">UCgcMNAYC1dpVU54HHU6LkAA</t>
  </si>
  <si>
    <t xml:space="preserve">UCFlpGKkFc9KW6aWbDdx3oVQ</t>
  </si>
  <si>
    <t xml:space="preserve">UCuhY_kevdRqOjBlGOh_UA2w</t>
  </si>
  <si>
    <t xml:space="preserve">UCyJ8TJ86edoJd_f1E7Q5LNw</t>
  </si>
  <si>
    <t xml:space="preserve">UCZ5MoCwqHj42dFpGsCyknjw</t>
  </si>
  <si>
    <t xml:space="preserve">UCrACgZ-GbUGIQv82PNtpTgQ</t>
  </si>
  <si>
    <t xml:space="preserve">UCyJd4Mw19iJglF12kJfpGuQ</t>
  </si>
  <si>
    <t xml:space="preserve">UCDy0EyRnE59QCDKojpqqCcA</t>
  </si>
  <si>
    <t xml:space="preserve">UCMy4bjwHgwCqkeQCALVFG-w</t>
  </si>
  <si>
    <t xml:space="preserve">UCgOv5Ie4SG8ttxgM5G47YDg</t>
  </si>
  <si>
    <t xml:space="preserve">UCrna4ETvr_rWMjejCd9g2Cw</t>
  </si>
  <si>
    <t xml:space="preserve">UC9LRzVsUZkX0oMh783xfFeA</t>
  </si>
  <si>
    <t xml:space="preserve">UCwJ2Li8qsFYRTlFpM-mZUJw</t>
  </si>
  <si>
    <t xml:space="preserve">UC8WdiBgHIFDMJnGu24KZ_KA</t>
  </si>
  <si>
    <t xml:space="preserve">UCqZeVBcZvtRS8XfNjCk-JTw</t>
  </si>
  <si>
    <t xml:space="preserve">UCHYSkzJO7rE2NC4W62FYpcw</t>
  </si>
  <si>
    <t xml:space="preserve">UCsArQBhjBvTrI6fGIu_8WWQ</t>
  </si>
  <si>
    <t xml:space="preserve">UCPng2IH51bBcewVHo2i7zGg</t>
  </si>
  <si>
    <t xml:space="preserve">UCB9xCD612M7TkWKmJY5_lpw</t>
  </si>
  <si>
    <t xml:space="preserve">UCmXCfCIPVKtQqKsnT69XXOg</t>
  </si>
  <si>
    <t xml:space="preserve">UCfIiDhqRzQP4eZKfxbTLu0g</t>
  </si>
  <si>
    <t xml:space="preserve">UC-PZTLC76QWhvOOkbI6m16A</t>
  </si>
  <si>
    <t xml:space="preserve">UCbrzodypxhc9_cOg5kqre6Q</t>
  </si>
  <si>
    <t xml:space="preserve">UCROYN-84BHfLJIDFTHDeX2w</t>
  </si>
  <si>
    <t xml:space="preserve">UC56HJOGq5pVYsOcJO4VSzsQ</t>
  </si>
  <si>
    <t xml:space="preserve">UCWCiTvnpnEv0EFJV9NvGlSQ</t>
  </si>
  <si>
    <t xml:space="preserve">UCRw5sObvxfI2M4T6Mi52LpQ</t>
  </si>
  <si>
    <t xml:space="preserve">UCdU1XiNM6QVMGcTqe7m7TuA</t>
  </si>
  <si>
    <t xml:space="preserve">UCYpMGXkKpWv32cfV0Avw2Cg</t>
  </si>
  <si>
    <t xml:space="preserve">UCAZF3WiTLHsVJTlCvQmJiFw</t>
  </si>
  <si>
    <t xml:space="preserve">UC0CDr2jYBlfZ9TdP572qYuQ</t>
  </si>
  <si>
    <t xml:space="preserve">UC_tQq730floHxQkyM5GgWtQ</t>
  </si>
  <si>
    <t xml:space="preserve">UCATa5ZCT4szLoCBt52bd2ZQ</t>
  </si>
  <si>
    <t xml:space="preserve">UC-I1VF7OUlkhIzBO6qvOs7Q</t>
  </si>
  <si>
    <t xml:space="preserve">UCGr4hHDdC_DWEKM5eTjqYVg</t>
  </si>
  <si>
    <t xml:space="preserve">UCKqFnVooI6Otub2YO-8t1Yw</t>
  </si>
  <si>
    <t xml:space="preserve">UCr_E3Kw82DftqZNczISE6bA</t>
  </si>
  <si>
    <t xml:space="preserve">UCxpKViMUaXFQ6yWzr7TCkVA</t>
  </si>
  <si>
    <t xml:space="preserve">UCUF6g0RJhaggYyaUQWQkYfw</t>
  </si>
  <si>
    <t xml:space="preserve">UCaVdApj22yWDnsPCOXgOsng</t>
  </si>
  <si>
    <t xml:space="preserve">UCPsgRbrdpMSTFe_11StQ1ZQ</t>
  </si>
  <si>
    <t xml:space="preserve">UCKluA8kfCcsAj131qMpYm3g</t>
  </si>
  <si>
    <t xml:space="preserve">UC0z1aTgCt_4b0o4s8Tc6Nuw</t>
  </si>
  <si>
    <t xml:space="preserve">UCSh-zF-LcAHiGUITBtl7c2Q</t>
  </si>
  <si>
    <t xml:space="preserve">UCh8P1qWHZyoEwcW0UOYiKSg</t>
  </si>
  <si>
    <t xml:space="preserve">UC5vW6kz9X5Csf7Qpn9r-9nA</t>
  </si>
  <si>
    <t xml:space="preserve">UCuoVKzynVoqhYUB_-DfQ2AQ</t>
  </si>
  <si>
    <t xml:space="preserve">UC4a8JUTKGmjblSHa2asd7EQ</t>
  </si>
  <si>
    <t xml:space="preserve">UC1hj-wVKvD4qo3FIlViBA-g</t>
  </si>
  <si>
    <t xml:space="preserve">UCyntODq9rKnqsZxNo1tGAEA</t>
  </si>
  <si>
    <t xml:space="preserve">UC_9KqaLJtGuinCia1IN9Quw</t>
  </si>
  <si>
    <t xml:space="preserve">UCdpWnO00tdgStnlki5Q_F6w</t>
  </si>
  <si>
    <t xml:space="preserve">UC3BhgM9cJkBi--K0bxT3byA</t>
  </si>
  <si>
    <t xml:space="preserve">UCNsG6jhhBNO-LjjleFsuqOQ</t>
  </si>
  <si>
    <t xml:space="preserve">UCWCG9l0KB91gV1bB1C7fVLw</t>
  </si>
  <si>
    <t xml:space="preserve">UC0F5wYaREk9M9GjudOSp0Qg</t>
  </si>
  <si>
    <t xml:space="preserve">UCMfRUWKmNyz88opPLMB0pCg</t>
  </si>
  <si>
    <t xml:space="preserve">UCzelA5kqD9v6k6drK44l4_g</t>
  </si>
  <si>
    <t xml:space="preserve">UCdRT1nhtAWpWyCe8wurLktA</t>
  </si>
  <si>
    <t xml:space="preserve">UC-IjO0C_5_PhCYs1n3bpOjQ</t>
  </si>
  <si>
    <t xml:space="preserve">UCtgXJy0Ndynm-6U8ruA_WKg</t>
  </si>
  <si>
    <t xml:space="preserve">UCjrqYkdrvf6MHFOzZQf6HwA</t>
  </si>
  <si>
    <t xml:space="preserve">UCzr83xLuPSeOGLDHky-u2mg</t>
  </si>
  <si>
    <t xml:space="preserve">UCC_gNf3E5VZ4pIDpifIlxTg</t>
  </si>
  <si>
    <t xml:space="preserve">UCRtEWt48CRchY1X_5CWSrPw</t>
  </si>
  <si>
    <t xml:space="preserve">UCUWHlDsBGwsgiIvuY7B0INQ</t>
  </si>
  <si>
    <t xml:space="preserve">UCHUftyhuJrerVx9yWntJUdA</t>
  </si>
  <si>
    <t xml:space="preserve">UCu08jFEUczfFnq2VMknsk_g</t>
  </si>
  <si>
    <t xml:space="preserve">UCAtYISjPM8p1-8ot1vf9kPA</t>
  </si>
  <si>
    <t xml:space="preserve">UCeIyEcELndlOCF5JY-lzb4w</t>
  </si>
  <si>
    <t xml:space="preserve">UC3LW_QAsjdNmUFf1Tpb_x8Q</t>
  </si>
  <si>
    <t xml:space="preserve">UCXJhrvWgd1v3jb8X1SZfcOg</t>
  </si>
  <si>
    <t xml:space="preserve">UC-NYMEVTw75VpgChtUcYQNg</t>
  </si>
  <si>
    <t xml:space="preserve">UC1Ruv0Qh67Eca5ASxMiDraw</t>
  </si>
  <si>
    <t xml:space="preserve">UCG2P5uuWoy_2p1dRLeB6iRg</t>
  </si>
  <si>
    <t xml:space="preserve">UCakwd7fE8Kfkq-aIcrDmCyQ</t>
  </si>
  <si>
    <t xml:space="preserve">UC1d5koc5cVDThGB-0dx6-qg</t>
  </si>
  <si>
    <t xml:space="preserve">UCJ2DPOliTQSNWVeJWNWL6JQ</t>
  </si>
  <si>
    <t xml:space="preserve">UCUqHjKKkpSvDJQoV3N9fnbg</t>
  </si>
  <si>
    <t xml:space="preserve">UC6l9viMdZpovW5qH05GBIyw</t>
  </si>
  <si>
    <t xml:space="preserve">UCuT2Sw3RhOPwj5pj-xwHqJQ</t>
  </si>
  <si>
    <t xml:space="preserve">UCCjUBa9TMpYmsnKazkV75ig</t>
  </si>
  <si>
    <t xml:space="preserve">UC37l04o9cEn2iiLJmcgMYtg</t>
  </si>
  <si>
    <t xml:space="preserve">UCKATni_cPtV4ZO80MpTvXsg</t>
  </si>
  <si>
    <t xml:space="preserve">UC3AEIcsSKLrjvUUtEduZZ5g</t>
  </si>
  <si>
    <t xml:space="preserve">UC9PoSJoftLvEnXT-PtQ5Wtw</t>
  </si>
  <si>
    <t xml:space="preserve">UC6d0kHLA4jnpq50OAuMfRhw</t>
  </si>
  <si>
    <t xml:space="preserve">UCZ66fgy4YeJheQdu-G4U2Mg</t>
  </si>
  <si>
    <t xml:space="preserve">UCgwCja7-NXA9c_Supcf2rbg</t>
  </si>
  <si>
    <t xml:space="preserve">UCWL0LmizRxcHY76dahSHttQ</t>
  </si>
  <si>
    <t xml:space="preserve">UC20TPWLJPdIZYMz3NyRla_g</t>
  </si>
  <si>
    <t xml:space="preserve">UCTRxnMudmOGNw0g4gZf5D8g</t>
  </si>
  <si>
    <t xml:space="preserve">UC-LAdUcXpFsz2DGFIcHeHDw</t>
  </si>
  <si>
    <t xml:space="preserve">UC_P81iEFMySBDvVypl5qMJQ</t>
  </si>
  <si>
    <t xml:space="preserve">UC3h71tP1oBtqoi2JSt7n_Pg</t>
  </si>
  <si>
    <t xml:space="preserve">UCdwS-tjn0CKVoLD05KjN-dw</t>
  </si>
  <si>
    <t xml:space="preserve">UC_6BoiaLZ0eS2x2_dSqsoyw</t>
  </si>
  <si>
    <t xml:space="preserve">UCAbBB48flN4pVEcqa37QE1w</t>
  </si>
  <si>
    <t xml:space="preserve">UC6I5tQ-T-aGQHOPpiEL-4qQ</t>
  </si>
  <si>
    <t xml:space="preserve">UCMsEZ4DiNPPHx-Fkc_ECuBg</t>
  </si>
  <si>
    <t xml:space="preserve">UCfeVHm8AqJ0AtvtjhFoFT5A</t>
  </si>
  <si>
    <t xml:space="preserve">UCWgYtZWVHvDUTqItB6lwI4A</t>
  </si>
  <si>
    <t xml:space="preserve">UCFAxAC1DLKO9oc-esOC801Q</t>
  </si>
  <si>
    <t xml:space="preserve">UCTnETM8SXLVChvnf6wAfyxg</t>
  </si>
  <si>
    <t xml:space="preserve">UCmkaKwsynD0a253v0g3Sj1g</t>
  </si>
  <si>
    <t xml:space="preserve">UCEmJubp8-iSy1gXBVkaMImg</t>
  </si>
  <si>
    <t xml:space="preserve">UC2SoO31MFfwqNgGGZSkTZcg</t>
  </si>
  <si>
    <t xml:space="preserve">UCaRSag9TtV33NAk67dmu9Yg</t>
  </si>
  <si>
    <t xml:space="preserve">UCp5gcCb33T5k7i72FX4n-5g</t>
  </si>
  <si>
    <t xml:space="preserve">UCtuESp4KJSEW1qa6xMN73fg</t>
  </si>
  <si>
    <t xml:space="preserve">UCUcteoS0r4xCtK8D3bD3I8Q</t>
  </si>
  <si>
    <t xml:space="preserve">UCEolzR2qzWvZys2WFgvgSsw</t>
  </si>
  <si>
    <t xml:space="preserve">UCtHGthV3UJb_fUn0r3csQ7Q</t>
  </si>
  <si>
    <t xml:space="preserve">UCVtv2TredJ2LSwuxsYvr8Og</t>
  </si>
  <si>
    <t xml:space="preserve">UCqTJFC4i1X261hhma5DQGaQ</t>
  </si>
  <si>
    <t xml:space="preserve">UC8uiiMlcVCotLe6eyoY3Fjw</t>
  </si>
  <si>
    <t xml:space="preserve">UCDyqCxqgF6wmT5TkSCjIcyw</t>
  </si>
  <si>
    <t xml:space="preserve">UCjryV4VoaDou6yZzep7005w</t>
  </si>
  <si>
    <t xml:space="preserve">UC8FAP0wDUZz2rHh86cpppog</t>
  </si>
  <si>
    <t xml:space="preserve">UCc7gpqMnnOSbU_F2-5MVVZw</t>
  </si>
  <si>
    <t xml:space="preserve">UC-7jpsrhuSgkze9xC5pN2_A</t>
  </si>
  <si>
    <t xml:space="preserve">UCbOuW8UdzNMteORjGDiIIhw</t>
  </si>
  <si>
    <t xml:space="preserve">UCUeMAFA1drmYIHIE_5fXD8w</t>
  </si>
  <si>
    <t xml:space="preserve">UCGpTso5vLOk1POX2ruxBwAQ</t>
  </si>
  <si>
    <t xml:space="preserve">UCE-b8Z139G8rq9ekW8VjVQA</t>
  </si>
  <si>
    <t xml:space="preserve">UC-PPlFHLfi4wcFOe6DrReCQ</t>
  </si>
  <si>
    <t xml:space="preserve">UCHdHf5RbtKxgaAm9aQEKaVA</t>
  </si>
  <si>
    <t xml:space="preserve">UCqwg9ocLh_vc21PpErWZP1Q</t>
  </si>
  <si>
    <t xml:space="preserve">UCIfPgdRBzL9kbGSjynfuMOw</t>
  </si>
  <si>
    <t xml:space="preserve">UCoQOfMZRp55bM3uSHcW0nlQ</t>
  </si>
  <si>
    <t xml:space="preserve">UCNXVaq8LI7xBwZ76HJqlvvw</t>
  </si>
  <si>
    <t xml:space="preserve">UC9n-IAg-OK1d5h0NU6wPPKw</t>
  </si>
  <si>
    <t xml:space="preserve">UClvpZMFJC3nE6Lup1Ota5iA</t>
  </si>
  <si>
    <t xml:space="preserve">UCevnL1_oC_oAEmBnuk-789A</t>
  </si>
  <si>
    <t xml:space="preserve">UCDpp2MFPdh0xH8GXtv2kxtg</t>
  </si>
  <si>
    <t xml:space="preserve">UCWTPoWjoIeJphM41a-yA-kg</t>
  </si>
  <si>
    <t xml:space="preserve">UCEsVZ_OsV6GEjrpfrpEuZ1w</t>
  </si>
  <si>
    <t xml:space="preserve">UCZ9pGv09SzccI_ZP8j6zbfA</t>
  </si>
  <si>
    <t xml:space="preserve">UC4jBN3QMGcqVm_GLhu28xUg</t>
  </si>
  <si>
    <t xml:space="preserve">UCKHNtOTcwDm-qQst3-RpQlw</t>
  </si>
  <si>
    <t xml:space="preserve">UCDQ4bJwODX15QPrj0CCGUSw</t>
  </si>
  <si>
    <t xml:space="preserve">UCGh8Ngvs91EZFMzFygZAnsw</t>
  </si>
  <si>
    <t xml:space="preserve">UCZL8IjsvThThoDgmTYrZM2w</t>
  </si>
  <si>
    <t xml:space="preserve">UCjdV7QZWoie4CeqqYPsi7hw</t>
  </si>
  <si>
    <t xml:space="preserve">UCI1iAolc9wHoIL9Pe03fi7w</t>
  </si>
  <si>
    <t xml:space="preserve">UCrsaRHU7C1Rl7y0eP6zn5Rw</t>
  </si>
  <si>
    <t xml:space="preserve">UCG0OsYCIhgSce_TyTM_kc8g</t>
  </si>
  <si>
    <t xml:space="preserve">UC4nVN8yo19nKuJgA9RKCTRQ</t>
  </si>
  <si>
    <t xml:space="preserve">UC8Upsc0lcPIJGu4KNfUzJkA</t>
  </si>
  <si>
    <t xml:space="preserve">UC6RzhpVvcxwW-oZ9oYiXO0Q</t>
  </si>
  <si>
    <t xml:space="preserve">UCF_aWln1bSo3AEOD4F5pVUw</t>
  </si>
  <si>
    <t xml:space="preserve">UCkfrCsQB93Gt9ttWWQHg0tQ</t>
  </si>
  <si>
    <t xml:space="preserve">UCFMHW0eAkAh8mITEV1e_pPg</t>
  </si>
  <si>
    <t xml:space="preserve">UC7qKyp8hxObGIpeO3Xu2XPA</t>
  </si>
  <si>
    <t xml:space="preserve">UCjeu9L1rO-LQ88NsC5IK3XA</t>
  </si>
  <si>
    <t xml:space="preserve">UCxFqu5ogfORHnip6r9oC1eA</t>
  </si>
  <si>
    <t xml:space="preserve">UCFS8aUm5hUyZRQgRRuu57UA</t>
  </si>
  <si>
    <t xml:space="preserve">UC5oAzZA9ymIVTkIhEt0Rb2A</t>
  </si>
  <si>
    <t xml:space="preserve">UCaGrNkYMG_05mCjeLQy6yzg</t>
  </si>
  <si>
    <t xml:space="preserve">UCYM-JUh0TkkiGoaDY5eqkFA</t>
  </si>
  <si>
    <t xml:space="preserve">UCan6AI1ASU12XvVTom1WglQ</t>
  </si>
  <si>
    <t xml:space="preserve">UCs8tCrQGj_1_lXZwRiJO3oQ</t>
  </si>
  <si>
    <t xml:space="preserve">UC5xHrtUXzY7jem1wV1xxVHQ</t>
  </si>
  <si>
    <t xml:space="preserve">UCSQ7hHnWkDMyDBEp-h1Pqbg</t>
  </si>
  <si>
    <t xml:space="preserve">UC3Le06q7afg_FmSj6huHJPQ</t>
  </si>
  <si>
    <t xml:space="preserve">UCjEZzGGnUEius3ooJYtijuQ</t>
  </si>
  <si>
    <t xml:space="preserve">UCTxNZI7BOwoFoVWNEfIETLg</t>
  </si>
  <si>
    <t xml:space="preserve">UCCx-9-HIZdStDXjxeoOi0OQ</t>
  </si>
  <si>
    <t xml:space="preserve">UCumAv_FEtgLh1IWPknzJ0OQ</t>
  </si>
  <si>
    <t xml:space="preserve">UCDN-_nPU-4rKTMsb0RERtXg</t>
  </si>
  <si>
    <t xml:space="preserve">UCcLsovdT-CpnCwUZ_FsNfnQ</t>
  </si>
  <si>
    <t xml:space="preserve">UCakj-rp4juLPptYDl8KiHrw</t>
  </si>
  <si>
    <t xml:space="preserve">UCgs9JNEtY4HOIK0fLEPyT6Q</t>
  </si>
  <si>
    <t xml:space="preserve">UCu0vra4jQ4esgUpJ9nx3LlQ</t>
  </si>
  <si>
    <t xml:space="preserve">UCwedbKo27-rwgZqkYYQwZbA</t>
  </si>
  <si>
    <t xml:space="preserve">UCV3rR6KyYPPVlQ0DdGSgI8A</t>
  </si>
  <si>
    <t xml:space="preserve">UCX2GQwY94aG8f5tjQufl1Mw</t>
  </si>
  <si>
    <t xml:space="preserve">UCbPfW4KDhfbEwCcW0kHrR9g</t>
  </si>
  <si>
    <t xml:space="preserve">UCHJeCmKzFq3u3DuvnpeK4bQ</t>
  </si>
  <si>
    <t xml:space="preserve">UCG6JaN60ZwTEPk3rE8Sjq_w</t>
  </si>
  <si>
    <t xml:space="preserve">UCvxAt_WebjZ_-pMsxpraROg</t>
  </si>
  <si>
    <t xml:space="preserve">UC0OV_58VSgsCS6Z5t57IiNw</t>
  </si>
  <si>
    <t xml:space="preserve">UCWtKeCH3qnbq6GZpDiqgsKg</t>
  </si>
  <si>
    <t xml:space="preserve">UCc9_SUiDCV6DSSndt9o8W4g</t>
  </si>
  <si>
    <t xml:space="preserve">UCUzR0J-zG9fI1BPKGhpEHKA</t>
  </si>
  <si>
    <t xml:space="preserve">UC9j4z77QxI3mJhl5yi58i0w</t>
  </si>
  <si>
    <t xml:space="preserve">UCz2MRZfgplMHj-oQzrAee_w</t>
  </si>
  <si>
    <t xml:space="preserve">UCIW-VKVfc1eSV1hLK27zrLg</t>
  </si>
  <si>
    <t xml:space="preserve">UCCTvQztzIHQiklKLMIVrAyQ</t>
  </si>
  <si>
    <t xml:space="preserve">UC8L_SQU-FqIMk-4AfWT2CvA</t>
  </si>
  <si>
    <t xml:space="preserve">UCcT2rs8wqyzl2ywrsI24HiQ</t>
  </si>
  <si>
    <t xml:space="preserve">UCNp2LwM79QJYEwt25o8-B1w</t>
  </si>
  <si>
    <t xml:space="preserve">UC42UCFu4p4sRHWNOyCjkqGQ</t>
  </si>
  <si>
    <t xml:space="preserve">UCdwBYEuX-E8WxBnOkkv22ZA</t>
  </si>
  <si>
    <t xml:space="preserve">UCdEtpnaEyqVJ3p5Xm3OqMEg</t>
  </si>
  <si>
    <t xml:space="preserve">UCwfn1QfWF_L83WXf5e7tFsA</t>
  </si>
  <si>
    <t xml:space="preserve">UCU1fdHIAHC5XH8B_8hcCHUg</t>
  </si>
  <si>
    <t xml:space="preserve">UCtn51SvTKCLLpkIgDvs04Fg</t>
  </si>
  <si>
    <t xml:space="preserve">UCD_u3AOsgY6fFy61PEKoo4A</t>
  </si>
  <si>
    <t xml:space="preserve">UCGxA4M015NeJk3HCQU8S9SA</t>
  </si>
  <si>
    <t xml:space="preserve">UCU6xdXgWliHaAVKIVgNRK-Q</t>
  </si>
  <si>
    <t xml:space="preserve">UCMLa7SJrUOsbif-G_OhGnbQ</t>
  </si>
  <si>
    <t xml:space="preserve">UCwXxvdxjPxzGOYTaeXRDpDA</t>
  </si>
  <si>
    <t xml:space="preserve">UCkuYgPPSM3GRjrAD3_GRz5Q</t>
  </si>
  <si>
    <t xml:space="preserve">UCoBN-gIC21XDYMS9AlX8KYw</t>
  </si>
  <si>
    <t xml:space="preserve">UCSxY3aIGBg47WJASNYH6mUA</t>
  </si>
  <si>
    <t xml:space="preserve">UCwtjcbbTiBVoQIP_8gw4NJw</t>
  </si>
  <si>
    <t xml:space="preserve">UCmwNuWt_fCOJRxGQrBcb_jA</t>
  </si>
  <si>
    <t xml:space="preserve">UCTLfuOKdEa_r8lA2nS9qf4Q</t>
  </si>
  <si>
    <t xml:space="preserve">UCa9J1UPcs06nJwcgxs8SWDA</t>
  </si>
  <si>
    <t xml:space="preserve">UCeeMw_s2hpFBVGHkKQA1ZAg</t>
  </si>
  <si>
    <t xml:space="preserve">UCV89ngCOt2xnpCIQ2gvnTzQ</t>
  </si>
  <si>
    <t xml:space="preserve">UCbY6-Gp0aEHJpS9vPtcKWeA</t>
  </si>
  <si>
    <t xml:space="preserve">UC77irA3lLTw8XdPg7hvUU4Q</t>
  </si>
  <si>
    <t xml:space="preserve">UCe0j3EGS9KpS_JSkeoEAJLw</t>
  </si>
  <si>
    <t xml:space="preserve">UCt-t1tWP9KomYYQEJngX3Qg</t>
  </si>
  <si>
    <t xml:space="preserve">UCCwVj2-APiNMld6GuMxgZbQ</t>
  </si>
  <si>
    <t xml:space="preserve">UCOrU-4WlqHEnzEQ-_p1Ye1A</t>
  </si>
  <si>
    <t xml:space="preserve">UC-XJ8lZ6jgUsQj1GO2jN0pA</t>
  </si>
  <si>
    <t xml:space="preserve">UCuq09_Q76XZ4xlmGLidKjVQ</t>
  </si>
  <si>
    <t xml:space="preserve">UCyri-PL3l4Dn9IooWXQAqfA</t>
  </si>
  <si>
    <t xml:space="preserve">UCvs8v1B4G9NNWyiZSkPPsXQ</t>
  </si>
  <si>
    <t xml:space="preserve">UCsz7zblpw6YGxIw9W5N4KCA</t>
  </si>
  <si>
    <t xml:space="preserve">UCM0--k8uumfySc926W-ydlg</t>
  </si>
  <si>
    <t xml:space="preserve">UCwAR5SElzS5RkZxVGvEnr0Q</t>
  </si>
  <si>
    <t xml:space="preserve">UC-gtfXHnc4yjKwwgdVSmKzA</t>
  </si>
  <si>
    <t xml:space="preserve">UCwrq2QOdDoje0juh5d5ewWg</t>
  </si>
  <si>
    <t xml:space="preserve">UCSkbxW8NBCruk2qAwzLlJkg</t>
  </si>
  <si>
    <t xml:space="preserve">UChiofp_leIyBYw6LESTjeJQ</t>
  </si>
  <si>
    <t xml:space="preserve">UCX5TUz6WjVi2x1xT1vzdqEA</t>
  </si>
  <si>
    <t xml:space="preserve">UC5LPsrt_LivE-0SWmJfg-hw</t>
  </si>
  <si>
    <t xml:space="preserve">UCu4ZjeBUFVringyEVWzTskA</t>
  </si>
  <si>
    <t xml:space="preserve">UCLkqEqZTjlpx9yY97LC50dg</t>
  </si>
  <si>
    <t xml:space="preserve">UCEKcQCTOaJISRIf3P2HK4MA</t>
  </si>
  <si>
    <t xml:space="preserve">UCbHvajCYarrwp3PucixS4Iw</t>
  </si>
  <si>
    <t xml:space="preserve">UCp0hA_QrZU6CjonSJYC0hiQ</t>
  </si>
  <si>
    <t xml:space="preserve">UCOsAnmmNTp2wwma4QUyq9cA</t>
  </si>
  <si>
    <t xml:space="preserve">UCBE0kDDhhJVR5whCEcdh8xw</t>
  </si>
  <si>
    <t xml:space="preserve">UC0toc0pUhez0eAk4aObU6xA</t>
  </si>
  <si>
    <t xml:space="preserve">UCrOQfzW6Wyw_pmP02nkbixA</t>
  </si>
  <si>
    <t xml:space="preserve">UCDVMZxvlFIPTwqhe-i_EEUA</t>
  </si>
  <si>
    <t xml:space="preserve">UCo5ujm2NK320Lit5biyectQ</t>
  </si>
  <si>
    <t xml:space="preserve">UCDR90GpWzW-YLwBJdD4OehQ</t>
  </si>
  <si>
    <t xml:space="preserve">UCGVl1yTUqXovofQZk8r7mKA</t>
  </si>
  <si>
    <t xml:space="preserve">UCs4STJ5bnHxyGtZAvO42ang</t>
  </si>
  <si>
    <t xml:space="preserve">UCavlaLqpPQ8WmlF-qBTn3Bw</t>
  </si>
  <si>
    <t xml:space="preserve">UCwvaQ_T2IyOvNeMBchvhFlw</t>
  </si>
  <si>
    <t xml:space="preserve">UCQZ9eA25Gp8K4iiYeFN_82w</t>
  </si>
  <si>
    <t xml:space="preserve">UCUzV1c3Iil0hhkaR3YOJbew</t>
  </si>
  <si>
    <t xml:space="preserve">UCVZapV0958xAUsCctF_ED4w</t>
  </si>
  <si>
    <t xml:space="preserve">UCQDXX85N-6f2DVQAGm3vncQ</t>
  </si>
  <si>
    <t xml:space="preserve">UC8kLnPyn_8QYQzV42-_rYIg</t>
  </si>
  <si>
    <t xml:space="preserve">UCVl-3gdwsR8ph-JoPX_pnNw</t>
  </si>
  <si>
    <t xml:space="preserve">UC-E5mr-VPLe3bO725QjqGnw</t>
  </si>
  <si>
    <t xml:space="preserve">UC9H6xH4t2dREDy2cC8AC7iQ</t>
  </si>
  <si>
    <t xml:space="preserve">UCyGRqIWaKw79FC3VMKSCRqw</t>
  </si>
  <si>
    <t xml:space="preserve">UC8qkCAuQf59XvXrTwTpdOfQ</t>
  </si>
  <si>
    <t xml:space="preserve">UCH8C3uC0fapVBx4xb_GgrtA</t>
  </si>
  <si>
    <t xml:space="preserve">UCtKVHbY52OkIoITm9jQ0mmw</t>
  </si>
  <si>
    <t xml:space="preserve">UC51V8U7NjgeOXwnQgPnNbHA</t>
  </si>
  <si>
    <t xml:space="preserve">UCbIHXx0FVQCXG1fhkgnJINw</t>
  </si>
  <si>
    <t xml:space="preserve">UC7nzOo8R4TodMhQsXER2h6g</t>
  </si>
  <si>
    <t xml:space="preserve">UCY-G2UaVNJ9ahUnm5EIDtmw</t>
  </si>
  <si>
    <t xml:space="preserve">UCsHEx2nKaxDlyvw9MKZ-Fzg</t>
  </si>
  <si>
    <t xml:space="preserve">UCAOu3bPpngpCQkd4ksOg-yQ</t>
  </si>
  <si>
    <t xml:space="preserve">UCtch8OKgrqBBswTAmRtH5qA</t>
  </si>
  <si>
    <t xml:space="preserve">UC83TQkgdJVFi61ldxWWvwOA</t>
  </si>
  <si>
    <t xml:space="preserve">UCyJ_mCXzY-uSZDkhpKj0onA</t>
  </si>
  <si>
    <t xml:space="preserve">UCZi4KO44rQlGuAi4RxGkWgw</t>
  </si>
  <si>
    <t xml:space="preserve">UCBtEvaODmv8LMXvQs6EMEHA</t>
  </si>
  <si>
    <t xml:space="preserve">UC8hv12-RMrsyInCHruZmzDw</t>
  </si>
  <si>
    <t xml:space="preserve">UC6JoN6HfrT__TeICgr8ZH3w</t>
  </si>
  <si>
    <t xml:space="preserve">UC-z4dRvDO-OPsYWYD3ROFWQ</t>
  </si>
  <si>
    <t xml:space="preserve">UCwB6wOLDmjjTbemBXT3q6eA</t>
  </si>
  <si>
    <t xml:space="preserve">UCmzkNxK2ue20iSUDZkDF9PQ</t>
  </si>
  <si>
    <t xml:space="preserve">UCgdAgAvzx2NSPW_915uoAGg</t>
  </si>
  <si>
    <t xml:space="preserve">UCBJ1_kfnW3XKDluj28Zvsig</t>
  </si>
  <si>
    <t xml:space="preserve">UCA60sATnI1IOuP9uE-Rzmxw</t>
  </si>
  <si>
    <t xml:space="preserve">UCDkM5CLTtn5vayQU_ieKjbQ</t>
  </si>
  <si>
    <t xml:space="preserve">UCJFfHZakDHcFVwkyhgwxAAA</t>
  </si>
  <si>
    <t xml:space="preserve">UC4fFdfFiDfVCVxzZB61Vd4Q</t>
  </si>
  <si>
    <t xml:space="preserve">UClxlwQMEiVh78iR5GrXKSBw</t>
  </si>
  <si>
    <t xml:space="preserve">UC2cOzRAuLCwepq50zczWS8g</t>
  </si>
  <si>
    <t xml:space="preserve">UCT5I1pLXZcoKzf0GN2vOluQ</t>
  </si>
  <si>
    <t xml:space="preserve">UCXmMVXqAk98cwkI1R0VmU3Q</t>
  </si>
  <si>
    <t xml:space="preserve">UCUkWWu0TGW0Lro4Gw6IkBow</t>
  </si>
  <si>
    <t xml:space="preserve">UC_DDyK2FZhSIYhzom9pN1iA</t>
  </si>
  <si>
    <t xml:space="preserve">UC7IPsxd29n1iXO3GAv-p35w</t>
  </si>
  <si>
    <t xml:space="preserve">UCyOXm3cRE-kkeAwlkH5jGxw</t>
  </si>
  <si>
    <t xml:space="preserve">UCWZxPthDIiNJrKx4U1JyhuQ</t>
  </si>
  <si>
    <t xml:space="preserve">UCr8uEbKAxiX0dVDejI0nufw</t>
  </si>
  <si>
    <t xml:space="preserve">UCoxkw2pRInY66uAbuilcvkA</t>
  </si>
  <si>
    <t xml:space="preserve">UCYlffikT4wRswemlcQT7mbg</t>
  </si>
  <si>
    <t xml:space="preserve">UC3b7kZogr-LBdKCYcTxx45g</t>
  </si>
  <si>
    <t xml:space="preserve">UCHQh1cdzLuSY8bpYmeb8yfw</t>
  </si>
  <si>
    <t xml:space="preserve">UCSljO84JCPeaefyHe-8voIg</t>
  </si>
  <si>
    <t xml:space="preserve">UCKEMkY718AYCMcsdAKNaQaA</t>
  </si>
  <si>
    <t xml:space="preserve">UCTTxUEpmKcAtLQq8LtAUg-w</t>
  </si>
  <si>
    <t xml:space="preserve">UC9gZfKhsWcgnQPRyXsiZhDg</t>
  </si>
  <si>
    <t xml:space="preserve">UCIqJ2bX1IC-89S57Mle70xQ</t>
  </si>
  <si>
    <t xml:space="preserve">UCxDMP8CQM6ZWKdnVLg7RM2w</t>
  </si>
  <si>
    <t xml:space="preserve">UCWsb93vr1VhFFE2H3XZjgtg</t>
  </si>
  <si>
    <t xml:space="preserve">UC4h5HiUpjz4yIO5vrdGdS_g</t>
  </si>
  <si>
    <t xml:space="preserve">UCdk4ulweUJMDehDYWgDFTiw</t>
  </si>
  <si>
    <t xml:space="preserve">UCzI8K9xO_5E-4iCP7Km6cRQ</t>
  </si>
  <si>
    <t xml:space="preserve">UCQMSkUrawfoP_HB48-yWPZw</t>
  </si>
  <si>
    <t xml:space="preserve">UCWAuoYAZW3QK69nS4Oa9IPw</t>
  </si>
  <si>
    <t xml:space="preserve">UCVlBlkDJLP6njmZL5K8lMAg</t>
  </si>
  <si>
    <t xml:space="preserve">UC_Km_defHuGkxh8RpDmCO8A</t>
  </si>
  <si>
    <t xml:space="preserve">UCXORMXv82HqtO_UzXmLeoTg</t>
  </si>
  <si>
    <t xml:space="preserve">UC4GeYPaBvft1uzEb3be-QqA</t>
  </si>
  <si>
    <t xml:space="preserve">UCyiO3pCmFPBBIDcwcrRdXqw</t>
  </si>
  <si>
    <t xml:space="preserve">UCZlfSdM78jWIwK4PrpiyQGA</t>
  </si>
  <si>
    <t xml:space="preserve">UC_hULTloOyKL4WXAabX9hoQ</t>
  </si>
  <si>
    <t xml:space="preserve">UCwvTcWpx9ukwJIXm4muw4xw</t>
  </si>
  <si>
    <t xml:space="preserve">UCBQqcqVBizB5Mshpf3I-PCQ</t>
  </si>
  <si>
    <t xml:space="preserve">UCAhodEt_IeuIpG4gOe-AJQA</t>
  </si>
  <si>
    <t xml:space="preserve">UC8tjpscH7cvxk_aAvr-ks9g</t>
  </si>
  <si>
    <t xml:space="preserve">UCim8F-orfyR2_0O9QK7Y75g</t>
  </si>
  <si>
    <t xml:space="preserve">UCuXLeXtBrbgFwAdgRoSMbUA</t>
  </si>
  <si>
    <t xml:space="preserve">UCSWjM0ORyn939FbnF7y3Hxg</t>
  </si>
  <si>
    <t xml:space="preserve">UCiIYUY_Hcx3tfFNB2CnFxrA</t>
  </si>
  <si>
    <t xml:space="preserve">UCZm5XU5WfJbL7rYzkvgR_xA</t>
  </si>
  <si>
    <t xml:space="preserve">UCIxi6j0TECM_yhfCPYaJ6Eg</t>
  </si>
  <si>
    <t xml:space="preserve">UCLmCnRy6nPVlOvWF_l5u31w</t>
  </si>
  <si>
    <t xml:space="preserve">UCCD2UNMu9nvcTa-VXNlrdQg</t>
  </si>
  <si>
    <t xml:space="preserve">UCJxsndCAXaW1-7XFIxMniXg</t>
  </si>
  <si>
    <t xml:space="preserve">UC8OYS8Is3A_xFsxNsM2n0lA</t>
  </si>
  <si>
    <t xml:space="preserve">UCOWBL2B_JnbqJbhCaE4iJfQ</t>
  </si>
  <si>
    <t xml:space="preserve">UCvW2sI1mbbjcoYN4yM5h2mw</t>
  </si>
  <si>
    <t xml:space="preserve">UC8Lbs3BiOwzffell6CMCwsw</t>
  </si>
  <si>
    <t xml:space="preserve">UCpCbhelbss2iOLcDztqEeow</t>
  </si>
  <si>
    <t xml:space="preserve">UCtKSkSUu9xxY3k1s781as4g</t>
  </si>
  <si>
    <t xml:space="preserve">UCRL_2v-1iVTVhDmFlimyPKQ</t>
  </si>
  <si>
    <t xml:space="preserve">UCDats_DLX-bGZH3-KGu8JhA</t>
  </si>
  <si>
    <t xml:space="preserve">UCQh8vkwWNXLvyHVwi-8gN4A</t>
  </si>
  <si>
    <t xml:space="preserve">UCgVxxq6TXsN3OvoxnU4hfNQ</t>
  </si>
  <si>
    <t xml:space="preserve">UC5tCWj2dx3eK9WlVuuKyI-Q</t>
  </si>
  <si>
    <t xml:space="preserve">UCl5skzjHbLDG-C_p90R-iHQ</t>
  </si>
  <si>
    <t xml:space="preserve">UChVLogNfxiPMMZB23iK0unA</t>
  </si>
  <si>
    <t xml:space="preserve">UCmruVxLF0o0b6VP8OPgprsA</t>
  </si>
  <si>
    <t xml:space="preserve">UCgra6O-WDhVSwUCLlOZU8Zg</t>
  </si>
  <si>
    <t xml:space="preserve">UCuEJUtNsOD5tQlezWwZvEag</t>
  </si>
  <si>
    <t xml:space="preserve">UCsJO8p6lnyjZkuLO2k0qFXA</t>
  </si>
  <si>
    <t xml:space="preserve">UCMUNHqVoOleBzcLP8AA1riA</t>
  </si>
  <si>
    <t xml:space="preserve">UCwBpG9h_-u8QUgtOkz7cQ9g</t>
  </si>
  <si>
    <t xml:space="preserve">UCwSPpHFbgl2MRlzmALTcvzg</t>
  </si>
  <si>
    <t xml:space="preserve">UCgWxxSxDi1NH9kXdg7307wQ</t>
  </si>
  <si>
    <t xml:space="preserve">UCTgp5gCEhHMdaU-819uu70A</t>
  </si>
  <si>
    <t xml:space="preserve">UCj3_pQsYYuoK148JzKTEu_A</t>
  </si>
  <si>
    <t xml:space="preserve">UCke36Liq-w5fboMHkq1APZw</t>
  </si>
  <si>
    <t xml:space="preserve">UCXM6yS_zMZfdZ924hFLK1og</t>
  </si>
  <si>
    <t xml:space="preserve">UCDiNOQnEb5XhMNLzjHHgWhw</t>
  </si>
  <si>
    <t xml:space="preserve">UCHCqSLB99Oa3p2XiHFJ8eXg</t>
  </si>
  <si>
    <t xml:space="preserve">UCgwjt9aW4Ls8rtggo6raBEA</t>
  </si>
  <si>
    <t xml:space="preserve">UCCJI7FWb_6Ikg8cfmOcl6GQ</t>
  </si>
  <si>
    <t xml:space="preserve">UCLyx-gpKaPEgNwwNC4Wu0ow</t>
  </si>
  <si>
    <t xml:space="preserve">UCp8bT9ne4QZY-vNwx0tvd-Q</t>
  </si>
  <si>
    <t xml:space="preserve">UCBv2UmBb-VlBX9yxVIyELhw</t>
  </si>
  <si>
    <t xml:space="preserve">UCA6KcDK1RAOqzFAPGK1mP0Q</t>
  </si>
  <si>
    <t xml:space="preserve">UC0OmTNvg0sdYChbF80TuMew</t>
  </si>
  <si>
    <t xml:space="preserve">UCpWrNrZk60G4A2zqHTtbv7g</t>
  </si>
  <si>
    <t xml:space="preserve">UCVlcEAvjTxJt0SORoU07CwA</t>
  </si>
  <si>
    <t xml:space="preserve">UCTnjH0zEIm6aJCSDqFPE3ng</t>
  </si>
  <si>
    <t xml:space="preserve">UC9Fu17N0dxqJfbdpFT7Rcjw</t>
  </si>
  <si>
    <t xml:space="preserve">UC93mvkKXtyyEYOwxwsSsf8w</t>
  </si>
  <si>
    <t xml:space="preserve">UCE2q3AJQWnnsPLvwiVdU8xA</t>
  </si>
  <si>
    <t xml:space="preserve">UCoZVlWqnh9Y__VEylraaFdw</t>
  </si>
  <si>
    <t xml:space="preserve">UCPc7N5MmLjZofBSiPsvSHaA</t>
  </si>
  <si>
    <t xml:space="preserve">UCuFZIHBYk2IBffqRdW8zfuw</t>
  </si>
  <si>
    <t xml:space="preserve">UCleL9yejvbCSpUnfCVF1ekw</t>
  </si>
  <si>
    <t xml:space="preserve">UCFnyJfNPS_GqyOTgGvQ_HOA</t>
  </si>
  <si>
    <t xml:space="preserve">UCngwthoufuilGgXOkaFdg6Q</t>
  </si>
  <si>
    <t xml:space="preserve">UCRGxe7sX8nLI1F6NKz3hCvA</t>
  </si>
  <si>
    <t xml:space="preserve">UCEmOg9ooeiihAemFze-jQrg</t>
  </si>
  <si>
    <t xml:space="preserve">UCkPdqdBs_BYj9v4zCPWsHOQ</t>
  </si>
  <si>
    <t xml:space="preserve">UCkF5z1T4zVELKcPQlt-gP1Q</t>
  </si>
  <si>
    <t xml:space="preserve">UCiirFsFUcJ4LTWQ1YhyIFFg</t>
  </si>
  <si>
    <t xml:space="preserve">UC78ugGolZN0KBdOa7wjaJ9Q</t>
  </si>
  <si>
    <t xml:space="preserve">UCy99aElWGKFO64VVMPtqB2A</t>
  </si>
  <si>
    <t xml:space="preserve">UCr0DLaTYarzA3SxgZbKZXoA</t>
  </si>
  <si>
    <t xml:space="preserve">UCfAQyYnq_5oIVRd7fDsTg6A</t>
  </si>
  <si>
    <t xml:space="preserve">UCQuCr0-tPVZsBYbQfXLuBLg</t>
  </si>
  <si>
    <t xml:space="preserve">UCzrTsagimO8Ao2qCRnVPUHA</t>
  </si>
  <si>
    <t xml:space="preserve">UCGjZ_l_TvqM6zmRMZXTQ1aQ</t>
  </si>
  <si>
    <t xml:space="preserve">UC5bne-A4xJ08BmMpq4NB9kA</t>
  </si>
  <si>
    <t xml:space="preserve">UCuNIUeu993vlajAB87mCzoA</t>
  </si>
  <si>
    <t xml:space="preserve">UCYeUS1kY4bTdQa82wPsLGyA</t>
  </si>
  <si>
    <t xml:space="preserve">UCE20gsUW8Qpe9GbkfNUGNuQ</t>
  </si>
  <si>
    <t xml:space="preserve">UCZ1n9eo4LEY7ZQnkEjMPEfQ</t>
  </si>
  <si>
    <t xml:space="preserve">UCrK3rt-_JWd7pfica_YG2DA</t>
  </si>
  <si>
    <t xml:space="preserve">UCJBNVRG4o5ya5uc1fTnjUxQ</t>
  </si>
  <si>
    <t xml:space="preserve">UCMjf6P1rYTP2S_WX-9rqACg</t>
  </si>
  <si>
    <t xml:space="preserve">UCJyDelMvxUCceKJKQ67Ymyg</t>
  </si>
  <si>
    <t xml:space="preserve">UCAbQFC-TUMaIZoWLsQ7lhAA</t>
  </si>
  <si>
    <t xml:space="preserve">UCKRKRYfCtjmU7_ahJfNR43g</t>
  </si>
  <si>
    <t xml:space="preserve">UCifqJm4QMYTtrxZb_bN02Pw</t>
  </si>
  <si>
    <t xml:space="preserve">UCcMfdha8Z7wr5lMMoGjUnIA</t>
  </si>
  <si>
    <t xml:space="preserve">UCLdQzuIuagkREkhrNia3GAA</t>
  </si>
  <si>
    <t xml:space="preserve">UCzQsMoaAwj7xZa24Qz86N5g</t>
  </si>
  <si>
    <t xml:space="preserve">UCqTdxhfT7YrQ0bdfKgTF6WA</t>
  </si>
  <si>
    <t xml:space="preserve">UC65j6N2yqICxwRfE116A0vw</t>
  </si>
  <si>
    <t xml:space="preserve">UCLBoaTqXiTLs_esjy6skGIQ</t>
  </si>
  <si>
    <t xml:space="preserve">UCZt6GXD3VnY4rsvXqLX8IQw</t>
  </si>
  <si>
    <t xml:space="preserve">UC_FJ2hiPpsaXCeyL0RiP1iA</t>
  </si>
  <si>
    <t xml:space="preserve">UCRKiMqH27Xr0TIDj7bMtMCg</t>
  </si>
  <si>
    <t xml:space="preserve">UCt6xzUAH3ISwMDlM6JsBErQ</t>
  </si>
  <si>
    <t xml:space="preserve">UCg8hJdLl7PD8XjXQ4q1CVvg</t>
  </si>
  <si>
    <t xml:space="preserve">UCeEwcLXK4MVCoseZTaR9kuA</t>
  </si>
  <si>
    <t xml:space="preserve">UC01sCa22i8CVRRUaXCZ2Ybg</t>
  </si>
  <si>
    <t xml:space="preserve">UCVWuHjVeaHTZfQXxX791-Rg</t>
  </si>
  <si>
    <t xml:space="preserve">UCXM6YdJn7YVBoLqMBZG-8DA</t>
  </si>
  <si>
    <t xml:space="preserve">UCs_f85rEJMCBUMCiChKYzfg</t>
  </si>
  <si>
    <t xml:space="preserve">UCzWh1dxLlGtYtVqQWyw4w_Q</t>
  </si>
  <si>
    <t xml:space="preserve">UCi129kJgC1lL9x-GcMfI3Qw</t>
  </si>
  <si>
    <t xml:space="preserve">UCGIAhyXKGHuK2Y8VABCObiA</t>
  </si>
  <si>
    <t xml:space="preserve">UCV-aKADhLal5ki1ZqEAqjjw</t>
  </si>
  <si>
    <t xml:space="preserve">UCcl4k_ZnFg7-PNWZ_p-qeMg</t>
  </si>
  <si>
    <t xml:space="preserve">UCHpy4Lr9kfI_IDtLgL4ju5Q</t>
  </si>
  <si>
    <t xml:space="preserve">UC2-cInwyBeJ8jYGcZIUQ_Mw</t>
  </si>
  <si>
    <t xml:space="preserve">UCkR9kGDDgZJUdSkqkY8qqcw</t>
  </si>
  <si>
    <t xml:space="preserve">UCwTbbwHWLpBhNtUneCVUgvA</t>
  </si>
  <si>
    <t xml:space="preserve">UCmhe0p2-m_KURZYQNchK-QQ</t>
  </si>
  <si>
    <t xml:space="preserve">UCGdU_dV1xXjY365DZ4bJzYA</t>
  </si>
  <si>
    <t xml:space="preserve">UCQyuWRF40p4f5S1F6iD8Wlg</t>
  </si>
  <si>
    <t xml:space="preserve">UCndmj62YoEwttvbGEdWdmyA</t>
  </si>
  <si>
    <t xml:space="preserve">UCfJoeBRC5wJRro9sIc6YwlQ</t>
  </si>
  <si>
    <t xml:space="preserve">UCzFMf_-C5PsooDhLt4ujGMA</t>
  </si>
  <si>
    <t xml:space="preserve">UCW5ZADpnK4CbFKyqN8yPqaw</t>
  </si>
  <si>
    <t xml:space="preserve">UCc-wpCDwLBUfCNBIHFfokgw</t>
  </si>
  <si>
    <t xml:space="preserve">UCIT7ZPNYhsuZ1-kYoz6m6YQ</t>
  </si>
  <si>
    <t xml:space="preserve">UCvu9_r5iMlL6e_Ymq31b4DA</t>
  </si>
  <si>
    <t xml:space="preserve">UCuaf1ktoj9sKjRy1Go9x_mw</t>
  </si>
  <si>
    <t xml:space="preserve">UC0eYzMXfJxYpzAsoABQJ0wQ</t>
  </si>
  <si>
    <t xml:space="preserve">UCDBy3wJjPt0aZ4UxcbJzEbg</t>
  </si>
  <si>
    <t xml:space="preserve">UC7-TjHdykLxYkkFJWDPu1og</t>
  </si>
  <si>
    <t xml:space="preserve">UCwGHTKlxg__AW5Jae6sf1rw</t>
  </si>
  <si>
    <t xml:space="preserve">UC0F3CP0drqQV_sgV6pvdkzQ</t>
  </si>
  <si>
    <t xml:space="preserve">UCiisF6eyXRtf6cmENCokijQ</t>
  </si>
  <si>
    <t xml:space="preserve">UCN_LnQ96YVvdtxG9h2HxLiw</t>
  </si>
  <si>
    <t xml:space="preserve">UCxaDz9jPF4eVZL8LzVa3xug</t>
  </si>
  <si>
    <t xml:space="preserve">UCz4iTnctd-NyR8snxOT1Psg</t>
  </si>
  <si>
    <t xml:space="preserve">UC9I8jU4gBuWs1Mf737x8Csw</t>
  </si>
  <si>
    <t xml:space="preserve">UCbAgKfKahvJFTIZXQahtjag</t>
  </si>
  <si>
    <t xml:space="preserve">UC9gEwbZVyfvisLCKjKRwnyQ</t>
  </si>
  <si>
    <t xml:space="preserve">UC5qk-osYbBIAA-CeUBGOpWg</t>
  </si>
  <si>
    <t xml:space="preserve">UCxPRKiHISnDo1v98dkHXAiw</t>
  </si>
  <si>
    <t xml:space="preserve">UC80vy5zkyMDYxU_PQy0nr0A</t>
  </si>
  <si>
    <t xml:space="preserve">UC2v1WpOO1CwlwbZ3GHMejEA</t>
  </si>
  <si>
    <t xml:space="preserve">UC365X-mldX-QPsxmIwyq2_Q</t>
  </si>
  <si>
    <t xml:space="preserve">UCh8pg6CXz9erbbAHwJ36Z7A</t>
  </si>
  <si>
    <t xml:space="preserve">UC8iHJ7ke5DqwO4mJ_9OO6_A</t>
  </si>
  <si>
    <t xml:space="preserve">UCShmhtE2YHcZdd46FkkbjGg</t>
  </si>
  <si>
    <t xml:space="preserve">UCtw4gixbKgicHy4rEQkDVVQ</t>
  </si>
  <si>
    <t xml:space="preserve">UCDGtqeBHixu-KT7Z900UNqQ</t>
  </si>
  <si>
    <t xml:space="preserve">UCdnnx1dCayjn9RGfI-hmhHQ</t>
  </si>
  <si>
    <t xml:space="preserve">UC3k6Cfk_BNGiGVX_s5UCs6Q</t>
  </si>
  <si>
    <t xml:space="preserve">UCjOXlKzzxdZG6BhKCQtWKWQ</t>
  </si>
  <si>
    <t xml:space="preserve">UC3wOsBou3LFVL6j_VXAVFOw</t>
  </si>
  <si>
    <t xml:space="preserve">UCjmiaywJOC6BozwxjHX9kRg</t>
  </si>
  <si>
    <t xml:space="preserve">UCszmPQuJOuL2MLxn_jzqxvQ</t>
  </si>
  <si>
    <t xml:space="preserve">UCnJzVg25D412Ly0YtSGtEsg</t>
  </si>
  <si>
    <t xml:space="preserve">UCv70UnAfDWrPDojrOJfGF6A</t>
  </si>
  <si>
    <t xml:space="preserve">UCafy77HuV0-_xXEnmNQxCyQ</t>
  </si>
  <si>
    <t xml:space="preserve">UCPiTeb0qUB12hvDWH7Pa6Gw</t>
  </si>
  <si>
    <t xml:space="preserve">UC2Sk-7BXA9XxsXijTo3eXlg</t>
  </si>
  <si>
    <t xml:space="preserve">UCMNWkCT9sl3Grpu_GvTBr0g</t>
  </si>
  <si>
    <t xml:space="preserve">UC0XMtgp0H7vlzAG8u2pWkYg</t>
  </si>
  <si>
    <t xml:space="preserve">UCseHui0yyp3BCOzh_MvXxcQ</t>
  </si>
  <si>
    <t xml:space="preserve">UCTAnlBGVdOuDDLy3WF_HPyw</t>
  </si>
  <si>
    <t xml:space="preserve">UC5pi5pD0ICvvAHGWvT7BdDg</t>
  </si>
  <si>
    <t xml:space="preserve">UCGqGWKlZ-9-p8_tgVemZKkg</t>
  </si>
  <si>
    <t xml:space="preserve">UC3L9A_BxTRzuQHtLxOg8WCQ</t>
  </si>
  <si>
    <t xml:space="preserve">UCYATfva4HDll4iZgUkr-hdg</t>
  </si>
  <si>
    <t xml:space="preserve">UCdMR959PfCiM3Y9p7Fr2Hqg</t>
  </si>
  <si>
    <t xml:space="preserve">UCkZd_LfJiUudv8aJE6Dur7w</t>
  </si>
  <si>
    <t xml:space="preserve">UCH-gOOzUrr4H10eI_f9GBtQ</t>
  </si>
  <si>
    <t xml:space="preserve">UCKd-Wfqr3kEIMCCP1GPMrYw</t>
  </si>
  <si>
    <t xml:space="preserve">UCq48RIJyxozpNWl5Qgkw7dQ</t>
  </si>
  <si>
    <t xml:space="preserve">UCmseUwOf5ngmBeHRPJv07vw</t>
  </si>
  <si>
    <t xml:space="preserve">UCJVdRMFCz7vdN3UlyAV1Fhg</t>
  </si>
  <si>
    <t xml:space="preserve">UCKgPKC2UhMXAo9D32BbOU4Q</t>
  </si>
  <si>
    <t xml:space="preserve">UCMY14hktTNGi_zrHShfY8JA</t>
  </si>
  <si>
    <t xml:space="preserve">UCYx1KqZAkLCqURnejZYLycQ</t>
  </si>
  <si>
    <t xml:space="preserve">UCOOip2GuRbjynekjbYodgBQ</t>
  </si>
  <si>
    <t xml:space="preserve">UC8J8Mjzm_F-fLnc9lMzLiSg</t>
  </si>
  <si>
    <t xml:space="preserve">UCGxep3lPsez5QZJRtFLK7mw</t>
  </si>
  <si>
    <t xml:space="preserve">UCwCKddovSCpQ6PNpIf7ORMA</t>
  </si>
  <si>
    <t xml:space="preserve">UCyQTue-4MKYUMai-Hetl4Gg</t>
  </si>
  <si>
    <t xml:space="preserve">UC4Gck5XdbCKJGdLrs8iqiMQ</t>
  </si>
  <si>
    <t xml:space="preserve">UCDatBjNBkcWM-xIFQTa212A</t>
  </si>
  <si>
    <t xml:space="preserve">UCjXoFsAE2XQk2eO9tJpf6mg</t>
  </si>
  <si>
    <t xml:space="preserve">UCFY4zPK5ncTJNO1Oc4HbwMQ</t>
  </si>
  <si>
    <t xml:space="preserve">UCKg5jaZNjA3axTVPZRJ6zIQ</t>
  </si>
  <si>
    <t xml:space="preserve">UCBW-1-gDbevHgStfAXgbkqg</t>
  </si>
  <si>
    <t xml:space="preserve">UC9JWnvl5ZjZv09F5RqiLptw</t>
  </si>
  <si>
    <t xml:space="preserve">UCFmMGcetY6yT4VLtDuC8TrA</t>
  </si>
  <si>
    <t xml:space="preserve">UCUHgN-A9ka_UvCd7amkjrHw</t>
  </si>
  <si>
    <t xml:space="preserve">UCP2q12OYjV-2Hj-Suzsqz0Q</t>
  </si>
  <si>
    <t xml:space="preserve">UCVQRkmqCZSV4TUhcegN2GJg</t>
  </si>
  <si>
    <t xml:space="preserve">UCCKwT30KrDn0txYHSNIqeBw</t>
  </si>
  <si>
    <t xml:space="preserve">UC2Erap74TIyr39C8-CsYCwQ</t>
  </si>
  <si>
    <t xml:space="preserve">UC7db8gjQbfKVy4H2JjDP-hA</t>
  </si>
  <si>
    <t xml:space="preserve">UCJpjQ2Z5VH9VQv6ad6I8Fsw</t>
  </si>
  <si>
    <t xml:space="preserve">UC0PCABNVT8toBV3cCE2Wy-A</t>
  </si>
  <si>
    <t xml:space="preserve">UCjs-qusGf8nbdbWNy6g58Dw</t>
  </si>
  <si>
    <t xml:space="preserve">UCEsGZnulexXKOQ9wWY1RShg</t>
  </si>
  <si>
    <t xml:space="preserve">UC2753A_EjWtEOt_9LeZtw7A</t>
  </si>
  <si>
    <t xml:space="preserve">UCQ8YI3Q9ZzpAsD3uJ1roq9A</t>
  </si>
  <si>
    <t xml:space="preserve">UCK_XEK6GaKE1VHne_Jif92Q</t>
  </si>
  <si>
    <t xml:space="preserve">UCZJcDejPgShIpNExoaN_EIg</t>
  </si>
  <si>
    <t xml:space="preserve">UC4aw7OjM2-T-Vm9Zbs1o4zw</t>
  </si>
  <si>
    <t xml:space="preserve">UCxEzwY-Pl3PYrXESIgdYGXQ</t>
  </si>
  <si>
    <t xml:space="preserve">UCsY49XZcJSogGDrCr8YLpqw</t>
  </si>
  <si>
    <t xml:space="preserve">UCHx2PDpK1QoY0HLfQ8TVwow</t>
  </si>
  <si>
    <t xml:space="preserve">UCj048BbykkLlBdi7rPkZMFQ</t>
  </si>
  <si>
    <t xml:space="preserve">UCbrVH9d2YOSUFfktfZA07hQ</t>
  </si>
  <si>
    <t xml:space="preserve">UC-2D3M90JCYb-2Nzu2Fv-eQ</t>
  </si>
  <si>
    <t xml:space="preserve">UCVqasCjwWsVWgaiP4WFRpfg</t>
  </si>
  <si>
    <t xml:space="preserve">UCUeocvBLLnLEcd9ibFH18dw</t>
  </si>
  <si>
    <t xml:space="preserve">UCnPbpVSe37tUM0UOGzaNMiw</t>
  </si>
  <si>
    <t xml:space="preserve">UC2ozzcjJsD0Q1DglEytSZrQ</t>
  </si>
  <si>
    <t xml:space="preserve">UCjtBaBTe1-IWJI-KQJVLvyw</t>
  </si>
  <si>
    <t xml:space="preserve">UCZDZV65-2XVTw8wH0yl2IqQ</t>
  </si>
  <si>
    <t xml:space="preserve">UCJ6j1kvBD_aALinVCUowmxA</t>
  </si>
  <si>
    <t xml:space="preserve">UCQrVlQOkcNxRA1Urjj9g50g</t>
  </si>
  <si>
    <t xml:space="preserve">UCjT6_sNT1aTc7JBqlFULh5g</t>
  </si>
  <si>
    <t xml:space="preserve">UCoArnOBDfejaCvrrhzC5bQw</t>
  </si>
  <si>
    <t xml:space="preserve">UCjyOW64EscX9cVSD7dUbpzQ</t>
  </si>
  <si>
    <t xml:space="preserve">UCaprahp6swmp7BUXrwMt2ZA</t>
  </si>
  <si>
    <t xml:space="preserve">UC4bDgHx8rFxOh2-Rc5UxqXQ</t>
  </si>
  <si>
    <t xml:space="preserve">UCT03JEcKbX-e9Q45jOmjSJg</t>
  </si>
  <si>
    <t xml:space="preserve">UCo1DF1WI8NjIDu_IZcXKl0Q</t>
  </si>
  <si>
    <t xml:space="preserve">UCYcSNY8zUfWKrpZm3GPFBVg</t>
  </si>
  <si>
    <t xml:space="preserve">UCBAgZ-DFLP2QPrv1AaFrNng</t>
  </si>
  <si>
    <t xml:space="preserve">UCyim2IjuwJHmNG5DHYEQ72w</t>
  </si>
  <si>
    <t xml:space="preserve">UCtj64mwssQEDBGhR6L47vqg</t>
  </si>
  <si>
    <t xml:space="preserve">UCo7S5qgzt1H66Qlepl90c1g</t>
  </si>
  <si>
    <t xml:space="preserve">UClzTEWo76_uCbW16ta1JYhg</t>
  </si>
  <si>
    <t xml:space="preserve">UCRuufFFF7QBSBGR8i1EMXrA</t>
  </si>
  <si>
    <t xml:space="preserve">UCnFrHLm2qQsMb9nND5SsCrA</t>
  </si>
  <si>
    <t xml:space="preserve">UCSNZY6JVbtuTuKqJAG_mHxw</t>
  </si>
  <si>
    <t xml:space="preserve">UCuafSL4vOtZtSxOnZpa4Y8w</t>
  </si>
  <si>
    <t xml:space="preserve">UCMQ6LAuP-HXd_S9HV52DhZg</t>
  </si>
  <si>
    <t xml:space="preserve">UCor35SrLuThXBbcUOokTccg</t>
  </si>
  <si>
    <t xml:space="preserve">UChKJcp3jpd20ge2WAZlWO1A</t>
  </si>
  <si>
    <t xml:space="preserve">UCrkQMtWNtuq-1j0q8c2RVeQ</t>
  </si>
  <si>
    <t xml:space="preserve">UCACsggM5x7HAFEutsU-hLyg</t>
  </si>
  <si>
    <t xml:space="preserve">UCDEwdcIWEpo91p8UxBdGs0w</t>
  </si>
  <si>
    <t xml:space="preserve">UCNwwaqjMdlMtLy0cwY9OD9Q</t>
  </si>
  <si>
    <t xml:space="preserve">UCIOpQbcUj5y_d3Z3HoNfD8A</t>
  </si>
  <si>
    <t xml:space="preserve">UCEU5GkE4iztslTaWv0F7NTg</t>
  </si>
  <si>
    <t xml:space="preserve">UCMjtCnm9EAxgvuzFKMe3lNg</t>
  </si>
  <si>
    <t xml:space="preserve">UCV30cm3XhAtktkXsyCy6fTg</t>
  </si>
  <si>
    <t xml:space="preserve">UCkvmk8vmtsuwlHt265OtXtg</t>
  </si>
  <si>
    <t xml:space="preserve">UC8qTsPmXV6JoOZ91D8kFWtw</t>
  </si>
  <si>
    <t xml:space="preserve">UCN4NbglGz8zoPNeb-6dgTDg</t>
  </si>
  <si>
    <t xml:space="preserve">UCnHjMIQm84JFZovWMA0T-NA</t>
  </si>
  <si>
    <t xml:space="preserve">UCNxj5MDSe31CKwOMWcdB0-A</t>
  </si>
  <si>
    <t xml:space="preserve">UCuDto9TosMmRIIX2-t1x4uQ</t>
  </si>
  <si>
    <t xml:space="preserve">UC5HxL24mt7cGhHiG2-JsdSA</t>
  </si>
  <si>
    <t xml:space="preserve">UCUvQiJ76luXrsOwMLb1EjnA</t>
  </si>
  <si>
    <t xml:space="preserve">UCpIQFA4l0Q0qRiHvHpOHRjQ</t>
  </si>
  <si>
    <t xml:space="preserve">UCjKQg2xz01Wfq2Q11hzJ3Pg</t>
  </si>
  <si>
    <t xml:space="preserve">UClFtqXt4UWHW0obWwHK53IQ</t>
  </si>
  <si>
    <t xml:space="preserve">UCdnAswLzqey__zV92alcK9Q</t>
  </si>
  <si>
    <t xml:space="preserve">UCfJivNAL3LW3xs547S-5xVA</t>
  </si>
  <si>
    <t xml:space="preserve">UCYizlE4afsNhluCSLFPr10A</t>
  </si>
  <si>
    <t xml:space="preserve">UCu2lnkymwFq2ySTXn2lqaKg</t>
  </si>
  <si>
    <t xml:space="preserve">UC9TLSoPpZw0a-PrE__gG2ZA</t>
  </si>
  <si>
    <t xml:space="preserve">UCUBmvnLUQ2IcOKM6nyo6bjA</t>
  </si>
  <si>
    <t xml:space="preserve">UC3e7NIf2DOS79L9EKg3ESiA</t>
  </si>
  <si>
    <t xml:space="preserve">UCEm15TtAeSJuGN7LNiizHMw</t>
  </si>
  <si>
    <t xml:space="preserve">UCuVb4vFoFO8maaRZoupRpAg</t>
  </si>
  <si>
    <t xml:space="preserve">UC6SZdwGIHMoC2WqC5nugBDw</t>
  </si>
  <si>
    <t xml:space="preserve">UCZbNi5DqBvaOZygMl8HfjDQ</t>
  </si>
  <si>
    <t xml:space="preserve">UCNcL_pyCG3Tt9NPGaBzpUKQ</t>
  </si>
  <si>
    <t xml:space="preserve">UCJMnwi5o_kFjA_vPgEbQ8Sg</t>
  </si>
  <si>
    <t xml:space="preserve">UC-Gn7EgShAINFthjuzxi9PQ</t>
  </si>
  <si>
    <t xml:space="preserve">UCKBmtpvPVux6e_hTKcdgekg</t>
  </si>
  <si>
    <t xml:space="preserve">UC--39GwFNIGO5synGNH8eTg</t>
  </si>
  <si>
    <t xml:space="preserve">UCJ1YrZg15MU-3iDPJhCyCrw</t>
  </si>
  <si>
    <t xml:space="preserve">UCY606J1h0M4LMgC7xFYtDbg</t>
  </si>
  <si>
    <t xml:space="preserve">UC3Q-kW3Yyj94J_TfVOliW6Q</t>
  </si>
  <si>
    <t xml:space="preserve">UCsMfc73weJdFWt1xCzsS6Wg</t>
  </si>
  <si>
    <t xml:space="preserve">UCJuMzU9bXLVy2dv6aSp47uQ</t>
  </si>
  <si>
    <t xml:space="preserve">UC58uzQLTQgLGj2JZ6A59D2g</t>
  </si>
  <si>
    <t xml:space="preserve">UC_W0pN2Ncqo5025TMnXSf2w</t>
  </si>
  <si>
    <t xml:space="preserve">UCpZxF2O5dgn0s-du2AnYGOA</t>
  </si>
  <si>
    <t xml:space="preserve">UCjLTH2TSthsO1vLZ0ryRebA</t>
  </si>
  <si>
    <t xml:space="preserve">UCVG3ZuAM6Uty8DHQ5RKxWmg</t>
  </si>
  <si>
    <t xml:space="preserve">UCdz-GnSp4g-NLn-qXseGO4w</t>
  </si>
  <si>
    <t xml:space="preserve">UCfIVDlzggOCin7LHTRve1OQ</t>
  </si>
  <si>
    <t xml:space="preserve">UCQgEiJUeY1vwEPdQrEX5IZQ</t>
  </si>
  <si>
    <t xml:space="preserve">UCj4C42RccW_wJ8ac24u5EZg</t>
  </si>
  <si>
    <t xml:space="preserve">UCfry4AGESQ19x_ENSm1lyfw</t>
  </si>
  <si>
    <t xml:space="preserve">UCP92ucn4oyy_u8BZ28iAIgQ</t>
  </si>
  <si>
    <t xml:space="preserve">UCQEzf8Pu7iyYyqlm-aucxyg</t>
  </si>
  <si>
    <t xml:space="preserve">UCcbBDuVQ1B6CEUiNPQ4DU0Q</t>
  </si>
  <si>
    <t xml:space="preserve">UCFSI96vClUFIq3P8x5WDSqQ</t>
  </si>
  <si>
    <t xml:space="preserve">UCKoF-qjX9TNUTn28Xh9PmKA</t>
  </si>
  <si>
    <t xml:space="preserve">UCbdqAJiLnR0wwwJQWH5cAYw</t>
  </si>
  <si>
    <t xml:space="preserve">UCUdnJ_1aP16vj6UstA3AVTg</t>
  </si>
  <si>
    <t xml:space="preserve">UCtTJkuvyb1nx9Br_texTA5A</t>
  </si>
  <si>
    <t xml:space="preserve">UCSpeRyVO89aVsjVq5VFjXRQ</t>
  </si>
  <si>
    <t xml:space="preserve">UC8VhAy195zETCSCm9WRVClA</t>
  </si>
  <si>
    <t xml:space="preserve">UCnB3a0-3bHfcx7dlaECNKxw</t>
  </si>
  <si>
    <t xml:space="preserve">UCKFnbjBQDzzh002TMJcyuZA</t>
  </si>
  <si>
    <t xml:space="preserve">UC001yhAyDlEnMq8Lp-QkC3g</t>
  </si>
  <si>
    <t xml:space="preserve">UCWA4JUorqN8o1_63kj2qUvg</t>
  </si>
  <si>
    <t xml:space="preserve">UCvGLTTJS52pyEARqZvYb8Yg</t>
  </si>
  <si>
    <t xml:space="preserve">UCewHMHmERjN2cOQ0e9ErKzQ</t>
  </si>
  <si>
    <t xml:space="preserve">UCf28fQHLTNUqiCuU91wGjxA</t>
  </si>
  <si>
    <t xml:space="preserve">UC8nYeBvnz4Shns_7O8C3lVA</t>
  </si>
  <si>
    <t xml:space="preserve">UCz1Vg6qveHlW1NHE_NQR4LQ</t>
  </si>
  <si>
    <t xml:space="preserve">UCKMkQIT9QAsFRIBEDtxED7Q</t>
  </si>
  <si>
    <t xml:space="preserve">UCqFXfon4hX0Szi9QMOevwBQ</t>
  </si>
  <si>
    <t xml:space="preserve">UC6w8rCMnoBPOjbVeNZmdZ1A</t>
  </si>
  <si>
    <t xml:space="preserve">UCb0chCe9hHazEtKMmFUlziA</t>
  </si>
  <si>
    <t xml:space="preserve">UCHgSkWQRH1W52pkeU6Y4D8g</t>
  </si>
  <si>
    <t xml:space="preserve">UCunemWKENIz4Vw5KWC8sh0w</t>
  </si>
  <si>
    <t xml:space="preserve">UCZZrqIMm2SkTX0W860fY-Tw</t>
  </si>
  <si>
    <t xml:space="preserve">UCAtzc4ncYg0KImh6TA4ycmA</t>
  </si>
  <si>
    <t xml:space="preserve">UC7tH_E2ZMd1huzCD_-MVdcQ</t>
  </si>
  <si>
    <t xml:space="preserve">UC3k4fsA02YJy5sPUuOx1MFw</t>
  </si>
  <si>
    <t xml:space="preserve">UCG0ecj5Uvz2EdcUptxYx2MA</t>
  </si>
  <si>
    <t xml:space="preserve">UC8OZJ-c_5cTfM8cUL2slc6A</t>
  </si>
  <si>
    <t xml:space="preserve">UCT3YyKCqHB16hGoApydLk-A</t>
  </si>
  <si>
    <t xml:space="preserve">UCzUV1tZ_Lwsq9buL5E4Iqrw</t>
  </si>
  <si>
    <t xml:space="preserve">UCEzzngreD9QuO4MVgfWr3Ww</t>
  </si>
  <si>
    <t xml:space="preserve">UCz5OR1qz402ZdnH8wsjKHFQ</t>
  </si>
  <si>
    <t xml:space="preserve">UC2RxJoATXtqBHmHkxoZvfuA</t>
  </si>
  <si>
    <t xml:space="preserve">UCAY4SBV4-lIi2TI5DIOLMdQ</t>
  </si>
  <si>
    <t xml:space="preserve">UCCDgGcFqSbwg43MUs5AuMCw</t>
  </si>
  <si>
    <t xml:space="preserve">UCKf6GCg-Rc2slbwtGzuhQiA</t>
  </si>
  <si>
    <t xml:space="preserve">UClKsmgTyRchtmlQOw-F-xpQ</t>
  </si>
  <si>
    <t xml:space="preserve">UCE2UyS0YLZ0BG4kPFvXe7wQ</t>
  </si>
  <si>
    <t xml:space="preserve">UCcIWxPoYjE-ZSZAQdcBo0CA</t>
  </si>
  <si>
    <t xml:space="preserve">UCK40XaiYx6_x3upGBWvbh8w</t>
  </si>
  <si>
    <t xml:space="preserve">UCPRlKanVIZfIMv1CEfMnxVA</t>
  </si>
  <si>
    <t xml:space="preserve">UCooG7-JvYNaFcOeJemYNnkg</t>
  </si>
  <si>
    <t xml:space="preserve">UC2RTDBpBkHNX6G0fFFp65hA</t>
  </si>
  <si>
    <t xml:space="preserve">UC6y0g8jGOvnuPidJOx_vbsg</t>
  </si>
  <si>
    <t xml:space="preserve">UCX051gHPmD3wi0f_Fd12Yiw</t>
  </si>
  <si>
    <t xml:space="preserve">UCLmlEdiv9cDJnh8Y8i0Q0EQ</t>
  </si>
  <si>
    <t xml:space="preserve">UCU55r0lA80aZZlG68tWzy6g</t>
  </si>
  <si>
    <t xml:space="preserve">UCcb1d2iS9EPyKFU0hzQVEfA</t>
  </si>
  <si>
    <t xml:space="preserve">UCbO3u2wkdFXl_LcHSFOzGQA</t>
  </si>
  <si>
    <t xml:space="preserve">UC9SGjJCQoOmy40NN_tfiWKQ</t>
  </si>
  <si>
    <t xml:space="preserve">UCXcixmdzB7kzL7DSYoPxH2g</t>
  </si>
  <si>
    <t xml:space="preserve">UCF80bswbf1JedtcatVW56qQ</t>
  </si>
  <si>
    <t xml:space="preserve">UCM6YFCUkr820fB-JBnS96Pg</t>
  </si>
  <si>
    <t xml:space="preserve">UCx2bCaJoAeRb43M24DYvGfg</t>
  </si>
  <si>
    <t xml:space="preserve">UCgf-uk3xxvftwaUW3wT6aTA</t>
  </si>
  <si>
    <t xml:space="preserve">UCL7oYjpNyvT7cuQUn5XzooQ</t>
  </si>
  <si>
    <t xml:space="preserve">UCww_kmjRlpRgnJlY5geuaWA</t>
  </si>
  <si>
    <t xml:space="preserve">UCqyd20d0lqOnDTFYoRe9eHQ</t>
  </si>
  <si>
    <t xml:space="preserve">UCd6o-59W9R60qNHon-UNyjA</t>
  </si>
  <si>
    <t xml:space="preserve">UCsuN9WqTqaJRsqghhoiyIgw</t>
  </si>
  <si>
    <t xml:space="preserve">UCnTjWFHkprKL948UgpnlfPg</t>
  </si>
  <si>
    <t xml:space="preserve">UCFck4v_-6TwyYKHbLFox2pw</t>
  </si>
  <si>
    <t xml:space="preserve">UCJhUrrLCybxIavwFSmc5uvw</t>
  </si>
  <si>
    <t xml:space="preserve">UCeHBtWLeV3wLJT3B_8Oq0TQ</t>
  </si>
  <si>
    <t xml:space="preserve">UCq5eyKhkerrFZ4qfu7qO1Bg</t>
  </si>
  <si>
    <t xml:space="preserve">UCK0VhFo5kjrARP8VW_0npng</t>
  </si>
  <si>
    <t xml:space="preserve">UCzxUIZjHGHkt-D-mvCNMWzw</t>
  </si>
  <si>
    <t xml:space="preserve">UCE6Y7fJCSeQEUaCxQPENjCg</t>
  </si>
  <si>
    <t xml:space="preserve">UCpWv4exRrg3Xde_qb78tewA</t>
  </si>
  <si>
    <t xml:space="preserve">UCGJTRElIv1hmK2z2dv_GJdQ</t>
  </si>
  <si>
    <t xml:space="preserve">UCMhRPskrxoRoa6hYG9h-c4w</t>
  </si>
  <si>
    <t xml:space="preserve">UC7Cmck_-9xXMDaYDLq1W_2Q</t>
  </si>
  <si>
    <t xml:space="preserve">UC7Ce2BvvoA71AipHamlN70Q</t>
  </si>
  <si>
    <t xml:space="preserve">UCPW1L32EDQzcUmwMzq0sSiQ</t>
  </si>
  <si>
    <t xml:space="preserve">UCHQR5W50LJPL7dibe5xoCrg</t>
  </si>
  <si>
    <t xml:space="preserve">UCXW0SzDz6QxnxpXTT5B4-SQ</t>
  </si>
  <si>
    <t xml:space="preserve">UCJVYrcaEUk3xWX8UQEss7Rg</t>
  </si>
  <si>
    <t xml:space="preserve">UC6-y6iGjIft93B_rjG9-CrQ</t>
  </si>
  <si>
    <t xml:space="preserve">UCABOBqS3y8Xn_o7bXvH-j2Q</t>
  </si>
  <si>
    <t xml:space="preserve">UCMxF9y06Ly2oZw6HLvyJtrg</t>
  </si>
  <si>
    <t xml:space="preserve">UCXeQJcOZTBBxu8Jmjj_7c_A</t>
  </si>
  <si>
    <t xml:space="preserve">UC4Ecb_xYnIKf8sLwMnxRIRw</t>
  </si>
  <si>
    <t xml:space="preserve">UCppLbz-ek1LBvlID2uuvk2A</t>
  </si>
  <si>
    <t xml:space="preserve">UCTcw7g1y3vRGHSXOarzx0KQ</t>
  </si>
  <si>
    <t xml:space="preserve">UCNFmBuclxQPe57orKiQbyfA</t>
  </si>
  <si>
    <t xml:space="preserve">UCN2rsoP_miOkSIvohOMFiqQ</t>
  </si>
  <si>
    <t xml:space="preserve">UCbF70rc8JhQvN0LruDiX4QA</t>
  </si>
  <si>
    <t xml:space="preserve">UCkqmkM5gLc23V4MPljct2wg</t>
  </si>
  <si>
    <t xml:space="preserve">UC3NPsjhzSLmatOYyIpKvQxQ</t>
  </si>
  <si>
    <t xml:space="preserve">UCGOl3bsCSJkX3FGJqRChzwg</t>
  </si>
  <si>
    <t xml:space="preserve">UCHjTVaCc0IMueSRKp9R5jBg</t>
  </si>
  <si>
    <t xml:space="preserve">UCfC_J3_v3mCyhvlB7C0M6bA</t>
  </si>
  <si>
    <t xml:space="preserve">UC5j0i8xOklk-3WrUOFjlleg</t>
  </si>
  <si>
    <t xml:space="preserve">UCti91F5eV0IDB0T4zi63UAA</t>
  </si>
  <si>
    <t xml:space="preserve">UCFPuuaEXTg4ICbTL_QzPTzg</t>
  </si>
  <si>
    <t xml:space="preserve">UCYaQrRKxq8nf1Jy95roPZSw</t>
  </si>
  <si>
    <t xml:space="preserve">UCUITKhflrJnU5NJGLD3Rdhg</t>
  </si>
  <si>
    <t xml:space="preserve">UCCt2sMQvjxDvQSr4p15sAYg</t>
  </si>
  <si>
    <t xml:space="preserve">UCoZFJZ9biIZ5AFazpih7GQQ</t>
  </si>
  <si>
    <t xml:space="preserve">UCIJmXFzeUIVHOTE8n9o5B9g</t>
  </si>
  <si>
    <t xml:space="preserve">UCoQ1kN7vC_SG0zLGZAZpbPw</t>
  </si>
  <si>
    <t xml:space="preserve">UCHKfV6NEIwJy1OreYVRWzCA</t>
  </si>
  <si>
    <t xml:space="preserve">UCWhueby5VkDRqtLi6OWAikg</t>
  </si>
  <si>
    <t xml:space="preserve">UCTn4Ecu4uKVRnFvL5ZHU-WQ</t>
  </si>
  <si>
    <t xml:space="preserve">UC6tAl2_5eBK-RCmrDUy_xrg</t>
  </si>
  <si>
    <t xml:space="preserve">UCy7g3SxwT4-IjfK0sslECDQ</t>
  </si>
  <si>
    <t xml:space="preserve">UCnWsPUc-BfTto8JoLP-M8oA</t>
  </si>
  <si>
    <t xml:space="preserve">UC4cCgia3NmbiRSsuJdbNsbg</t>
  </si>
  <si>
    <t xml:space="preserve">UCmgDkCijcth2d2DaA2bMSCg</t>
  </si>
  <si>
    <t xml:space="preserve">UCo5XUJUiaf7bTISuWLVgjXA</t>
  </si>
  <si>
    <t xml:space="preserve">UC3NzzCZOO-kX5hIOcGFB_hA</t>
  </si>
  <si>
    <t xml:space="preserve">UCuhjoaggLnXRGEztM-EjywA</t>
  </si>
  <si>
    <t xml:space="preserve">UC5GEMsi1gD-YQPBeHC4lsHQ</t>
  </si>
  <si>
    <t xml:space="preserve">UCOjF0sFwGka-_ouGbuWzpdQ</t>
  </si>
  <si>
    <t xml:space="preserve">UCLNYhA7rnXfdaFh-W6hJTSg</t>
  </si>
  <si>
    <t xml:space="preserve">UCwpr_shE_KEjoOVFqbwaGYQ</t>
  </si>
  <si>
    <t xml:space="preserve">UCpW81DZzRWm4gpTsrbcB-Cw</t>
  </si>
  <si>
    <t xml:space="preserve">UCRlx0NpAhTYTK9HDPAhR3jA</t>
  </si>
  <si>
    <t xml:space="preserve">UCgsLP-5poOdyJhphPv6uAng</t>
  </si>
  <si>
    <t xml:space="preserve">UCOyafUzUfn4nKXa3G0z3tjw</t>
  </si>
  <si>
    <t xml:space="preserve">UCXDDyIhgzmB3Z93eb1VGbXA</t>
  </si>
  <si>
    <t xml:space="preserve">UC8-N0yljzmWALk_8blbxZqQ</t>
  </si>
  <si>
    <t xml:space="preserve">UCKYbCaqodngk9D6gPiFMQ_Q</t>
  </si>
  <si>
    <t xml:space="preserve">UCVGqw7ACdIdRJ6vQN2jMIfw</t>
  </si>
  <si>
    <t xml:space="preserve">UCuD0PQp0jf2qXvtHF6zOXNw</t>
  </si>
  <si>
    <t xml:space="preserve">UChf6KQvgV3XsmZZ1jlXFR7g</t>
  </si>
  <si>
    <t xml:space="preserve">UCRnI8mSAO35rx7T4-BFLxtA</t>
  </si>
  <si>
    <t xml:space="preserve">UCNTFnnKxtIfFdy-7E9WNTZA</t>
  </si>
  <si>
    <t xml:space="preserve">UC6HyaMdlertY8QqgZikzGJg</t>
  </si>
  <si>
    <t xml:space="preserve">UCVGm0D_B1GKL9SwImo3N6aA</t>
  </si>
  <si>
    <t xml:space="preserve">UCuVLXPqY4LZx3VgiXPmxkaQ</t>
  </si>
  <si>
    <t xml:space="preserve">UCX3WKROa10PoBCNHcWEnNQw</t>
  </si>
  <si>
    <t xml:space="preserve">UCoirKcfNSYyX1bIfv4wzTHA</t>
  </si>
  <si>
    <t xml:space="preserve">UCEIdmUwbBQKaFNJ76JThDvA</t>
  </si>
  <si>
    <t xml:space="preserve">UCnlgiPLpnXdXr7opagJv3fA</t>
  </si>
  <si>
    <t xml:space="preserve">UCdRB5rtE38xRr5LWQYDPupg</t>
  </si>
  <si>
    <t xml:space="preserve">UC_ViiQBrIqBK6Jd2fs8UU2w</t>
  </si>
  <si>
    <t xml:space="preserve">UCBQrlLdnPVOAqkbfWRExD4A</t>
  </si>
  <si>
    <t xml:space="preserve">UCVFxsqokk8w3Z_t1qvIiOAg</t>
  </si>
  <si>
    <t xml:space="preserve">UCtwzx1Q8-3e-3OEcpH_dfOA</t>
  </si>
  <si>
    <t xml:space="preserve">UCaT78z-j8wnl2wkjgafBiyw</t>
  </si>
  <si>
    <t xml:space="preserve">UC2MLBAipi69tv2neGMje60g</t>
  </si>
  <si>
    <t xml:space="preserve">UCxqb3jHBOaDvh0vOU6yO_Jw</t>
  </si>
  <si>
    <t xml:space="preserve">UCwMRL9aFOIWUpex_ePmO1fw</t>
  </si>
  <si>
    <t xml:space="preserve">UCz1UlqHiDu8JqkFvH9IVj3w</t>
  </si>
  <si>
    <t xml:space="preserve">UCUXnjRd1I_CMKWG25oDnskA</t>
  </si>
  <si>
    <t xml:space="preserve">UCHuOsNDBRizR-4PKmGsVqZA</t>
  </si>
  <si>
    <t xml:space="preserve">UCdj8Tl1OYgwZopOGX_FcdNg</t>
  </si>
  <si>
    <t xml:space="preserve">UCv5sWId-J2RLPXFiS9M0YmQ</t>
  </si>
  <si>
    <t xml:space="preserve">UCe9vIGL_VdILZUrJ56u7a3w</t>
  </si>
  <si>
    <t xml:space="preserve">UCx5nJh47g3MZjYepQzyl5DQ</t>
  </si>
  <si>
    <t xml:space="preserve">UCIzGgW3qt0cvVJXc7iYL2lw</t>
  </si>
  <si>
    <t xml:space="preserve">UC0dQcJVnUeT6ZYJQiXlCLYA</t>
  </si>
  <si>
    <t xml:space="preserve">UCT2e1zBLZKPCXE4XLCZnv4Q</t>
  </si>
  <si>
    <t xml:space="preserve">UCc34FvrsixVdHuvaipikMxA</t>
  </si>
  <si>
    <t xml:space="preserve">UCSxVNNq3L-hYWWiLMFEXFfA</t>
  </si>
  <si>
    <t xml:space="preserve">UCISUhmQdaz2YzBzo3VWW2gA</t>
  </si>
  <si>
    <t xml:space="preserve">UCE7hqLeaoffWs0OWfGZEk-Q</t>
  </si>
  <si>
    <t xml:space="preserve">UChD7Sm4Gj1z_RiuteNX3U2w</t>
  </si>
  <si>
    <t xml:space="preserve">UC9qOrdYP2YR4UlMKpBol2Lg</t>
  </si>
  <si>
    <t xml:space="preserve">UCDuH1sMhViWZsVF8O88yrWQ</t>
  </si>
  <si>
    <t xml:space="preserve">UC3dy0r-HxPrWTRHVvicdMmg</t>
  </si>
  <si>
    <t xml:space="preserve">UCAabp_jYgGa1AVWEbPoiIBA</t>
  </si>
  <si>
    <t xml:space="preserve">UCKla4QMk-p_QgUv94t6odWQ</t>
  </si>
  <si>
    <t xml:space="preserve">UCgAp63djuph7IIQGrAu9iGw</t>
  </si>
  <si>
    <t xml:space="preserve">UCI3x8HoS2pSHNrPuolHa5WA</t>
  </si>
  <si>
    <t xml:space="preserve">UCnhI3XLOySDPtH9ouJjkcVw</t>
  </si>
  <si>
    <t xml:space="preserve">UCxFXgZh2s89ZJnbaU_M8ztw</t>
  </si>
  <si>
    <t xml:space="preserve">UC4EPQwVmIo17WTPQ87IryKA</t>
  </si>
  <si>
    <t xml:space="preserve">UCgWtrl_kPg2FxhvNP7cIepQ</t>
  </si>
  <si>
    <t xml:space="preserve">UCUAFokaSwfq35rTCyL5R0bw</t>
  </si>
  <si>
    <t xml:space="preserve">UCwrZb7kKRqe7TSN6oxxTGFw</t>
  </si>
  <si>
    <t xml:space="preserve">UCSQ0b9Em9deyN7Hvus4X1Wg</t>
  </si>
  <si>
    <t xml:space="preserve">UCQ5RRY__x9hdK0U31HfXGZg</t>
  </si>
  <si>
    <t xml:space="preserve">UCPYGjKyFOWdQ3uVgG47IRow</t>
  </si>
  <si>
    <t xml:space="preserve">UCLD47bbAQssch-yIHxVOXXA</t>
  </si>
  <si>
    <t xml:space="preserve">UC_IWa3nj2wJ1ZIJK6CKBy4A</t>
  </si>
  <si>
    <t xml:space="preserve">UCiKWejcDBLkRdJjKxqMH5uA</t>
  </si>
  <si>
    <t xml:space="preserve">UCN496AtV81RC_pniTxZst5A</t>
  </si>
  <si>
    <t xml:space="preserve">UCjOZC0qz72xUYgNKlXN6Iwg</t>
  </si>
  <si>
    <t xml:space="preserve">UCQExh9iPxZ1YkgnZANbyMNw</t>
  </si>
  <si>
    <t xml:space="preserve">UCQ35nlZLI0AfmhGhoGNOKyA</t>
  </si>
  <si>
    <t xml:space="preserve">UCJymPHAMfxcgZrcWC94F7rA</t>
  </si>
  <si>
    <t xml:space="preserve">UCDTYty9nfS3dlVG2TLgrm7g</t>
  </si>
  <si>
    <t xml:space="preserve">UCO9ckSKZCUMyKPGxRFLHNGw</t>
  </si>
  <si>
    <t xml:space="preserve">UCpUFu--bhtJ12M1PQA3OjeQ</t>
  </si>
  <si>
    <t xml:space="preserve">UC-_twliyxYIawfTtzD276fA</t>
  </si>
  <si>
    <t xml:space="preserve">UCr7g_vSZRs84wS5W-XI8iRQ</t>
  </si>
  <si>
    <t xml:space="preserve">UCiDe7hYPwT3aCpe0M9L3EPQ</t>
  </si>
  <si>
    <t xml:space="preserve">UCbXJGyPzrM9WCZ-o7fig3LA</t>
  </si>
  <si>
    <t xml:space="preserve">UC3ITEPB1plAEtHf5Cm8nQLA</t>
  </si>
  <si>
    <t xml:space="preserve">UCc1aq4F_dnz5oWGXV7Ov02g</t>
  </si>
  <si>
    <t xml:space="preserve">UCvjLv1PUo76vb9LNN5OyXTg</t>
  </si>
  <si>
    <t xml:space="preserve">UCi7w0Y_qch4rMLDPFCRvOyg</t>
  </si>
  <si>
    <t xml:space="preserve">UC44ludjTptL-x-5wPnKbGEQ</t>
  </si>
  <si>
    <t xml:space="preserve">UCX8P-atCbeOtbhKVal5cjDA</t>
  </si>
  <si>
    <t xml:space="preserve">UCDQERu26HyRJXxeHvXHRTUg</t>
  </si>
  <si>
    <t xml:space="preserve">UCMBnqlKelJD4MGNImrS4mGw</t>
  </si>
  <si>
    <t xml:space="preserve">UCDE4KyzVREqHg8WPPOLTKpA</t>
  </si>
  <si>
    <t xml:space="preserve">UCuonhtT6vo8YlanJbbcYKbw</t>
  </si>
  <si>
    <t xml:space="preserve">UCKaCQ_hhYfOsw3QDT9ucx7A</t>
  </si>
  <si>
    <t xml:space="preserve">UCIXJbwtkQVxUshfFqFoFB8A</t>
  </si>
  <si>
    <t xml:space="preserve">UCEUCiyvlUHwQLYt7MVYOBHg</t>
  </si>
  <si>
    <t xml:space="preserve">UCvobtAFyYtyeiVT8F_ZkhfA</t>
  </si>
  <si>
    <t xml:space="preserve">UCwixRrkteY1J4-DFs3ZyV5w</t>
  </si>
  <si>
    <t xml:space="preserve">UCUrxIZb64R5U-jcDsYz6wMg</t>
  </si>
  <si>
    <t xml:space="preserve">UCJJCHEdH9s75Nbhoq2Q_pzw</t>
  </si>
  <si>
    <t xml:space="preserve">UC0feGOb1AVfKKBS0JJEh1eQ</t>
  </si>
  <si>
    <t xml:space="preserve">UC-y-UTxSbPngyGgDzBKpI3A</t>
  </si>
  <si>
    <t xml:space="preserve">UCO-OeZH14b_k1YZzM67he3w</t>
  </si>
  <si>
    <t xml:space="preserve">UCTIRF_ft3qjMvm1TXCAAoxQ</t>
  </si>
  <si>
    <t xml:space="preserve">UCHDrpziM6zoKaAwt4SNO8cw</t>
  </si>
  <si>
    <t xml:space="preserve">UC8-MB2TnXV7axsw6Ykobkjw</t>
  </si>
  <si>
    <t xml:space="preserve">UCE7GVKraoSNP60yHwDSYFdQ</t>
  </si>
  <si>
    <t xml:space="preserve">UCz17OJWV27c5FZKKBlLDXEw</t>
  </si>
  <si>
    <t xml:space="preserve">UCt_-GkMqKEz4Pe9bFdl9Lkg</t>
  </si>
  <si>
    <t xml:space="preserve">UCQgQVXBqnms-7VYoPvbvMZw</t>
  </si>
  <si>
    <t xml:space="preserve">UChFsPJoTQ2CnIcBhHwCz1aw</t>
  </si>
  <si>
    <t xml:space="preserve">UCAk1fju9wTjRRdsJb4RLjNg</t>
  </si>
  <si>
    <t xml:space="preserve">UCcLy4MpJzxuLg0ehlksWdng</t>
  </si>
  <si>
    <t xml:space="preserve">UC-lCQc2eIAg6--pAn1vDoFw</t>
  </si>
  <si>
    <t xml:space="preserve">UCtT-THJb0Bfmqzz127iL1bA</t>
  </si>
  <si>
    <t xml:space="preserve">UCugF92Cw66UbH6lG4CJwK1Q</t>
  </si>
  <si>
    <t xml:space="preserve">UCFs1g6dwU_Jvz-bQsku7cZQ</t>
  </si>
  <si>
    <t xml:space="preserve">UC_U-4_iOvhEVvZSGE_8KsHQ</t>
  </si>
  <si>
    <t xml:space="preserve">UCK62ReSRAY1fdbfHuhWTOIQ</t>
  </si>
  <si>
    <t xml:space="preserve">UC7btqG2Ww0_2LwuQxpvo2HQ</t>
  </si>
  <si>
    <t xml:space="preserve">UCX737Ag9HltrcP7SeaYNHPg</t>
  </si>
  <si>
    <t xml:space="preserve">UC5sPeifY9rg0dWRvGtrsIMg</t>
  </si>
  <si>
    <t xml:space="preserve">UC8iqsSEC7aYwFFUDzahJQYw</t>
  </si>
  <si>
    <t xml:space="preserve">UCEhGxpmpSwWPJjHEPQpspNQ</t>
  </si>
  <si>
    <t xml:space="preserve">UCtBLpR3fIv_JE17toWMgECQ</t>
  </si>
  <si>
    <t xml:space="preserve">UCe7JwY7Ijgc0g-FKiLYLoQA</t>
  </si>
  <si>
    <t xml:space="preserve">UCyL3qfzr0HtE7bHpK3tz9TA</t>
  </si>
  <si>
    <t xml:space="preserve">UCcudRs0KCQsnOiQU0sxuUDw</t>
  </si>
  <si>
    <t xml:space="preserve">UCqc-JrBasBeHwMeXpjCVKKA</t>
  </si>
  <si>
    <t xml:space="preserve">UCyWCwh4tNeHkj8RPYlUY7iQ</t>
  </si>
  <si>
    <t xml:space="preserve">UCN8RXipFCQqgLpsXcpz8New</t>
  </si>
  <si>
    <t xml:space="preserve">UCgx8PiXOg7LMir3Tm2RLqfA</t>
  </si>
  <si>
    <t xml:space="preserve">UCEHusMVi6ZuEYckbqCvsUDw</t>
  </si>
  <si>
    <t xml:space="preserve">UC0fEeg3RaynX1iJfenw0VKg</t>
  </si>
  <si>
    <t xml:space="preserve">UCc3QZwrnDbHohHN8hudifFg</t>
  </si>
  <si>
    <t xml:space="preserve">UC2ZsJuSVzqAZChQ0lg7SlvQ</t>
  </si>
  <si>
    <t xml:space="preserve">UCTH8N_tX5rzmTOqCudPO5qA</t>
  </si>
  <si>
    <t xml:space="preserve">UC5w5J49tzBvSwmOowwBJ-eA</t>
  </si>
  <si>
    <t xml:space="preserve">UC-WfxbiPAmdxWRD5O-S9ztQ</t>
  </si>
  <si>
    <t xml:space="preserve">UCiNKIaRTh3hoWAVBD381TuA</t>
  </si>
  <si>
    <t xml:space="preserve">UCGJO3tZg7mTX7MUGw6TVY1A</t>
  </si>
  <si>
    <t xml:space="preserve">UCVspwa6OoJ4jVmxl_hrHovw</t>
  </si>
  <si>
    <t xml:space="preserve">UCl547PVVpkBZTqv3KDnnZcg</t>
  </si>
  <si>
    <t xml:space="preserve">UCa-sEIAlqi0C2KuS84MGGfw</t>
  </si>
  <si>
    <t xml:space="preserve">UCZcbvRr1cqFlNgEEwUtJVzA</t>
  </si>
  <si>
    <t xml:space="preserve">UCWf-YsP9NBMCsjN1vf5JmjA</t>
  </si>
  <si>
    <t xml:space="preserve">UCDLdrj9IZQNHCXAzwoH7flg</t>
  </si>
  <si>
    <t xml:space="preserve">UCaGyMmI0K3erz6LWK2NEfMw</t>
  </si>
  <si>
    <t xml:space="preserve">UCMO24lP6dXHKbnBjTUOxJCg</t>
  </si>
  <si>
    <t xml:space="preserve">UCoI7kIuTrSjwBIw1Yd3nVCQ</t>
  </si>
  <si>
    <t xml:space="preserve">UCfNWyM9OsOSu62zj1mWjXZg</t>
  </si>
  <si>
    <t xml:space="preserve">UCcErZD9wUPQONYaoRXWX-hw</t>
  </si>
  <si>
    <t xml:space="preserve">UCJer7lK0ILB_RrPzOeJ01fA</t>
  </si>
  <si>
    <t xml:space="preserve">UCNNshWaYgpDwLOZqIecQTKw</t>
  </si>
  <si>
    <t xml:space="preserve">UCfPsKnaLm9TvC6eEMvA0_og</t>
  </si>
  <si>
    <t xml:space="preserve">UCW1LdF6sbTj2uurZM4Ntljg</t>
  </si>
  <si>
    <t xml:space="preserve">UC9bm_ieAvbP6oBBc5WIuxzg</t>
  </si>
  <si>
    <t xml:space="preserve">UCqtVYwJC5SGifirO0Mg_V5g</t>
  </si>
  <si>
    <t xml:space="preserve">UCSQ58N7O_QAoI516gPfvAOg</t>
  </si>
  <si>
    <t xml:space="preserve">UCdTa-8clwx4fRHmt2N9Y2sw</t>
  </si>
  <si>
    <t xml:space="preserve">UCx-H-Ue9w92spsj6seBrJRg</t>
  </si>
  <si>
    <t xml:space="preserve">UC2amkJX5zDyQJ0mDajAWRSA</t>
  </si>
  <si>
    <t xml:space="preserve">UCVZLozjLM_XKUMx6bTK2oUQ</t>
  </si>
  <si>
    <t xml:space="preserve">UC0dbfhI06t4SpKsI-lmw9fA</t>
  </si>
  <si>
    <t xml:space="preserve">UCAXSMvM9PtGaaslhz-pc8Tw</t>
  </si>
  <si>
    <t xml:space="preserve">UCzxfpzSF7mz8j7bNIXyZWmA</t>
  </si>
  <si>
    <t xml:space="preserve">UCGcHw5kP7-PfNdujznmF48w</t>
  </si>
  <si>
    <t xml:space="preserve">UCHTwv1rbDkmB_xa9aDnm3qA</t>
  </si>
  <si>
    <t xml:space="preserve">UC1g3ZGQhS2TlofMl0qhAsJg</t>
  </si>
  <si>
    <t xml:space="preserve">UCO-uVs959_GUzzUx4ctwMMQ</t>
  </si>
  <si>
    <t xml:space="preserve">UCUofT-FbQC4z2INMGZrQUOg</t>
  </si>
  <si>
    <t xml:space="preserve">UCJKlBsEx-aj2lP7wLETWpcA</t>
  </si>
  <si>
    <t xml:space="preserve">UCFlI3jVIzCqPmjrscE0eqpQ</t>
  </si>
  <si>
    <t xml:space="preserve">UCjfD0yjoqV9M093E16L1crA</t>
  </si>
  <si>
    <t xml:space="preserve">UCX9NM-LGNt9plULr29sE8EA</t>
  </si>
  <si>
    <t xml:space="preserve">UCid6x3HtSLudifY7gS81YyA</t>
  </si>
  <si>
    <t xml:space="preserve">UCgiBnsy9QXyrzdwTIoDi4Tw</t>
  </si>
  <si>
    <t xml:space="preserve">UCvg9MtEwkLQAQTjtRCP_OnA</t>
  </si>
  <si>
    <t xml:space="preserve">UCQ6uRnV6i-SqhFq2ww5IGIg</t>
  </si>
  <si>
    <t xml:space="preserve">UCtYWpwLjEakboZegaxgD7EQ</t>
  </si>
  <si>
    <t xml:space="preserve">UC0VkiYFJ-_ZAGdu8YmqR3pg</t>
  </si>
  <si>
    <t xml:space="preserve">UCDttH6yITMoH-6RzVvJsbaQ</t>
  </si>
  <si>
    <t xml:space="preserve">UCGjwyK9AVBE0ODAfbabk_mA</t>
  </si>
  <si>
    <t xml:space="preserve">UCFx437jSydhhu8qFGd8d5ow</t>
  </si>
  <si>
    <t xml:space="preserve">UCME6sOi5ut1mk2NqgZ_fbgA</t>
  </si>
  <si>
    <t xml:space="preserve">UCcIbfdQoGKzPx9ftiP534vw</t>
  </si>
  <si>
    <t xml:space="preserve">UCbtG0yrbtIWgTFRMyLooIWQ</t>
  </si>
  <si>
    <t xml:space="preserve">UCqQoECAfS7f659Vmwki1gRw</t>
  </si>
  <si>
    <t xml:space="preserve">UCU2X91zXTPgEAGLDtcInopg</t>
  </si>
  <si>
    <t xml:space="preserve">UCpUfEepdMCGe4Cg1v4vi0KQ</t>
  </si>
  <si>
    <t xml:space="preserve">UCmA9e2PueO58nI-1KlZFXRQ</t>
  </si>
  <si>
    <t xml:space="preserve">UCU12tnXc4KU9zT7_yL5hhMA</t>
  </si>
  <si>
    <t xml:space="preserve">UCiDyLRbYiJI-uz-Ngn8DR2Q</t>
  </si>
  <si>
    <t xml:space="preserve">UC9gcI3j2_p1GS-RlHtl2_wg</t>
  </si>
  <si>
    <t xml:space="preserve">UCeq0O_65iXcBQBzfX7wIrbA</t>
  </si>
  <si>
    <t xml:space="preserve">UCbak0vY9UsMepE1vx28Gobw</t>
  </si>
  <si>
    <t xml:space="preserve">UCw9TU6O2g6Dwp7pbz2P9PnA</t>
  </si>
  <si>
    <t xml:space="preserve">UCIxcGcfSaC0p4Vul_7STr1w</t>
  </si>
  <si>
    <t xml:space="preserve">UCCtiOd8UJtAEVadRK6tqXAQ</t>
  </si>
  <si>
    <t xml:space="preserve">UCqriz5XqE-RiTjpVnSlhw_w</t>
  </si>
  <si>
    <t xml:space="preserve">UCnz68ZFJ6MiEgsdklkVMXKQ</t>
  </si>
  <si>
    <t xml:space="preserve">UC2A79PtHiLLdfpeP8zsJpwQ</t>
  </si>
  <si>
    <t xml:space="preserve">UCnUEZLLPTFGBwCxnNxxUl9A</t>
  </si>
  <si>
    <t xml:space="preserve">UCP9nfyNpZ2GNZlDWCLEn_MQ</t>
  </si>
  <si>
    <t xml:space="preserve">UCRfKZLANQsdI0r_H9lhyltQ</t>
  </si>
  <si>
    <t xml:space="preserve">UC0rkh_gKMuRXJ_RvN51R8yw</t>
  </si>
  <si>
    <t xml:space="preserve">UCgCP6fPIE9DHnzNL2Gqffzw</t>
  </si>
  <si>
    <t xml:space="preserve">UCeMHts_XcA5_hYy1hzqqWWg</t>
  </si>
  <si>
    <t xml:space="preserve">UCWY1Bh_0hNWQjx-Vx3DdYkA</t>
  </si>
  <si>
    <t xml:space="preserve">UCxmBDeg_V2Bzg13tqpelDUw</t>
  </si>
  <si>
    <t xml:space="preserve">UC3znh2wqPs44ReNwUnn0YAQ</t>
  </si>
  <si>
    <t xml:space="preserve">UCalSswu31wiJb8MtVcgkpFA</t>
  </si>
  <si>
    <t xml:space="preserve">UCQ6plIcys-J_YsTKYzjVXEg</t>
  </si>
  <si>
    <t xml:space="preserve">UC3AZCwbdamlfZRiplyzYDnQ</t>
  </si>
  <si>
    <t xml:space="preserve">UCLBo1sRUQzDdblEvsytdsig</t>
  </si>
  <si>
    <t xml:space="preserve">UC16jk3P3UfHNvU1uz9X45Zg</t>
  </si>
  <si>
    <t xml:space="preserve">UCXPerWafigpb8u0o0wuPl1Q</t>
  </si>
  <si>
    <t xml:space="preserve">UCzJ1kK3mGupL2V0YZ-lOMVQ</t>
  </si>
  <si>
    <t xml:space="preserve">UCo28i-Ybrc7fsOfQOoK087Q</t>
  </si>
  <si>
    <t xml:space="preserve">UCz8URNUsLJvdpk93ykTErOg</t>
  </si>
  <si>
    <t xml:space="preserve">UCrB89r63w92HyV379cKhrlg</t>
  </si>
  <si>
    <t xml:space="preserve">UC4XmhSAvLwZ-HMo7YdM1JcQ</t>
  </si>
  <si>
    <t xml:space="preserve">UCOuLBqvSmGNQ4Wc7VE52P-g</t>
  </si>
  <si>
    <t xml:space="preserve">UCXYJhrml5iHpGLpAj8774gw</t>
  </si>
  <si>
    <t xml:space="preserve">UCitqoqR05Rw7zjqYgBMerSg</t>
  </si>
  <si>
    <t xml:space="preserve">UCAY0pfcVZSNTpMTHDMyULlQ</t>
  </si>
  <si>
    <t xml:space="preserve">UCfX4rbfqf8u8hW_zR0gpm9A</t>
  </si>
  <si>
    <t xml:space="preserve">UCgUu_wUy9EYd1HDuMVnmTbA</t>
  </si>
  <si>
    <t xml:space="preserve">UCJoSin4fZf3n9dSmRqeOVCQ</t>
  </si>
  <si>
    <t xml:space="preserve">UCbDSTdDec28mNCVviJc0njQ</t>
  </si>
  <si>
    <t xml:space="preserve">UCRsIKgdOAeSe1uPB4OhMk0A</t>
  </si>
  <si>
    <t xml:space="preserve">UCZzAdTSJwcBGnAhLLgV3siA</t>
  </si>
  <si>
    <t xml:space="preserve">UCHb2gq0oKAR_9pNCj8ayndw</t>
  </si>
  <si>
    <t xml:space="preserve">UCz8uZWF8sOcvgYl1W5vTydg</t>
  </si>
  <si>
    <t xml:space="preserve">UChpLpgCXFyHTZnqhjP2e3IQ</t>
  </si>
  <si>
    <t xml:space="preserve">UCuzgC8FnVI_9CBvmkKg1-xg</t>
  </si>
  <si>
    <t xml:space="preserve">UCgV7eFhS7PHCLAVh6OcErQg</t>
  </si>
  <si>
    <t xml:space="preserve">UCC4l_9W4elvWxnf0Hq10hFQ</t>
  </si>
  <si>
    <t xml:space="preserve">UC5--2hnPaYi2fjngwNstE0g</t>
  </si>
  <si>
    <t xml:space="preserve">UC--El6rKTcXkpBZUf5Yymnw</t>
  </si>
  <si>
    <t xml:space="preserve">UCoWPdWyn2LMNf-HACa46qCQ</t>
  </si>
  <si>
    <t xml:space="preserve">UCGzYy9oeP0xtYazlsbAGEnw</t>
  </si>
  <si>
    <t xml:space="preserve">UCFM0bU8Iro7J5eqdrDVGv-Q</t>
  </si>
  <si>
    <t xml:space="preserve">UCv36MqPsUtwTM0R5FSEqV8g</t>
  </si>
  <si>
    <t xml:space="preserve">UCGwo5G2BMre1ajlDkHlKEmA</t>
  </si>
  <si>
    <t xml:space="preserve">UCjCuGNjHhtjzAHZF1Jths1w</t>
  </si>
  <si>
    <t xml:space="preserve">UCKe_Awq6TZ7cCpVu7RGyXew</t>
  </si>
  <si>
    <t xml:space="preserve">UCWnE1xLNLgHKIm--kNDTRzw</t>
  </si>
  <si>
    <t xml:space="preserve">UCrvVInhBDyitV7cNOeL83SQ</t>
  </si>
  <si>
    <t xml:space="preserve">UCpxYT5ZsN4YhLfHd52cz75g</t>
  </si>
  <si>
    <t xml:space="preserve">UC_G-B9CK6BVIuYXxw49y5gg</t>
  </si>
  <si>
    <t xml:space="preserve">UCE7hXHjGwUE4YZgsSqwRpfQ</t>
  </si>
  <si>
    <t xml:space="preserve">UCoXjp78cw6nVA9x2kd7C2iw</t>
  </si>
  <si>
    <t xml:space="preserve">UCONer0p9GxcHsc-dBqr_HXA</t>
  </si>
  <si>
    <t xml:space="preserve">UCKV6eQNDZTfZ7co0t9GkBTg</t>
  </si>
  <si>
    <t xml:space="preserve">UCigyXziCENfikGiOUlzur7g</t>
  </si>
  <si>
    <t xml:space="preserve">UCxvvV_BZ4jHkIH5ZpNxFX3A</t>
  </si>
  <si>
    <t xml:space="preserve">UCti_hY0Xqrhij14Oq3o0iog</t>
  </si>
  <si>
    <t xml:space="preserve">UCHk5rERcW5h_4C7aRqm8J3A</t>
  </si>
  <si>
    <t xml:space="preserve">UCCmHKnIad-Jc_NfRIZbqeVg</t>
  </si>
  <si>
    <t xml:space="preserve">UCIoCTcci1S4GXXXcXOKnyCQ</t>
  </si>
  <si>
    <t xml:space="preserve">UChWrzMraX280K3gQv2KL5Dw</t>
  </si>
  <si>
    <t xml:space="preserve">UCMlSAEE0BED6HpclVjBhyCg</t>
  </si>
  <si>
    <t xml:space="preserve">UCHd1bPiKz7J5zPSDJ82uvKg</t>
  </si>
  <si>
    <t xml:space="preserve">UCKBJgOKQLMQpMJrMxrpCj5w</t>
  </si>
  <si>
    <t xml:space="preserve">UC9k0oRCpGfdlFEgHzcHgWqg</t>
  </si>
  <si>
    <t xml:space="preserve">UC4wbIiUrhQ_YflWNC_2bKCQ</t>
  </si>
  <si>
    <t xml:space="preserve">UCaGpgaj_OHeROcx1IpLYlHQ</t>
  </si>
  <si>
    <t xml:space="preserve">UCGqc6kZfeIbmEompY5UlnQA</t>
  </si>
  <si>
    <t xml:space="preserve">UC8xSCjbnQhxx78EuGqd365g</t>
  </si>
  <si>
    <t xml:space="preserve">UCpg-rSVxo3EgwEmWHl2nN9A</t>
  </si>
  <si>
    <t xml:space="preserve">UCh3qF-atlox2rDuWmfnkVUA</t>
  </si>
  <si>
    <t xml:space="preserve">UCfPFb_7wklo6dCP-Tt6R2dQ</t>
  </si>
  <si>
    <t xml:space="preserve">UC2NTE0wVBPHMYvPpH5twcgw</t>
  </si>
  <si>
    <t xml:space="preserve">UCw4AqdlNDDK3VxqlinbF4bQ</t>
  </si>
  <si>
    <t xml:space="preserve">UCVBlZKzZHIhQu9HwdaT9ldw</t>
  </si>
  <si>
    <t xml:space="preserve">UCrn9n6JS87sZXoMcOEIQFug</t>
  </si>
  <si>
    <t xml:space="preserve">UC2SicZtprC4e-4T-gcUdZvg</t>
  </si>
  <si>
    <t xml:space="preserve">UCnm0sVADc1jOM2r-putIFQQ</t>
  </si>
  <si>
    <t xml:space="preserve">UCCqnJ1DYhYy1MpG-UKWGmvA</t>
  </si>
  <si>
    <t xml:space="preserve">UCuyUQYlWnnqU0OXYMgg9VXw</t>
  </si>
  <si>
    <t xml:space="preserve">UC0hm0Ebqgs4FnyWs-Uvxn_Q</t>
  </si>
  <si>
    <t xml:space="preserve">UCR-kOr9Xd-UhFw5flSvd5sA</t>
  </si>
  <si>
    <t xml:space="preserve">UCTFELVHLJOfeMgnHuTnqWQw</t>
  </si>
  <si>
    <t xml:space="preserve">UCNZou6ZbrcdsMo53Ndlm86g</t>
  </si>
  <si>
    <t xml:space="preserve">UCXjAkKh8JPq22rxiGGFw8_w</t>
  </si>
  <si>
    <t xml:space="preserve">UCdfvhwk882wpOYe15DgTkug</t>
  </si>
  <si>
    <t xml:space="preserve">UCfK07E90OzqP-VafR4kJ0iQ</t>
  </si>
  <si>
    <t xml:space="preserve">UClfbAP6HCyg4QvH0ZELOhQA</t>
  </si>
  <si>
    <t xml:space="preserve">UCfxFsg2KOpgXq2GiEb2Vk0A</t>
  </si>
  <si>
    <t xml:space="preserve">UCFC3ExFLgtjaHZH_Wgs7VJg</t>
  </si>
  <si>
    <t xml:space="preserve">UC1jOuGeZt7WMEOxuLUGd09Q</t>
  </si>
  <si>
    <t xml:space="preserve">UCS6ySc7Ugdmcbnh0KKn5kaA</t>
  </si>
  <si>
    <t xml:space="preserve">UCYPNoXbmAX45TzMgZMVcGTg</t>
  </si>
  <si>
    <t xml:space="preserve">UC1X4URMx0X9C94FOKXOA26Q</t>
  </si>
  <si>
    <t xml:space="preserve">UC-dpOlkxDNX6VWtf6yMWWSg</t>
  </si>
  <si>
    <t xml:space="preserve">UCg7z14wdaWh4l9ZPSIK-GQg</t>
  </si>
  <si>
    <t xml:space="preserve">UC4H3x4cGUugRnOB3kPKY2xg</t>
  </si>
  <si>
    <t xml:space="preserve">UCTJ9288yPA-hkSWpuAzcr5g</t>
  </si>
  <si>
    <t xml:space="preserve">UCNOB0348CgrQWMci-dW6JIA</t>
  </si>
  <si>
    <t xml:space="preserve">UCGmIbwjW4mtEn9y_P03-BPA</t>
  </si>
  <si>
    <t xml:space="preserve">UCld-G5wfM0k5Tz5VmQxTbRw</t>
  </si>
  <si>
    <t xml:space="preserve">UCp9msr0SrAq1ep9OGL1PkLA</t>
  </si>
  <si>
    <t xml:space="preserve">UC0tNRA1X8F9OZXwlzQuvVKQ</t>
  </si>
  <si>
    <t xml:space="preserve">UCCkWUwFW_6hMaWVRSl9SWsA</t>
  </si>
  <si>
    <t xml:space="preserve">UCRIWTSgd7hGtZhx4RYoASEg</t>
  </si>
  <si>
    <t xml:space="preserve">UCwZiV2eywcB2XAcD1-6UCrQ</t>
  </si>
  <si>
    <t xml:space="preserve">UC7pxOyjcbR1OYBJLzKEEtSA</t>
  </si>
  <si>
    <t xml:space="preserve">UCv3Q6eQyaDpzdeNQuIhB4Rw</t>
  </si>
  <si>
    <t xml:space="preserve">UCYfHm8KPcvGMfVgoM4AHnHA</t>
  </si>
  <si>
    <t xml:space="preserve">UChd6d-IqjNyu-9Gom7INNGw</t>
  </si>
  <si>
    <t xml:space="preserve">UC_Hhe4HkcAeBCar0_q6C0pw</t>
  </si>
  <si>
    <t xml:space="preserve">UCKigb0AUdvNya0SOnBAhuWA</t>
  </si>
  <si>
    <t xml:space="preserve">UCnWhV0q8E3XUrWBMabQTN7g</t>
  </si>
  <si>
    <t xml:space="preserve">UCkcuTJa6ozdwt7wy-NCxLRg</t>
  </si>
  <si>
    <t xml:space="preserve">UCXVdEe1Qh2nzCVG7I5TnZZA</t>
  </si>
  <si>
    <t xml:space="preserve">UCPM8OV1o1rbwHCSpJPLZNGw</t>
  </si>
  <si>
    <t xml:space="preserve">UCpd_sPylqiSUCaOFAuHmU9w</t>
  </si>
  <si>
    <t xml:space="preserve">UCoXZlLYEAydAuXspa2oqgBg</t>
  </si>
  <si>
    <t xml:space="preserve">UCcXPEPxkcJId307kh_0divA</t>
  </si>
  <si>
    <t xml:space="preserve">UCrP-c3O8ecC84HOnKmrVXOA</t>
  </si>
  <si>
    <t xml:space="preserve">UC4FUjHHzr753fv9vQ4mE32g</t>
  </si>
  <si>
    <t xml:space="preserve">UCsXbPc2dcSsaZfjQYc7I8SQ</t>
  </si>
  <si>
    <t xml:space="preserve">UCtn2CfR1_d0ovjInkeahNHQ</t>
  </si>
  <si>
    <t xml:space="preserve">UCV3QJnEqBfenLa5uE1feTZw</t>
  </si>
  <si>
    <t xml:space="preserve">UCwOP6zJATKjtXuU3CyRINYQ</t>
  </si>
  <si>
    <t xml:space="preserve">UCAgL1c8YS-eqQ4tGDJIT1ng</t>
  </si>
  <si>
    <t xml:space="preserve">UCm6jM-S3VTESIIiQyJs6ZjQ</t>
  </si>
  <si>
    <t xml:space="preserve">UCwsLXInOtJM01ZCslCeuWxQ</t>
  </si>
  <si>
    <t xml:space="preserve">UCFb9gADdPu-4OzHhYq6b5kQ</t>
  </si>
  <si>
    <t xml:space="preserve">UCOgwby0sIklFYoRHE4NdxXg</t>
  </si>
  <si>
    <t xml:space="preserve">UCFVMB7Pwxg91TrwJqM4hhOQ</t>
  </si>
  <si>
    <t xml:space="preserve">UCUg5CEP4VlJMh5kRhHbZrbQ</t>
  </si>
  <si>
    <t xml:space="preserve">UC-DOBqjjDVXvcMBBYeXCVyQ</t>
  </si>
  <si>
    <t xml:space="preserve">UCusQA3O5vRYIVt0kxqNKImA</t>
  </si>
  <si>
    <t xml:space="preserve">UCP-Obavy2xyUaDFQaqYxJzw</t>
  </si>
  <si>
    <t xml:space="preserve">UCTKMQdFFHK_pf6Ng7-s7wGQ</t>
  </si>
  <si>
    <t xml:space="preserve">UC5PjAuNROsyYKIgQQ-IYWIQ</t>
  </si>
  <si>
    <t xml:space="preserve">UCa1RYMRmB1i9kk9TwiX9CGQ</t>
  </si>
  <si>
    <t xml:space="preserve">UCiLahkg6rx_Z16d7O-K2N5g</t>
  </si>
  <si>
    <t xml:space="preserve">UCW1dBTJ0OadYx6i6Y8G6vKA</t>
  </si>
  <si>
    <t xml:space="preserve">UCu6NoqCiFHd26J8SDgKaG_g</t>
  </si>
  <si>
    <t xml:space="preserve">UCjsla2e3yANPM20KvXaNqJA</t>
  </si>
  <si>
    <t xml:space="preserve">UCUmy64PmElVmOn6uxOkknTw</t>
  </si>
  <si>
    <t xml:space="preserve">UCG8obDLHwRQVf7VGF8gUl2w</t>
  </si>
  <si>
    <t xml:space="preserve">UCo1oi6iPsxjo84aVkq7XjhA</t>
  </si>
  <si>
    <t xml:space="preserve">UCywE8WLFSywNqQ66sByBuTw</t>
  </si>
  <si>
    <t xml:space="preserve">UC043HDOmWBhAUSOV01z3mUQ</t>
  </si>
  <si>
    <t xml:space="preserve">UCZGWLOsRxvnDol4TlknY-4Q</t>
  </si>
  <si>
    <t xml:space="preserve">UCKG9h2uaYjleIjI3YiqdwuA</t>
  </si>
  <si>
    <t xml:space="preserve">UCsh2dJYznlFXFpScOSvmZKg</t>
  </si>
  <si>
    <t xml:space="preserve">UCAmdKoDP4t6Jg43_hdQLM4g</t>
  </si>
  <si>
    <t xml:space="preserve">UC9yVLzb7BhPlJSzgUxOPEAw</t>
  </si>
  <si>
    <t xml:space="preserve">UCCZrWLq1BlpxvIF9wwhv5Lg</t>
  </si>
  <si>
    <t xml:space="preserve">UCSXST7C6VuW-lDEHpwb1UIw</t>
  </si>
  <si>
    <t xml:space="preserve">UCNygeTbe0AhjEVt-KhkI9Vw</t>
  </si>
  <si>
    <t xml:space="preserve">UCrskVY5hbNGjoJdF5nc8l1A</t>
  </si>
  <si>
    <t xml:space="preserve">UC6tJpi5UxHAxY_-PZh_sCNA</t>
  </si>
  <si>
    <t xml:space="preserve">UCTIOuoYgNC_ftWpe4XgeKTQ</t>
  </si>
  <si>
    <t xml:space="preserve">UCX1_HnwfhuCSPoMb9UoZx5A</t>
  </si>
  <si>
    <t xml:space="preserve">UCzZAr-86Rn3yPEGIN9IOjmA</t>
  </si>
  <si>
    <t xml:space="preserve">UCZ6oq5nit5vkIVJrd_KHSrQ</t>
  </si>
  <si>
    <t xml:space="preserve">UCV3_b0eETTtfdXsfuhmBfiA</t>
  </si>
  <si>
    <t xml:space="preserve">UCZocQGO7MzUs3i9KgwmMknw</t>
  </si>
  <si>
    <t xml:space="preserve">UCAOhZoipb7jDigA7KHvGrQg</t>
  </si>
  <si>
    <t xml:space="preserve">UCeJKlvLzYWy2EEJOX4nx_lA</t>
  </si>
  <si>
    <t xml:space="preserve">UCXe0UintfbrnHtw5vgHxxew</t>
  </si>
  <si>
    <t xml:space="preserve">UCw70ukDK5hI6la2qFdQWULQ</t>
  </si>
  <si>
    <t xml:space="preserve">UCLCusVt_U764QKM7f-5rFaA</t>
  </si>
  <si>
    <t xml:space="preserve">UCUqLrhPb5_iIypQlqZTVADA</t>
  </si>
  <si>
    <t xml:space="preserve">UCy0EBCDr3UW2o5TnqqXP6NA</t>
  </si>
  <si>
    <t xml:space="preserve">UCrOfzpH1sWPu1IqHnVhojKA</t>
  </si>
  <si>
    <t xml:space="preserve">UCRtiocX-RByBNkJeFYxxk0A</t>
  </si>
  <si>
    <t xml:space="preserve">UCcHedrvbDgBVVdITAE8JEnQ</t>
  </si>
  <si>
    <t xml:space="preserve">UCpzJCfqlpzCwxaUAR0nwYgA</t>
  </si>
  <si>
    <t xml:space="preserve">UCHOFSr20rRKNFfPRyrllnTw</t>
  </si>
  <si>
    <t xml:space="preserve">UCKhmBdIPdTp2ESXZMVzguPw</t>
  </si>
  <si>
    <t xml:space="preserve">UCBrQniHNblYjTuDpTEUDbNA</t>
  </si>
  <si>
    <t xml:space="preserve">UC-vXsj8DkB86ZOLt77BFU1w</t>
  </si>
  <si>
    <t xml:space="preserve">UCG3xi6xuvSJeEcpYKzck0Tw</t>
  </si>
  <si>
    <t xml:space="preserve">UCy5hKhlq4c8LMm_76gIuhJQ</t>
  </si>
  <si>
    <t xml:space="preserve">UCYGGYVpoEzyV3aEDnlKHmOg</t>
  </si>
  <si>
    <t xml:space="preserve">UCtBKmLm10hij6gUEHjgv7zg</t>
  </si>
  <si>
    <t xml:space="preserve">UClm1toQ4Udx6CmBeowrW4YQ</t>
  </si>
  <si>
    <t xml:space="preserve">UCy6yf58ANPri2ADxmwyHxUQ</t>
  </si>
  <si>
    <t xml:space="preserve">UCf3tTLax9_lfJXvgXOwcX8w</t>
  </si>
  <si>
    <t xml:space="preserve">UCZGeCqk3Uk-z6vR24OScIYA</t>
  </si>
  <si>
    <t xml:space="preserve">UCp17NQoVyAztDISp6lXkkFA</t>
  </si>
  <si>
    <t xml:space="preserve">UCCRObrfmcgoijkHjqdAl7tw</t>
  </si>
  <si>
    <t xml:space="preserve">UCXn9EUQXsmogW8Id0aXJKaQ</t>
  </si>
  <si>
    <t xml:space="preserve">UCeDFY10-tBWXcfCqqh9GsSw</t>
  </si>
  <si>
    <t xml:space="preserve">UCYZTWrj5N7gwDCr3wabQs2w</t>
  </si>
  <si>
    <t xml:space="preserve">UCs9Zdbl-mpNAxCl3ugagRDg</t>
  </si>
  <si>
    <t xml:space="preserve">UC16_4VRe0XOWgCYvinbmNMQ</t>
  </si>
  <si>
    <t xml:space="preserve">UCD-4GvGvyv6n0CmJx6hYS4w</t>
  </si>
  <si>
    <t xml:space="preserve">UCFyMkijt-pDexasIYlE0jJQ</t>
  </si>
  <si>
    <t xml:space="preserve">UCfpcUZG7xFGhKgsAtI8kJ3Q</t>
  </si>
  <si>
    <t xml:space="preserve">UCy24j0xJXAUDhyAlfJUMN3w</t>
  </si>
  <si>
    <t xml:space="preserve">UC-tFowwKBQtnMGUta4LHcpQ</t>
  </si>
  <si>
    <t xml:space="preserve">UCXef8RFQf-cGn7aZkyAMprg</t>
  </si>
  <si>
    <t xml:space="preserve">UCLr1s9zKvByfxUTGk0egUug</t>
  </si>
  <si>
    <t xml:space="preserve">UCiPqz-lDsf_47xLE6TScyfg</t>
  </si>
  <si>
    <t xml:space="preserve">UCbjIGe5ZNyf5pq3DGcdZ0ew</t>
  </si>
  <si>
    <t xml:space="preserve">UC3t12uYAbBtbPkuSRsb8W-A</t>
  </si>
  <si>
    <t xml:space="preserve">UCorr8hWS9JgiGrr-OmJxMJQ</t>
  </si>
  <si>
    <t xml:space="preserve">UCFgm8gxM7oeNNubVs6tqVDA</t>
  </si>
  <si>
    <t xml:space="preserve">UCmc6liSJRK15NzEz3o_VE9g</t>
  </si>
  <si>
    <t xml:space="preserve">UCHBjDnqvXPx8KcvgNQciRGg</t>
  </si>
  <si>
    <t xml:space="preserve">UCG6rE3Iq8lVzw0mN6Q2n2SA</t>
  </si>
  <si>
    <t xml:space="preserve">UCfmC_rOgtWXoza4Z-OBaI_g</t>
  </si>
  <si>
    <t xml:space="preserve">UCiJtxa49oqxt_DA4PrBEa4A</t>
  </si>
  <si>
    <t xml:space="preserve">UC6p4EDuDsU8N0PvETW0OmSQ</t>
  </si>
  <si>
    <t xml:space="preserve">UCV-CPspQhwTsaiftR4JvT0w</t>
  </si>
  <si>
    <t xml:space="preserve">UCRmNWI61kzeyz941WvkPh1A</t>
  </si>
  <si>
    <t xml:space="preserve">UCGp2jzV_8VY6ihB2pNQLtCA</t>
  </si>
  <si>
    <t xml:space="preserve">UCv0CH6pzYWJ7jmSzyY1Hmwg</t>
  </si>
  <si>
    <t xml:space="preserve">UCWovNHct5sAF35yqNXevmOQ</t>
  </si>
  <si>
    <t xml:space="preserve">UCxSt1EfgmmW8ZiaBjmsDUIQ</t>
  </si>
  <si>
    <t xml:space="preserve">UC0P96DvxPjnddtxk5qlkDWA</t>
  </si>
  <si>
    <t xml:space="preserve">UCB7fjXxobqfGg5HIRZPb9VQ</t>
  </si>
  <si>
    <t xml:space="preserve">UCkvwc-nKcdcfyCijHMdsv-Q</t>
  </si>
  <si>
    <t xml:space="preserve">UCoqDNfWMSCgJ2XPKEIsQ4Hg</t>
  </si>
  <si>
    <t xml:space="preserve">UCtJcXOUyIx1Ey_JgePkHfsA</t>
  </si>
  <si>
    <t xml:space="preserve">UC1Eq40wcysGfwfS_7xZ5Giw</t>
  </si>
  <si>
    <t xml:space="preserve">UCPoHDLSthMLaslpTTze79sQ</t>
  </si>
  <si>
    <t xml:space="preserve">UC_HY4sdpCo57Qyy5dyJA-8g</t>
  </si>
  <si>
    <t xml:space="preserve">UCqWy_bVUWjZ_nVJJ0FMmaLQ</t>
  </si>
  <si>
    <t xml:space="preserve">UC2SX421_6U1lcRy4PeXAlCQ</t>
  </si>
  <si>
    <t xml:space="preserve">UCrJY8i_Oycs9y6QV-QgJVgg</t>
  </si>
  <si>
    <t xml:space="preserve">UCT1qJXMRiS85GsIhTmS2kUg</t>
  </si>
  <si>
    <t xml:space="preserve">UCkuuuBaAXULT0hE1oLLGVug</t>
  </si>
  <si>
    <t xml:space="preserve">UC_rXIJpXsgiNX9yJQO1t-4A</t>
  </si>
  <si>
    <t xml:space="preserve">UCtDQCu1WtBLfrOMJ5Mt-1hw</t>
  </si>
  <si>
    <t xml:space="preserve">UC8Sq9OdQJTnVGh1R3TSu5Ww</t>
  </si>
  <si>
    <t xml:space="preserve">UCMj0L7XbEBIQhocL8Jl4iRQ</t>
  </si>
  <si>
    <t xml:space="preserve">UCBx7nZGYMmeiG7FMT7s2DEA</t>
  </si>
  <si>
    <t xml:space="preserve">UCcesEvuN9wVDGgGs1V4xc8g</t>
  </si>
  <si>
    <t xml:space="preserve">UCVHzwVKV8RAXDO9Is71WVeA</t>
  </si>
  <si>
    <t xml:space="preserve">UCz3dFKn8ne4HfcHMtiRShHw</t>
  </si>
  <si>
    <t xml:space="preserve">UC_lMHnKnRGNlnC6SsTHEKMg</t>
  </si>
  <si>
    <t xml:space="preserve">UCwM1DSmqRvQA2F0-nxEc8uA</t>
  </si>
  <si>
    <t xml:space="preserve">UCYwtKvjpukkaoj3mKT3nQ4g</t>
  </si>
  <si>
    <t xml:space="preserve">UCHXTux7spaQA-7sjsaD0t4w</t>
  </si>
  <si>
    <t xml:space="preserve">UC6eb7_IST0YUGEMdmFLvrJA</t>
  </si>
  <si>
    <t xml:space="preserve">UCqbWJXoHirhuDUeJ1L9vhzw</t>
  </si>
  <si>
    <t xml:space="preserve">UCIBl-4dBk2w-JD-doYRWI9g</t>
  </si>
  <si>
    <t xml:space="preserve">UCN2neQjk5vGLDJldnFSrq5g</t>
  </si>
  <si>
    <t xml:space="preserve">UCTnAgoFfDvschp2-b13BRwA</t>
  </si>
  <si>
    <t xml:space="preserve">UCylULGpxuLYDySqMsd6j0TQ</t>
  </si>
  <si>
    <t xml:space="preserve">UCxIIEJJYcDoZrAHT287O2Bw</t>
  </si>
  <si>
    <t xml:space="preserve">UCRK5xmIi8kuLUduTE3Ti7lw</t>
  </si>
  <si>
    <t xml:space="preserve">UCx5ECw_cUqWhrrPJ7QMA6AA</t>
  </si>
  <si>
    <t xml:space="preserve">UC93RelY0-obNxzVdPO2gQAg</t>
  </si>
  <si>
    <t xml:space="preserve">UCbOkZlwRtOP3EGGAYd-Zi1Q</t>
  </si>
  <si>
    <t xml:space="preserve">UCZAiLmgGgniVJEC2JVoQa9w</t>
  </si>
  <si>
    <t xml:space="preserve">UCwzk0n8iA9jsclJTWDrGPiw</t>
  </si>
  <si>
    <t xml:space="preserve">UCJ__lhRyYdf3C1kFMxY6KlA</t>
  </si>
  <si>
    <t xml:space="preserve">UC2P4OcuzAkCM8AFk9lAX_bQ</t>
  </si>
  <si>
    <t xml:space="preserve">UCO0KFz5_gtZt-AfyIV2sAkw</t>
  </si>
  <si>
    <t xml:space="preserve">UCa3sQoBkibz4-PohUdeBGsg</t>
  </si>
  <si>
    <t xml:space="preserve">UCi7GGjcIwlaIPRMXMlfhpsQ</t>
  </si>
  <si>
    <t xml:space="preserve">UCy-JgepT_qtRjv03a-TQVJw</t>
  </si>
  <si>
    <t xml:space="preserve">UC1UOne4B9wIrMe0KMwe-7_g</t>
  </si>
  <si>
    <t xml:space="preserve">UCFLjl9uL46qZLz6G6yCLJ8w</t>
  </si>
  <si>
    <t xml:space="preserve">UCSLdPvBqRtmYULL-oKOLcHQ</t>
  </si>
  <si>
    <t xml:space="preserve">UCPSxQaoBBQEbCEH9wRdJaZg</t>
  </si>
  <si>
    <t xml:space="preserve">UCdEqd30OY4ao-COgcRMx2zA</t>
  </si>
  <si>
    <t xml:space="preserve">UC08ushRWUBKBJvrPsHWc0PA</t>
  </si>
  <si>
    <t xml:space="preserve">UCcHx5yHUmZB-XwBveePXi2w</t>
  </si>
  <si>
    <t xml:space="preserve">UCZmqD4htbc9GsYraXr3TF4Q</t>
  </si>
  <si>
    <t xml:space="preserve">UCP9nUFJdgLthUUFOhSlG4ew</t>
  </si>
  <si>
    <t xml:space="preserve">UC-jsOlDWbJctgd9Qdjokd1Q</t>
  </si>
  <si>
    <t xml:space="preserve">UChzpUzwe_EvKV8aYorCQMIw</t>
  </si>
  <si>
    <t xml:space="preserve">UCpXQnpbJCTmEHj1_Py_gIlQ</t>
  </si>
  <si>
    <t xml:space="preserve">UCRNNx_STzEzkiMiMNpYdUNA</t>
  </si>
  <si>
    <t xml:space="preserve">UCPnH61dzgKObR3_KBnr6WAA</t>
  </si>
  <si>
    <t xml:space="preserve">UCM3G0qLnOD3NEI2ixgXUi7Q</t>
  </si>
  <si>
    <t xml:space="preserve">UC5ST-kbOim0kvbMw9gEhflw</t>
  </si>
  <si>
    <t xml:space="preserve">UC4wLSheBX-bopMK5_n4RhDA</t>
  </si>
  <si>
    <t xml:space="preserve">UCgLj5we8hYoIHLA5Rl8F-pw</t>
  </si>
  <si>
    <t xml:space="preserve">UCGN_04Loctqx4yk2BBPDSiA</t>
  </si>
  <si>
    <t xml:space="preserve">UCduWTdd9YXd8iQ8Z9PyEXAA</t>
  </si>
  <si>
    <t xml:space="preserve">UCwmAOOa6KFArqr7X7AjWLvQ</t>
  </si>
  <si>
    <t xml:space="preserve">UCR-HcOVaxb9nV_VgBzLPhmw</t>
  </si>
  <si>
    <t xml:space="preserve">UCzlzeSeFbuU2R34eEtDtWow</t>
  </si>
  <si>
    <t xml:space="preserve">UCjRFNLGOgsv0OCsNQWDo5yA</t>
  </si>
  <si>
    <t xml:space="preserve">UCOmbRCsa4j7mO4CiWMB0QuQ</t>
  </si>
  <si>
    <t xml:space="preserve">UCr0V8lVq4yKVfwATURR7Ijw</t>
  </si>
  <si>
    <t xml:space="preserve">UClCkLTokuD6DWa6D7mpjM1w</t>
  </si>
  <si>
    <t xml:space="preserve">UCXb5SLRhTcn2RxQKOgsQNDQ</t>
  </si>
  <si>
    <t xml:space="preserve">UCiCMp4kRBK2tAVNOEaWtxjA</t>
  </si>
  <si>
    <t xml:space="preserve">UCLQ2oduV9s9j5w1FIkhxI8w</t>
  </si>
  <si>
    <t xml:space="preserve">UC0vhWIlzdwo3Gw5uveZBu8g</t>
  </si>
  <si>
    <t xml:space="preserve">UCUrgJG_mkHrQzXpAweq2VJg</t>
  </si>
  <si>
    <t xml:space="preserve">UCDCBUMgndU6e5YdvTbOdwJg</t>
  </si>
  <si>
    <t xml:space="preserve">UCXRQy4Z0hX6x5BsqamHXAVQ</t>
  </si>
  <si>
    <t xml:space="preserve">UC6nD4gYfOliSeE9QXHNFQCw</t>
  </si>
  <si>
    <t xml:space="preserve">UCmyeqp_l83KEJ5MKDJzawAg</t>
  </si>
  <si>
    <t xml:space="preserve">UC8V8Q7S1-bKK8OVwjdpl_IA</t>
  </si>
  <si>
    <t xml:space="preserve">UCt3jkk_EFyQe8tnGo2VPrdw</t>
  </si>
  <si>
    <t xml:space="preserve">UCas3EI8062DlbfIWoe6lT1A</t>
  </si>
  <si>
    <t xml:space="preserve">UC26HClnrlOjucUcIZAoYGbQ</t>
  </si>
  <si>
    <t xml:space="preserve">UCyTJlqFJqj6xQJSPG4JHWsQ</t>
  </si>
  <si>
    <t xml:space="preserve">UCOqnb0JhnoEdSjvzb5aFfFw</t>
  </si>
  <si>
    <t xml:space="preserve">UCm4SZVmLwk0uaopNtzA2V7w</t>
  </si>
  <si>
    <t xml:space="preserve">UC550s7Y1bLdmzASbdhnk9nw</t>
  </si>
  <si>
    <t xml:space="preserve">UCERbizhB5e5i0qAHj2IKbng</t>
  </si>
  <si>
    <t xml:space="preserve">UCdBrJs1-C9tB_nkWfACqThg</t>
  </si>
  <si>
    <t xml:space="preserve">UCQtLpxUr0hzNyilim3BojdA</t>
  </si>
  <si>
    <t xml:space="preserve">UCQpxFeJKvu5E8fRlR1N6RMQ</t>
  </si>
  <si>
    <t xml:space="preserve">UCRUKXzeoHDGanjNRCrYHTUg</t>
  </si>
  <si>
    <t xml:space="preserve">UCckyT_IW_fETaJL9h9-JBKg</t>
  </si>
  <si>
    <t xml:space="preserve">UCCVrndP3QAuZUy2pYuFuSUA</t>
  </si>
  <si>
    <t xml:space="preserve">UCFLKgwM2TyPnilAPJ-dhQdw</t>
  </si>
  <si>
    <t xml:space="preserve">UCUSqVPHdBp19cicjWYtQMpA</t>
  </si>
  <si>
    <t xml:space="preserve">UCNOIvYDrYMf2wz4AOc02W8w</t>
  </si>
  <si>
    <t xml:space="preserve">UCvXvWJfWqD5DdWdnyYF6zkw</t>
  </si>
  <si>
    <t xml:space="preserve">UCUigcfgzSyjftBMj6QCrirg</t>
  </si>
  <si>
    <t xml:space="preserve">UCfEL-pBCOJJFoFV7ERyTuDw</t>
  </si>
  <si>
    <t xml:space="preserve">UCMLbN9Wgrd65N-br_sWQJ5w</t>
  </si>
  <si>
    <t xml:space="preserve">UCMda-13oRrcjDd9fni2k-Nw</t>
  </si>
  <si>
    <t xml:space="preserve">UCOGlPacW2ZVABzdM-muVipg</t>
  </si>
  <si>
    <t xml:space="preserve">UC45A1IH_CwXZ9b1zXutyF7w</t>
  </si>
  <si>
    <t xml:space="preserve">UCmvOe9z0Es8UcLRzgWczEKA</t>
  </si>
  <si>
    <t xml:space="preserve">UC16fbAGWo_kHQzop-I4gsBQ</t>
  </si>
  <si>
    <t xml:space="preserve">UCdqSCu3iI_rZbM7TXRzJnHQ</t>
  </si>
  <si>
    <t xml:space="preserve">UCaK15EMdcGMGgiQBT6-brRQ</t>
  </si>
  <si>
    <t xml:space="preserve">UCQ4wswrRIHbAfgBzpP17CHg</t>
  </si>
  <si>
    <t xml:space="preserve">UClDPRMF6xr9G4ZTzB7fMXkA</t>
  </si>
  <si>
    <t xml:space="preserve">UCwIzzog32-gzcYYq002c9fQ</t>
  </si>
  <si>
    <t xml:space="preserve">UCh8-ERdIP9Rn6M3tWLWiJ2A</t>
  </si>
  <si>
    <t xml:space="preserve">UCaqkok_r96V3PaieOOXcmxg</t>
  </si>
  <si>
    <t xml:space="preserve">UCCYYZ5FXSRwNEHImDBYozng</t>
  </si>
  <si>
    <t xml:space="preserve">UCMBuhLCDDmxfwa01TuuvTgA</t>
  </si>
  <si>
    <t xml:space="preserve">UCzaJX4F-PPVz7andv4AqMxA</t>
  </si>
  <si>
    <t xml:space="preserve">UCzRCZj6hUgsYaUl7bTXdDkQ</t>
  </si>
  <si>
    <t xml:space="preserve">UC9j15EEgU9FDN7FVB4fA4Qw</t>
  </si>
  <si>
    <t xml:space="preserve">UCfIDdBdYUWpJsg1xDlO6L2w</t>
  </si>
  <si>
    <t xml:space="preserve">UCmQ2honNd6CPcu7cXKM0AYw</t>
  </si>
  <si>
    <t xml:space="preserve">UCJsptLfnA0JQUU8Hs0Qqakw</t>
  </si>
  <si>
    <t xml:space="preserve">UCVri2C046u3ysJFAxSvNReA</t>
  </si>
  <si>
    <t xml:space="preserve">UCx8RaonvlQ-BvsM4U0Ciocw</t>
  </si>
  <si>
    <t xml:space="preserve">UCtsnYj-P7GlKCAAcOCPqzLw</t>
  </si>
  <si>
    <t xml:space="preserve">UCisTN-GbgzzLRXftgnCJGKg</t>
  </si>
  <si>
    <t xml:space="preserve">UCUZnVFJE0G0P5zeWsKQI3cw</t>
  </si>
  <si>
    <t xml:space="preserve">UCMWwOva5s9_5uGy8_-kumWQ</t>
  </si>
  <si>
    <t xml:space="preserve">UCs23O8qZd7ukNwvC_Ym47Kw</t>
  </si>
  <si>
    <t xml:space="preserve">UC4suBkBgdYwMN1hJUvwGOag</t>
  </si>
  <si>
    <t xml:space="preserve">UCKncK30igizBFA6qFZBUKBw</t>
  </si>
  <si>
    <t xml:space="preserve">UCeu3Q14xcvVYQ8yvCtLlXcw</t>
  </si>
  <si>
    <t xml:space="preserve">UCATmVnURdQtktMmGjHzwYiw</t>
  </si>
  <si>
    <t xml:space="preserve">UClpeLlEHyJOcPQPxXUwwomA</t>
  </si>
  <si>
    <t xml:space="preserve">UCey1jVojdyJN2I3FZ3Csj5g</t>
  </si>
  <si>
    <t xml:space="preserve">UC5Wsx6murjwGfZnT4ytMacg</t>
  </si>
  <si>
    <t xml:space="preserve">UCQ3NrqLVF5uQkvlmUmEe9VQ</t>
  </si>
  <si>
    <t xml:space="preserve">UC8Ku9Vut_I_BXpts7AebSCQ</t>
  </si>
  <si>
    <t xml:space="preserve">UC7DzH8zmGykyzcqIWMXieAQ</t>
  </si>
  <si>
    <t xml:space="preserve">UCkCRcCL-HfoWwwV4buAuZYQ</t>
  </si>
  <si>
    <t xml:space="preserve">UCM4N-TtaYnrCyHLf7QgZrMw</t>
  </si>
  <si>
    <t xml:space="preserve">UCFD_IgJSsb3FOKYa5DD--BA</t>
  </si>
  <si>
    <t xml:space="preserve">UCSHl7SxZTmWce2xL7zA7hYw</t>
  </si>
  <si>
    <t xml:space="preserve">UClUk4a-JilVydkkqtZGNhGw</t>
  </si>
  <si>
    <t xml:space="preserve">UCqsoUxYmxNr7OGjmTEDzMbg</t>
  </si>
  <si>
    <t xml:space="preserve">UCdV1f2ul6mymrcTVWPIZz0g</t>
  </si>
  <si>
    <t xml:space="preserve">UClKvt9EER6ZZBRR6xypWzbw</t>
  </si>
  <si>
    <t xml:space="preserve">UCBd6Po_18WQ_17fO5B93HNg</t>
  </si>
  <si>
    <t xml:space="preserve">UCuP-DDG-E-z_OJCnJ9tbBkw</t>
  </si>
  <si>
    <t xml:space="preserve">UCQ5zACxDj4xhH4NHQnLLmDg</t>
  </si>
  <si>
    <t xml:space="preserve">UCQp5HWkbulYJikj7OiYawSg</t>
  </si>
  <si>
    <t xml:space="preserve">UCa18K-lI0noaMFMQYJ9NEkA</t>
  </si>
  <si>
    <t xml:space="preserve">UCDOk20xpy9mww4BDeHc-ncw</t>
  </si>
  <si>
    <t xml:space="preserve">UCvY5a5IMGVIrG9Wos5F_amA</t>
  </si>
  <si>
    <t xml:space="preserve">UCN2k7XsHh6j9_XEu9t-qkPg</t>
  </si>
  <si>
    <t xml:space="preserve">UCbQ-mnhf71y9sKeS7f410uA</t>
  </si>
  <si>
    <t xml:space="preserve">UCnTwsAoqgyDVe5hxOmbMOiw</t>
  </si>
  <si>
    <t xml:space="preserve">UCMbiz--dyguBHGGXSi0PHig</t>
  </si>
  <si>
    <t xml:space="preserve">UCSimIEOWBHsLQL6iQAq20RA</t>
  </si>
  <si>
    <t xml:space="preserve">UCkkIYBSxVBil3ancnKSj4MA</t>
  </si>
  <si>
    <t xml:space="preserve">UCCKbMXggtIxq2TqkfOgr33Q</t>
  </si>
  <si>
    <t xml:space="preserve">UC8iLOET5O2nQdnpx1QGSFTg</t>
  </si>
  <si>
    <t xml:space="preserve">UCEuRjmGsp_6XW_NZ55p8ayg</t>
  </si>
  <si>
    <t xml:space="preserve">UCnS0Rg9zC05bpNkOLqfjApA</t>
  </si>
  <si>
    <t xml:space="preserve">UCtvsCcDbN1Y4SgahHf9SmYg</t>
  </si>
  <si>
    <t xml:space="preserve">UC7jT2EII2yt_hWZGHyW2gKg</t>
  </si>
  <si>
    <t xml:space="preserve">UC_NfI3PmUQP4wEdQtuCpsWw</t>
  </si>
  <si>
    <t xml:space="preserve">UCLQipAGYP3kxII4IbV__IRg</t>
  </si>
  <si>
    <t xml:space="preserve">UCMhn_LMCwURTeFzAjWf8TGA</t>
  </si>
  <si>
    <t xml:space="preserve">UCgwcE1FmWRKevvMcxuxCA0g</t>
  </si>
  <si>
    <t xml:space="preserve">UCmcUNcukFwJ64_THjgNVaiA</t>
  </si>
  <si>
    <t xml:space="preserve">UCZLXr7hSfS87GJIG86LkOiw</t>
  </si>
  <si>
    <t xml:space="preserve">UCIrAOrn6W00HXRNYEeoxL3A</t>
  </si>
  <si>
    <t xml:space="preserve">UChoFfUUAokIH5a58W_PGtXA</t>
  </si>
  <si>
    <t xml:space="preserve">UCBOhd2V4z2wZmIzLJpJR72Q</t>
  </si>
  <si>
    <t xml:space="preserve">UCpgJ9_kSol2trpmt1On5mkQ</t>
  </si>
  <si>
    <t xml:space="preserve">UCcbhpngcGDw-LemvWaEaT0Q</t>
  </si>
  <si>
    <t xml:space="preserve">UCGcXyLgWdwHO_TkJJFHJHAQ</t>
  </si>
  <si>
    <t xml:space="preserve">UC__9YCm_H5Jcm7sJXVI6lsg</t>
  </si>
  <si>
    <t xml:space="preserve">UC5WO7o71wvxMxEtLRkPhiQQ</t>
  </si>
  <si>
    <t xml:space="preserve">UCdWYRE0QbO41O3k-HXyhDAA</t>
  </si>
  <si>
    <t xml:space="preserve">UCM5lnK0WJyzr6JEwkoT5VUw</t>
  </si>
  <si>
    <t xml:space="preserve">UCXvgguH0bhLYURuSl1TjKfA</t>
  </si>
  <si>
    <t xml:space="preserve">UCh2YI5Jm3wPy4b_CKZURNew</t>
  </si>
  <si>
    <t xml:space="preserve">UCn6IZANXL-7FGr-w3pcrw9w</t>
  </si>
  <si>
    <t xml:space="preserve">UCqLPWCNRQH737Exg8wO9RzA</t>
  </si>
  <si>
    <t xml:space="preserve">UCx4LUlj8G9JyCKyyAiOLoOw</t>
  </si>
  <si>
    <t xml:space="preserve">UChltLvxXd5y_yOdlXYLB7CQ</t>
  </si>
  <si>
    <t xml:space="preserve">UCXxvceVwEBo1aVPWBW_0_oQ</t>
  </si>
  <si>
    <t xml:space="preserve">UCIITa0iPpFLal9GwWj472bA</t>
  </si>
  <si>
    <t xml:space="preserve">UC2xyMvKmEDU5wkRYfyT1ZsQ</t>
  </si>
  <si>
    <t xml:space="preserve">UCU91ilky-nR0VwKYFmJTsUA</t>
  </si>
  <si>
    <t xml:space="preserve">UCm88bBE_-k7SusfKB1sAc8g</t>
  </si>
  <si>
    <t xml:space="preserve">UCm1TsGteHVIWlMuusBiVKWw</t>
  </si>
  <si>
    <t xml:space="preserve">UCNSxfqK-zTbmZZMMTyzHSug</t>
  </si>
  <si>
    <t xml:space="preserve">UCLz7LG4YVi7_iyk4yOARcxA</t>
  </si>
  <si>
    <t xml:space="preserve">UCtDtViiT7X-0EfqXySu92tA</t>
  </si>
  <si>
    <t xml:space="preserve">UCNXn680a-LtOmh5bVd4yqsA</t>
  </si>
  <si>
    <t xml:space="preserve">UCNxR6fhTNFSpGjmkvFgsTkg</t>
  </si>
  <si>
    <t xml:space="preserve">UCFPxNZvFlCiAw3GpzwnlwVg</t>
  </si>
  <si>
    <t xml:space="preserve">UCdJie4gDKplUUUqA-1KvDyw</t>
  </si>
  <si>
    <t xml:space="preserve">UCYeZbrsv_A7-m5w0Gy5vFUw</t>
  </si>
  <si>
    <t xml:space="preserve">UChh0DE4LosUyXSiZA0Yn1RQ</t>
  </si>
  <si>
    <t xml:space="preserve">UC9pxOEHrjsl7YKBSc7sl_KQ</t>
  </si>
  <si>
    <t xml:space="preserve">UCMkrMgam8HQQxK0-4fH9zYQ</t>
  </si>
  <si>
    <t xml:space="preserve">UCeDYbDDLFkcvt-84WqKwQhA</t>
  </si>
  <si>
    <t xml:space="preserve">UC36DICnZg9KVJhKUtRcQ8SA</t>
  </si>
  <si>
    <t xml:space="preserve">UCqfiWh6WCf335A5-YQCb3mA</t>
  </si>
  <si>
    <t xml:space="preserve">UCyLz9DkPmnqyXMbRTRGBftQ</t>
  </si>
  <si>
    <t xml:space="preserve">UCRajP34_ci2jiQNAbwzEaxA</t>
  </si>
  <si>
    <t xml:space="preserve">UC3Ji1yQtKvHrkK5pR3LQEsA</t>
  </si>
  <si>
    <t xml:space="preserve">UCl1a5cOgVYM3VAYBoBt_Pjg</t>
  </si>
  <si>
    <t xml:space="preserve">UCuMrqKO1xGH8Tnxl6PLP9Ow</t>
  </si>
  <si>
    <t xml:space="preserve">UCZ41xFtBLxH6DszX1LH50ZQ</t>
  </si>
  <si>
    <t xml:space="preserve">UCKnbXodUoiLVjTR1UGDpMHg</t>
  </si>
  <si>
    <t xml:space="preserve">UCQC8Rer3Atzj9uYkccDEstg</t>
  </si>
  <si>
    <t xml:space="preserve">UCCETjDW-G8rr12-XeAWQ6sw</t>
  </si>
  <si>
    <t xml:space="preserve">UCCd0oq5V7xXjS4myncq9p7Q</t>
  </si>
  <si>
    <t xml:space="preserve">UCNQ6FEtztATuaVhZKCY28Yw</t>
  </si>
  <si>
    <t xml:space="preserve">UCegrpPesyIlZYOZrjW-OGug</t>
  </si>
  <si>
    <t xml:space="preserve">UCHz5XRlqn3nQdq62973lQvA</t>
  </si>
  <si>
    <t xml:space="preserve">UC7dt8nDHR51X9BAd4feT6MQ</t>
  </si>
  <si>
    <t xml:space="preserve">UCExiQlpVLz6-yiQ-t4XZ2_w</t>
  </si>
  <si>
    <t xml:space="preserve">UCdN8KcE_9fi4FyAvdHDQlGw</t>
  </si>
  <si>
    <t xml:space="preserve">UCbymSx4cXFw6WAoP3pDhiYw</t>
  </si>
  <si>
    <t xml:space="preserve">UCHm_mJ23LCwSs6Zpo79CX0w</t>
  </si>
  <si>
    <t xml:space="preserve">UCtd0-bLpTyxYg6pamrlL6vA</t>
  </si>
  <si>
    <t xml:space="preserve">UCqRMmSk8v8MoMhMuw3EUSjQ</t>
  </si>
  <si>
    <t xml:space="preserve">UCUIINNlBEStKxTUMX1NVnpg</t>
  </si>
  <si>
    <t xml:space="preserve">UCOxlZ6435kCLM1S7sxjsjRQ</t>
  </si>
  <si>
    <t xml:space="preserve">UCpkqMwlK-5eS3u5bV9Xsa4g</t>
  </si>
  <si>
    <t xml:space="preserve">UCytSKiwS35jhNO-p0OR0PZA</t>
  </si>
  <si>
    <t xml:space="preserve">UClRThtp-OfWWbrCt_iwUalw</t>
  </si>
  <si>
    <t xml:space="preserve">UCp-Ot7B7dCPoVxhsrn9qAoA</t>
  </si>
  <si>
    <t xml:space="preserve">UCsv1k9Klg3OMzo83gBxT3Og</t>
  </si>
  <si>
    <t xml:space="preserve">UCIIt42-XPqkx1LAJfmC08bw</t>
  </si>
  <si>
    <t xml:space="preserve">UCgWA0ydiRFUH3VHwpxMQNsA</t>
  </si>
  <si>
    <t xml:space="preserve">UCnsLyAmbk5GNrO5fcbpST6Q</t>
  </si>
  <si>
    <t xml:space="preserve">UCKHY-EGHO_ls1kwaBn_9dJg</t>
  </si>
  <si>
    <t xml:space="preserve">UCOUf1Az2n3dGRQG_CeRbq6A</t>
  </si>
  <si>
    <t xml:space="preserve">UCZkFodsDj-4z__MEhIahzng</t>
  </si>
  <si>
    <t xml:space="preserve">UCCaN1AWZMz_EvGSJ1yvkH5g</t>
  </si>
  <si>
    <t xml:space="preserve">UCzxVQetjJYUbg96yo1qb72w</t>
  </si>
  <si>
    <t xml:space="preserve">UCc7RDSp4swlhRRzFuoLtNEw</t>
  </si>
  <si>
    <t xml:space="preserve">UCh7Lw6Wna_Qask4WZLrcZeQ</t>
  </si>
  <si>
    <t xml:space="preserve">UC4pLhHTgL-WUgH1GlEo6jmg</t>
  </si>
  <si>
    <t xml:space="preserve">UCq6F_3o__BOOKm8ne_28TgQ</t>
  </si>
  <si>
    <t xml:space="preserve">UCQ1Xjn6GMMfejy3o_sZrgBQ</t>
  </si>
  <si>
    <t xml:space="preserve">UC9t_DMZMErkKIQcnLOEvEeA</t>
  </si>
  <si>
    <t xml:space="preserve">UCnLCoVqTL-KVMVbsZP1JsaQ</t>
  </si>
  <si>
    <t xml:space="preserve">UC75UAB83xlYtPUig1Z9la8Q</t>
  </si>
  <si>
    <t xml:space="preserve">UC3JQ4oHAe2vkX2-pBYZq6JQ</t>
  </si>
  <si>
    <t xml:space="preserve">UChWHS6KhKRguobVFZoZ44tA</t>
  </si>
  <si>
    <t xml:space="preserve">UCf3CrtR1erujWN_ZK6hj8aw</t>
  </si>
  <si>
    <t xml:space="preserve">UC-AyjLkoQSxTHN3zlThxg6w</t>
  </si>
  <si>
    <t xml:space="preserve">UC2SP8yo6IM1HoW6YojNj8EA</t>
  </si>
  <si>
    <t xml:space="preserve">UCmfWgsWlWZwmyzMP8Bixs6w</t>
  </si>
  <si>
    <t xml:space="preserve">UC2fFklOIpQgK16opRNoMJug</t>
  </si>
  <si>
    <t xml:space="preserve">UCNTO6cjXeFuN5T4SVTYGiBQ</t>
  </si>
  <si>
    <t xml:space="preserve">UCjWv9qBBf0di7RWS5rC7Jcw</t>
  </si>
  <si>
    <t xml:space="preserve">UCpc_JaPCcpN9Kd63CcLrzoA</t>
  </si>
  <si>
    <t xml:space="preserve">UCiXKTdHsvNxKzBFWsWTlsYQ</t>
  </si>
  <si>
    <t xml:space="preserve">UCSYbjDgZx0au48cvI6RUSAg</t>
  </si>
  <si>
    <t xml:space="preserve">UC53vvfdlTgtACVRbusR1u7Q</t>
  </si>
  <si>
    <t xml:space="preserve">UCSN0ehODyVpQWgWDkUS0izQ</t>
  </si>
  <si>
    <t xml:space="preserve">UCCNqBrFZbWSp5OYjl11fF3Q</t>
  </si>
  <si>
    <t xml:space="preserve">UCcbIRsBt6NcvogISolZiwag</t>
  </si>
  <si>
    <t xml:space="preserve">UCtBx0udFMN5gzZiOB6_43JQ</t>
  </si>
  <si>
    <t xml:space="preserve">UCHN04Bwzh3IBd-0Kq3O7KSw</t>
  </si>
  <si>
    <t xml:space="preserve">UCuI44-4QZ7YMtzeDz1hixmw</t>
  </si>
  <si>
    <t xml:space="preserve">UCFWCFYvqnAMT-jcCqTp_SlA</t>
  </si>
  <si>
    <t xml:space="preserve">UCJIZMz72pv9rPZmgWJt0L0A</t>
  </si>
  <si>
    <t xml:space="preserve">UCgg-eLaCQoWbYKWoZKLkbZw</t>
  </si>
  <si>
    <t xml:space="preserve">UCxIurz10nqku-7IMH_InuQA</t>
  </si>
  <si>
    <t xml:space="preserve">UCtZfzwsSClLkRHiIBZnah0A</t>
  </si>
  <si>
    <t xml:space="preserve">UCdBCF7_NKXYXv5WjjY0zrIg</t>
  </si>
  <si>
    <t xml:space="preserve">UCHT11Z-nc07-xcv5ycU_eFg</t>
  </si>
  <si>
    <t xml:space="preserve">UCGCKVYfwTJ1MOM9X26accNQ</t>
  </si>
  <si>
    <t xml:space="preserve">UC44Wys2XOgRzWfJm-X_4KTg</t>
  </si>
  <si>
    <t xml:space="preserve">UC5k9Iiom0XcAHapsIwzncOw</t>
  </si>
  <si>
    <t xml:space="preserve">UCR6jer_UVcHHHlmjZzo5JjA</t>
  </si>
  <si>
    <t xml:space="preserve">UCSQmiyP26keQ3L_WI_LHdGw</t>
  </si>
  <si>
    <t xml:space="preserve">UCDFOkbaN9IuV6tjO8Aqo1ww</t>
  </si>
  <si>
    <t xml:space="preserve">UCrYirjTMOhNq6UrEg3vDtvQ</t>
  </si>
  <si>
    <t xml:space="preserve">UC9rQw9V314UqtqEfG8ctW7g</t>
  </si>
  <si>
    <t xml:space="preserve">UCnGNIUvBIAQvGwXKqUrFZ1Q</t>
  </si>
  <si>
    <t xml:space="preserve">UC65hTmyQXTmn-MHHIj_awow</t>
  </si>
  <si>
    <t xml:space="preserve">UCb7McXJYspZFzF0m21SYd1g</t>
  </si>
  <si>
    <t xml:space="preserve">UCb6MJFWnZvrQph6iVEeYS5Q</t>
  </si>
  <si>
    <t xml:space="preserve">UCiWnI7OYx5KkxFrOurw0TlA</t>
  </si>
  <si>
    <t xml:space="preserve">UCuklC4KhPbX_crqBHnEbo_Q</t>
  </si>
  <si>
    <t xml:space="preserve">UCg2_j8t2tlwTIU4HL59Q7gw</t>
  </si>
  <si>
    <t xml:space="preserve">UCvEKHATlVq84hm1jduTYm8g</t>
  </si>
  <si>
    <t xml:space="preserve">UCz0Ql4g16mSe3_IzJa__v7A</t>
  </si>
  <si>
    <t xml:space="preserve">UCOCPInEncz7NFDAtaqHNiZA</t>
  </si>
  <si>
    <t xml:space="preserve">UC5oiJCdehjArUKNa3sRetbg</t>
  </si>
  <si>
    <t xml:space="preserve">UCiYJN7P9TBGVqZm3q06FAXw</t>
  </si>
  <si>
    <t xml:space="preserve">UCwBfgxcxKUzlhpEMJxWEmdg</t>
  </si>
  <si>
    <t xml:space="preserve">UCCMWDXrVpUOsfIpVJbZDBsA</t>
  </si>
  <si>
    <t xml:space="preserve">UCthW9AxK9YKOCh7vCH8_F-Q</t>
  </si>
  <si>
    <t xml:space="preserve">UCPGObJpNl90s5AEmESo9dcQ</t>
  </si>
  <si>
    <t xml:space="preserve">UC1qjTZAkimFkNSLMAZyIc5Q</t>
  </si>
  <si>
    <t xml:space="preserve">UC-gq2-AQPR78o5YP6cQXiLw</t>
  </si>
  <si>
    <t xml:space="preserve">UCrDsn614zw32Tao_Y38xLWA</t>
  </si>
  <si>
    <t xml:space="preserve">UC_tu7TDtgl2Pt1tGac6Ntbg</t>
  </si>
  <si>
    <t xml:space="preserve">UCRz32i7F0hArfqshGThsM8w</t>
  </si>
  <si>
    <t xml:space="preserve">UCagK63XPST_9VnVY2keNVng</t>
  </si>
  <si>
    <t xml:space="preserve">UCZwBFI0HyoCFTVhrCZf_ZaA</t>
  </si>
  <si>
    <t xml:space="preserve">UCeTz0lYpbTecp_DnJi-0anQ</t>
  </si>
  <si>
    <t xml:space="preserve">UCJL0S6hNdoTQPZdkmh-AmzA</t>
  </si>
  <si>
    <t xml:space="preserve">UCGpQ0YuawhirWPKFnXcTh5A</t>
  </si>
  <si>
    <t xml:space="preserve">UCkHzY2GRdCGAIUJIdifBM_Q</t>
  </si>
  <si>
    <t xml:space="preserve">UCBlyjOeIg9Ej-nbXjlyvfwg</t>
  </si>
  <si>
    <t xml:space="preserve">UCtT9Sd904fZRKDwSqZvkgCA</t>
  </si>
  <si>
    <t xml:space="preserve">UCFzKbf-ggLWm4uzXwdZYDBw</t>
  </si>
  <si>
    <t xml:space="preserve">UCa0Alai4EzVJhOysZHL6c6w</t>
  </si>
  <si>
    <t xml:space="preserve">UCRP_WEwEXufEErhl21D8Qqw</t>
  </si>
  <si>
    <t xml:space="preserve">UCmsd11GSKyWz472NFo4Yz4w</t>
  </si>
  <si>
    <t xml:space="preserve">UC9ojDGjDozoskCUmD3e5omg</t>
  </si>
  <si>
    <t xml:space="preserve">UC7q0N_ED2tzjuudy9P5UO8A</t>
  </si>
  <si>
    <t xml:space="preserve">UCssSl9ZCuCj7jYpbti8gigQ</t>
  </si>
  <si>
    <t xml:space="preserve">UC-barUwAe4iI0y5eL-iMwlA</t>
  </si>
  <si>
    <t xml:space="preserve">UCrjcrMXItIt7id460F7oVcw</t>
  </si>
  <si>
    <t xml:space="preserve">UCcLuah_TaA0uOE8pKRoiPnw</t>
  </si>
  <si>
    <t xml:space="preserve">UCcut1207KRCj6McKa9AHA2g</t>
  </si>
  <si>
    <t xml:space="preserve">UCg0eWdRir64QUvYGDG-9VjA</t>
  </si>
  <si>
    <t xml:space="preserve">UC8DANtaIxmg8rNWTLNCOdow</t>
  </si>
  <si>
    <t xml:space="preserve">UCqVvXo5g0ELvLyiWq-HNk8Q</t>
  </si>
  <si>
    <t xml:space="preserve">UCoA5LPDBNwELT7_aOkqDmCg</t>
  </si>
  <si>
    <t xml:space="preserve">UCsnGfh6K96wIGE27KxPVZfg</t>
  </si>
  <si>
    <t xml:space="preserve">UC2uQ5rMpl_CqAf405R-mjjg</t>
  </si>
  <si>
    <t xml:space="preserve">UCHl-rbHJsAyqL2oRXtFV_8w</t>
  </si>
  <si>
    <t xml:space="preserve">UCYIRfEKJigGHtOftTv_DZRA</t>
  </si>
  <si>
    <t xml:space="preserve">UCVKaQzBzw9RLt3p45MPuQng</t>
  </si>
  <si>
    <t xml:space="preserve">UCsrYw7cLrrhwyFK3eOtU5Tw</t>
  </si>
  <si>
    <t xml:space="preserve">UCe1jvhdJVdGaJAevPss-TVg</t>
  </si>
  <si>
    <t xml:space="preserve">UCNF06EbfkXie7A7GnGA_8Gg</t>
  </si>
  <si>
    <t xml:space="preserve">UCNNT2IUS3H-VXNDEzEBXUuw</t>
  </si>
  <si>
    <t xml:space="preserve">UCC5wtNbxiuJLrr52uaJem3Q</t>
  </si>
  <si>
    <t xml:space="preserve">UCmllyPQZGEO3256IvHavU6w</t>
  </si>
  <si>
    <t xml:space="preserve">UCCykHV1oXG47imJFn_xUAFw</t>
  </si>
  <si>
    <t xml:space="preserve">UCni25N9di41YVKRaNfhNshA</t>
  </si>
  <si>
    <t xml:space="preserve">UCDBErhGM1VE_ehjwo5YJGvw</t>
  </si>
  <si>
    <t xml:space="preserve">UCQpcuJAlZfcnrbdePSZrnog</t>
  </si>
  <si>
    <t xml:space="preserve">UCNGvOZalM2hMaSmkRIuYQRg</t>
  </si>
  <si>
    <t xml:space="preserve">UCNNJwrynzE9otjQ_OU4keFw</t>
  </si>
  <si>
    <t xml:space="preserve">UC8wAlSksnxQRAKtUinCfYpg</t>
  </si>
  <si>
    <t xml:space="preserve">UCNH7sBhNrHquvLDdg9GiR-Q</t>
  </si>
  <si>
    <t xml:space="preserve">UCXAxLTfYCDejvnQ3Q5mh8bw</t>
  </si>
  <si>
    <t xml:space="preserve">UCTF7NWwMxI9meD6RYLfYcTA</t>
  </si>
  <si>
    <t xml:space="preserve">UCh2gQbj8j5316vJXQu8gxwA</t>
  </si>
  <si>
    <t xml:space="preserve">UC9M4B-wauKFUDXkDDLpshfg</t>
  </si>
  <si>
    <t xml:space="preserve">UChQsnCx7XCYp5qevg3SM-hA</t>
  </si>
  <si>
    <t xml:space="preserve">UC9P3hBFODSMLu8WWZgFyC-Q</t>
  </si>
  <si>
    <t xml:space="preserve">UC2wTpWwNnN-krBQQzHKemIw</t>
  </si>
  <si>
    <t xml:space="preserve">UCULsefZscnI9FQlbRcVYvtQ</t>
  </si>
  <si>
    <t xml:space="preserve">UCl3yHjxL4d2FVOUjS1TXzSA</t>
  </si>
  <si>
    <t xml:space="preserve">UCYCEj-PEDJdmQFKG4DCeycw</t>
  </si>
  <si>
    <t xml:space="preserve">UCAEbXCEypXNdSkNXqGBqS2g</t>
  </si>
  <si>
    <t xml:space="preserve">UCvhSrtX9gzf5n2r1OoCj-bQ</t>
  </si>
  <si>
    <t xml:space="preserve">UCl6eIhS1QEEcjZPeqk9-Cpg</t>
  </si>
  <si>
    <t xml:space="preserve">UCjO13jdUoQGSE7N4TVJpA2Q</t>
  </si>
  <si>
    <t xml:space="preserve">UCbOmKK-tRxdULpLP2C_RRwA</t>
  </si>
  <si>
    <t xml:space="preserve">UCt6OXVV_2oxf5DD0Mad6e9A</t>
  </si>
  <si>
    <t xml:space="preserve">UCXlWT5y31RESuqxtNLvrtfg</t>
  </si>
  <si>
    <t xml:space="preserve">UC4iceXE3F98QJqFK9aEmnGQ</t>
  </si>
  <si>
    <t xml:space="preserve">UCDvDT8C67GdV8HX4mEvBpOQ</t>
  </si>
  <si>
    <t xml:space="preserve">UCjUUAlIPVpmsaFKu4aVs1oQ</t>
  </si>
  <si>
    <t xml:space="preserve">UC_yQL2cdSPkw_DxvIt8TBJw</t>
  </si>
  <si>
    <t xml:space="preserve">UCJq6I2JomkH1V9Arzv9VKyg</t>
  </si>
  <si>
    <t xml:space="preserve">UC4K7vyx_mITvs2AobI_WMpg</t>
  </si>
  <si>
    <t xml:space="preserve">UCS7CnHtninM4TweGqpQTEtA</t>
  </si>
  <si>
    <t xml:space="preserve">UC4D1jtqACNzfzhpcduiP2tg</t>
  </si>
  <si>
    <t xml:space="preserve">UCNXTS4NpAcOM7VCaZKDK_fw</t>
  </si>
  <si>
    <t xml:space="preserve">UCDe9O8oIGYX-bsox70kU_iQ</t>
  </si>
  <si>
    <t xml:space="preserve">UCOR4tTOCnjctn2EhFPWuOTg</t>
  </si>
  <si>
    <t xml:space="preserve">UCO-8oKiQD5k8_ggA9Z7FGfQ</t>
  </si>
  <si>
    <t xml:space="preserve">UCSzcL8Y2BERv6-yO9Tbgm6A</t>
  </si>
  <si>
    <t xml:space="preserve">UCy9Ap11iLu5EnznFj-ggqKw</t>
  </si>
  <si>
    <t xml:space="preserve">UCH_4bAwpwDAwpBSS0ni2fEA</t>
  </si>
  <si>
    <t xml:space="preserve">UCdhk6hjAwLys22jBGTmWLig</t>
  </si>
  <si>
    <t xml:space="preserve">UC2gMHaUekvep04RswSNVccQ</t>
  </si>
  <si>
    <t xml:space="preserve">UCUwwIlzdWIkASiLBw1AAijA</t>
  </si>
  <si>
    <t xml:space="preserve">UCdLtjycStTXTaiISUPOkB2Q</t>
  </si>
  <si>
    <t xml:space="preserve">UCX_xF6PYadeOdFc8xOdQcZQ</t>
  </si>
  <si>
    <t xml:space="preserve">UC9F7Jp57llPni9da2mhKZyA</t>
  </si>
  <si>
    <t xml:space="preserve">UCUD-0EcPNkjx3YGX4bGFjxA</t>
  </si>
  <si>
    <t xml:space="preserve">UCO-pbCDM8Zkj6t8jMnPVCeQ</t>
  </si>
  <si>
    <t xml:space="preserve">UCKnRNV6x7s-ZSDfYPATq7cQ</t>
  </si>
  <si>
    <t xml:space="preserve">UCEHreiNTKQygEJip9ExpEvQ</t>
  </si>
  <si>
    <t xml:space="preserve">UCpyEynyShZ3Kb3OG6guzeFA</t>
  </si>
  <si>
    <t xml:space="preserve">UCYbuZB5F36Q3q5eqD-fZuEQ</t>
  </si>
  <si>
    <t xml:space="preserve">UCNxV2WMzhw8YDavB3-ZKLGQ</t>
  </si>
  <si>
    <t xml:space="preserve">UCU6HkRQLLod0IsjKy0Ausgw</t>
  </si>
  <si>
    <t xml:space="preserve">UCNrGNHz7xNZTSrj_H3Q2AUg</t>
  </si>
  <si>
    <t xml:space="preserve">UCC3ntdyD1p76ybXH2GSANMA</t>
  </si>
  <si>
    <t xml:space="preserve">UCLqQP4Dh-9Ew8zFzyC2b4mw</t>
  </si>
  <si>
    <t xml:space="preserve">UC2YG4bmqYQetlqUb0z2pSDQ</t>
  </si>
  <si>
    <t xml:space="preserve">UCvdTSGAK5v-EjJDJ70tlmNg</t>
  </si>
  <si>
    <t xml:space="preserve">UCFK0dLqgMUPdpLQmma2T-Ag</t>
  </si>
  <si>
    <t xml:space="preserve">UCl4rckjgrVmjDLYP10YHBRQ</t>
  </si>
  <si>
    <t xml:space="preserve">UCKwgH3vASrD2brd1l2m6NHw</t>
  </si>
  <si>
    <t xml:space="preserve">UCdF919W7arTWEQNo0E7_Fow</t>
  </si>
  <si>
    <t xml:space="preserve">UC5xfT9uKUeh5PchY8XbuGDw</t>
  </si>
  <si>
    <t xml:space="preserve">UCLwH_zWxLVDCe28zC-v47VA</t>
  </si>
  <si>
    <t xml:space="preserve">UCQ0MKa7di8zpiF35GEgvsKw</t>
  </si>
  <si>
    <t xml:space="preserve">UC5GThCUwy9QHs_lK_OAmVrA</t>
  </si>
  <si>
    <t xml:space="preserve">UCfJdRf-tZTor-qQepHVPzcQ</t>
  </si>
  <si>
    <t xml:space="preserve">UC5FzKN5Jk9-Pr-JgxMwJ1Lw</t>
  </si>
  <si>
    <t xml:space="preserve">UCshPyRiu9XTQb2gEagNt-3A</t>
  </si>
  <si>
    <t xml:space="preserve">UCXnfnDlFnd8n8fvB3vWmNZw</t>
  </si>
  <si>
    <t xml:space="preserve">UCAGleADXMmioBj65sUoy6Wg</t>
  </si>
  <si>
    <t xml:space="preserve">UCkry_Vn2ADaHEf0V77CuMvg</t>
  </si>
  <si>
    <t xml:space="preserve">UCmkwLgoYGQvAKC96_1-176w</t>
  </si>
  <si>
    <t xml:space="preserve">UC-9_drIFv14KfzEI8HmEizA</t>
  </si>
  <si>
    <t xml:space="preserve">UCh82OAfofTeBsBdsUiMa5WA</t>
  </si>
  <si>
    <t xml:space="preserve">UCCbQBG_KOVF0AAQWX0K6WBQ</t>
  </si>
  <si>
    <t xml:space="preserve">UC0Z-YjNAVj9hc8pBv8MxExg</t>
  </si>
  <si>
    <t xml:space="preserve">UCDoaU1MNrzt7YWE8DAPgO1w</t>
  </si>
  <si>
    <t xml:space="preserve">UCjM5mTkke-Vk4S5VgKtHsaQ</t>
  </si>
  <si>
    <t xml:space="preserve">UCjmFp8Mx_PfO1X6fV0NNwTQ</t>
  </si>
  <si>
    <t xml:space="preserve">UCYDBGNfriISI5JFhmPQHzwQ</t>
  </si>
  <si>
    <t xml:space="preserve">UCjpg0caey5yaQzGuM0W_dJA</t>
  </si>
  <si>
    <t xml:space="preserve">UCq8BnZLK20b0fJtdz1srzCg</t>
  </si>
  <si>
    <t xml:space="preserve">UC9O8HLbJro2EpcEwdHEn1sA</t>
  </si>
  <si>
    <t xml:space="preserve">UCL_r3riNH2oGxA1dsq5OfXg</t>
  </si>
  <si>
    <t xml:space="preserve">UCVGXxMtRs07sOxtZGwy6cNg</t>
  </si>
  <si>
    <t xml:space="preserve">UC5_eoUljblq4gYImI0H0vfQ</t>
  </si>
  <si>
    <t xml:space="preserve">UCkKl0hHlQc0viuhAqjBE60A</t>
  </si>
  <si>
    <t xml:space="preserve">UCXT5MxnQaOERLhnTMBGnBug</t>
  </si>
  <si>
    <t xml:space="preserve">UCldES24kcvABucv6BBWGwGw</t>
  </si>
  <si>
    <t xml:space="preserve">UCgHIP3UO7ZXO6G68I_G0x4A</t>
  </si>
  <si>
    <t xml:space="preserve">UCOYHWvhY4oil8nj-cWMzhLQ</t>
  </si>
  <si>
    <t xml:space="preserve">UCzbpWmj4EcCOe5R6lU0qyfw</t>
  </si>
  <si>
    <t xml:space="preserve">UCXJppNx52EJ31X9lIylp3aw</t>
  </si>
  <si>
    <t xml:space="preserve">UCCgS_0yaZqsHj2dLCc34ETA</t>
  </si>
  <si>
    <t xml:space="preserve">UC09KcsS0VQlJ7vgaBwz9q4A</t>
  </si>
  <si>
    <t xml:space="preserve">UCVxkGvcIlZ16LrQnA9auBww</t>
  </si>
  <si>
    <t xml:space="preserve">UCSBezlW3M3dL_1nLzbeI_uQ</t>
  </si>
  <si>
    <t xml:space="preserve">UCQl_Ev-sLXmujdct1kByndg</t>
  </si>
  <si>
    <t xml:space="preserve">UCtAO3D4ajTp8AHwgXffka1A</t>
  </si>
  <si>
    <t xml:space="preserve">UCsaywmutgysDg3sXA6oc-nw</t>
  </si>
  <si>
    <t xml:space="preserve">UC_a-Op86jiX7MVz5GV4m2GQ</t>
  </si>
  <si>
    <t xml:space="preserve">UCEfgG4h2CQe2i3pz2wGs0Hw</t>
  </si>
  <si>
    <t xml:space="preserve">UCKvkaBfifDJ0Y4kiQ-0yyQw</t>
  </si>
  <si>
    <t xml:space="preserve">UCRn3nqxefFzTxrYgmzh0tsw</t>
  </si>
  <si>
    <t xml:space="preserve">UCzWtyDo9KmEC1JoAqa1LIEw</t>
  </si>
  <si>
    <t xml:space="preserve">UCji6ITCdOOmxUzd6R2TonZQ</t>
  </si>
  <si>
    <t xml:space="preserve">UCEHVfgn7f4gP0oa0O1WKq8g</t>
  </si>
  <si>
    <t xml:space="preserve">UCjlZ0-UpfO0ZKpgzRaOKTWQ</t>
  </si>
  <si>
    <t xml:space="preserve">UCPQlly4Px2HNC6ehTj3-qgw</t>
  </si>
  <si>
    <t xml:space="preserve">UC8oCSEKZm49cdcWcw8k70gw</t>
  </si>
  <si>
    <t xml:space="preserve">UCMUqQCaGju8m6m4Lv3HCNLg</t>
  </si>
  <si>
    <t xml:space="preserve">UC-i2exyOfdj18NflmxzGAiA</t>
  </si>
  <si>
    <t xml:space="preserve">UC8reTjZYBmOXNn1BJGBbNSQ</t>
  </si>
  <si>
    <t xml:space="preserve">UCeQzqNjFSz3oSby7jk_HpUA</t>
  </si>
  <si>
    <t xml:space="preserve">UCRQ5TdiJiO-aTLC8-pUljLA</t>
  </si>
  <si>
    <t xml:space="preserve">UCKAzZtxqNwZeUJiXTGSsaxw</t>
  </si>
  <si>
    <t xml:space="preserve">UCBeNrIZRz4V6cjtrAZB4oBA</t>
  </si>
  <si>
    <t xml:space="preserve">UCuKJGwzZbEHh3jJaxsEUNpA</t>
  </si>
  <si>
    <t xml:space="preserve">UCMMmW49Rt2uSmOSznd-xaUQ</t>
  </si>
  <si>
    <t xml:space="preserve">UCl4IlQ2-6vjGTiJf0KPOqow</t>
  </si>
  <si>
    <t xml:space="preserve">UCfRKHZbXrswT4NLrjqnrUgQ</t>
  </si>
  <si>
    <t xml:space="preserve">UCZZCYMWsccbOCq5_7vNyR4A</t>
  </si>
  <si>
    <t xml:space="preserve">UC3ALraDJopOqm5007ZhqtTQ</t>
  </si>
  <si>
    <t xml:space="preserve">UCPJyvNlOuE042nwOBhSMCqw</t>
  </si>
  <si>
    <t xml:space="preserve">UCE8Xi-gaVkRZwD95MUnpeGQ</t>
  </si>
  <si>
    <t xml:space="preserve">UCWWJAvsUVSJPvxs2Zi3oCoQ</t>
  </si>
  <si>
    <t xml:space="preserve">UC9VKIBoC_nUs-5dCSStLrdQ</t>
  </si>
  <si>
    <t xml:space="preserve">UCjPVpmdfI14VBW_EVngG53A</t>
  </si>
  <si>
    <t xml:space="preserve">UCinim6CyiZE1j773HI2lfPQ</t>
  </si>
  <si>
    <t xml:space="preserve">UCrpELe0mluSZ8-2saJH5a0A</t>
  </si>
  <si>
    <t xml:space="preserve">UCymYVlelcF1y5NpQGF5YStA</t>
  </si>
  <si>
    <t xml:space="preserve">UCYFbANuo5ginJCVP-Q_bBCA</t>
  </si>
  <si>
    <t xml:space="preserve">UC-Kyv-riTefZUcT02-YPoNA</t>
  </si>
  <si>
    <t xml:space="preserve">UCl6uVL-a9cAJGEieE08vM3w</t>
  </si>
  <si>
    <t xml:space="preserve">UCO6ZCUQ0t0FYFmdCX1_WyPw</t>
  </si>
  <si>
    <t xml:space="preserve">UCQsox5ma02kXA_FsoZA4TSw</t>
  </si>
  <si>
    <t xml:space="preserve">UCSb2n9YZUUvLBI2GX6ak9eQ</t>
  </si>
  <si>
    <t xml:space="preserve">UCO3pT4ZI8x2RVqYWxxcrZsw</t>
  </si>
  <si>
    <t xml:space="preserve">UCsVjKQ6XknYR5UQfbryQQTA</t>
  </si>
  <si>
    <t xml:space="preserve">UCBW9M4Jq5Oe2XEJaLmzH7qQ</t>
  </si>
  <si>
    <t xml:space="preserve">UCLYzcOoHEuioRwUh6-hUQDQ</t>
  </si>
  <si>
    <t xml:space="preserve">UCzwqO6XZXzI_1A8GwcqCuYQ</t>
  </si>
  <si>
    <t xml:space="preserve">UCCOi5b2vqQ0hHQRBZ6yoT3w</t>
  </si>
  <si>
    <t xml:space="preserve">UCRRhmki3oK4BVlYQEz1Nd2g</t>
  </si>
  <si>
    <t xml:space="preserve">UC6RI9vAOtnyFdqdukjfrWbw</t>
  </si>
  <si>
    <t xml:space="preserve">UC3rY5HOgbBvGmq7RnDfwF7A</t>
  </si>
  <si>
    <t xml:space="preserve">UCjYCC2D0ZIZJex44goyLGzw</t>
  </si>
  <si>
    <t xml:space="preserve">UCmxBT_0CizMoFB8z26x5MMQ</t>
  </si>
  <si>
    <t xml:space="preserve">UC9BRRt-cAWkOUHme4AjiQCA</t>
  </si>
  <si>
    <t xml:space="preserve">UCSBOzRJp_EFPUPnKSrCdJ1A</t>
  </si>
  <si>
    <t xml:space="preserve">UCf4KV0fvs49gWIG0Hm_j7fA</t>
  </si>
  <si>
    <t xml:space="preserve">UCSPf35HviohoY08zBz1LUCg</t>
  </si>
  <si>
    <t xml:space="preserve">UCMXeSYF8qNL5PdeUc4o3B4A</t>
  </si>
  <si>
    <t xml:space="preserve">UCFHyvyHcRFld5iigCQURvRQ</t>
  </si>
  <si>
    <t xml:space="preserve">UCCgtZjZ6gn7upJ9GfmTDOXA</t>
  </si>
  <si>
    <t xml:space="preserve">UCWPGlSz8DLN2tvwT8B9DgKA</t>
  </si>
  <si>
    <t xml:space="preserve">UC38JswK5mWxfmZ2pYVYAzPg</t>
  </si>
  <si>
    <t xml:space="preserve">UCGrn9xyBP5qyfaRwfn5HOpw</t>
  </si>
  <si>
    <t xml:space="preserve">UCIgXF0FrYJL0a6sMsRIsLvA</t>
  </si>
  <si>
    <t xml:space="preserve">UCQ5O3wFnqen5LSXfOH4VBxw</t>
  </si>
  <si>
    <t xml:space="preserve">UCQVgzFyRv2RImUisFG0DSYA</t>
  </si>
  <si>
    <t xml:space="preserve">UCWszoo-ehwqPFMsZw5Mbivg</t>
  </si>
  <si>
    <t xml:space="preserve">UCo0ipfCAkMjZ1-fKm_WS7mw</t>
  </si>
  <si>
    <t xml:space="preserve">UCoGinxYRzBw3PUfOyHNaA-Q</t>
  </si>
  <si>
    <t xml:space="preserve">UC8gb5NmMEfm8JrR7y9MLfYg</t>
  </si>
  <si>
    <t xml:space="preserve">UCZDUyJegWGvZxuQKJjblUzw</t>
  </si>
  <si>
    <t xml:space="preserve">UCa637tUXPuLyl_v0DL5Vs6A</t>
  </si>
  <si>
    <t xml:space="preserve">UCISibXXlCqNDNzkeiK8faOQ</t>
  </si>
  <si>
    <t xml:space="preserve">UC28WUIGPjv-QMK6LNocYPLQ</t>
  </si>
  <si>
    <t xml:space="preserve">UC7no-E2gLFp_XyoV5Y4nNzg</t>
  </si>
  <si>
    <t xml:space="preserve">UCvgA-bfqEKINLy-H56v06Hg</t>
  </si>
  <si>
    <t xml:space="preserve">UCwS1t7jCvCCKyl8UjeJazTg</t>
  </si>
  <si>
    <t xml:space="preserve">UCKMfECyfU9kl0TnzCbMPrrQ</t>
  </si>
  <si>
    <t xml:space="preserve">UCaKlBs7qI0ZhFVSYak6KY-w</t>
  </si>
  <si>
    <t xml:space="preserve">UCirYjLJKUGMuIKWFxIGoqxg</t>
  </si>
  <si>
    <t xml:space="preserve">UCSlC-71pALGCGhToLtw3CZA</t>
  </si>
  <si>
    <t xml:space="preserve">UC6mQFQcjhRktjOTcKbSlDBQ</t>
  </si>
  <si>
    <t xml:space="preserve">UCKX_Z1cQRcmkFNv4UOctS5w</t>
  </si>
  <si>
    <t xml:space="preserve">UCeZTF0GplLDNV7m5JFnrBMg</t>
  </si>
  <si>
    <t xml:space="preserve">UCK4AR6KQOgDG4b_UqcnmmQg</t>
  </si>
  <si>
    <t xml:space="preserve">UCxNkKjhIPOCFQTgi6lSRWsQ</t>
  </si>
  <si>
    <t xml:space="preserve">UCwBVsIwbbsIXDSOjlspUhxg</t>
  </si>
  <si>
    <t xml:space="preserve">UCpEy7rhPS3sGjvzSqAdqzjg</t>
  </si>
  <si>
    <t xml:space="preserve">UC4Es_TJaDD_KG6ajhjtkcPQ</t>
  </si>
  <si>
    <t xml:space="preserve">UC6R9rI-1iEsPCPmvzlunKDg</t>
  </si>
  <si>
    <t xml:space="preserve">UCVyKRsupeY1aWW71GhQV_PA</t>
  </si>
  <si>
    <t xml:space="preserve">UCbBHmU0XZTvWc1ds28TSmHg</t>
  </si>
  <si>
    <t xml:space="preserve">UCCSOpVi5a-WcQbuZI-Df7EQ</t>
  </si>
  <si>
    <t xml:space="preserve">UCLE5Oj-VPxPqreuIbhDBHaQ</t>
  </si>
  <si>
    <t xml:space="preserve">UCjxQ7M1W2AL8hI_5JuxFYgA</t>
  </si>
  <si>
    <t xml:space="preserve">UClWQvfU9vn-BrtOre0ag_OQ</t>
  </si>
  <si>
    <t xml:space="preserve">UCdlDuf0FuyoPQDIZzQzj1sA</t>
  </si>
  <si>
    <t xml:space="preserve">UCLDU-A-TWN7Rq9x099BCf2w</t>
  </si>
  <si>
    <t xml:space="preserve">UCE6R68ZZ3mwuX3aLYmCqUfg</t>
  </si>
  <si>
    <t xml:space="preserve">UCpDejDXV8oMW6PLH-00Pp0g</t>
  </si>
  <si>
    <t xml:space="preserve">UC3IHRoPoCPb7OggSrZdCX-Q</t>
  </si>
  <si>
    <t xml:space="preserve">UCdBjdV7u939-r4wGtOaFqSg</t>
  </si>
  <si>
    <t xml:space="preserve">UChO18r_h8-K_Lf4Hb-bYGDQ</t>
  </si>
  <si>
    <t xml:space="preserve">UCmJJk_Dr6Gk_tE2iHx43Otg</t>
  </si>
  <si>
    <t xml:space="preserve">UCvHgsbwl81wU7LCMguloSMg</t>
  </si>
  <si>
    <t xml:space="preserve">UCbGu2-aFCrD-Rj0BzQiZ9-w</t>
  </si>
  <si>
    <t xml:space="preserve">UCUXUw6Y8SiKIxzwdh9zxZ4Q</t>
  </si>
  <si>
    <t xml:space="preserve">UCMqx2EnpF1tNvlhxSMlBCnw</t>
  </si>
  <si>
    <t xml:space="preserve">UCbl3TYbU0unc_5dx8VlZ40Q</t>
  </si>
  <si>
    <t xml:space="preserve">UCHN4NuiJLhrIErVF1n8pK1w</t>
  </si>
  <si>
    <t xml:space="preserve">UCpN5VTIP6V1GBaCIEOUvuGg</t>
  </si>
  <si>
    <t xml:space="preserve">UCNlskj9YLOFhi2HLKgcsDLQ</t>
  </si>
  <si>
    <t xml:space="preserve">UCbPya_3VMt7zVE0mqlAzVZw</t>
  </si>
  <si>
    <t xml:space="preserve">UCONdr1BGLSE78OiD_MZDYaQ</t>
  </si>
  <si>
    <t xml:space="preserve">UCs7oVZAgc73U5HQUhHkoYSg</t>
  </si>
  <si>
    <t xml:space="preserve">UC6_EAtTSF2yr8rgiYxz6agw</t>
  </si>
  <si>
    <t xml:space="preserve">UC97GLIslcFx4LhKFlLDGroA</t>
  </si>
  <si>
    <t xml:space="preserve">UCKJ5uH86BLfqAvspY06VdPQ</t>
  </si>
  <si>
    <t xml:space="preserve">UCVjazKM77Svf3q5EF0_rKAQ</t>
  </si>
  <si>
    <t xml:space="preserve">UCSKFTXMLdHvVwrP0MFlB7mA</t>
  </si>
  <si>
    <t xml:space="preserve">UCQtVJ-76KjPds9evTODkq-A</t>
  </si>
  <si>
    <t xml:space="preserve">UChDRGN9Au5GZ8Tv2tUSgvRQ</t>
  </si>
  <si>
    <t xml:space="preserve">UCulk3jaetjBSmUteuRASnDg</t>
  </si>
  <si>
    <t xml:space="preserve">UCHR8mlMPY5GAc-Os04R7mqg</t>
  </si>
  <si>
    <t xml:space="preserve">UCqVS6hIYfGgijdQCR1jAcGA</t>
  </si>
  <si>
    <t xml:space="preserve">UCf-UFBej5jem6HzXx8d0hfg</t>
  </si>
  <si>
    <t xml:space="preserve">UCy7sT8nmcmLG1hvkBE8Drzw</t>
  </si>
  <si>
    <t xml:space="preserve">UC6xv-K01vdj72aXQrJmG6Og</t>
  </si>
  <si>
    <t xml:space="preserve">UCgz53cJh4xVXoR0L3bF_2qQ</t>
  </si>
  <si>
    <t xml:space="preserve">UCIfCOl43tunZVNYafeC4RQA</t>
  </si>
  <si>
    <t xml:space="preserve">UCFx1oEjvkFHbK4u1CDyYw0Q</t>
  </si>
  <si>
    <t xml:space="preserve">UCJxYbh_Agi58YbRuhnYKFbA</t>
  </si>
  <si>
    <t xml:space="preserve">UClg1BK5TSUqbepZH4PU_coQ</t>
  </si>
  <si>
    <t xml:space="preserve">UCcutJctd0EVt6389IcfWy0w</t>
  </si>
  <si>
    <t xml:space="preserve">UCD_3XkU1Rbyw2prMMHxLvDQ</t>
  </si>
  <si>
    <t xml:space="preserve">UCXwcATMDBEk835L85rWaYBA</t>
  </si>
  <si>
    <t xml:space="preserve">UCG2Z9WQd7soxZEJ2fZr1OxQ</t>
  </si>
  <si>
    <t xml:space="preserve">UCActulm9RE4NprBNhi9zRLA</t>
  </si>
  <si>
    <t xml:space="preserve">UChHDMEo3xb1lNWO9RoDjaBA</t>
  </si>
  <si>
    <t xml:space="preserve">UCOltB42fi0PJHEsM05IT-pw</t>
  </si>
  <si>
    <t xml:space="preserve">UC8Qq3zFsEu4SOYYPjMQnVGw</t>
  </si>
  <si>
    <t xml:space="preserve">UCiOVE31BCTznIdDKnaRm0Yg</t>
  </si>
  <si>
    <t xml:space="preserve">UCm2qAwbJmpSQkRdqfnlUugA</t>
  </si>
  <si>
    <t xml:space="preserve">UCut7heEG4HvpKbGKoYsfTVA</t>
  </si>
  <si>
    <t xml:space="preserve">UCIUtDsstjSpvbNqkBAqIeug</t>
  </si>
  <si>
    <t xml:space="preserve">UCSOCaBh5XNT_Jv1kI5bf22g</t>
  </si>
  <si>
    <t xml:space="preserve">UCr2RCM93GlWJjQw04fQY4UQ</t>
  </si>
  <si>
    <t xml:space="preserve">UCwSnPeFrCe8-c9KdMoZqr4Q</t>
  </si>
  <si>
    <t xml:space="preserve">UCYb5hx_Nxn7xeiTHK-tGe6Q</t>
  </si>
  <si>
    <t xml:space="preserve">UCAb06BuM_jiOmQewNE-mj_A</t>
  </si>
  <si>
    <t xml:space="preserve">UCPY47hP9FhymmVpN8WbajyQ</t>
  </si>
  <si>
    <t xml:space="preserve">UC-a5wMvJSeF57fJmUU_Md5g</t>
  </si>
  <si>
    <t xml:space="preserve">UChouxcSDxyVhXghLpgBXb-g</t>
  </si>
  <si>
    <t xml:space="preserve">UCxvepFr7nm1ItIJuvxrmHDQ</t>
  </si>
  <si>
    <t xml:space="preserve">UCngrTLZoePGDdrOmVsG4vOA</t>
  </si>
  <si>
    <t xml:space="preserve">UCclVlribxolAVdm2uKiPwDg</t>
  </si>
  <si>
    <t xml:space="preserve">UC3I0w7SoDKdG4bk6K3lW-Mg</t>
  </si>
  <si>
    <t xml:space="preserve">UCFA2nNrEe7ihOrsxTkKpONQ</t>
  </si>
  <si>
    <t xml:space="preserve">UC0d9BLkBLjOQ8rCzeYJ23wA</t>
  </si>
  <si>
    <t xml:space="preserve">UCVFfR4eOjEdcj1ic1N21CDw</t>
  </si>
  <si>
    <t xml:space="preserve">UCHBgQq2xQxTvHkPlHqZA6Vg</t>
  </si>
  <si>
    <t xml:space="preserve">UCZvnwHjxanXtSAkwKfFQlrg</t>
  </si>
  <si>
    <t xml:space="preserve">UCuoxj3WMGpo4NOEzsjsGNiQ</t>
  </si>
  <si>
    <t xml:space="preserve">UCwSpi3-QdDMX5tjENyhPwBA</t>
  </si>
  <si>
    <t xml:space="preserve">UCbJ9KR5rKDrjzIamrbUmEKQ</t>
  </si>
  <si>
    <t xml:space="preserve">UCayPPBDOY3KOYmqgqFHPEaw</t>
  </si>
  <si>
    <t xml:space="preserve">UCt2q5rJmBjK3v-HOoCk9BOg</t>
  </si>
  <si>
    <t xml:space="preserve">UCeGtxWU2GHyY5FCf1dJPUlg</t>
  </si>
  <si>
    <t xml:space="preserve">UCFLLwUH0-IbbzpdbHUByYeQ</t>
  </si>
  <si>
    <t xml:space="preserve">UCy0rLP4gKbXLqmU4sLmI-sA</t>
  </si>
  <si>
    <t xml:space="preserve">UC1mziZzo-PrFx054WzShSMw</t>
  </si>
  <si>
    <t xml:space="preserve">UC7UnAtqeoJ3dPnkGbdHgT2A</t>
  </si>
  <si>
    <t xml:space="preserve">UCGSoxVMhaFq7woTOCfxMzLQ</t>
  </si>
  <si>
    <t xml:space="preserve">UCNNxPxH_zIPxvWy5QMFkruA</t>
  </si>
  <si>
    <t xml:space="preserve">UCYJbbonlRgUxRu7_gXgt9kQ</t>
  </si>
  <si>
    <t xml:space="preserve">UCIJkvvkO4twDrOYMaiV5Kng</t>
  </si>
  <si>
    <t xml:space="preserve">UCmaygOAkZxDzrkLADrhM5wg</t>
  </si>
  <si>
    <t xml:space="preserve">UCUqW4X-fHeSpKg3MGDd7Jqw</t>
  </si>
  <si>
    <t xml:space="preserve">UCxTh_MkXJdbhayK3N64YBhA</t>
  </si>
  <si>
    <t xml:space="preserve">UCmu4BXx9MYa25r0XbMX-Gjg</t>
  </si>
  <si>
    <t xml:space="preserve">UCl9ykXPS6HPUzxXvkSmgxaw</t>
  </si>
  <si>
    <t xml:space="preserve">UCwZit5ah1vBwbpeQV55VRIA</t>
  </si>
  <si>
    <t xml:space="preserve">UCwafG7DfOibd4Ou5926puFQ</t>
  </si>
  <si>
    <t xml:space="preserve">UCXh69H4qIrJa00kNme8mtCA</t>
  </si>
  <si>
    <t xml:space="preserve">UCMvR3TC3uKiIY_Y29t0baeA</t>
  </si>
  <si>
    <t xml:space="preserve">UCMIS6sqwOfm5IBYkec01x4Q</t>
  </si>
  <si>
    <t xml:space="preserve">UCDn2QEPeQV3rTKam4l7L6fg</t>
  </si>
  <si>
    <t xml:space="preserve">UCrcE9sxEf08L1mSVLEZo4qA</t>
  </si>
  <si>
    <t xml:space="preserve">UCwqakcn6NziszDXH65yzptw</t>
  </si>
  <si>
    <t xml:space="preserve">UCnODAwNsQmNwwrCUd9qUe8A</t>
  </si>
  <si>
    <t xml:space="preserve">UC1diQQQOrUsGoSzYKPTXv6g</t>
  </si>
  <si>
    <t xml:space="preserve">UCgRZVTt9s7Mp4V1HJWJj17g</t>
  </si>
  <si>
    <t xml:space="preserve">UC7XJ3DcUt_ou4xk4doZodMg</t>
  </si>
  <si>
    <t xml:space="preserve">UCsTGGz3D3jHrpXo7_2C9AAw</t>
  </si>
  <si>
    <t xml:space="preserve">UCduIoIMfD8tT3KoU0-zBRgQ</t>
  </si>
  <si>
    <t xml:space="preserve">UCE-ErkFfCLTAbzePnjJeJ4A</t>
  </si>
  <si>
    <t xml:space="preserve">UCV-PNGiLeer9JtSBZ85AfnA</t>
  </si>
  <si>
    <t xml:space="preserve">UCVT5DSAygbvf4ynpjqd0q1w</t>
  </si>
  <si>
    <t xml:space="preserve">UCAkz9E0-h1E5IIO0WDK4Qew</t>
  </si>
  <si>
    <t xml:space="preserve">UCxx58G-Y2hlYnWFCENNKSQg</t>
  </si>
  <si>
    <t xml:space="preserve">UCUuvOiEdAqCxBSXmNKqo7Sw</t>
  </si>
  <si>
    <t xml:space="preserve">UC4t5UgR6muEYRhpfDQIvjeg</t>
  </si>
  <si>
    <t xml:space="preserve">UCiMUfP2iaKe_Q82M8yJ0t5w</t>
  </si>
  <si>
    <t xml:space="preserve">UC5rFeE-sYDcl1I_dzoUqMdw</t>
  </si>
  <si>
    <t xml:space="preserve">UCMFqvZr7SMOR5tfxGoDFzEQ</t>
  </si>
  <si>
    <t xml:space="preserve">UCA7uH0JIN6mml0jnxRIDKTw</t>
  </si>
  <si>
    <t xml:space="preserve">UC6UP4VYOpQkq2zo5LTlOF8A</t>
  </si>
  <si>
    <t xml:space="preserve">UC65K3z9ZsQ48iPO1lPY7OMA</t>
  </si>
  <si>
    <t xml:space="preserve">UCjoeicblfdhtlTu_iFX-quA</t>
  </si>
  <si>
    <t xml:space="preserve">UCWqjqK3VYIHxgX-dha8UI_w</t>
  </si>
  <si>
    <t xml:space="preserve">UCQIVUW5Ebv23tlqdimqa1Xg</t>
  </si>
  <si>
    <t xml:space="preserve">UC4fYz3HK6BFaM24XIgsPiXA</t>
  </si>
  <si>
    <t xml:space="preserve">UC_ZpnlQvRstaiC0clerJ9DA</t>
  </si>
  <si>
    <t xml:space="preserve">UCTXr8Ue45TgcJOH48sReZjw</t>
  </si>
  <si>
    <t xml:space="preserve">UC9FauzNSotfGumDsNaEGChg</t>
  </si>
  <si>
    <t xml:space="preserve">UC9kKIpmg8loB6bg6PVWB4-g</t>
  </si>
  <si>
    <t xml:space="preserve">UCsu_X3vk8y-2OR-L7on5yzg</t>
  </si>
  <si>
    <t xml:space="preserve">UC0vNFpsOzRm2-X3k5JU4UMw</t>
  </si>
  <si>
    <t xml:space="preserve">UC2N5r2FvEOiDPKvaLW9rivw</t>
  </si>
  <si>
    <t xml:space="preserve">UCuc1YiAjTRklULbPrJ5wBYA</t>
  </si>
  <si>
    <t xml:space="preserve">UC90d9YRS0YQkkHdrIL8BI-g</t>
  </si>
  <si>
    <t xml:space="preserve">UCugCuqIU-UQzlW3Obka8EPw</t>
  </si>
  <si>
    <t xml:space="preserve">UC6Mjq4_2oN2Xz00M8tiu1eg</t>
  </si>
  <si>
    <t xml:space="preserve">UCXjgbqSZcL2CpTyp-p_7TGQ</t>
  </si>
  <si>
    <t xml:space="preserve">UCXu031YDwofSCxBMjlB_U5A</t>
  </si>
  <si>
    <t xml:space="preserve">UCRuTURI-Y6WKzZSg2IaDm4g</t>
  </si>
  <si>
    <t xml:space="preserve">UCa9IEkJ2FIQbZ78ZGy4C1CA</t>
  </si>
  <si>
    <t xml:space="preserve">UCImfTPawTwwmw1ptA1T51ug</t>
  </si>
  <si>
    <t xml:space="preserve">UCSqmNgwztXAgqjRtYLa6WIg</t>
  </si>
  <si>
    <t xml:space="preserve">UCnmuIyT7LOA_k42P6AXSkaA</t>
  </si>
  <si>
    <t xml:space="preserve">UCUncJ8wglDhSzEYeTSjKaxg</t>
  </si>
  <si>
    <t xml:space="preserve">UCdlz8SZEyYPOnTaPPYcCyAA</t>
  </si>
  <si>
    <t xml:space="preserve">UC9o-nrsTml69zdOHjshkm-w</t>
  </si>
  <si>
    <t xml:space="preserve">UC0_36RirUPzzsFWaLJ-yfGg</t>
  </si>
  <si>
    <t xml:space="preserve">UC3DOgauBYLQQXdH1siGjfpw</t>
  </si>
  <si>
    <t xml:space="preserve">UCGD4TVd_w6q7HRv0yVZc58A</t>
  </si>
  <si>
    <t xml:space="preserve">UCNYaai-7_Gm6FaGXnmdpZbQ</t>
  </si>
  <si>
    <t xml:space="preserve">UCs5XJrUcB-GHDnfxgn3dTrQ</t>
  </si>
  <si>
    <t xml:space="preserve">UCBD-5jNfAgTZzkQFL_0i6UA</t>
  </si>
  <si>
    <t xml:space="preserve">UCj5_1B96L78xU6LeTKB64Bw</t>
  </si>
  <si>
    <t xml:space="preserve">UCd1ytxSqmdKOUlGKVifqeDg</t>
  </si>
  <si>
    <t xml:space="preserve">UC7vUHu4HYaXitXmRAe0MSdQ</t>
  </si>
  <si>
    <t xml:space="preserve">UCq6Vo-4IpnuleQacfFwXNuw</t>
  </si>
  <si>
    <t xml:space="preserve">UChRSWoRFDHELm4xjfinM_yA</t>
  </si>
  <si>
    <t xml:space="preserve">UCNDijpNju1gg-OzeMf85dHw</t>
  </si>
  <si>
    <t xml:space="preserve">UCGBc4xsDQScHnWGwOmhhzhg</t>
  </si>
  <si>
    <t xml:space="preserve">UCvG8PtQyrghsNZUQLqiNYng</t>
  </si>
  <si>
    <t xml:space="preserve">UC5TurWFv5PtQ3qsmlnbIl3Q</t>
  </si>
  <si>
    <t xml:space="preserve">UC93NIQUxTyBGEoSgZSVgVnA</t>
  </si>
  <si>
    <t xml:space="preserve">UCeKBpvounVpN6zAa2YHjgVg</t>
  </si>
  <si>
    <t xml:space="preserve">UCkuW82d00AdTT3krDzlq8cQ</t>
  </si>
  <si>
    <t xml:space="preserve">UCIpsBr_Hdih_OCEjLZuM_Pw</t>
  </si>
  <si>
    <t xml:space="preserve">UCtXyahACV1mSSljfelgiPyQ</t>
  </si>
  <si>
    <t xml:space="preserve">UCLyl0vA-7WMQpcPw1fSAMhg</t>
  </si>
  <si>
    <t xml:space="preserve">UCcFekqvhGtcZkyZIOuyO6lA</t>
  </si>
  <si>
    <t xml:space="preserve">UC0AP0ZUNosuNRWyTWvlZjWw</t>
  </si>
  <si>
    <t xml:space="preserve">UCJRAFDSvjstWRwqB0iGLpSg</t>
  </si>
  <si>
    <t xml:space="preserve">UCmQMyhzqClFysWtd7jhQYIg</t>
  </si>
  <si>
    <t xml:space="preserve">UCdRbQh-fL_SDFkfZHS7WddQ</t>
  </si>
  <si>
    <t xml:space="preserve">UC8Zt1gY5CDURy09-PnBtDLQ</t>
  </si>
  <si>
    <t xml:space="preserve">UCgD8HY9tNbMbJqDUa_ydcgA</t>
  </si>
  <si>
    <t xml:space="preserve">UCo7T_g7ewWFnUv4O1KUVpnQ</t>
  </si>
  <si>
    <t xml:space="preserve">UCJlnxcJFi5CJXBZoDmFGl0w</t>
  </si>
  <si>
    <t xml:space="preserve">UCG4blgN_GGe9NIFYXD3WtBg</t>
  </si>
  <si>
    <t xml:space="preserve">UCbJfVBfX9q4vZOp3es64QTw</t>
  </si>
  <si>
    <t xml:space="preserve">UCezs3zWFhb8uLNpIkWWUiCQ</t>
  </si>
  <si>
    <t xml:space="preserve">UCbe7HaMP6IXfoWwCR4KUf_Q</t>
  </si>
  <si>
    <t xml:space="preserve">UCpn2TLtZwefGrJXcgk3BL9Q</t>
  </si>
  <si>
    <t xml:space="preserve">UCTOoDZo_OgituMMqRw8XCEQ</t>
  </si>
  <si>
    <t xml:space="preserve">UCgasV_IRW4Ou6fELqRAmLaw</t>
  </si>
  <si>
    <t xml:space="preserve">UCR_Tzu1r5M9uoNB3CF4Zg3g</t>
  </si>
  <si>
    <t xml:space="preserve">UCIhjVXmCsKEcrf-XLbwlBsw</t>
  </si>
  <si>
    <t xml:space="preserve">UCAU4DrXDSUdRz4ePf4ihXaQ</t>
  </si>
  <si>
    <t xml:space="preserve">UC4Zgf1eMmCbreTjSVXR7EOQ</t>
  </si>
  <si>
    <t xml:space="preserve">UCA_4F_g2Y4rd2j4iASYH3xg</t>
  </si>
  <si>
    <t xml:space="preserve">UCiA9b-lwh3ymh9xFEmFjPZA</t>
  </si>
  <si>
    <t xml:space="preserve">UCb8d3GfTCas8cV-k_TKQzuw</t>
  </si>
  <si>
    <t xml:space="preserve">UCQkW_1w8ywzWWi8RDHcnpsQ</t>
  </si>
  <si>
    <t xml:space="preserve">UC5EB5v5OUlROC_M-l7twlgw</t>
  </si>
  <si>
    <t xml:space="preserve">UCuwkFz6PseXcEt8osI6OsMA</t>
  </si>
  <si>
    <t xml:space="preserve">UCE7w50wKIvD7k0-dy0wilqA</t>
  </si>
  <si>
    <t xml:space="preserve">UCTzhDx8Y2UVUm4UA2IOGK5Q</t>
  </si>
  <si>
    <t xml:space="preserve">UCKliIabx-RsHYTqjOiYegSg</t>
  </si>
  <si>
    <t xml:space="preserve">UC_vWEPGSpzb93g2z4h3BOJQ</t>
  </si>
  <si>
    <t xml:space="preserve">UCHkfrwKv_XbsqoX53M8Mszg</t>
  </si>
  <si>
    <t xml:space="preserve">UCt6EGHR1jG-m1zFUh_1tVmw</t>
  </si>
  <si>
    <t xml:space="preserve">UCUmGdJNHH7adrBvzOszaM5A</t>
  </si>
  <si>
    <t xml:space="preserve">UCjjhz78xjiUWVpfPntFwRsg</t>
  </si>
  <si>
    <t xml:space="preserve">UCg5ukNutGtg1KqvWwuc56xw</t>
  </si>
  <si>
    <t xml:space="preserve">UCo5Ohm3pplL1FygbzdHEmpw</t>
  </si>
  <si>
    <t xml:space="preserve">UCsvYNbtfrUE-W7JnQ3ZgeIg</t>
  </si>
  <si>
    <t xml:space="preserve">UCMYy6GPi21M024NrjK8k9oA</t>
  </si>
  <si>
    <t xml:space="preserve">UCT7iQsqVrJN_RpQl97WaW1w</t>
  </si>
  <si>
    <t xml:space="preserve">UCFTDi0yFljnd1MYTPBClAdA</t>
  </si>
  <si>
    <t xml:space="preserve">UCKExptiGLTdsHi9itaNvSVA</t>
  </si>
  <si>
    <t xml:space="preserve">UC-TW1ntlyJsc3y9d79TUx5A</t>
  </si>
  <si>
    <t xml:space="preserve">UCH2jT_DmFdGSSajOu40gXOA</t>
  </si>
  <si>
    <t xml:space="preserve">UCjvlvUCXK2tof2hZINfKHtg</t>
  </si>
  <si>
    <t xml:space="preserve">UCgmmCoisJRilHgtnuah7wuA</t>
  </si>
  <si>
    <t xml:space="preserve">UCb-_-IUREAGx3-2ocWXyhUw</t>
  </si>
  <si>
    <t xml:space="preserve">UCQUHkb24YI1RKYhobM6JsuQ</t>
  </si>
  <si>
    <t xml:space="preserve">UCCUtMK8O-AnwJvl7CYEZ-rw</t>
  </si>
  <si>
    <t xml:space="preserve">UCMZ-tdoelw8cXSVziDDy3hg</t>
  </si>
  <si>
    <t xml:space="preserve">UCz3GnYKnGFbrDPI8tYe9QFg</t>
  </si>
  <si>
    <t xml:space="preserve">UCVkX14tAAB-wg_G_JUbh9tA</t>
  </si>
  <si>
    <t xml:space="preserve">UCLx_v9wnA_6lUS_CWL4UR-A</t>
  </si>
  <si>
    <t xml:space="preserve">UCukI6GR31qv8UkgBsZDrRSw</t>
  </si>
  <si>
    <t xml:space="preserve">UC3tjg7zcUxr7X97qj4adiIg</t>
  </si>
  <si>
    <t xml:space="preserve">UCKvk1Hca-bpehy6pF7Ze9tQ</t>
  </si>
  <si>
    <t xml:space="preserve">UCbw-Veyg8pSV9_Hhofd3v-Q</t>
  </si>
  <si>
    <t xml:space="preserve">UCbtoOV-DNzHylmqJXZ8Pn-A</t>
  </si>
  <si>
    <t xml:space="preserve">UCk4rjM7ouxJuQ-qUf6uKVfg</t>
  </si>
  <si>
    <t xml:space="preserve">UCldR9M65TxGIxwMw8xQdb5A</t>
  </si>
  <si>
    <t xml:space="preserve">UCrdZSdaGZUSSj7F9HaJNe_Q</t>
  </si>
  <si>
    <t xml:space="preserve">UCxoqijukm8u4OiDHAIYFkxg</t>
  </si>
  <si>
    <t xml:space="preserve">UCzYFEmssRtseay7kR_axGvg</t>
  </si>
  <si>
    <t xml:space="preserve">UCKiOX8jAnxDFUuzcr15o6zA</t>
  </si>
  <si>
    <t xml:space="preserve">UCrNx7WlPJ9LF7fopoY8vumQ</t>
  </si>
  <si>
    <t xml:space="preserve">UCybUMKenam2HGFFqxJws_8Q</t>
  </si>
  <si>
    <t xml:space="preserve">UCH912uDFX3sIaPXMrJa9X_w</t>
  </si>
  <si>
    <t xml:space="preserve">UCstsOcqlhpnQYnHphP6uWAw</t>
  </si>
  <si>
    <t xml:space="preserve">UC5TIQgjmZkO_YoTdwDLkSNw</t>
  </si>
  <si>
    <t xml:space="preserve">UC3ei80FUGr3P2VmzkNmA3IA</t>
  </si>
  <si>
    <t xml:space="preserve">UCGZW6RbRerbbY_XiK3yMX3w</t>
  </si>
  <si>
    <t xml:space="preserve">UCmS1XjJszrO-sFFsba7I7PQ</t>
  </si>
  <si>
    <t xml:space="preserve">UCsDOgGLJ0I5td9UZyikyMjQ</t>
  </si>
  <si>
    <t xml:space="preserve">UCZtFCUZf-meFkY0IH0ii2nw</t>
  </si>
  <si>
    <t xml:space="preserve">UCOL3DM1xsspRExkRIlPZWQA</t>
  </si>
  <si>
    <t xml:space="preserve">UCdsn7bSXfoep-YXo3Gke9og</t>
  </si>
  <si>
    <t xml:space="preserve">UClWWtcaxXzptwrWpFaL6mdQ</t>
  </si>
  <si>
    <t xml:space="preserve">UC1WanPy26JgoGoydCjyQDXQ</t>
  </si>
  <si>
    <t xml:space="preserve">UCuZYQQGB5UhzZOS6YucIV9Q</t>
  </si>
  <si>
    <t xml:space="preserve">UCu69anrYqpLkNJYw6yuzeWQ</t>
  </si>
  <si>
    <t xml:space="preserve">UCOeedtn0A-arNTyUGwMAYwQ</t>
  </si>
  <si>
    <t xml:space="preserve">UCANHPTFjTMoL45WjQ2qaokg</t>
  </si>
  <si>
    <t xml:space="preserve">UCI8uiBZGsDuOvM2S5VcPS_g</t>
  </si>
  <si>
    <t xml:space="preserve">UCjsDr56e1d5B_FHEAirEftQ</t>
  </si>
  <si>
    <t xml:space="preserve">UCW-7D6uAvENKjFfNASyn--w</t>
  </si>
  <si>
    <t xml:space="preserve">UCcvag2CHtCfOjCzngMPuTpg</t>
  </si>
  <si>
    <t xml:space="preserve">UC7RM2jWMI0pDxalgI3r_kVg</t>
  </si>
  <si>
    <t xml:space="preserve">UC2PHmTkbk961QPpv80FVxEA</t>
  </si>
  <si>
    <t xml:space="preserve">UC80ZIW1Gbx34lwCp59iwxdg</t>
  </si>
  <si>
    <t xml:space="preserve">UCMdElTwiU4JrDUkuI_eqPJg</t>
  </si>
  <si>
    <t xml:space="preserve">UCDkOJYIogu_Kqc3qVFt9UTA</t>
  </si>
  <si>
    <t xml:space="preserve">UCDc9CuTvi4mWaSv_I4yhfKw</t>
  </si>
  <si>
    <t xml:space="preserve">UCSOyHuAdfDeHS8xp2JRsj0A</t>
  </si>
  <si>
    <t xml:space="preserve">UCC0-MHKPdq09Mtg5bGjFY7A</t>
  </si>
  <si>
    <t xml:space="preserve">UCJ2XpHgbTQL_GzmVGV_fgPQ</t>
  </si>
  <si>
    <t xml:space="preserve">UCTP9sDeqayLKuD4QjHKdcIw</t>
  </si>
  <si>
    <t xml:space="preserve">UCdUEJABvX8XKu3HyDSczqhA</t>
  </si>
  <si>
    <t xml:space="preserve">UCfg2R1NF7-MDf0Oj2SKSqyA</t>
  </si>
  <si>
    <t xml:space="preserve">UCyfn04p-OsACM0kGfpcIvEg</t>
  </si>
  <si>
    <t xml:space="preserve">UCqasuP1xl4qc88tQfbi5h2w</t>
  </si>
  <si>
    <t xml:space="preserve">UCyvBkE9TvJ4nHTgh3eXTbWA</t>
  </si>
  <si>
    <t xml:space="preserve">UC624Fc6gVVxDAhKg_XPzsug</t>
  </si>
  <si>
    <t xml:space="preserve">UCe9PkNnkHNHGmaml-agcOqQ</t>
  </si>
  <si>
    <t xml:space="preserve">UCPl4DUvWoCPVPiNsuPTuZig</t>
  </si>
  <si>
    <t xml:space="preserve">UC3-jjVxqORuoy-l1CtPNtzA</t>
  </si>
  <si>
    <t xml:space="preserve">UCnHwry_kfr6oJ3W3nMpV6Nw</t>
  </si>
  <si>
    <t xml:space="preserve">UC5WOeym8I0WxNo57bp5hY8g</t>
  </si>
  <si>
    <t xml:space="preserve">UCS9GOg86FmnqcXEnK7gZqkQ</t>
  </si>
  <si>
    <t xml:space="preserve">UCHsEbzW4ers0G5dVOhvG1eg</t>
  </si>
  <si>
    <t xml:space="preserve">UCuRM705Lww_6O1_jcDUy0iw</t>
  </si>
  <si>
    <t xml:space="preserve">UC-INBV6UZjXtY1fhXE4g1QA</t>
  </si>
  <si>
    <t xml:space="preserve">UCSkKcSIO8pHDcBXKESn5Uzg</t>
  </si>
  <si>
    <t xml:space="preserve">UC2ej7VFQqlplInNLv5Y8MnQ</t>
  </si>
  <si>
    <t xml:space="preserve">UCMbCcf1PZJ1uzvBkW9WDbNg</t>
  </si>
  <si>
    <t xml:space="preserve">UCqBFYKgcg_dVlON26pj62qw</t>
  </si>
  <si>
    <t xml:space="preserve">UCZ56bfzgD7hIYGZ2k5SEtbA</t>
  </si>
  <si>
    <t xml:space="preserve">UCn8mnhabljpjSwk0e08DhDA</t>
  </si>
  <si>
    <t xml:space="preserve">UCKRvZ0HH4M28uO7iG95l6bw</t>
  </si>
  <si>
    <t xml:space="preserve">UC7-qH50CcjsoQgAvXlsV0rA</t>
  </si>
  <si>
    <t xml:space="preserve">UCRlb64X288JwwOQaTOsxbZw</t>
  </si>
  <si>
    <t xml:space="preserve">UCNQ4SM7lT1hcEPFaW4jRYng</t>
  </si>
  <si>
    <t xml:space="preserve">UCPaON0FnhUepdvN2g9PzNBg</t>
  </si>
  <si>
    <t xml:space="preserve">UCU10SKZZ1FaZq4fE1gTSBvw</t>
  </si>
  <si>
    <t xml:space="preserve">UC7__IrXEmpCqBYWjCxsjCiQ</t>
  </si>
  <si>
    <t xml:space="preserve">UCh_PqQd1xnNcqk2xqlWVigQ</t>
  </si>
  <si>
    <t xml:space="preserve">UCoZB8RrUaX0SUBHtjBmd7lw</t>
  </si>
  <si>
    <t xml:space="preserve">UC241kY9XOhVVT0h7W3k1Q9Q</t>
  </si>
  <si>
    <t xml:space="preserve">UCNKeZC76djN7iccLrNe0jMw</t>
  </si>
  <si>
    <t xml:space="preserve">UC-gTvS58qVpSrTEii8mA1Ng</t>
  </si>
  <si>
    <t xml:space="preserve">UC6tzJpKwxfHUY_kVosoKF8g</t>
  </si>
  <si>
    <t xml:space="preserve">UClnGa00sZzv0IlUd5mOPnCg</t>
  </si>
  <si>
    <t xml:space="preserve">UCTN-fCATY79l4QiJQ7rT0wA</t>
  </si>
  <si>
    <t xml:space="preserve">UChi65R6k012O5BFMSoaF1Ww</t>
  </si>
  <si>
    <t xml:space="preserve">UC3ffRgp31O5chU-AIILbbYg</t>
  </si>
  <si>
    <t xml:space="preserve">UCFqYcXDkv9inrIsALD00SQA</t>
  </si>
  <si>
    <t xml:space="preserve">UC68lur_mj2HNmsiHiepSjSA</t>
  </si>
  <si>
    <t xml:space="preserve">UCZ9Fvu-OG-5Pbn7GsFNca5g</t>
  </si>
  <si>
    <t xml:space="preserve">UCiQ-9FaMFVC_YtcC5br5t2Q</t>
  </si>
  <si>
    <t xml:space="preserve">UCXiFvBv-DKqGdB8Oaz5fJ1A</t>
  </si>
  <si>
    <t xml:space="preserve">UCUCAaCS_Y2flDdfnflNJKLQ</t>
  </si>
  <si>
    <t xml:space="preserve">UC5pEueTEbkzRSWnbDgheEJw</t>
  </si>
  <si>
    <t xml:space="preserve">UC87nvoOFB2s9d21kN8kMVAQ</t>
  </si>
  <si>
    <t xml:space="preserve">UCRL2Yg5SvOirIFJ4pBGyYiQ</t>
  </si>
  <si>
    <t xml:space="preserve">UCo8j2-HSffAI0LdzewmXgDg</t>
  </si>
  <si>
    <t xml:space="preserve">UCroQZIIe16wrhRa_4-fRF1Q</t>
  </si>
  <si>
    <t xml:space="preserve">UCsI2nEEXkYKJAaw3E4gFpmQ</t>
  </si>
  <si>
    <t xml:space="preserve">UCJbkHuANctTz4t04jZTuB8Q</t>
  </si>
  <si>
    <t xml:space="preserve">UCuy32Rdw-ACBLr2pjRkGs1A</t>
  </si>
  <si>
    <t xml:space="preserve">UCgPvnAfOownKETS9umR0qZQ</t>
  </si>
  <si>
    <t xml:space="preserve">UCwB1sptW5PPeaXnrW5Yb3-A</t>
  </si>
  <si>
    <t xml:space="preserve">UC1bvkhVSWzW3A2QSyQzQc2g</t>
  </si>
  <si>
    <t xml:space="preserve">UCqZPnKQMJb3vHrouQAL7NaA</t>
  </si>
  <si>
    <t xml:space="preserve">UCswhwax56FzRlY6NDn39c7Q</t>
  </si>
  <si>
    <t xml:space="preserve">UCwzvBgthkz1Yia8lwUGnD0w</t>
  </si>
  <si>
    <t xml:space="preserve">UCNie47CaRVWFctIWK1oxORw</t>
  </si>
  <si>
    <t xml:space="preserve">UCirFVreJ0gigY8VVer6IK6w</t>
  </si>
  <si>
    <t xml:space="preserve">UCsEQFPYUIps-DQLEu9zY5JA</t>
  </si>
  <si>
    <t xml:space="preserve">UCGO8oVc1Ez2TEYZHnppvpXg</t>
  </si>
  <si>
    <t xml:space="preserve">UCO_wL9u8V4mKWAQdscfB2Ow</t>
  </si>
  <si>
    <t xml:space="preserve">UCqY603rMxh19K9Rgv16AnaA</t>
  </si>
  <si>
    <t xml:space="preserve">UChgIrOLZBtp0XJQe-PW1RSw</t>
  </si>
  <si>
    <t xml:space="preserve">UCcMU5NE1Lmf4Fqpx7n9F3Sw</t>
  </si>
  <si>
    <t xml:space="preserve">UCPFchA0VYeAx1g3-1JYOCCw</t>
  </si>
  <si>
    <t xml:space="preserve">UCt2jQCUslwfQZeZ7S8Spoyw</t>
  </si>
  <si>
    <t xml:space="preserve">UC3apKJae9J1qKTAFcBnFcbA</t>
  </si>
  <si>
    <t xml:space="preserve">UCcNaySjYDcTlqaca7sxCtCA</t>
  </si>
  <si>
    <t xml:space="preserve">UCPCAHCchzcH2aAn_l-f6LZA</t>
  </si>
  <si>
    <t xml:space="preserve">UCtc4ATS8qCEvHrVJOEzCw0A</t>
  </si>
  <si>
    <t xml:space="preserve">UClcW8Lfj5zE67tvsQ27lb_g</t>
  </si>
  <si>
    <t xml:space="preserve">UCUUlw3anBIkbW9W44Y-eURw</t>
  </si>
  <si>
    <t xml:space="preserve">UCrfwMUFeZZ4RBO7xTkmD3QA</t>
  </si>
  <si>
    <t xml:space="preserve">UCgqmFRo_UgJc3D6ZZ630bBA</t>
  </si>
  <si>
    <t xml:space="preserve">UCy8pIFKA0_kYcNv7izlnpVg</t>
  </si>
  <si>
    <t xml:space="preserve">UC9fDC_eBh9e_bogw87DbGKQ</t>
  </si>
  <si>
    <t xml:space="preserve">UCwoe0oWOq3c20cnCXk9zxhA</t>
  </si>
  <si>
    <t xml:space="preserve">UCVGRzd9YUtXYozquyYcjQOQ</t>
  </si>
  <si>
    <t xml:space="preserve">UCppbocQIYU_GuFvElvqFmKw</t>
  </si>
  <si>
    <t xml:space="preserve">UCq1dPRJPbEE-Jp4vMOQ5diw</t>
  </si>
  <si>
    <t xml:space="preserve">UC2vyj6Cq1PSZ4R6ehuXBzqQ</t>
  </si>
  <si>
    <t xml:space="preserve">UCg-ypLXLsFs2f9--pu0RLjQ</t>
  </si>
  <si>
    <t xml:space="preserve">UCfgKnK6FcIuyRLWhAa7fang</t>
  </si>
  <si>
    <t xml:space="preserve">UCHNEWECzDTSrllTdacPUclQ</t>
  </si>
  <si>
    <t xml:space="preserve">UC6mo397lcMVIDqTl-SOiFQQ</t>
  </si>
  <si>
    <t xml:space="preserve">UC8LPkg5QyymAMHA_jN4vi2g</t>
  </si>
  <si>
    <t xml:space="preserve">UCCZtGp-joMkIOeELzk3PDNQ</t>
  </si>
  <si>
    <t xml:space="preserve">UCBZ8LniCS7GqN4dPvUipgzg</t>
  </si>
  <si>
    <t xml:space="preserve">UCutBKCG0O15HD9-12qbpJNA</t>
  </si>
  <si>
    <t xml:space="preserve">UCMB1CheNAXov4tVIO3ALUmg</t>
  </si>
  <si>
    <t xml:space="preserve">UCPqWdEuhsHrJNKR4aXQa5ug</t>
  </si>
  <si>
    <t xml:space="preserve">UCqvponRMB09SJPGMcCaEJvA</t>
  </si>
  <si>
    <t xml:space="preserve">UCOBXOVsHwh_SIoGSrM3HxAw</t>
  </si>
  <si>
    <t xml:space="preserve">UCTBC8eauZrFkx8VYIo625Cg</t>
  </si>
  <si>
    <t xml:space="preserve">UCaSKE0e0JTvICiHlrJLeJ3A</t>
  </si>
  <si>
    <t xml:space="preserve">UC5GdJxJkSGSKqy5ZIRnvHUQ</t>
  </si>
  <si>
    <t xml:space="preserve">UCm_vk-JuHWUSbzePWl4-QKQ</t>
  </si>
  <si>
    <t xml:space="preserve">UC6VTuwUfZ9AJArThXXdQB9Q</t>
  </si>
  <si>
    <t xml:space="preserve">UCN5WZWmDBxWwLAzM23YSHtQ</t>
  </si>
  <si>
    <t xml:space="preserve">UCds2QbEcFXCaJ9Q16-rloyg</t>
  </si>
  <si>
    <t xml:space="preserve">UCdy0WxveYwpQempYszFBjCw</t>
  </si>
  <si>
    <t xml:space="preserve">UCu_cd2w_UGKa_pfqC9LKkGQ</t>
  </si>
  <si>
    <t xml:space="preserve">UCLXwu_ET5qWD_foftJNz_Hw</t>
  </si>
  <si>
    <t xml:space="preserve">UCL6rn9EiArG_vviPv4CnQVA</t>
  </si>
  <si>
    <t xml:space="preserve">UCiIQdFHOTBm5jcskSa-spsQ</t>
  </si>
  <si>
    <t xml:space="preserve">UCrzxy3Ij6P-SNVNbK1Z7Xzw</t>
  </si>
  <si>
    <t xml:space="preserve">UCfmuwTbLrG7xdsPUrZXz16A</t>
  </si>
  <si>
    <t xml:space="preserve">UCxOj4cClt_t2de2eHhXSJ0w</t>
  </si>
  <si>
    <t xml:space="preserve">UC0cX1L_2XJ7pJFFGhf0jIOQ</t>
  </si>
  <si>
    <t xml:space="preserve">UCAl_f9MQWmHY8kxtyLYDOSw</t>
  </si>
  <si>
    <t xml:space="preserve">UCr-N1np17VhC8SZbcODCpUA</t>
  </si>
  <si>
    <t xml:space="preserve">UCCNNhRwylGWquKLnaCRyTNw</t>
  </si>
  <si>
    <t xml:space="preserve">UCVikcgdEIjvwIVG2RBQUBTg</t>
  </si>
  <si>
    <t xml:space="preserve">UCJ6b_f8P9gWlDS0pV_JT87g</t>
  </si>
  <si>
    <t xml:space="preserve">UCGbZ_aTQ3zmqY-6p2OXfCdg</t>
  </si>
  <si>
    <t xml:space="preserve">UCAJJt_YDIbSIC-BXYRysXlQ</t>
  </si>
  <si>
    <t xml:space="preserve">UCDlU8KZ1l4oBbkXBu0CSO8w</t>
  </si>
  <si>
    <t xml:space="preserve">UCzRk6U_QZ1N43IJJ3vAsR8A</t>
  </si>
  <si>
    <t xml:space="preserve">UCbFJL5uuDr5utEZJJhYBejA</t>
  </si>
  <si>
    <t xml:space="preserve">UCMdPhSBJqnObwyP5gCOk7fQ</t>
  </si>
  <si>
    <t xml:space="preserve">UC90_DJMmeOYnVnYWMwInS2Q</t>
  </si>
  <si>
    <t xml:space="preserve">UCLd3sd0PwS_wPOXHXor6o6g</t>
  </si>
  <si>
    <t xml:space="preserve">UC63H7BtE6tPfQEVhZ39Klmw</t>
  </si>
  <si>
    <t xml:space="preserve">UCRx3SBHcRByPr2aHtM8qtig</t>
  </si>
  <si>
    <t xml:space="preserve">UCywNFyPG8UHZ6Ysw6oX8Hdg</t>
  </si>
  <si>
    <t xml:space="preserve">UCp1XFt1s2B3v8jtfWRZP08Q</t>
  </si>
  <si>
    <t xml:space="preserve">UCxykVmXr1GwZZZxKG8ZRaUg</t>
  </si>
  <si>
    <t xml:space="preserve">UCx7ZLpECjMnfgnXCuGxAkLw</t>
  </si>
  <si>
    <t xml:space="preserve">UC9f4LRRkoUozyry78kMsnEQ</t>
  </si>
  <si>
    <t xml:space="preserve">UCESK-e5qHVy1upS1NKu3WjQ</t>
  </si>
  <si>
    <t xml:space="preserve">UCl5rQli0tPri0CwUhZrwX6g</t>
  </si>
  <si>
    <t xml:space="preserve">UCBCZHDgdLQYKAiRch-kPelQ</t>
  </si>
  <si>
    <t xml:space="preserve">UCnJu5BlttbKHNkUxG_eh28g</t>
  </si>
  <si>
    <t xml:space="preserve">UCg4K_yXyWKKRZe9OLaaYK7g</t>
  </si>
  <si>
    <t xml:space="preserve">UCSFJJYU22kuUlRolI3-Muzg</t>
  </si>
  <si>
    <t xml:space="preserve">UC2MYZHG8a56u4REI2RedtRA</t>
  </si>
  <si>
    <t xml:space="preserve">UCASy8K-nA46uVJX_eJFeU-w</t>
  </si>
  <si>
    <t xml:space="preserve">UCfK_cpbu5KOoF6qOOQ-vZgA</t>
  </si>
  <si>
    <t xml:space="preserve">UC-1kx-Bzkq0IRwm0PD0_ezA</t>
  </si>
  <si>
    <t xml:space="preserve">UCok5A3vWKKfNB0CiEB3ogZA</t>
  </si>
  <si>
    <t xml:space="preserve">UCEcaFRSbG5fTrEkhb1re81A</t>
  </si>
  <si>
    <t xml:space="preserve">UCYcTkYDzw-pRIgWXuU2X99g</t>
  </si>
  <si>
    <t xml:space="preserve">UCiJaUS2jA4b9cTXpG1HeNmg</t>
  </si>
  <si>
    <t xml:space="preserve">UCd92PxolgytBmn7CVKgyrew</t>
  </si>
  <si>
    <t xml:space="preserve">UCOdtpvIAk16bcxHh_zN6XHg</t>
  </si>
  <si>
    <t xml:space="preserve">UCs8aHjosGclYBvLJc6PtLjg</t>
  </si>
  <si>
    <t xml:space="preserve">UCj8VZmrzJ3CGcStp5pxDVYw</t>
  </si>
  <si>
    <t xml:space="preserve">UC0GDHStEIx9n4FqUiDkxiRg</t>
  </si>
  <si>
    <t xml:space="preserve">UCuytub27_V2hvULQ0pys_cQ</t>
  </si>
  <si>
    <t xml:space="preserve">UCkS9cZtLqrMzs_glCw0U88A</t>
  </si>
  <si>
    <t xml:space="preserve">UC6xy0ssQnS23gtQmwkWl4Tg</t>
  </si>
  <si>
    <t xml:space="preserve">UCbsVOZgTNBxNmcPVvuLig7Q</t>
  </si>
  <si>
    <t xml:space="preserve">UC9ybULkGKv59RB1fwZRuNOA</t>
  </si>
  <si>
    <t xml:space="preserve">UCy4qP0S_RkFMwvs2HvNiTgQ</t>
  </si>
  <si>
    <t xml:space="preserve">UC3z_qB0Jbqdj1zCiCp8aHUg</t>
  </si>
  <si>
    <t xml:space="preserve">UCXX1fJgR9j7S0jTTtCuYfoQ</t>
  </si>
  <si>
    <t xml:space="preserve">UCBFw9siMq1Kt6XFnrqRMcPg</t>
  </si>
  <si>
    <t xml:space="preserve">UC9OicB9iT0hHQjw-gVBRrog</t>
  </si>
  <si>
    <t xml:space="preserve">UCtWP6dr67yqKy3bAXcOeT-Q</t>
  </si>
  <si>
    <t xml:space="preserve">UCTAxjEvlMaKRglgHN77eSAA</t>
  </si>
  <si>
    <t xml:space="preserve">UCsLDUk0e_ct9fEOscyLsRPw</t>
  </si>
  <si>
    <t xml:space="preserve">UCTRNilqgOpktrzMx3ZltrAA</t>
  </si>
  <si>
    <t xml:space="preserve">UCVcDCxUAX9in_yTq3_DjHqw</t>
  </si>
  <si>
    <t xml:space="preserve">UCcxtJ3K0Qml803x7sqyps0A</t>
  </si>
  <si>
    <t xml:space="preserve">UCWCGvAu1NDCldmLasELk62g</t>
  </si>
  <si>
    <t xml:space="preserve">UCI7oBLDX1tAFT3obD8_uNpw</t>
  </si>
  <si>
    <t xml:space="preserve">UCTv--69JAwXMHdAf-1jTz3A</t>
  </si>
  <si>
    <t xml:space="preserve">UCS9ylflS6E0AvXg0LZ0P6_g</t>
  </si>
  <si>
    <t xml:space="preserve">UCWG6Uf6m3M80F72mqmn62Uw</t>
  </si>
  <si>
    <t xml:space="preserve">UCddLK4Q_9nq2iJqvHoq2f_g</t>
  </si>
  <si>
    <t xml:space="preserve">UCFixnsj09GeeUA4vEKzuQbA</t>
  </si>
  <si>
    <t xml:space="preserve">UCXCiIaGZv0tmRS7nBBFn0-g</t>
  </si>
  <si>
    <t xml:space="preserve">UCwPCt3ieoV-bN2ycx6PzN1A</t>
  </si>
  <si>
    <t xml:space="preserve">UC4vcItZ7IA9gXBKLX4lUEFQ</t>
  </si>
  <si>
    <t xml:space="preserve">UCdkcFKhW5i4LjFLXlOpAbzw</t>
  </si>
  <si>
    <t xml:space="preserve">UCJdMbGrfy_F6Vh1SnOcV4mA</t>
  </si>
  <si>
    <t xml:space="preserve">UC7srgIVtA3XexXKuisvyOAg</t>
  </si>
  <si>
    <t xml:space="preserve">UCEQZqWS5MWD3TqDOapr8AQQ</t>
  </si>
  <si>
    <t xml:space="preserve">UCAHYUPVmHFPFZsUtg0WPsCw</t>
  </si>
  <si>
    <t xml:space="preserve">UCnzF6QaUOPGVYH4fi26DMDQ</t>
  </si>
  <si>
    <t xml:space="preserve">UC2Foet8jAtIrLa9CkKWenJg</t>
  </si>
  <si>
    <t xml:space="preserve">UCpcEoj8S4hJNbwsSbMl5U6Q</t>
  </si>
  <si>
    <t xml:space="preserve">UCyPEDIb-XCJfqYwoyezbHIA</t>
  </si>
  <si>
    <t xml:space="preserve">UC8kO1uAC3sWWmnm8YdHFINA</t>
  </si>
  <si>
    <t xml:space="preserve">UCpJZNu7SznV_dQpZ8D3DLUQ</t>
  </si>
  <si>
    <t xml:space="preserve">UCjbh9WWO5Cz3cN2k1qp8odA</t>
  </si>
  <si>
    <t xml:space="preserve">UCt7cLrg-v7pMw1JgBuLkbLQ</t>
  </si>
  <si>
    <t xml:space="preserve">UCO7-tvmIJbKi87Rl6w-1yAg</t>
  </si>
  <si>
    <t xml:space="preserve">UCoaEnNXeMbW-pCUD4Ni9v6g</t>
  </si>
  <si>
    <t xml:space="preserve">UCiEa9zCBA1sNmBlZQY5JytQ</t>
  </si>
  <si>
    <t xml:space="preserve">UCgqviExbS6xlip9TiSU0bbA</t>
  </si>
  <si>
    <t xml:space="preserve">UC7jMeMP56G8jbTeEtgU_h-g</t>
  </si>
  <si>
    <t xml:space="preserve">UC5D8fb6BNdUgSnpYYIvw6Vg</t>
  </si>
  <si>
    <t xml:space="preserve">UC3FNXhj30aCCQ-B4r6P83Ww</t>
  </si>
  <si>
    <t xml:space="preserve">UCAveYPOT7_1ySBwhv4aZt2A</t>
  </si>
  <si>
    <t xml:space="preserve">UC548yrl-xGe6xB-rj7hIuPw</t>
  </si>
  <si>
    <t xml:space="preserve">UC8gnlsed8PJ1nwURyacjzzA</t>
  </si>
  <si>
    <t xml:space="preserve">UC-n8szdwFgv4eAoO-GKbGNA</t>
  </si>
  <si>
    <t xml:space="preserve">UCriVXocNtDp2YyFAveb-fFg</t>
  </si>
  <si>
    <t xml:space="preserve">UCbGkBupvCK2ijXfh_-hw9ag</t>
  </si>
  <si>
    <t xml:space="preserve">UCZp9l2HmsSHAMLJ-za6JRkw</t>
  </si>
  <si>
    <t xml:space="preserve">UCe9tn6m-7PyiKJCSQfaVo5g</t>
  </si>
  <si>
    <t xml:space="preserve">UCzDWMaPnWlf1rD4p5ceLsfg</t>
  </si>
  <si>
    <t xml:space="preserve">UCcVskglXLe_kokNX52GG56w</t>
  </si>
  <si>
    <t xml:space="preserve">UCxbrlA5S6M2JFthokWOveqQ</t>
  </si>
  <si>
    <t xml:space="preserve">UCivdG7GGDPMjsibIqcWIxqQ</t>
  </si>
  <si>
    <t xml:space="preserve">UCpcS-Xnlv5GwTd66h1Dnt5Q</t>
  </si>
  <si>
    <t xml:space="preserve">UCMg4OFH7TA_pVm8cJcspfaQ</t>
  </si>
  <si>
    <t xml:space="preserve">UCgCusDkO0mOkxEpvhVV6e9w</t>
  </si>
  <si>
    <t xml:space="preserve">UCSbp-sQ9vv5thQEk6DXTcNw</t>
  </si>
  <si>
    <t xml:space="preserve">UCuUotW14kzvZqnOIC8xNKUA</t>
  </si>
  <si>
    <t xml:space="preserve">UCfK2Q_BX1EIbTwi5y60BVEg</t>
  </si>
  <si>
    <t xml:space="preserve">UCe4KAakZS9-jRelJbWVBWOw</t>
  </si>
  <si>
    <t xml:space="preserve">UCb5-XDuavDpXDTHJ6crERPQ</t>
  </si>
  <si>
    <t xml:space="preserve">UCWVyEdLMP9b6P0FOSkripLQ</t>
  </si>
  <si>
    <t xml:space="preserve">UCZgzBbqFpLZTV_rx3EPyf6g</t>
  </si>
  <si>
    <t xml:space="preserve">UC8F29jp4qAzeUUI-8BDoBIg</t>
  </si>
  <si>
    <t xml:space="preserve">UCquF-h0__LWcyBh9wBTFKaA</t>
  </si>
  <si>
    <t xml:space="preserve">UCbq4Tfk7nIu-w0NWD4uj0UQ</t>
  </si>
  <si>
    <t xml:space="preserve">UCbGyY8RetTq7XUolpjITRMw</t>
  </si>
  <si>
    <t xml:space="preserve">UCKHO5y-zlzFJWWn0tefRiKA</t>
  </si>
  <si>
    <t xml:space="preserve">UCrt2cC2yaeFV8zRD0oQ7LkA</t>
  </si>
  <si>
    <t xml:space="preserve">UCaVaavS22fEPQFqeEJXhWHg</t>
  </si>
  <si>
    <t xml:space="preserve">UCqJKF61VZJJjToVLQL_Knsg</t>
  </si>
  <si>
    <t xml:space="preserve">UCwwO0O1utqZvbTeMQb82_sg</t>
  </si>
  <si>
    <t xml:space="preserve">UCXhbGVsFkmlcxQQvwlHMQbg</t>
  </si>
  <si>
    <t xml:space="preserve">UC1bO9XQRhccxbWcIRIYm2HA</t>
  </si>
  <si>
    <t xml:space="preserve">UCSHon7X44tNM8s3IcX2F7Sw</t>
  </si>
  <si>
    <t xml:space="preserve">UCV3NxaHWgiCxJFKzdl-yWDQ</t>
  </si>
  <si>
    <t xml:space="preserve">UC9l7tHD7VC4orBaP26Ad2JQ</t>
  </si>
  <si>
    <t xml:space="preserve">UCI2v_Wb4Um0a6CdO07yBbmg</t>
  </si>
  <si>
    <t xml:space="preserve">UC8SLPARhJnJ1s3UOODfnX6Q</t>
  </si>
  <si>
    <t xml:space="preserve">UCP2-bsO6X6YIiZp4pkLJ8lg</t>
  </si>
  <si>
    <t xml:space="preserve">UCSBlLH6Vzzt3s0AMMxmLCjg</t>
  </si>
  <si>
    <t xml:space="preserve">UCPL5fp6DaVlNPbT2yMIHM8w</t>
  </si>
  <si>
    <t xml:space="preserve">UCVeuXHUfX9QqQWlH-QsX_CQ</t>
  </si>
  <si>
    <t xml:space="preserve">UCy2manvGDTPPlkm0N3gIYTQ</t>
  </si>
  <si>
    <t xml:space="preserve">UC3ldzzMr6S0WCpN19mRcH5w</t>
  </si>
  <si>
    <t xml:space="preserve">UCZOG4X4yW22nkuY2aKt0A_w</t>
  </si>
  <si>
    <t xml:space="preserve">UCNWTKpzIPahDwUqHe-aE1WQ</t>
  </si>
  <si>
    <t xml:space="preserve">UCHupEZdzOus7yyBf29j3Wcg</t>
  </si>
  <si>
    <t xml:space="preserve">UCrQ2-hzImdJ4A3BD0yIYm-A</t>
  </si>
  <si>
    <t xml:space="preserve">UCOvtkDR1erIxakUu721dgiQ</t>
  </si>
  <si>
    <t xml:space="preserve">UCcD8FfX12tT_r-fLe-O3smw</t>
  </si>
  <si>
    <t xml:space="preserve">UCGnqaEa5wmyxxXeP8NXo6qw</t>
  </si>
  <si>
    <t xml:space="preserve">UCcbyQi8gB9nX8GcUts04g3g</t>
  </si>
  <si>
    <t xml:space="preserve">UCoBL8gRrEPm49lp78h4U9bw</t>
  </si>
  <si>
    <t xml:space="preserve">UCFv86IHdngwcdyvgWxAMh8Q</t>
  </si>
  <si>
    <t xml:space="preserve">UC7k1dni-9gAqW6hC4LsKLPg</t>
  </si>
  <si>
    <t xml:space="preserve">UCtGWF3ZtO82eYoSSrcV7raw</t>
  </si>
  <si>
    <t xml:space="preserve">UCyNiG0gtjio00qye4q2JvWA</t>
  </si>
  <si>
    <t xml:space="preserve">UC0BeZVbVh5PI1XlrWYcoh1A</t>
  </si>
  <si>
    <t xml:space="preserve">UCl1Umy9WXb3I49JTMG3WoWw</t>
  </si>
  <si>
    <t xml:space="preserve">UC_yAPG8MzTokSdRZ-Fg4ciA</t>
  </si>
  <si>
    <t xml:space="preserve">UCx2JqR1M5TxiI0l2cQXo1Xw</t>
  </si>
  <si>
    <t xml:space="preserve">UCMzHk-rGHmACzYlyFPyhrBA</t>
  </si>
  <si>
    <t xml:space="preserve">UCdFxWsKWs6G5c_1_V4-UhoQ</t>
  </si>
  <si>
    <t xml:space="preserve">UCFgm-FN5SAyDSUwqCsKld-w</t>
  </si>
  <si>
    <t xml:space="preserve">UC53WzZ-e7rAiDNVDS4vdLRQ</t>
  </si>
  <si>
    <t xml:space="preserve">UCg4e-Fwgz8kgsRzKjeHzLVg</t>
  </si>
  <si>
    <t xml:space="preserve">UC3I2KbI0nwBgUQU2iUU-yYw</t>
  </si>
  <si>
    <t xml:space="preserve">UC7ZRlcwPxgSAfZuf4mSlNZQ</t>
  </si>
  <si>
    <t xml:space="preserve">UCR2D0AS2LBV53CP0hxYYlvg</t>
  </si>
  <si>
    <t xml:space="preserve">UCYUmnSiVDLJ0X1Rz3DyHWgQ</t>
  </si>
  <si>
    <t xml:space="preserve">UC_40SOqHA1KzYnqcNtX8wcg</t>
  </si>
  <si>
    <t xml:space="preserve">UC1XuXEGc1e-d14P7GvKyuxw</t>
  </si>
  <si>
    <t xml:space="preserve">UCmeVA7qy9XsyyDc2UmDrSQw</t>
  </si>
  <si>
    <t xml:space="preserve">UCJTY6z_SrU39MIcJxEtmduA</t>
  </si>
  <si>
    <t xml:space="preserve">UCn4fhtzOgtoEKIrAAV4yCMA</t>
  </si>
  <si>
    <t xml:space="preserve">UCoIR1MksCBbhgb4Ti9XfVfQ</t>
  </si>
  <si>
    <t xml:space="preserve">UClEgsK1xsJmmSd0OUCNWyHA</t>
  </si>
  <si>
    <t xml:space="preserve">UCh9cHh3jMZFf6Rdw5T3dKMw</t>
  </si>
  <si>
    <t xml:space="preserve">UCEIP9i0nehPMjK-sJ3yylkQ</t>
  </si>
  <si>
    <t xml:space="preserve">UCqRtVwlbtHdAro5drwH4JDA</t>
  </si>
  <si>
    <t xml:space="preserve">UCICgZCUy8adAVm4a1Aq8ZMg</t>
  </si>
  <si>
    <t xml:space="preserve">UCFBFRXpGCtcHxN0N_tFd0ow</t>
  </si>
  <si>
    <t xml:space="preserve">UC_0BWZix0TDsMAVUfkQmR2Q</t>
  </si>
  <si>
    <t xml:space="preserve">UCmtTRAtkoaaqFSgI9AJX6pA</t>
  </si>
  <si>
    <t xml:space="preserve">UC2UtUHQUYs1LgPL2acz3reQ</t>
  </si>
  <si>
    <t xml:space="preserve">UCfQ2q24dCGFzP_-Zqr26ZDA</t>
  </si>
  <si>
    <t xml:space="preserve">UCwXiOtJgoSTNiMZlcs_OwAQ</t>
  </si>
  <si>
    <t xml:space="preserve">UCqZInQ17xdGfdvauCzOklcw</t>
  </si>
  <si>
    <t xml:space="preserve">UCWVK60ydiDZQqPcNWQR6-JQ</t>
  </si>
  <si>
    <t xml:space="preserve">UCYgTs0FWF9ScbWo86dSX3rg</t>
  </si>
  <si>
    <t xml:space="preserve">UCL-WEWu1kx79Cc9CLMSBM3w</t>
  </si>
  <si>
    <t xml:space="preserve">UCUtp6Uo2RHUb6dXur9LWwhg</t>
  </si>
  <si>
    <t xml:space="preserve">UCsCssxQZU8SdoB-8tTyUDYw</t>
  </si>
  <si>
    <t xml:space="preserve">UCD7_ALuBe9-SQDZt_mLJC1A</t>
  </si>
  <si>
    <t xml:space="preserve">UC7Ibt1KA9K8Qj2hE6uCdGSQ</t>
  </si>
  <si>
    <t xml:space="preserve">UCZSyJyxtMG3Qbjh7ZZY39tg</t>
  </si>
  <si>
    <t xml:space="preserve">UCycmCbzmIJUqHY7YccLfotg</t>
  </si>
  <si>
    <t xml:space="preserve">UCDr7Bg2MkdoaJ8gqLxPOoGA</t>
  </si>
  <si>
    <t xml:space="preserve">UCf3jRtMiA4ZVlbNUzrt2mMw</t>
  </si>
  <si>
    <t xml:space="preserve">UCCt0XCeUyqcdT0oTZgXx9cg</t>
  </si>
  <si>
    <t xml:space="preserve">UCrvTLxAglmn_Eo6E_QtzJzw</t>
  </si>
  <si>
    <t xml:space="preserve">UCgHWvBdY4Mqi6Lf2oLq4gGg</t>
  </si>
  <si>
    <t xml:space="preserve">UC-V9Mloh_jF5xoSLKF46sVQ</t>
  </si>
  <si>
    <t xml:space="preserve">UCdirrRY54CQA3ap1RgWU77A</t>
  </si>
  <si>
    <t xml:space="preserve">UCgp17ZrgKs2G099C3Mue48Q</t>
  </si>
  <si>
    <t xml:space="preserve">UCAIHs5fcbJkXH8VrYEW8i1w</t>
  </si>
  <si>
    <t xml:space="preserve">UCcC9txrthD4MYZfWwIwMzUA</t>
  </si>
  <si>
    <t xml:space="preserve">UCZmBKf48Oz4J7BjXbcM4EQw</t>
  </si>
  <si>
    <t xml:space="preserve">UC0TcHdGxVLN667qOPXEdQaQ</t>
  </si>
  <si>
    <t xml:space="preserve">UCSOO8aliEwUKxIVkk5Igz-A</t>
  </si>
  <si>
    <t xml:space="preserve">UCWjHDFIZoWIaHqnCT8M4lnQ</t>
  </si>
  <si>
    <t xml:space="preserve">UCUfafFfZV88iOA41PeEiRPQ</t>
  </si>
  <si>
    <t xml:space="preserve">UCcUvHFmjGEg32p-8qBVFYAA</t>
  </si>
  <si>
    <t xml:space="preserve">UC7T7MYzrTQiKd2V-6WKf6GA</t>
  </si>
  <si>
    <t xml:space="preserve">UCZgFP65br-6ZS8kyf63nM2A</t>
  </si>
  <si>
    <t xml:space="preserve">UCb3pf6Ge8XPFDjuhzDjrrdQ</t>
  </si>
  <si>
    <t xml:space="preserve">UCRXKFHtNEIW_1l2-DarXkwg</t>
  </si>
  <si>
    <t xml:space="preserve">UCiJ7alz4sKCtl7vz_axzH2w</t>
  </si>
  <si>
    <t xml:space="preserve">UCflhRMrXRAR8Y7w4KHEdTdQ</t>
  </si>
  <si>
    <t xml:space="preserve">UCg5XdacNdNcBf3M-KD5ZHjA</t>
  </si>
  <si>
    <t xml:space="preserve">UCJHniBBC2qjK-bXxf3vS4eg</t>
  </si>
  <si>
    <t xml:space="preserve">UClT18-hI0yT5uzjzC69iC8g</t>
  </si>
  <si>
    <t xml:space="preserve">UC1Yny3o49-_IEFgYXAXXq0w</t>
  </si>
  <si>
    <t xml:space="preserve">UC1bCSAQ0LCIkMcORx2ljh5Q</t>
  </si>
  <si>
    <t xml:space="preserve">UCywA_oFKMktwGSSh2HCyWzQ</t>
  </si>
  <si>
    <t xml:space="preserve">UCFYLZrj2fr4csQzWSYzipjQ</t>
  </si>
  <si>
    <t xml:space="preserve">UC0Uio_I-hdoCp67jk4SwyzQ</t>
  </si>
  <si>
    <t xml:space="preserve">UCZA12q81vXYNN07gMU6Jn2A</t>
  </si>
  <si>
    <t xml:space="preserve">UCtTX7w1DQi5ChptpmHUrTaQ</t>
  </si>
  <si>
    <t xml:space="preserve">UCx1QFeAVLwh802nit7w8bxw</t>
  </si>
  <si>
    <t xml:space="preserve">UC-5lbA1VRYtujuHtmZMMC-g</t>
  </si>
  <si>
    <t xml:space="preserve">UCGaDjgRl_bxBjVLBpO9tfYg</t>
  </si>
  <si>
    <t xml:space="preserve">UCoo44ktzx2_nxS48dYJckNQ</t>
  </si>
  <si>
    <t xml:space="preserve">UCYKzJJk45giuAyYLllTr-_g</t>
  </si>
  <si>
    <t xml:space="preserve">UC1C0ZstUEYlnkvo6ss2SdSA</t>
  </si>
  <si>
    <t xml:space="preserve">UCa7bzx12B8wcUTF7YpI67VA</t>
  </si>
  <si>
    <t xml:space="preserve">UCtcHSoazwdKG4uT2g4SKJiA</t>
  </si>
  <si>
    <t xml:space="preserve">UCjFmxGKiUOubPoOhUeBUeAg</t>
  </si>
  <si>
    <t xml:space="preserve">UC6HpnMV8XCdQR6-dNsiMB9Q</t>
  </si>
  <si>
    <t xml:space="preserve">UC4w7zyr3jAC05HACZMjKgkA</t>
  </si>
  <si>
    <t xml:space="preserve">UC5rylQF2P8iwYm-Sezg1YbQ</t>
  </si>
  <si>
    <t xml:space="preserve">UCRKQFdpVbURR-jEpB1kRmfw</t>
  </si>
  <si>
    <t xml:space="preserve">UCwD6wSolY9DYNGvR9KgHN-w</t>
  </si>
  <si>
    <t xml:space="preserve">UCDzvKFFM8rr5PcNl4HJTRew</t>
  </si>
  <si>
    <t xml:space="preserve">UC5XKsCcbfo3PIWJiR0Tv91w</t>
  </si>
  <si>
    <t xml:space="preserve">UC-i4Cfb5-QrfMJFl_EDOHWw</t>
  </si>
  <si>
    <t xml:space="preserve">UCXDCMerJ8KFuk8G-ROftCvQ</t>
  </si>
  <si>
    <t xml:space="preserve">UC3KfagXjHGS3HXawJuiznPw</t>
  </si>
  <si>
    <t xml:space="preserve">UCdtkd7y5VCgyXjiVRt2Wf8A</t>
  </si>
  <si>
    <t xml:space="preserve">UCXycH2hhUJp8wDXbR4oVRdQ</t>
  </si>
  <si>
    <t xml:space="preserve">UCv6au74Lema0O6WsyRu9UPw</t>
  </si>
  <si>
    <t xml:space="preserve">UC-Cg8jae1wvpYDHU_F6OX-g</t>
  </si>
  <si>
    <t xml:space="preserve">UCBpsR3Eig4w856iDef0-W-w</t>
  </si>
  <si>
    <t xml:space="preserve">UCT6cbW0wVYCZmC1AZstoxyA</t>
  </si>
  <si>
    <t xml:space="preserve">UC8jj3Xyh-rVeWTGrsGTJrLg</t>
  </si>
  <si>
    <t xml:space="preserve">UC7rNzgC2fEBVpb-q_acpsmw</t>
  </si>
  <si>
    <t xml:space="preserve">UCVeZhekbhV-jP4sfHVYlvhQ</t>
  </si>
  <si>
    <t xml:space="preserve">UCSWj8mqQCcrcBlXPi4ThRDQ</t>
  </si>
  <si>
    <t xml:space="preserve">UC0YpUo9uKkcMo3R3OY4dUDw</t>
  </si>
  <si>
    <t xml:space="preserve">UC7EVQDy_YA7s2vUM183zwFQ</t>
  </si>
  <si>
    <t xml:space="preserve">UCvbYEOIb6SnYVJQG3uNUcBg</t>
  </si>
  <si>
    <t xml:space="preserve">UCaeUO2QsqmjGFScgYmxn-qQ</t>
  </si>
  <si>
    <t xml:space="preserve">UC3J-oDvUEagrbsHLygya5kA</t>
  </si>
  <si>
    <t xml:space="preserve">UCcn-QohtLN2AOcwBwVSQkog</t>
  </si>
  <si>
    <t xml:space="preserve">UCT7SsX2XZagLirou1dvFSHQ</t>
  </si>
  <si>
    <t xml:space="preserve">UCuHNkFASNJaQc7-4tSgdQ7A</t>
  </si>
  <si>
    <t xml:space="preserve">UCSASBTu9o0W6kmhuooUJX3Q</t>
  </si>
  <si>
    <t xml:space="preserve">UCDzhFuVYou1D8w1ABZo3b9A</t>
  </si>
  <si>
    <t xml:space="preserve">UCC5SQubiIduRla3V1AtQpkA</t>
  </si>
  <si>
    <t xml:space="preserve">UC6H0uD5Sri0Z2Z4fjefOwJA</t>
  </si>
  <si>
    <t xml:space="preserve">UCOgMBTdFTSCtr8p7yVzSHkw</t>
  </si>
  <si>
    <t xml:space="preserve">UCtr-r8KsYQAb02UBhEuvpeg</t>
  </si>
  <si>
    <t xml:space="preserve">UCxNB-oHPC-iobznPJLLPv7w</t>
  </si>
  <si>
    <t xml:space="preserve">UCitKzGsWFjUYpvuQu97w9KQ</t>
  </si>
  <si>
    <t xml:space="preserve">UC2Oth1Sz9qXb3mfG3IVhWig</t>
  </si>
  <si>
    <t xml:space="preserve">UCc1Q2bMi4uJzsANe0_tBwvg</t>
  </si>
  <si>
    <t xml:space="preserve">UCmyYlRWyC9iJZ4TBiAiIQhw</t>
  </si>
  <si>
    <t xml:space="preserve">UCSi4dFvEhfGRYEYp-SL4yng</t>
  </si>
  <si>
    <t xml:space="preserve">UCNqs8oenY2h57rD6zxE5jaw</t>
  </si>
  <si>
    <t xml:space="preserve">UCZyY35a5V0VWboyOzCL1tRQ</t>
  </si>
  <si>
    <t xml:space="preserve">UCvedSU2XjHrCGroA_eVuNDQ</t>
  </si>
  <si>
    <t xml:space="preserve">UCdZPtWw-_zszxvFm320PqTA</t>
  </si>
  <si>
    <t xml:space="preserve">UCHuVrAwvWOBue_UfI8WNtlA</t>
  </si>
  <si>
    <t xml:space="preserve">UCoOmmbxxZxL9833L21LR-_Q</t>
  </si>
  <si>
    <t xml:space="preserve">UCB3adahEXWZNWQDzH47LnQg</t>
  </si>
  <si>
    <t xml:space="preserve">UCvzDBL1d5HjGrhXl3q1aDjw</t>
  </si>
  <si>
    <t xml:space="preserve">UCZn38KmU8VEsupVPhrYonzg</t>
  </si>
  <si>
    <t xml:space="preserve">UC4kcnj_FiNpCPxuMwT5Cocw</t>
  </si>
  <si>
    <t xml:space="preserve">UCZyMvGctcnreaU5jPVaYPvg</t>
  </si>
  <si>
    <t xml:space="preserve">UCzZiFG_Z5ZaiwknfQXE9I_w</t>
  </si>
  <si>
    <t xml:space="preserve">UCe1Z7zp-tScd0a5YJr0Au9A</t>
  </si>
  <si>
    <t xml:space="preserve">UCb9rVuhPfNDfgHuWVWeNG2g</t>
  </si>
  <si>
    <t xml:space="preserve">UCHs4sOlVcTDFFPBP0F3VxQQ</t>
  </si>
  <si>
    <t xml:space="preserve">UCKD80chR74a7NZrQQpIRHKQ</t>
  </si>
  <si>
    <t xml:space="preserve">UCH4ualuNWAGJ-qRUZfYE7Zg</t>
  </si>
  <si>
    <t xml:space="preserve">UCsyGdf6B7zK33Ju0amPOUhA</t>
  </si>
  <si>
    <t xml:space="preserve">UC28wTmsp8t2DC0oHWJkOBqg</t>
  </si>
  <si>
    <t xml:space="preserve">UCAX-FN71KS2ENCqwyCKGBoA</t>
  </si>
  <si>
    <t xml:space="preserve">UCpD5Mqr1ySapcxU3xuz0RRg</t>
  </si>
  <si>
    <t xml:space="preserve">UCYv1s6H7gklod65rvZ8MqlQ</t>
  </si>
  <si>
    <t xml:space="preserve">UCaO19EP1T3m61v7lhXO0Cfg</t>
  </si>
  <si>
    <t xml:space="preserve">UCuzf6UhBn93qcf_fthR8AYA</t>
  </si>
  <si>
    <t xml:space="preserve">UCp3kQ5PRuaPrwhfbkS41W4w</t>
  </si>
  <si>
    <t xml:space="preserve">UCQvGBZkMsQRDm_uFnOFptsA</t>
  </si>
  <si>
    <t xml:space="preserve">UCrelZh0dgdEMgBLz0Y4DtRA</t>
  </si>
  <si>
    <t xml:space="preserve">UC1UxdECF_PH4I0j5khCxkJA</t>
  </si>
  <si>
    <t xml:space="preserve">UC_WLIZ4aZKKjDDG9PlcIrrg</t>
  </si>
  <si>
    <t xml:space="preserve">UCT5lhnIOkq6GhoilSAo-XZA</t>
  </si>
  <si>
    <t xml:space="preserve">UCPSfNH-pU60iGdEW3KCZCxg</t>
  </si>
  <si>
    <t xml:space="preserve">UCH7nXSievFlbRKzKzEySbkw</t>
  </si>
  <si>
    <t xml:space="preserve">UC1kEG25q-JE69jVw5ITXCrA</t>
  </si>
  <si>
    <t xml:space="preserve">UCGbdpXT0waDfg330LsyzDEg</t>
  </si>
  <si>
    <t xml:space="preserve">UCQ4fzJC9kXSDRyIcEWGyy_w</t>
  </si>
  <si>
    <t xml:space="preserve">UCynwWIeqIV2U0S8rQSISnjQ</t>
  </si>
  <si>
    <t xml:space="preserve">UC3Uu0UTUCdmKsXCbyVsme2w</t>
  </si>
  <si>
    <t xml:space="preserve">UC0z7z3obmsEFs8RtEJQvqCw</t>
  </si>
  <si>
    <t xml:space="preserve">UCIRiegTlNb8efCKaQwZ7eag</t>
  </si>
  <si>
    <t xml:space="preserve">UCZpHsujxA_qZsv7Y1gzYOyg</t>
  </si>
  <si>
    <t xml:space="preserve">UCLoZwwHIX3eYyL8CiAgh71Q</t>
  </si>
  <si>
    <t xml:space="preserve">UCuvu7UxqWcZ5OiP_Cs1LXYg</t>
  </si>
  <si>
    <t xml:space="preserve">UCCNQ77MXvhqrg4Xmlgn3q_A</t>
  </si>
  <si>
    <t xml:space="preserve">UCuZBk65U4vw2ypTwyueOEJg</t>
  </si>
  <si>
    <t xml:space="preserve">UCYq67N0oJticIVD36iaXXgQ</t>
  </si>
  <si>
    <t xml:space="preserve">UCHlv3wd98vwjY2IemIFIqnA</t>
  </si>
  <si>
    <t xml:space="preserve">UC5pR9Ddimm3vx4TNT8C7XYw</t>
  </si>
  <si>
    <t xml:space="preserve">UCAiZZXXEG6FQHTRuG5ytjQg</t>
  </si>
  <si>
    <t xml:space="preserve">UCvxxvwhlUoevG6Ix3HVoCgQ</t>
  </si>
  <si>
    <t xml:space="preserve">UC0KNSKm8EIgJC3Es_hiiacg</t>
  </si>
  <si>
    <t xml:space="preserve">UCgrO5dfUlvJJeYwgtFbzN0g</t>
  </si>
  <si>
    <t xml:space="preserve">UCgvzleUr1gP9JdwbSdgSQWg</t>
  </si>
  <si>
    <t xml:space="preserve">UCL7Nu8D1sk3Os5_f0babhcw</t>
  </si>
  <si>
    <t xml:space="preserve">UCFKcL-HAgmAQu48vkFrLmjg</t>
  </si>
  <si>
    <t xml:space="preserve">UCr5U-4xvd42vKeKGKbfLvVg</t>
  </si>
  <si>
    <t xml:space="preserve">UCOWdhdvdzuZbocyrCmxVSjA</t>
  </si>
  <si>
    <t xml:space="preserve">UC8mXId8maqIBmWnhKEgFy8A</t>
  </si>
  <si>
    <t xml:space="preserve">UCJ07HQAwggSlD-5CyH3uDOg</t>
  </si>
  <si>
    <t xml:space="preserve">UCxfLgAyLr-LgNl15MOydOig</t>
  </si>
  <si>
    <t xml:space="preserve">UCCzZBzLZr3sV4BdUf6CQ0JA</t>
  </si>
  <si>
    <t xml:space="preserve">UCn9ZOsKV-JxmKujSrxadc7g</t>
  </si>
  <si>
    <t xml:space="preserve">UCsVgyqNJtKEJlFTNMJP6wjg</t>
  </si>
  <si>
    <t xml:space="preserve">UCd4B6bFqze3kHEiC6b7yPmA</t>
  </si>
  <si>
    <t xml:space="preserve">UCU7k1XrP24uQlcDPdRP2abw</t>
  </si>
  <si>
    <t xml:space="preserve">UCofLyWKImmSHboaerI4AwfA</t>
  </si>
  <si>
    <t xml:space="preserve">UCKuVgjeO_a8qSwhVnpKhNZw</t>
  </si>
  <si>
    <t xml:space="preserve">UCj12YYSGd0UQ8JCd5qgP5XQ</t>
  </si>
  <si>
    <t xml:space="preserve">UC6fuLPlqTGXOFfOKseoVrow</t>
  </si>
  <si>
    <t xml:space="preserve">UC_nc5PYKkbMUg8eN2X4JXTA</t>
  </si>
  <si>
    <t xml:space="preserve">UCFdgwb-pr2KRZxIGuDCmL6A</t>
  </si>
  <si>
    <t xml:space="preserve">UCLO2HOiLW2uK3h4Of70bPRw</t>
  </si>
  <si>
    <t xml:space="preserve">UCIBU8-ywFVNb5-WXnL8r0hw</t>
  </si>
  <si>
    <t xml:space="preserve">UCdi4Th4-jbpAuxMwdbZDRbQ</t>
  </si>
  <si>
    <t xml:space="preserve">UCKSAreF27xPS1SCsKhen75A</t>
  </si>
  <si>
    <t xml:space="preserve">UCiPACp5xRoPyL4fXedTiT3A</t>
  </si>
  <si>
    <t xml:space="preserve">UC0gXOfKcj1xoiE_qg-BxaYw</t>
  </si>
  <si>
    <t xml:space="preserve">UCASvkd82H29rXxKhF2YPV6Q</t>
  </si>
  <si>
    <t xml:space="preserve">UCMEqhLYE1rnLMZGjO8ng8Lw</t>
  </si>
  <si>
    <t xml:space="preserve">UCPNuV99h2pi1634kHb6h8sw</t>
  </si>
  <si>
    <t xml:space="preserve">UCYFnBsDPU_lMGlmOY8dLcjQ</t>
  </si>
  <si>
    <t xml:space="preserve">UCPZO-UzgWeKS-ERRIIcTrdQ</t>
  </si>
  <si>
    <t xml:space="preserve">UC1RBej3dtZOJrnsCWzgz1DQ</t>
  </si>
  <si>
    <t xml:space="preserve">UCUAarmOqu_NimCYVvJZPLfg</t>
  </si>
  <si>
    <t xml:space="preserve">UCZwDE1cWz23fkTnEuaYMkNQ</t>
  </si>
  <si>
    <t xml:space="preserve">UCON7ruHzb7hwAk84LnOvKjA</t>
  </si>
  <si>
    <t xml:space="preserve">UC18XaAAcDbxWlgfPmAXDrpw</t>
  </si>
  <si>
    <t xml:space="preserve">UC0iCgoYvFGcLQuP7phPWPIQ</t>
  </si>
  <si>
    <t xml:space="preserve">UC4CAmIDWVXblO8kurX9RSng</t>
  </si>
  <si>
    <t xml:space="preserve">UCP-nc74OQhb2QLOI0jCX4eQ</t>
  </si>
  <si>
    <t xml:space="preserve">UCWtkhb1R3SAyfmUHOCAQ5BA</t>
  </si>
  <si>
    <t xml:space="preserve">UCP_MAR-m1iBDShrQkjSL6kA</t>
  </si>
  <si>
    <t xml:space="preserve">UC0hRWIhoK7S5qm9wyX7cv9A</t>
  </si>
  <si>
    <t xml:space="preserve">UC9RPlhB_vNQMSJJSQhSDe3Q</t>
  </si>
  <si>
    <t xml:space="preserve">UCoiAWU_ANQajmaP9lpo7FyQ</t>
  </si>
  <si>
    <t xml:space="preserve">UCDEiPebR63LvKb78gj4cNWA</t>
  </si>
  <si>
    <t xml:space="preserve">UCy55Eb9sSvoQv7xsf8qzqMg</t>
  </si>
  <si>
    <t xml:space="preserve">UCJ7ve3cKLZtc8DSB4Kq8EiQ</t>
  </si>
  <si>
    <t xml:space="preserve">UCPav_SA2JzAyeB9LZatr7og</t>
  </si>
  <si>
    <t xml:space="preserve">UCMZ7kyMqoONJteGCGKcwxlA</t>
  </si>
  <si>
    <t xml:space="preserve">UCy8QRG6YcK4ZK93mEk0C3cg</t>
  </si>
  <si>
    <t xml:space="preserve">UCH7kCq3_vAqiNkjhS6Ynv9A</t>
  </si>
  <si>
    <t xml:space="preserve">UCSGglJWd8q_tcMScor66Tkg</t>
  </si>
  <si>
    <t xml:space="preserve">UCcTII5pbZYkU4fgFtb4uesg</t>
  </si>
  <si>
    <t xml:space="preserve">UC4xQEqFlEr4rdKIBSXAGvfQ</t>
  </si>
  <si>
    <t xml:space="preserve">UCdf_rjCB1wleiA7mS-nVW6g</t>
  </si>
  <si>
    <t xml:space="preserve">UCFG5323J1YHw7hkKmyEeYrQ</t>
  </si>
  <si>
    <t xml:space="preserve">UC6XwtueHJhFDg2VePmO7Chw</t>
  </si>
  <si>
    <t xml:space="preserve">UC0znJ1WHj8tt4s0uvQvNKgg</t>
  </si>
  <si>
    <t xml:space="preserve">UCJLrmICtWo1WVB3VoD7owaQ</t>
  </si>
  <si>
    <t xml:space="preserve">UCz5AnMXCpBELGQMFGOmVqgQ</t>
  </si>
  <si>
    <t xml:space="preserve">UCuaP2VzDe4DB4MeLeYbpwxA</t>
  </si>
  <si>
    <t xml:space="preserve">UCjCya6QyacYPXtvCiMPeHZQ</t>
  </si>
  <si>
    <t xml:space="preserve">UCzsXBv2J7vz4HRHOGDcnlTw</t>
  </si>
  <si>
    <t xml:space="preserve">UCq90YqbrIl38sLysnmIMnrQ</t>
  </si>
  <si>
    <t xml:space="preserve">UCQ3r9xbgmQ2H5zfYHGPu9Qg</t>
  </si>
  <si>
    <t xml:space="preserve">UCqHu8KPahIqfz-IuVxjrisw</t>
  </si>
  <si>
    <t xml:space="preserve">UCevaMPXN3n3aHZqbBl4sdVA</t>
  </si>
  <si>
    <t xml:space="preserve">UCAJkBf7_dGkAMZgIq9kV-Og</t>
  </si>
  <si>
    <t xml:space="preserve">UCU-prSVv0FM9srENTImfnig</t>
  </si>
  <si>
    <t xml:space="preserve">UCS1Z22ppKcpV9sRCSAKOxTQ</t>
  </si>
  <si>
    <t xml:space="preserve">UCuHFPZWYX7u5Xwoj4x8_NOw</t>
  </si>
  <si>
    <t xml:space="preserve">UCo-gf-bX27_zUD6utawQ2tA</t>
  </si>
  <si>
    <t xml:space="preserve">UCHpjWjqOaSCVHKfjqoUoqqw</t>
  </si>
  <si>
    <t xml:space="preserve">UCJicYbAv2XVEA6Gm5oqyLHg</t>
  </si>
  <si>
    <t xml:space="preserve">UCJDeNzApS0v4oob0mQhJ_QQ</t>
  </si>
  <si>
    <t xml:space="preserve">UCFWc59cclCQbln4jCY-L-MA</t>
  </si>
  <si>
    <t xml:space="preserve">UCZDXGoo2MxjJRAKusbbDzvA</t>
  </si>
  <si>
    <t xml:space="preserve">UCg9AGaxlH4LykK4JQqoHHdQ</t>
  </si>
  <si>
    <t xml:space="preserve">UCqp0No5YstxpjwFQmf_VnCQ</t>
  </si>
  <si>
    <t xml:space="preserve">UChjZGtMo6NTQrVZwjPaPO1Q</t>
  </si>
  <si>
    <t xml:space="preserve">UC9M-Duij19OLAq9QYSH_qVQ</t>
  </si>
  <si>
    <t xml:space="preserve">UCyvTq-wZONHYc3ZOTD9NxNA</t>
  </si>
  <si>
    <t xml:space="preserve">UCFIHHfDF3fxlXh4Ue4Xq7MQ</t>
  </si>
  <si>
    <t xml:space="preserve">UC5MGFQ-Okh5Rk23Dzf70clw</t>
  </si>
  <si>
    <t xml:space="preserve">UC7QqFMkfbF7dBRkJYGKbUJQ</t>
  </si>
  <si>
    <t xml:space="preserve">UCl4QXhHRepoKx9KQ3a_olmA</t>
  </si>
  <si>
    <t xml:space="preserve">UCtCr23OJQYG1oNoJuBOuvoQ</t>
  </si>
  <si>
    <t xml:space="preserve">UCU2FDfBEnO--A6Dx-L-pefw</t>
  </si>
  <si>
    <t xml:space="preserve">UCVbOzg4tW_Aym0WMTmq2Uuw</t>
  </si>
  <si>
    <t xml:space="preserve">UC6pMKCAyafRjC9CpHClQ3zw</t>
  </si>
  <si>
    <t xml:space="preserve">UCvE2Mrct7l1OfgSk6eAl3BQ</t>
  </si>
  <si>
    <t xml:space="preserve">UCGV-AgCmIvuufu3_LorPP-Q</t>
  </si>
  <si>
    <t xml:space="preserve">UCmn2MEf2snnnO3ayqXsIUkw</t>
  </si>
  <si>
    <t xml:space="preserve">UCYul7fqF4_X8kWNTyDzOE6Q</t>
  </si>
  <si>
    <t xml:space="preserve">UCgLE734cXt84Ut3gb1o9yDg</t>
  </si>
  <si>
    <t xml:space="preserve">UClGvFh8_gBn5qfrt-rGU0eg</t>
  </si>
  <si>
    <t xml:space="preserve">UCg4BjMjF7jlbksSme_ISdGg</t>
  </si>
  <si>
    <t xml:space="preserve">UCBgtw9o52tCEtqCN5PEvC4A</t>
  </si>
  <si>
    <t xml:space="preserve">UC06pjGDwJg-CS1f4n_ebZ8w</t>
  </si>
  <si>
    <t xml:space="preserve">UCxe5Nq5v4jFYhwkDQDIFo2w</t>
  </si>
  <si>
    <t xml:space="preserve">UCi5j7JBGACI8m-0iRzOwZZQ</t>
  </si>
  <si>
    <t xml:space="preserve">UCzGFvYp1fHdZGOBS-dyqTYQ</t>
  </si>
  <si>
    <t xml:space="preserve">UCevlfy8fq9tYTx9T77LuLng</t>
  </si>
  <si>
    <t xml:space="preserve">UCv-iyxr1zXiqqfKf0ROT-bg</t>
  </si>
  <si>
    <t xml:space="preserve">UCK10ThBZnabhP3TQXc6XyIw</t>
  </si>
  <si>
    <t xml:space="preserve">UCEPLXwJZgtGdXOuBN2a3PPw</t>
  </si>
  <si>
    <t xml:space="preserve">UCLqy3Uc4GsO0QqSQQNCHXyA</t>
  </si>
  <si>
    <t xml:space="preserve">UCUakoAxTEz02Rt5fk9wk9FQ</t>
  </si>
  <si>
    <t xml:space="preserve">UCCI0F4i_N8TJhPN2F4G7LjQ</t>
  </si>
  <si>
    <t xml:space="preserve">UCVC32Fpmw7ES04br2FmTVQg</t>
  </si>
  <si>
    <t xml:space="preserve">UCK-y2OU_T31SdqoG4KbWN-A</t>
  </si>
  <si>
    <t xml:space="preserve">UCRQmgoeGbtJK9GZZqLdLUIA</t>
  </si>
  <si>
    <t xml:space="preserve">UC7bUjNTtLIZU1mBbD5N0Kdg</t>
  </si>
  <si>
    <t xml:space="preserve">UCoLGtRN59d7cJwi4G4w4HSw</t>
  </si>
  <si>
    <t xml:space="preserve">UCrmsp2voP5agAXWHvEPvxsg</t>
  </si>
  <si>
    <t xml:space="preserve">UC-xZoIgrorc_RFsuaoWsP1w</t>
  </si>
  <si>
    <t xml:space="preserve">UCJDWWcuhA1sFDapeHBctbSA</t>
  </si>
  <si>
    <t xml:space="preserve">UC2mMkJmeEd-s8G2DSmRZyag</t>
  </si>
  <si>
    <t xml:space="preserve">UCeumGTY1v0mZjcQDRixH40A</t>
  </si>
  <si>
    <t xml:space="preserve">UCmkgwwC1mkVwRrDhWxGvRJg</t>
  </si>
  <si>
    <t xml:space="preserve">UCukj2de3g3kGf-0FhQ6NjDg</t>
  </si>
  <si>
    <t xml:space="preserve">UCJ2NzoMLBvGppHF24_uKiEQ</t>
  </si>
  <si>
    <t xml:space="preserve">UCWNfq5icDtUC15ABhIuPrrw</t>
  </si>
  <si>
    <t xml:space="preserve">UCtUS_t2OeibX-oaucag8dXA</t>
  </si>
  <si>
    <t xml:space="preserve">UCCrzzlwjhxuQOF_h9YlZkvg</t>
  </si>
  <si>
    <t xml:space="preserve">UCPl6PGfpqRUOdsDB3-uhcgA</t>
  </si>
  <si>
    <t xml:space="preserve">UC9Qz_nFge87nTXgBZQBQKKQ</t>
  </si>
  <si>
    <t xml:space="preserve">UCO_mqJLhrFKmK9cG9N0QLYQ</t>
  </si>
  <si>
    <t xml:space="preserve">UCiYhx9AKC_vZkLWV3u-1HFg</t>
  </si>
  <si>
    <t xml:space="preserve">UCNTyBcS7qegCP2y5rX6xejg</t>
  </si>
  <si>
    <t xml:space="preserve">UCPvRRYoRhcgActXTPpwn5MA</t>
  </si>
  <si>
    <t xml:space="preserve">UCWUDiLzQZr4VDHNyMsVYn-g</t>
  </si>
  <si>
    <t xml:space="preserve">UCnxrXCK9A2BAU-uAmw5Edsw</t>
  </si>
  <si>
    <t xml:space="preserve">UCVJg99p0n_fZFrDEzQnFLrQ</t>
  </si>
  <si>
    <t xml:space="preserve">UCPVtQqx3lnwwU4PTj73Ovjw</t>
  </si>
  <si>
    <t xml:space="preserve">UCVVrkup00vVhVqKZ_T_aV2Q</t>
  </si>
  <si>
    <t xml:space="preserve">UCs93qsSQKNd6C55TYCMXD1Q</t>
  </si>
  <si>
    <t xml:space="preserve">UCqVcIgbY4aElp2FQb3NqUoQ</t>
  </si>
  <si>
    <t xml:space="preserve">UCQB6Kpbn0oD8I_NOkwrCZwQ</t>
  </si>
  <si>
    <t xml:space="preserve">UCdFQqCE001KrYONkiJQIapg</t>
  </si>
  <si>
    <t xml:space="preserve">UCER7j540vQitkDc-KVILibA</t>
  </si>
  <si>
    <t xml:space="preserve">UCUuaG4CYkWwpAHvcp4K6g6Q</t>
  </si>
  <si>
    <t xml:space="preserve">UCQbtnep92kRWQdl62D01A8w</t>
  </si>
  <si>
    <t xml:space="preserve">UCbXsn4nfz90dFMOdWsFblrw</t>
  </si>
  <si>
    <t xml:space="preserve">UCVVRDJbTe6q6FJRR4m3h3_A</t>
  </si>
  <si>
    <t xml:space="preserve">UC4B4GVw19XBxE8jHUVhBbgw</t>
  </si>
  <si>
    <t xml:space="preserve">UCwbQWWnnsci_-bdd-mQVjsQ</t>
  </si>
  <si>
    <t xml:space="preserve">UCTn0UsklYqRWTDyxk2Op1fQ</t>
  </si>
  <si>
    <t xml:space="preserve">UCARCQYADNa9sp7HQSm39K4w</t>
  </si>
  <si>
    <t xml:space="preserve">UCYaWUzjQG2YiUbf7l2IP2Xw</t>
  </si>
  <si>
    <t xml:space="preserve">UCSJjHyEgaTB5NKeGI4mIA8Q</t>
  </si>
  <si>
    <t xml:space="preserve">UCjbbO-4P3ffU8Yb42cD7INA</t>
  </si>
  <si>
    <t xml:space="preserve">UCXhbCCZAG4GlaBLm80ZL-iA</t>
  </si>
  <si>
    <t xml:space="preserve">UCpg3BmwRY7tZb793x0358ig</t>
  </si>
  <si>
    <t xml:space="preserve">UCeIwRr40cvrwyNtTYmeW5sA</t>
  </si>
  <si>
    <t xml:space="preserve">UCW876vRmv-zz4ZaVjhY_z0g</t>
  </si>
  <si>
    <t xml:space="preserve">UCblWiTfdFDHqk_h-lQfNJNQ</t>
  </si>
  <si>
    <t xml:space="preserve">UCZXq61aIBsE5pKeL23P9uGA</t>
  </si>
  <si>
    <t xml:space="preserve">UCFNKAkkj9Yf9iiz8Tljp90g</t>
  </si>
  <si>
    <t xml:space="preserve">UChxK_CwwMx47mxsi-QEhKEQ</t>
  </si>
  <si>
    <t xml:space="preserve">UCaKerkQsXVAiwZtTn_26YGQ</t>
  </si>
  <si>
    <t xml:space="preserve">UCHXE04ah5yYXXK8Uo_6Xj2Q</t>
  </si>
  <si>
    <t xml:space="preserve">UClDiJFy8dqoAmOjkH9Um2Hw</t>
  </si>
  <si>
    <t xml:space="preserve">UCrsegeAX43QzoFYEqvD_PeA</t>
  </si>
  <si>
    <t xml:space="preserve">UCOP6cjJZURDm35be6AQO8xw</t>
  </si>
  <si>
    <t xml:space="preserve">UC0e1jiP_BJ6azCjSEidVupA</t>
  </si>
  <si>
    <t xml:space="preserve">UC2iO7dZW_TrxZDie9JU91qQ</t>
  </si>
  <si>
    <t xml:space="preserve">UCt4otV53CPB_6l3Rx5TSRPg</t>
  </si>
  <si>
    <t xml:space="preserve">UC1kgBbuT5nzFvXJ3MxFA_Yg</t>
  </si>
  <si>
    <t xml:space="preserve">UCBWCNd0TmH3vPPMWt768v5A</t>
  </si>
  <si>
    <t xml:space="preserve">UCc5wA9g90rnml5HbGHKt3WA</t>
  </si>
  <si>
    <t xml:space="preserve">UCXUOqZI4yaRueCJNo9xwdpg</t>
  </si>
  <si>
    <t xml:space="preserve">UCDb1BpAxouP8Kc8oNjwbB-w</t>
  </si>
  <si>
    <t xml:space="preserve">UCXyoXlYa_QkdE4yG59N0Wog</t>
  </si>
  <si>
    <t xml:space="preserve">UCKfxJfs1ZgGnp2VTiF45wRg</t>
  </si>
  <si>
    <t xml:space="preserve">UCx5Zz3rqcuIAJXQJCM6iGRQ</t>
  </si>
  <si>
    <t xml:space="preserve">UCCa6U2EW09-bQVcrgdUNd4Q</t>
  </si>
  <si>
    <t xml:space="preserve">UCK9JpgVuzkuu93JrJmfZOgA</t>
  </si>
  <si>
    <t xml:space="preserve">UCvChOVaV4GGxyeXKkZFgRVw</t>
  </si>
  <si>
    <t xml:space="preserve">UCSoKJElPvpeKfOycio3VaMA</t>
  </si>
  <si>
    <t xml:space="preserve">UCBVqtNs_GFQiiwtwDtklqdg</t>
  </si>
  <si>
    <t xml:space="preserve">UCRhkqXUVSym5k9QU_MuB5ZA</t>
  </si>
  <si>
    <t xml:space="preserve">UCzMisd9MGyxpjOR0Tf3vn_A</t>
  </si>
  <si>
    <t xml:space="preserve">UCmqZP0h6j54i4a_Q_4HZ6Ug</t>
  </si>
  <si>
    <t xml:space="preserve">UCcr93i1-6gGWnxZmDtEfl6Q</t>
  </si>
  <si>
    <t xml:space="preserve">UCsVPbkoI3K8kv216r3ZkzTg</t>
  </si>
  <si>
    <t xml:space="preserve">UCulxstSxSpZEPcSiNapF-iQ</t>
  </si>
  <si>
    <t xml:space="preserve">UCAtpF2RB8AuVizM2An4beAw</t>
  </si>
  <si>
    <t xml:space="preserve">UCeC3zNU7USbE4GHF0gJJlGQ</t>
  </si>
  <si>
    <t xml:space="preserve">UCdsTWzhTaAjkNd04LkZPhIQ</t>
  </si>
  <si>
    <t xml:space="preserve">UCEPNeKhUwgMV_GyWQIn7E0A</t>
  </si>
  <si>
    <t xml:space="preserve">UCsASogTybRzvm6mEDTt9XLA</t>
  </si>
  <si>
    <t xml:space="preserve">UCUyobj6SVTCj_whyBaRCaaQ</t>
  </si>
  <si>
    <t xml:space="preserve">UCDEsY3tKlXDleEJ8tTRhxzg</t>
  </si>
  <si>
    <t xml:space="preserve">UCh_HZKnkDaF-qJ68DjpxuNA</t>
  </si>
  <si>
    <t xml:space="preserve">UCrG2Z0usOCCdUTAr4D1A8mw</t>
  </si>
  <si>
    <t xml:space="preserve">UCqIOOwkxICVBcrfW-iZI7Yw</t>
  </si>
  <si>
    <t xml:space="preserve">UC07PV2n3lBSXaQE7t_hpZ1g</t>
  </si>
  <si>
    <t xml:space="preserve">UC3h5_QjA3kyXh77JB57a_EQ</t>
  </si>
  <si>
    <t xml:space="preserve">UCr2ROHE68uwTcI9QqibAhlg</t>
  </si>
  <si>
    <t xml:space="preserve">UC16CPLrAcpctTzgtd6zybdg</t>
  </si>
  <si>
    <t xml:space="preserve">UCQ9xZBXdzb_e46DPaJiZJkA</t>
  </si>
  <si>
    <t xml:space="preserve">UCoWEOzNVIRFl952hSoPxoPQ</t>
  </si>
  <si>
    <t xml:space="preserve">UCDDa1csS2eSHJcr6o9HqGXA</t>
  </si>
  <si>
    <t xml:space="preserve">UCGOzUtWEq9ANGvw8weQwl0g</t>
  </si>
  <si>
    <t xml:space="preserve">UCp1IKaxGFEy-TZ0mrW-oqXA</t>
  </si>
  <si>
    <t xml:space="preserve">UCjURG00hSKViyKC7QWZYAVA</t>
  </si>
  <si>
    <t xml:space="preserve">UCsN174eDjrNll0zJc7kHjUA</t>
  </si>
  <si>
    <t xml:space="preserve">UCdY2UHrbFurbFJ-rGjRvGVg</t>
  </si>
  <si>
    <t xml:space="preserve">UCIeVoFr7Symb-dABDjNwP9A</t>
  </si>
  <si>
    <t xml:space="preserve">UCets2nMeUNlLxiKIIAOgycw</t>
  </si>
  <si>
    <t xml:space="preserve">UCA0TGgcv60m8EKtyYt79r9g</t>
  </si>
  <si>
    <t xml:space="preserve">UC_PELB_CTdncbRPgtmbbYZA</t>
  </si>
  <si>
    <t xml:space="preserve">UCpeWhRw2m6YLAVsXDiQokDg</t>
  </si>
  <si>
    <t xml:space="preserve">UCY2-_zKd_QBcZXfaaNu7Cdw</t>
  </si>
  <si>
    <t xml:space="preserve">UCOpP3QXFCYEG4-CEeVYWmzw</t>
  </si>
  <si>
    <t xml:space="preserve">UClPH8tL-fWX1rqTTegkTNZw</t>
  </si>
  <si>
    <t xml:space="preserve">UC2R0NCq6kpkayTWbZcx39DQ</t>
  </si>
  <si>
    <t xml:space="preserve">UCFGwI4hvLDPhqL59AQhVxag</t>
  </si>
  <si>
    <t xml:space="preserve">UCpJtGHJpwJyDS6qcmLNYGtg</t>
  </si>
  <si>
    <t xml:space="preserve">UCo9Ir9szOHsZwwunzrfnewg</t>
  </si>
  <si>
    <t xml:space="preserve">UCW4mtUZr2k0itdZ6zYPcODQ</t>
  </si>
  <si>
    <t xml:space="preserve">UCjNxcxkpbWw6_F0c3mcNdpg</t>
  </si>
  <si>
    <t xml:space="preserve">UCbvHBoiYJgE8Ojs4piFPeLw</t>
  </si>
  <si>
    <t xml:space="preserve">UCtsO3-B6MR_Lx-kvAD_QaAA</t>
  </si>
  <si>
    <t xml:space="preserve">UC__JX7j7HYXROO6jCAUmHIw</t>
  </si>
  <si>
    <t xml:space="preserve">UCR45AhnuvCzPjlqi1usYsCw</t>
  </si>
  <si>
    <t xml:space="preserve">UCZQlZW2OWTWPjcQUTtCD-Vg</t>
  </si>
  <si>
    <t xml:space="preserve">UCrMG-MUxA3Ku3U8UymxyBeQ</t>
  </si>
  <si>
    <t xml:space="preserve">UCcFEMMhCQ9eCR5BGiRtA43w</t>
  </si>
  <si>
    <t xml:space="preserve">UCvSE2vW71NVLqh5IwjhxLBA</t>
  </si>
  <si>
    <t xml:space="preserve">UCfFpcbX1d_xkCV7PmC5KdEQ</t>
  </si>
  <si>
    <t xml:space="preserve">UC8qfNa1Z4WD8kRXkXQuNCtQ</t>
  </si>
  <si>
    <t xml:space="preserve">UC5nr3wq52O7K86mTj5FqGPQ</t>
  </si>
  <si>
    <t xml:space="preserve">UCjrP-LOuPcr5Jr58hEGUgNQ</t>
  </si>
  <si>
    <t xml:space="preserve">UCdw_PocG9G8-y4f6wYkz8og</t>
  </si>
  <si>
    <t xml:space="preserve">UC63sV2jsA51MOc17xySVYfg</t>
  </si>
  <si>
    <t xml:space="preserve">UC4tpRMfc-lvDs9_O0xIC7vA</t>
  </si>
  <si>
    <t xml:space="preserve">UCdzbhf3KwxeQdqmN9sKUZ-A</t>
  </si>
  <si>
    <t xml:space="preserve">UCc74WsQOGR1TzUvFPYdcq8Q</t>
  </si>
  <si>
    <t xml:space="preserve">UCVgink4KPY3EgrO3AWz8vNw</t>
  </si>
  <si>
    <t xml:space="preserve">UC-KTn5xUClpzIA9ehXG215Q</t>
  </si>
  <si>
    <t xml:space="preserve">UC7HQ3mzdsyvLU0Y7a2t3N7A</t>
  </si>
  <si>
    <t xml:space="preserve">UCGbShG-2foBqX3ReYKoK3Ug</t>
  </si>
  <si>
    <t xml:space="preserve">UCPMH0rAihA2SpdlZoChF90g</t>
  </si>
  <si>
    <t xml:space="preserve">UCu9Y1fhJIM4SGN-URbF6VqA</t>
  </si>
  <si>
    <t xml:space="preserve">UC5TNYNqsc-ZjuEm8RXiW_4A</t>
  </si>
  <si>
    <t xml:space="preserve">UCuq3ocdTaFL7iUl4I4FZ_tg</t>
  </si>
  <si>
    <t xml:space="preserve">UCT9Lp53cw2l6PV25jCmPO1Q</t>
  </si>
  <si>
    <t xml:space="preserve">UCske9zlnBPZTwdpRFh2PuYw</t>
  </si>
  <si>
    <t xml:space="preserve">UC-exkKplYZ8GEJwjJF-O8vw</t>
  </si>
  <si>
    <t xml:space="preserve">UCyoPv7PNj38RWZkT2a4aMWA</t>
  </si>
  <si>
    <t xml:space="preserve">UCFk4DOMss770b0Zszm_aeLw</t>
  </si>
  <si>
    <t xml:space="preserve">UCn_eh89gPwM6hgIZMDaIcxg</t>
  </si>
  <si>
    <t xml:space="preserve">UCbpIFUuQg31erZtDf2V4lmw</t>
  </si>
  <si>
    <t xml:space="preserve">UCs55OZ6PkvIjwtyyqEFk8JQ</t>
  </si>
  <si>
    <t xml:space="preserve">UCp8TgMsq8WYbDJDkUwCTfwA</t>
  </si>
  <si>
    <t xml:space="preserve">UC76uxPhWXR8tK2JjhGUM0yQ</t>
  </si>
  <si>
    <t xml:space="preserve">UCVKySO8Qzqw7N7-UVuO390Q</t>
  </si>
  <si>
    <t xml:space="preserve">UC40f8_PO3IawJPM1-sV7gXw</t>
  </si>
  <si>
    <t xml:space="preserve">UC-Ej1MXX6os_x46qg9aYsRw</t>
  </si>
  <si>
    <t xml:space="preserve">UCBGcs9XTL5U34oaSn_AsHqw</t>
  </si>
  <si>
    <t xml:space="preserve">UCaZrHhOJT_aKeU3x81O0eJg</t>
  </si>
  <si>
    <t xml:space="preserve">UCiAg86hcVgqYDvVzYrNTmYA</t>
  </si>
  <si>
    <t xml:space="preserve">UCrrUOXO-sG-IlUWihEGCIIQ</t>
  </si>
  <si>
    <t xml:space="preserve">UCs26mhp-QYeLlH7pZIvp2_Q</t>
  </si>
  <si>
    <t xml:space="preserve">UCA17v3ENpnoN4MWo8sbmM6w</t>
  </si>
  <si>
    <t xml:space="preserve">UC10pJKb_EyvMAWVSISS0jJw</t>
  </si>
  <si>
    <t xml:space="preserve">UCqrZ6xzgDgHvDdIQPoI22lQ</t>
  </si>
  <si>
    <t xml:space="preserve">UCsi2yRodXP-xg6iPIcrp7fQ</t>
  </si>
  <si>
    <t xml:space="preserve">UCGnOCQ_Yazt_dquZ3G9C1uQ</t>
  </si>
  <si>
    <t xml:space="preserve">UCpJIVLWUHHZIqSuj064A3cw</t>
  </si>
  <si>
    <t xml:space="preserve">UCNV2ThRd_ubgPPuxtKjT_kQ</t>
  </si>
  <si>
    <t xml:space="preserve">UCqgCCRFp0qn4N-6KKCDr-3Q</t>
  </si>
  <si>
    <t xml:space="preserve">UCY-Rb2-JgAgiR_qzsMRq3qA</t>
  </si>
  <si>
    <t xml:space="preserve">UC8VkCgud96XpZYevLPcdnQA</t>
  </si>
  <si>
    <t xml:space="preserve">UCVi65AObMZGhjw7NmKBy10w</t>
  </si>
  <si>
    <t xml:space="preserve">UCYCpciukxcFrujB5LgiCTQw</t>
  </si>
  <si>
    <t xml:space="preserve">UCZyPHmGTELTJpmeU7cYd2TQ</t>
  </si>
  <si>
    <t xml:space="preserve">UClYCRVPn-5Fpfjpvj9XKaIg</t>
  </si>
  <si>
    <t xml:space="preserve">UCYItQV94Lp0fopkQ0otDIkQ</t>
  </si>
  <si>
    <t xml:space="preserve">UCzlI95b1cMo_vP_QYiecU7Q</t>
  </si>
  <si>
    <t xml:space="preserve">UCPDd5Nce089KBPtR0XvZgyg</t>
  </si>
  <si>
    <t xml:space="preserve">UCOebusYe-EQR--ZNfc83MXQ</t>
  </si>
  <si>
    <t xml:space="preserve">UCWE0eCRajvDnrwzstf_0Y6w</t>
  </si>
  <si>
    <t xml:space="preserve">UCGYBU5MrqIMgAyXU11YHPng</t>
  </si>
  <si>
    <t xml:space="preserve">UCEYNR81bAsCdAHJiuEkQWJg</t>
  </si>
  <si>
    <t xml:space="preserve">UCWh6zwwXHfDxNQRxIfHEiKA</t>
  </si>
  <si>
    <t xml:space="preserve">UCPNR5RcY4mxmrwK23PYyWag</t>
  </si>
  <si>
    <t xml:space="preserve">UCBqr7ntHrhUjO4EMtJ0IfEg</t>
  </si>
  <si>
    <t xml:space="preserve">UCsLyx5-80REcG0UlkT5J97A</t>
  </si>
  <si>
    <t xml:space="preserve">UClauXTOND6V3PthOMW74gTQ</t>
  </si>
  <si>
    <t xml:space="preserve">UCTWX5iIUDDpt8KXJfFGjkQQ</t>
  </si>
  <si>
    <t xml:space="preserve">UCYI_hm0oHEqHtDEGsQIXPWw</t>
  </si>
  <si>
    <t xml:space="preserve">UCRc3_GeTBJfmg7uPNNBUeqA</t>
  </si>
  <si>
    <t xml:space="preserve">UCkcjGxTW_mLZmmEfWP2UMtQ</t>
  </si>
  <si>
    <t xml:space="preserve">UCn01sNVk-Pwer_VE4BZHcOA</t>
  </si>
  <si>
    <t xml:space="preserve">UCBgFYcK7vYRfCbJzQCwkCQA</t>
  </si>
  <si>
    <t xml:space="preserve">UCCOwt-tbVTwmJEGx2914mmQ</t>
  </si>
  <si>
    <t xml:space="preserve">UC3ouB3ylliNZfcTl-9Y7FRg</t>
  </si>
  <si>
    <t xml:space="preserve">UCpc3kVClJRuNTRmx-V_2mWw</t>
  </si>
  <si>
    <t xml:space="preserve">UCikg4iY36yk1BRhAqZCLiVw</t>
  </si>
  <si>
    <t xml:space="preserve">UCqQH9k6YOkLKe1F-uMzQksQ</t>
  </si>
  <si>
    <t xml:space="preserve">UCT9UfjuivmgK6Us8xnncOCg</t>
  </si>
  <si>
    <t xml:space="preserve">UCsoobiPi-CdqVgUqeIW9GJg</t>
  </si>
  <si>
    <t xml:space="preserve">UCi8BBYhFLGfFPxsV5LsBsEg</t>
  </si>
  <si>
    <t xml:space="preserve">UCEwKMXfktjqfaT9JoPB6r-A</t>
  </si>
  <si>
    <t xml:space="preserve">UCWTZqEJHVpZdwqOkPZahsJQ</t>
  </si>
  <si>
    <t xml:space="preserve">UCYJLQMEv96Weo2hU856d5-g</t>
  </si>
  <si>
    <t xml:space="preserve">UC3B5E5WhaeXRl76qgcT376w</t>
  </si>
  <si>
    <t xml:space="preserve">UCnQ_CFIzfKp8rvLDqS7Mhcg</t>
  </si>
  <si>
    <t xml:space="preserve">UC319C3j1OleKwNqmFvGjHww</t>
  </si>
  <si>
    <t xml:space="preserve">UCq8zA0MWh_GiiO5MBxNPAtg</t>
  </si>
  <si>
    <t xml:space="preserve">UCp0cGtvB1jL6HEP4oq5OEAA</t>
  </si>
  <si>
    <t xml:space="preserve">UCMxk7pJAUCzKWVSMMh1Ehww</t>
  </si>
  <si>
    <t xml:space="preserve">UC6SWCKmOGEUp82OdTV9fQkw</t>
  </si>
  <si>
    <t xml:space="preserve">UC5T--LEpfk6pWhOWZpMK-9g</t>
  </si>
  <si>
    <t xml:space="preserve">UC97Iq8a5dqrgxD8b-D2Z25Q</t>
  </si>
  <si>
    <t xml:space="preserve">UCfep1KeL_oQ88VVjWJKAFww</t>
  </si>
  <si>
    <t xml:space="preserve">UCSYpl4zKqy7tQ3502pqSsKw</t>
  </si>
  <si>
    <t xml:space="preserve">UCtsqN8cNZrSp4KyNeK92tSw</t>
  </si>
  <si>
    <t xml:space="preserve">UCG8HkD_BXy6BL1mi19BIpHA</t>
  </si>
  <si>
    <t xml:space="preserve">UCmV-QvDtCF-zonCGzay6YRA</t>
  </si>
  <si>
    <t xml:space="preserve">UCtecyQO5Zq7fy9OTPqAl_Tg</t>
  </si>
  <si>
    <t xml:space="preserve">UCVYNbGNwAjdJDCQ4bdJT-vA</t>
  </si>
  <si>
    <t xml:space="preserve">UCtYmjpDAMIFxrJIyfmhURBw</t>
  </si>
  <si>
    <t xml:space="preserve">UCfRELHZAIKGhC2pk-yRzh8g</t>
  </si>
  <si>
    <t xml:space="preserve">UC-_r3ybLeGdNfca0UriJ6XA</t>
  </si>
  <si>
    <t xml:space="preserve">UCwkjzH5MWxeb92S_vMbV0AQ</t>
  </si>
  <si>
    <t xml:space="preserve">UCA8o2QQJa3Gvo13-S7vhyew</t>
  </si>
  <si>
    <t xml:space="preserve">UCnBxbeM7ui8c7j88SNHjjiA</t>
  </si>
  <si>
    <t xml:space="preserve">UCuqR_SVvDRydh_2AJ4WJK7w</t>
  </si>
  <si>
    <t xml:space="preserve">UCHezSdoLEwr2JL4SAxcdfIQ</t>
  </si>
  <si>
    <t xml:space="preserve">UC2c2kZ193ICi1IsjVV0_h_A</t>
  </si>
  <si>
    <t xml:space="preserve">UCjqGrJ3ZqFeF83DYQMTtf-A</t>
  </si>
  <si>
    <t xml:space="preserve">UC2RWQHI9g-h0wK9FuC2u5tQ</t>
  </si>
  <si>
    <t xml:space="preserve">UC2cO7_ZOxVfswjgqL-7N0hQ</t>
  </si>
  <si>
    <t xml:space="preserve">UCrgly73dEyg8991HERnUVKA</t>
  </si>
  <si>
    <t xml:space="preserve">UCdhxilAOoCT2RnY4V0NdeOg</t>
  </si>
  <si>
    <t xml:space="preserve">UCWWEvCschv0T0rtou4VaKGw</t>
  </si>
  <si>
    <t xml:space="preserve">UCKDCsekaxzCpRa3FxRcD-yQ</t>
  </si>
  <si>
    <t xml:space="preserve">UCDkyGyEl4M8kjA1AusHfEtg</t>
  </si>
  <si>
    <t xml:space="preserve">UCf8W9sxIPEEpkGgErwKEz6A</t>
  </si>
  <si>
    <t xml:space="preserve">UCzAjKbXXWnsJ58bTrUvUBAA</t>
  </si>
  <si>
    <t xml:space="preserve">UCIUwx-q4PhPc_mqO-L-2jJw</t>
  </si>
  <si>
    <t xml:space="preserve">UCiTRiUdYEaglRoQY2pwPY2Q</t>
  </si>
  <si>
    <t xml:space="preserve">UCHrF2dqJ_NH_yxO1QrM7_Qg</t>
  </si>
  <si>
    <t xml:space="preserve">UCMVFiQmtYnI8wOkHjQ1I5Hw</t>
  </si>
  <si>
    <t xml:space="preserve">UCGxYv9itgPT5wWAbj2Wei8A</t>
  </si>
  <si>
    <t xml:space="preserve">UC0nSofOA8kACzAPtjNKJLIg</t>
  </si>
  <si>
    <t xml:space="preserve">UCSKeACtwKGA3v3d0OEErQfA</t>
  </si>
  <si>
    <t xml:space="preserve">UC4j4eAtG9DWomFFaJKBdLRA</t>
  </si>
  <si>
    <t xml:space="preserve">UCSoYnAlOM-FCUlZn43RgBOg</t>
  </si>
  <si>
    <t xml:space="preserve">UCAUacf01-rS5YITgPnFnufg</t>
  </si>
  <si>
    <t xml:space="preserve">UCBQzyykz41kVybE4Y36UJdw</t>
  </si>
  <si>
    <t xml:space="preserve">UCnyBNdh52ppsLZJMXFOVdWQ</t>
  </si>
  <si>
    <t xml:space="preserve">UCNGtN6zI1jlAQ-Iiuqp22Tw</t>
  </si>
  <si>
    <t xml:space="preserve">UCpJQhoUSYeHZGWH_RjxL8sQ</t>
  </si>
  <si>
    <t xml:space="preserve">UCbEaRpx7i4Zuu7oKFdeHEkQ</t>
  </si>
  <si>
    <t xml:space="preserve">UCvkHU_mJ4y5nOpGF5SKKjOA</t>
  </si>
  <si>
    <t xml:space="preserve">UCypauEGxFDpDwTVlSeBkwjw</t>
  </si>
  <si>
    <t xml:space="preserve">UC5qBQ02GZu7-ihXFeb4BQtw</t>
  </si>
  <si>
    <t xml:space="preserve">UCsV4WaKfG2ldTtz-nLjzeqA</t>
  </si>
  <si>
    <t xml:space="preserve">UCn3c7pMnXhoj5dRlpWlxCKw</t>
  </si>
  <si>
    <t xml:space="preserve">UC-frSd_nlU2wl-irZJXrH-Q</t>
  </si>
  <si>
    <t xml:space="preserve">UCkkYQSSpnFNtnSOVigHTS5w</t>
  </si>
  <si>
    <t xml:space="preserve">UCMxWtY5Wd_h8MohaM0gDWHQ</t>
  </si>
  <si>
    <t xml:space="preserve">UCDqoeeWJSingko0Vky3Upuw</t>
  </si>
  <si>
    <t xml:space="preserve">UCA7k2t3qd2NdNzjYrxYrQcg</t>
  </si>
  <si>
    <t xml:space="preserve">UCsbkwBU36y5tKeOpOkMY9oQ</t>
  </si>
  <si>
    <t xml:space="preserve">UCHClxSa5EmxS3qVk-t1zJoQ</t>
  </si>
  <si>
    <t xml:space="preserve">UCL1ChzPwGrmf0OwShJkTEQA</t>
  </si>
  <si>
    <t xml:space="preserve">UCKXZ9cnWTIvPTqnjgxbPJ2w</t>
  </si>
  <si>
    <t xml:space="preserve">UCKuY28Rjqe8WaHDXwRao2MA</t>
  </si>
  <si>
    <t xml:space="preserve">UCRznGuBQ7bu92ZgkNCrsvkA</t>
  </si>
  <si>
    <t xml:space="preserve">UCOOLKeeJsMZq2brGn6eJ0ow</t>
  </si>
  <si>
    <t xml:space="preserve">UCHVyE9Gfn-D8h7v5k0fbCmw</t>
  </si>
  <si>
    <t xml:space="preserve">UC06sTNEcdEN4_0papCbcChg</t>
  </si>
  <si>
    <t xml:space="preserve">UChs-CAvg_KktUtpVDMYfxGw</t>
  </si>
  <si>
    <t xml:space="preserve">UCxbkGJG2wrpVjJlOVblohzg</t>
  </si>
  <si>
    <t xml:space="preserve">UCB90rkvVhNL-pFqG0xGJtmA</t>
  </si>
  <si>
    <t xml:space="preserve">UCk08Q7faXUxOMORpNjkG8fw</t>
  </si>
  <si>
    <t xml:space="preserve">UCnxhETjJtTPs37hOZ7vQ88g</t>
  </si>
  <si>
    <t xml:space="preserve">UCSxjMb2OIobraWIljViiW8w</t>
  </si>
  <si>
    <t xml:space="preserve">UCqD4jxX5SWls_GFUgWPx5YA</t>
  </si>
  <si>
    <t xml:space="preserve">UCPhUF87GQZvAaMDWQ3YFv0Q</t>
  </si>
  <si>
    <t xml:space="preserve">UC0l1f1xQNLmwDRdlOouCcvA</t>
  </si>
  <si>
    <t xml:space="preserve">UC9N2r98brtcpKej2ctQBrCw</t>
  </si>
  <si>
    <t xml:space="preserve">UCp07D9zEvS8uVixNZx9MPLQ</t>
  </si>
  <si>
    <t xml:space="preserve">UCKC81SI5JTxRBuBWgf8BEfA</t>
  </si>
  <si>
    <t xml:space="preserve">UCSDTIQPXVZy6wjjjUUT3q0w</t>
  </si>
  <si>
    <t xml:space="preserve">UCHPExtSzt1OnN6HIgbyHYCA</t>
  </si>
  <si>
    <t xml:space="preserve">UCHNqYETr44g0xtmawvmuScQ</t>
  </si>
  <si>
    <t xml:space="preserve">UCdz4K8g0Gmo9RlOatc6kjQg</t>
  </si>
  <si>
    <t xml:space="preserve">UCTRRohLBdU4clVMSWduHz6Q</t>
  </si>
  <si>
    <t xml:space="preserve">UCrrStJLqfMdS9yUoC7qzaXQ</t>
  </si>
  <si>
    <t xml:space="preserve">UCmLe0C7rzzDYGJsJPIXT7dw</t>
  </si>
  <si>
    <t xml:space="preserve">UCSIWEBVhYtlTkPeasGIs03g</t>
  </si>
  <si>
    <t xml:space="preserve">UC6rDKWOSkyxuZT9i0j3JKIQ</t>
  </si>
  <si>
    <t xml:space="preserve">UCCBw4Zr7ASXnGqAZohUl0Kg</t>
  </si>
  <si>
    <t xml:space="preserve">UCOMGZC8XY7lgA4Q8HANOQng</t>
  </si>
  <si>
    <t xml:space="preserve">UCPkQEoKQ71haGvAubRzgC7Q</t>
  </si>
  <si>
    <t xml:space="preserve">UCdHqjtlp8HtKFtQXDe3BZ4w</t>
  </si>
  <si>
    <t xml:space="preserve">UC9CowaN91gLuFaFF92t9fWQ</t>
  </si>
  <si>
    <t xml:space="preserve">UCRYYEJPD9G-jLAg8rDASKXQ</t>
  </si>
  <si>
    <t xml:space="preserve">UCVf2ZV1JnIeMFkj62oC6QLw</t>
  </si>
  <si>
    <t xml:space="preserve">UCNW_gAZmvml9-FE2f2x-a2A</t>
  </si>
  <si>
    <t xml:space="preserve">UCUGt48KaZR8eWETObVrjLBw</t>
  </si>
  <si>
    <t xml:space="preserve">UCHPN581vSAvNc_HoXBJThHg</t>
  </si>
  <si>
    <t xml:space="preserve">UCA-QIzrqtKok2XK5d4BPDdA</t>
  </si>
  <si>
    <t xml:space="preserve">UCTM7jds-XZ64otCPw5pndDA</t>
  </si>
  <si>
    <t xml:space="preserve">UCXDpYn00phIuHIYGR_LHUFw</t>
  </si>
  <si>
    <t xml:space="preserve">UC0jPeMWvtGFfIXt8uJIg6aQ</t>
  </si>
  <si>
    <t xml:space="preserve">UCyIpvE439-sa_SMtqO8bHpw</t>
  </si>
  <si>
    <t xml:space="preserve">UCT-teXvffuQY8-XFqjHRnGQ</t>
  </si>
  <si>
    <t xml:space="preserve">UCVNPZiacmOWIiRMSvdvTpnQ</t>
  </si>
  <si>
    <t xml:space="preserve">UCPfJN0yahPMKgps2SY2-W1Q</t>
  </si>
  <si>
    <t xml:space="preserve">UCKFkTEYYlQa0Xm9mwPSegyA</t>
  </si>
  <si>
    <t xml:space="preserve">UC-eGvMVspiyS2zR0HAZXtEg</t>
  </si>
  <si>
    <t xml:space="preserve">UCmdqWGMx9sK6TjtHdaG193Q</t>
  </si>
  <si>
    <t xml:space="preserve">UC-2n_D5CjEO98iVRyrHBq0g</t>
  </si>
  <si>
    <t xml:space="preserve">UCWmEfq3ltVp47AvKvQaEmHw</t>
  </si>
  <si>
    <t xml:space="preserve">UCnL1Yz_kLLOnSL3iyfqimsw</t>
  </si>
  <si>
    <t xml:space="preserve">UCVEHStBVfixGO0vLwl2MC7g</t>
  </si>
  <si>
    <t xml:space="preserve">UCwpKIrDWXi7kL654rMBIwsg</t>
  </si>
  <si>
    <t xml:space="preserve">UCUMKgv5IOnUkSV7nMurOYpw</t>
  </si>
  <si>
    <t xml:space="preserve">UCpctdcJ9Avm06qrX_PJvkXA</t>
  </si>
  <si>
    <t xml:space="preserve">UCTgjAbE15aimiJJPl0XPl0A</t>
  </si>
  <si>
    <t xml:space="preserve">UCiwW7cK5YucPQYZTZOywnfw</t>
  </si>
  <si>
    <t xml:space="preserve">UCeAi_PwYzg-WvRwJUcSQSFA</t>
  </si>
  <si>
    <t xml:space="preserve">UC9xghV-TcBwGvK-aEMhpt5w</t>
  </si>
  <si>
    <t xml:space="preserve">UCe0SSKVNZbXbDYuVoicv3cw</t>
  </si>
  <si>
    <t xml:space="preserve">UCaMUD-fURTxMSijFiawgtcA</t>
  </si>
  <si>
    <t xml:space="preserve">UCaSATlzHU5EdIjt2cY3iUNQ</t>
  </si>
  <si>
    <t xml:space="preserve">UC0rQBg8Rn5bnhoBCGfq9zjg</t>
  </si>
  <si>
    <t xml:space="preserve">UC-1p-XvchOe9HG44-n49TtQ</t>
  </si>
  <si>
    <t xml:space="preserve">UC6QF4_nEFQxFTIlPl4T1TzA</t>
  </si>
  <si>
    <t xml:space="preserve">UCDfvYRqElX15Qmhhs9acpIA</t>
  </si>
  <si>
    <t xml:space="preserve">UC5OjXeSm4ZcdJSaEYW4r1vw</t>
  </si>
  <si>
    <t xml:space="preserve">UCgknAZcKYtVliwYvF7JGRbg</t>
  </si>
  <si>
    <t xml:space="preserve">UCZ6txk_avSegAnVRVY26qsA</t>
  </si>
  <si>
    <t xml:space="preserve">UC20p9r-IHzBPh9k7sPdpREw</t>
  </si>
  <si>
    <t xml:space="preserve">UCTmNy_6xY6W4OZuU3pbuPvQ</t>
  </si>
  <si>
    <t xml:space="preserve">UClc-lw3O3uNvdVVuiUd2KCA</t>
  </si>
  <si>
    <t xml:space="preserve">UC4yElp8V3XrTWkBUpZkDfTg</t>
  </si>
  <si>
    <t xml:space="preserve">UCLYIErN1C26Y2ca98ZO19lg</t>
  </si>
  <si>
    <t xml:space="preserve">UCHyIwWs-OC6ADQpaYbu40Lg</t>
  </si>
  <si>
    <t xml:space="preserve">UCbRvEuy8Fcb-ppiLPc7jCgQ</t>
  </si>
  <si>
    <t xml:space="preserve">UCdMmSkqvKcf0wcwUfGfoN2Q</t>
  </si>
  <si>
    <t xml:space="preserve">UCiu6DauiGpeZK2gVct_LF1A</t>
  </si>
  <si>
    <t xml:space="preserve">UCGHddhaA2gjt0OqRHF7gkwQ</t>
  </si>
  <si>
    <t xml:space="preserve">UCr3GuyRSJO1yRwzTt5rzFWA</t>
  </si>
  <si>
    <t xml:space="preserve">UClor5ISYxTlHSS7Z5UKSiJw</t>
  </si>
  <si>
    <t xml:space="preserve">UCXWDDATM2FbiRlbilKGCFug</t>
  </si>
  <si>
    <t xml:space="preserve">UCGHjx7-g9CpUohp0epnqHEg</t>
  </si>
  <si>
    <t xml:space="preserve">UCIMNq6tXc40OH8B_-nE__eQ</t>
  </si>
  <si>
    <t xml:space="preserve">UCfBPmF9EaTn9AcCzBVI-ZYQ</t>
  </si>
  <si>
    <t xml:space="preserve">UC4B-FqP8YaontLqG8mlZg2w</t>
  </si>
  <si>
    <t xml:space="preserve">UCY4e0YZkCE4q0pbybw8e8Zg</t>
  </si>
  <si>
    <t xml:space="preserve">UCuGWIkiNaWjsCqybgxGuxfg</t>
  </si>
  <si>
    <t xml:space="preserve">UCs269cNJCrk8KXBqqiqdUiA</t>
  </si>
  <si>
    <t xml:space="preserve">UCToOyr5OuOCDECVqVSSm7Bg</t>
  </si>
  <si>
    <t xml:space="preserve">UCK2C1lxxt8R205-q6CAECrQ</t>
  </si>
  <si>
    <t xml:space="preserve">UCVxZpA4Lu4eMJgNZHm6ZyJQ</t>
  </si>
  <si>
    <t xml:space="preserve">UCI20M_CVSwi26xF1X6q4OFA</t>
  </si>
  <si>
    <t xml:space="preserve">UC8n1WyS8BTr4DJ32Wd5RdbA</t>
  </si>
  <si>
    <t xml:space="preserve">UCg7ud0_zifsxT_8M9iEQo-w</t>
  </si>
  <si>
    <t xml:space="preserve">UCK0_YyW1U0gaev_mLzqoryQ</t>
  </si>
  <si>
    <t xml:space="preserve">UCJ04m06GHw3DUDQG6chCAUA</t>
  </si>
  <si>
    <t xml:space="preserve">UCHEzOwOYwqZHWLLIYNu1Gog</t>
  </si>
  <si>
    <t xml:space="preserve">UCAtS4dkImvNlvIhCCyMNWAw</t>
  </si>
  <si>
    <t xml:space="preserve">UC4GMwg99W5UST6JtwPxmYQQ</t>
  </si>
  <si>
    <t xml:space="preserve">UCv9xFWjsU_SdArRig-T0wDA</t>
  </si>
  <si>
    <t xml:space="preserve">UCTukQLtiPzbRSlQG3yQCsWw</t>
  </si>
  <si>
    <t xml:space="preserve">UCGWDArew0JJVKm_k2gy5ZLw</t>
  </si>
  <si>
    <t xml:space="preserve">UCPKr1y9vZm2E-I-wqqJYWXw</t>
  </si>
  <si>
    <t xml:space="preserve">UCmtPrBlbO2REG6I_jxzkBOg</t>
  </si>
  <si>
    <t xml:space="preserve">UCP5DZgmXyAiibvipxb8PtaA</t>
  </si>
  <si>
    <t xml:space="preserve">UCdfVt1eCzEGXNAIX6YcetIQ</t>
  </si>
  <si>
    <t xml:space="preserve">UCa1FSXPOxb0x8lZTYCbQJ5g</t>
  </si>
  <si>
    <t xml:space="preserve">UCTKmO1SQBUw94pdyjcFBMIw</t>
  </si>
  <si>
    <t xml:space="preserve">UCG-GNqwtTTB3nafNPtXUZGg</t>
  </si>
  <si>
    <t xml:space="preserve">UCGU_iDjSqn6Apv86K9XqKaQ</t>
  </si>
  <si>
    <t xml:space="preserve">UCNa2XVW-mWw3DG8fnvtSSdg</t>
  </si>
  <si>
    <t xml:space="preserve">UCw4ZOp5KINIQkn3cNtzdk5A</t>
  </si>
  <si>
    <t xml:space="preserve">UCNPNG2qbuEPcSOP8Ez1rUYQ</t>
  </si>
  <si>
    <t xml:space="preserve">UCSTz9B0VBboVjUxWTZEeOtg</t>
  </si>
  <si>
    <t xml:space="preserve">UCrrziNjlMF1OKD_1BB0Dz8Q</t>
  </si>
  <si>
    <t xml:space="preserve">UC5QHuagJelJkbne-w7V0sNQ</t>
  </si>
  <si>
    <t xml:space="preserve">UCfXRUiUGAQZNwaSlmj8HN9g</t>
  </si>
  <si>
    <t xml:space="preserve">UCDLeIf4w2OsADjqqUaxL9Pw</t>
  </si>
  <si>
    <t xml:space="preserve">UClT04Ksmua3XpPZoglnK4hg</t>
  </si>
  <si>
    <t xml:space="preserve">UCGlUPA9kZBU0fEAJbbXwT1Q</t>
  </si>
  <si>
    <t xml:space="preserve">UCaOI6eIy2scNgiaNwxWiaYg</t>
  </si>
  <si>
    <t xml:space="preserve">UCiHX7KbT6bnA-BCvuGucpog</t>
  </si>
  <si>
    <t xml:space="preserve">UCPicaemf8wqxHnOoLrC8B2A</t>
  </si>
  <si>
    <t xml:space="preserve">UC16GBBeEQ_ICyTyikxncAOg</t>
  </si>
  <si>
    <t xml:space="preserve">UCptMnp7qS_eo0PfFlFj1Kxg</t>
  </si>
  <si>
    <t xml:space="preserve">UCfI-ysoYd6wZVXRXN0A_KdA</t>
  </si>
  <si>
    <t xml:space="preserve">UC8_sWwYKtkG7PZwi3mKJnXg</t>
  </si>
  <si>
    <t xml:space="preserve">UCrvytpH2vVJ9AuRgzJdL0DQ</t>
  </si>
  <si>
    <t xml:space="preserve">UCIaA5JtVH3eW7KdEfnEotVw</t>
  </si>
  <si>
    <t xml:space="preserve">UCt7eTv7e9L-XLZz3VjqM9_g</t>
  </si>
  <si>
    <t xml:space="preserve">UCc09nh0gWTn1SvQ3dlUnU6Q</t>
  </si>
  <si>
    <t xml:space="preserve">UCqO3bph_lz44aPO_SCXDzIQ</t>
  </si>
  <si>
    <t xml:space="preserve">UCR5veS44sw5cfotqGim_pKA</t>
  </si>
  <si>
    <t xml:space="preserve">UCBIWB7KTRPZQ0GnFx1GiOVQ</t>
  </si>
  <si>
    <t xml:space="preserve">UCORuRdpN2QTCKnsuEaeK-kQ</t>
  </si>
  <si>
    <t xml:space="preserve">UCAuY-7ztx1cujniLYk0Qxww</t>
  </si>
  <si>
    <t xml:space="preserve">UCKuLeGPxAUGkE0usfwRyJ5A</t>
  </si>
  <si>
    <t xml:space="preserve">UCxev0_drz4JHYYPJb6qCkfw</t>
  </si>
  <si>
    <t xml:space="preserve">UCrSEh1sgQJI1WH2lN_zZBkg</t>
  </si>
  <si>
    <t xml:space="preserve">UCWECqPnaJKpnKKCklW94xmg</t>
  </si>
  <si>
    <t xml:space="preserve">UC8ydg7Odlz_iNGuRFVbLIFQ</t>
  </si>
  <si>
    <t xml:space="preserve">UClTOPJoCCNAsXcBLcxkF-BA</t>
  </si>
  <si>
    <t xml:space="preserve">UCA-W-09oXlnCLzs-axhX6SQ</t>
  </si>
  <si>
    <t xml:space="preserve">UCBGr_bTnckSEUEMJADxGEhQ</t>
  </si>
  <si>
    <t xml:space="preserve">UCEWHRixg17cM4r7uXMeMFhQ</t>
  </si>
  <si>
    <t xml:space="preserve">UCeFSyU_YccvccBduPz3WwcQ</t>
  </si>
  <si>
    <t xml:space="preserve">UC3UvyHJE7ileiZznz6_7f8A</t>
  </si>
  <si>
    <t xml:space="preserve">UClg28ye6e4sURSGNF0nKmpA</t>
  </si>
  <si>
    <t xml:space="preserve">UCbqjYf3cJ2ZbZdUBoTRiQYA</t>
  </si>
  <si>
    <t xml:space="preserve">UCw5VW7w-iyTkRSrDfnIll4w</t>
  </si>
  <si>
    <t xml:space="preserve">UCzx-gcc1YbLmmYnBXim4XGA</t>
  </si>
  <si>
    <t xml:space="preserve">UCBnUfWDGE5yaFMC68fszuvw</t>
  </si>
  <si>
    <t xml:space="preserve">UCnSxfMC4WBUQqbqRyYjMEvQ</t>
  </si>
  <si>
    <t xml:space="preserve">UC9XJEwjIdLbndqPB-XSVyEA</t>
  </si>
  <si>
    <t xml:space="preserve">UC-V-S42WNXETMCbAGvFaYLA</t>
  </si>
  <si>
    <t xml:space="preserve">UCIv8X2oa8OWLJBg1BVpB-Vg</t>
  </si>
  <si>
    <t xml:space="preserve">UCZynAfnm7VKVAQDHDbLY76A</t>
  </si>
  <si>
    <t xml:space="preserve">UCDzYjzZ78mdYgG0dUyVb8ow</t>
  </si>
  <si>
    <t xml:space="preserve">UCGq_yYWgAhjTJUMzuKfdcJw</t>
  </si>
  <si>
    <t xml:space="preserve">UC3SXAgzTE1M_EipeHorW7PQ</t>
  </si>
  <si>
    <t xml:space="preserve">UCFT6Xp4xYF9ofxrqhBGT2zA</t>
  </si>
  <si>
    <t xml:space="preserve">UC20-WktA24R9cDpTZs5td3A</t>
  </si>
  <si>
    <t xml:space="preserve">UC-4WZ8K-aRHwUjssk8yFcRw</t>
  </si>
  <si>
    <t xml:space="preserve">UCR-n-mtxIgIDbZeHBwNIA4w</t>
  </si>
  <si>
    <t xml:space="preserve">UCbUlstakmukmtGaIEYvnmlg</t>
  </si>
  <si>
    <t xml:space="preserve">UC4ZJX2ejd9gys5kfQw7UBVA</t>
  </si>
  <si>
    <t xml:space="preserve">UCEZi1OcahaPpgQcQeT514kQ</t>
  </si>
  <si>
    <t xml:space="preserve">UCtRZL2dPgXWCiJgtFskpCKw</t>
  </si>
  <si>
    <t xml:space="preserve">UCp1mdWj16LkIB503ZLshiRw</t>
  </si>
  <si>
    <t xml:space="preserve">UC-ydlZd_3-53WOJZCHpSOGg</t>
  </si>
  <si>
    <t xml:space="preserve">UCSUW6PdvIV8FCtOQ_Y1HUIw</t>
  </si>
  <si>
    <t xml:space="preserve">UCSW6FznExnWe6QIpowzi91g</t>
  </si>
  <si>
    <t xml:space="preserve">UC7ZEIf22kp0AEpvx3OLiX-g</t>
  </si>
  <si>
    <t xml:space="preserve">UC0mtJgx8mB7aZkGx6V3vaUg</t>
  </si>
  <si>
    <t xml:space="preserve">UCoorvG4f0ILFoYJC9OM2R8Q</t>
  </si>
  <si>
    <t xml:space="preserve">UCOUzUekTe8W7zPhpmNOQ4eA</t>
  </si>
  <si>
    <t xml:space="preserve">UCU0EvOqg5yi88G3lZw7V0Nw</t>
  </si>
  <si>
    <t xml:space="preserve">UCeh254QTJVaO2y3LgaWMnPQ</t>
  </si>
  <si>
    <t xml:space="preserve">UClV2ANUfNRF0vGL3xg-67Pw</t>
  </si>
  <si>
    <t xml:space="preserve">UC5pr0xIiFUnHIKqL-N_e9lg</t>
  </si>
  <si>
    <t xml:space="preserve">UCSxVNR9Ryul-117Ijx0_yMg</t>
  </si>
  <si>
    <t xml:space="preserve">UCfmrN_kmoV5zVrQo3jQRwLA</t>
  </si>
  <si>
    <t xml:space="preserve">UCSyDnL-5qdTRahb_RkzSlRw</t>
  </si>
  <si>
    <t xml:space="preserve">UCGVlyWrFI0e8fFGd07DxlFw</t>
  </si>
  <si>
    <t xml:space="preserve">UCKwLutjyQ1JaO0QbMmWBxUg</t>
  </si>
  <si>
    <t xml:space="preserve">UC6Ug6Zkf_BnybrGCbix9vFg</t>
  </si>
  <si>
    <t xml:space="preserve">UCu8TSJvevS2lVqAalnHTYTQ</t>
  </si>
  <si>
    <t xml:space="preserve">UCtCH96LBdX7u1UNZA68vUuA</t>
  </si>
  <si>
    <t xml:space="preserve">UCt9asQpJUfQcJfdtLgJ9XQg</t>
  </si>
  <si>
    <t xml:space="preserve">UCcoE2A4fIoxxLYtyvZPrnlw</t>
  </si>
  <si>
    <t xml:space="preserve">UCDAsjwsBa9qsUB_BIJZXAOQ</t>
  </si>
  <si>
    <t xml:space="preserve">UCcO12FftXg8xz6oS0CeO9MQ</t>
  </si>
  <si>
    <t xml:space="preserve">UCLsEViQK9JsyauekLRAXDXw</t>
  </si>
  <si>
    <t xml:space="preserve">UCrk7-qX2xMIxGX-fztxSuOA</t>
  </si>
  <si>
    <t xml:space="preserve">UC7spANzq3lzLB5oU88S3s8Q</t>
  </si>
  <si>
    <t xml:space="preserve">UCLBzo3Ubqveo7FmHgrHaEVA</t>
  </si>
  <si>
    <t xml:space="preserve">UCTu5ntEfTFZBTMLnYOEmV4g</t>
  </si>
  <si>
    <t xml:space="preserve">UCaX7TPCDUklUwuRItkCcDug</t>
  </si>
  <si>
    <t xml:space="preserve">UCi6JUh0YEbdAXN6MY-ongUQ</t>
  </si>
  <si>
    <t xml:space="preserve">UCuLyyxpAOqEsOYiNMapZNKg</t>
  </si>
  <si>
    <t xml:space="preserve">UCiXn7_emGY-CC15neR7XnFg</t>
  </si>
  <si>
    <t xml:space="preserve">UCK4PfF4kEFtmMFQbkvZoADQ</t>
  </si>
  <si>
    <t xml:space="preserve">UCLKGnjLcx2l5_zwiErLbdZw</t>
  </si>
  <si>
    <t xml:space="preserve">UC182Ki4Cb_updDJDuM7_OMA</t>
  </si>
  <si>
    <t xml:space="preserve">UCLIypG5Bj4Gfx-eHJk6IKwg</t>
  </si>
  <si>
    <t xml:space="preserve">UCp5AKql19BCy9ANMlGV7YTg</t>
  </si>
  <si>
    <t xml:space="preserve">UCDqTdACfPIQtm5RAWYNcktg</t>
  </si>
  <si>
    <t xml:space="preserve">UCdINwFss1xUNB8_UYys7kSQ</t>
  </si>
  <si>
    <t xml:space="preserve">UCpG4iNQEYH4iVlVpMYvWT8A</t>
  </si>
  <si>
    <t xml:space="preserve">UC4WRiurRdIp57d_AFWRL0iQ</t>
  </si>
  <si>
    <t xml:space="preserve">UCrORCBA71E_VBm68CEhdj7w</t>
  </si>
  <si>
    <t xml:space="preserve">UCTu4_J3udoDzgOHeRrTy5rg</t>
  </si>
  <si>
    <t xml:space="preserve">UC8byJu4j_TL3xtLUXp3ngXA</t>
  </si>
  <si>
    <t xml:space="preserve">UCoXV4wkiPVGJpLCsoPtWqPw</t>
  </si>
  <si>
    <t xml:space="preserve">UCvxQ36lH2KXZstVt0-lTB9Q</t>
  </si>
  <si>
    <t xml:space="preserve">UCb7d0l7XxDIBdWIEmlHCT4w</t>
  </si>
  <si>
    <t xml:space="preserve">UCGXEnXsCBTh33jK_aaHYDJg</t>
  </si>
  <si>
    <t xml:space="preserve">UC13Pubu5BnIQjEPp2J8edfw</t>
  </si>
  <si>
    <t xml:space="preserve">UCaV0_BhFhxrlMpWrWfROftQ</t>
  </si>
  <si>
    <t xml:space="preserve">UCV78_Od_VfioEBtnty-2Efw</t>
  </si>
  <si>
    <t xml:space="preserve">UCt8OFYyeXWmu8jiLU3hUwjw</t>
  </si>
  <si>
    <t xml:space="preserve">UCita9YRujIVAi0eDbPPbheg</t>
  </si>
  <si>
    <t xml:space="preserve">UCgxp8t-ISRXj9eINlL2-W4w</t>
  </si>
  <si>
    <t xml:space="preserve">UCK-2Ikxor8vEOMOWL2XDXnw</t>
  </si>
  <si>
    <t xml:space="preserve">UCUadg_M5epvrBN5f1fwYysA</t>
  </si>
  <si>
    <t xml:space="preserve">UCUOcHaB30SeUuJ15fyVlmPQ</t>
  </si>
  <si>
    <t xml:space="preserve">UCFdfQcd4WydE8dcV6yLceiQ</t>
  </si>
  <si>
    <t xml:space="preserve">UCo35sHI21mUxaGIyZGmP3Ww</t>
  </si>
  <si>
    <t xml:space="preserve">UCWWA_u2mp4LUaXjm9yd2UYw</t>
  </si>
  <si>
    <t xml:space="preserve">UCzfzaTB0W32eZBIZnrpKx8g</t>
  </si>
  <si>
    <t xml:space="preserve">UCPY2FucwiBcecEcCwbmw9RQ</t>
  </si>
  <si>
    <t xml:space="preserve">UCU99t3-KRyvKZXGIabIL4jw</t>
  </si>
  <si>
    <t xml:space="preserve">UCURpfKo74TEy9VnyZzmNREw</t>
  </si>
  <si>
    <t xml:space="preserve">UCxEGaZzQU67WAFTuY7wAMFQ</t>
  </si>
  <si>
    <t xml:space="preserve">UCldaJqPqpBK1r_93ndj5MvA</t>
  </si>
  <si>
    <t xml:space="preserve">UCitGjiaWpmEixyIDH6ZVZ1w</t>
  </si>
  <si>
    <t xml:space="preserve">UC4--pPs1CVZvs60uuhfjdwQ</t>
  </si>
  <si>
    <t xml:space="preserve">UCDRI4hNxGA23zqf14V-lc4Q</t>
  </si>
  <si>
    <t xml:space="preserve">UCUtRy6q8wEXgq6JglkJYNBw</t>
  </si>
  <si>
    <t xml:space="preserve">UCJV1u6BRBKBY-RagJ5l-B3g</t>
  </si>
  <si>
    <t xml:space="preserve">UC8n5ScN_cbkEXYaUXE8jn7Q</t>
  </si>
  <si>
    <t xml:space="preserve">UCjJZ-6IzOjnyLVBX2nvk65g</t>
  </si>
  <si>
    <t xml:space="preserve">UCbs2mcuu_mCYWzYouwn_vrw</t>
  </si>
  <si>
    <t xml:space="preserve">UCftiaJYW94_HgfvSRwRLGKA</t>
  </si>
  <si>
    <t xml:space="preserve">UCwmntf3FNRDs3yTQMLtCbrw</t>
  </si>
  <si>
    <t xml:space="preserve">UCwZM6xzRra8bCd_VBcDE0Tg</t>
  </si>
  <si>
    <t xml:space="preserve">UCw0Hnw9JvndVLhxHWo6hcpg</t>
  </si>
  <si>
    <t xml:space="preserve">UCiTljW6FMHQQhK81MWVGoag</t>
  </si>
  <si>
    <t xml:space="preserve">UC-zR6mLEUCfuVfHpvdP0BNg</t>
  </si>
  <si>
    <t xml:space="preserve">UCET5k1jfmGJGy9lnLxDxfLw</t>
  </si>
  <si>
    <t xml:space="preserve">UCejAoJKie-fMuihgxboidOw</t>
  </si>
  <si>
    <t xml:space="preserve">UC_DxcmjRnU_wvr2RM7vUajw</t>
  </si>
  <si>
    <t xml:space="preserve">UCsKLi4zwR5togS1I-YaMS_g</t>
  </si>
  <si>
    <t xml:space="preserve">UCkjBF-877OvOPh5AtVhwmGA</t>
  </si>
  <si>
    <t xml:space="preserve">UCfCrOU4sj-GqUkIrCGvFk6A</t>
  </si>
  <si>
    <t xml:space="preserve">UCv7hkitw1yX-cPYQ77PQ5eA</t>
  </si>
  <si>
    <t xml:space="preserve">UClruEFjUfEo6eY7OP3zfW1Q</t>
  </si>
  <si>
    <t xml:space="preserve">UCSsQy5PyHxwt4V7PigQLSOA</t>
  </si>
  <si>
    <t xml:space="preserve">UC2DU0GQdKRxfipZ_MwJjQaw</t>
  </si>
  <si>
    <t xml:space="preserve">UCPnGN6fKboTzb4OTAYg-uxw</t>
  </si>
  <si>
    <t xml:space="preserve">UCZfk6GW4vMTumYmGKDIJHGw</t>
  </si>
  <si>
    <t xml:space="preserve">UCgy3qN5FbkSIJwxhPu0rkmA</t>
  </si>
  <si>
    <t xml:space="preserve">UCOrZYhImUu4_lJLphXbfiPw</t>
  </si>
  <si>
    <t xml:space="preserve">UCEZvjCk6yoPOfDWDgiWjnVQ</t>
  </si>
  <si>
    <t xml:space="preserve">UCNQ3Et8nx7tKd7RZaGaAqKA</t>
  </si>
  <si>
    <t xml:space="preserve">UC5jqx018WF-UA1PpkLD7gRA</t>
  </si>
  <si>
    <t xml:space="preserve">UCzwW2U4F6ZkYLjAj_fqubNQ</t>
  </si>
  <si>
    <t xml:space="preserve">UCrR_MBTAD2vvAQmjdbhfbQA</t>
  </si>
  <si>
    <t xml:space="preserve">UCwSQpTlVkDetOTKH9cio5dQ</t>
  </si>
  <si>
    <t xml:space="preserve">UCkOVsApCY9PiY4l44nOOBUA</t>
  </si>
  <si>
    <t xml:space="preserve">UCuwzijmDIvNe_COaRbVmKXg</t>
  </si>
  <si>
    <t xml:space="preserve">UCIKg83HEdGFEz4sKTQRnjBg</t>
  </si>
  <si>
    <t xml:space="preserve">UCboqh2MKjzK0cFZpX1sB-NQ</t>
  </si>
  <si>
    <t xml:space="preserve">UCdqyRScesQZPq5bh6zEzaDg</t>
  </si>
  <si>
    <t xml:space="preserve">UC61kgbrqggBKUD2nBb8f3Aw</t>
  </si>
  <si>
    <t xml:space="preserve">UCeCaoXj1dfM0YOxfJBIslYQ</t>
  </si>
  <si>
    <t xml:space="preserve">UCxjq3jDGc6woniBalWnMwgw</t>
  </si>
  <si>
    <t xml:space="preserve">UCNjwhUqU3vJKqZzyto9stfQ</t>
  </si>
  <si>
    <t xml:space="preserve">UCm_RsUOkf7Xs3CvOqNAwBlA</t>
  </si>
  <si>
    <t xml:space="preserve">UCpKw_2tj_0sJSpxEgh9DyYA</t>
  </si>
  <si>
    <t xml:space="preserve">UCK5JIV2S6HBvQYFxAnCcJgA</t>
  </si>
  <si>
    <t xml:space="preserve">UCLofg3J-Im_FFEfbYqTKg4A</t>
  </si>
  <si>
    <t xml:space="preserve">UCN8xEpChSVV67rfqhx16j4Q</t>
  </si>
  <si>
    <t xml:space="preserve">UCXArWJM8ju26uXAOdD88MOg</t>
  </si>
  <si>
    <t xml:space="preserve">UCbhs3zigsyg1jKaxhF00j0w</t>
  </si>
  <si>
    <t xml:space="preserve">UCZ0qWFn85MrbgmhqmX2CNFg</t>
  </si>
  <si>
    <t xml:space="preserve">UCIdtPLjTb111r4iubQ9Mq5A</t>
  </si>
  <si>
    <t xml:space="preserve">UCAbM05jBqu9chfEq-bURAeA</t>
  </si>
  <si>
    <t xml:space="preserve">UCy7Rdmj0RgoGTjRRO8wXW9w</t>
  </si>
  <si>
    <t xml:space="preserve">UCdIAr2sxtaKgah1UGC4dFJA</t>
  </si>
  <si>
    <t xml:space="preserve">UCoJqs4oSzkz_Mg2aJVCnObQ</t>
  </si>
  <si>
    <t xml:space="preserve">UCueLl1vNiMge2CR4Dc1bx6w</t>
  </si>
  <si>
    <t xml:space="preserve">UCX3S3GEvSEF9hNFjLA2aQMA</t>
  </si>
  <si>
    <t xml:space="preserve">UCmPlOBE_xR9OYIZev4VVuMQ</t>
  </si>
  <si>
    <t xml:space="preserve">UC6bu0WFx3O3zhdEhvX9PXMQ</t>
  </si>
  <si>
    <t xml:space="preserve">UCXu36TIOSnfdeCKY4APkT8w</t>
  </si>
  <si>
    <t xml:space="preserve">UCXMqWoMyDBz7CSayQRTkkXw</t>
  </si>
  <si>
    <t xml:space="preserve">UCNeoOTYX88-aKAESyn7YL4A</t>
  </si>
  <si>
    <t xml:space="preserve">UCBIHH323Q74eAPlBCYU-wFQ</t>
  </si>
  <si>
    <t xml:space="preserve">UCaO2vNfm_rIUd8rqEYlMfFQ</t>
  </si>
  <si>
    <t xml:space="preserve">UChn_mayBEwvlyC3LHpgvCsw</t>
  </si>
  <si>
    <t xml:space="preserve">UCyA0hVjN35YmMZLyZkES-Pg</t>
  </si>
  <si>
    <t xml:space="preserve">UCbHF47dcp7B1YIyq9elogVQ</t>
  </si>
  <si>
    <t xml:space="preserve">UC5rGM6f7tei--QSu38Nzcag</t>
  </si>
  <si>
    <t xml:space="preserve">UC-vwvyKl28recPRSK6Ad7-g</t>
  </si>
  <si>
    <t xml:space="preserve">UCZRzgo8lXsC_iX2tIVSgxmQ</t>
  </si>
  <si>
    <t xml:space="preserve">UC4aJMVRrycBeOVEuidU4XVQ</t>
  </si>
  <si>
    <t xml:space="preserve">UCRje9emfvyEAeStnh7oyiRA</t>
  </si>
  <si>
    <t xml:space="preserve">UCFUJ0gruUokpZSpO6lILtjA</t>
  </si>
  <si>
    <t xml:space="preserve">UCjfE5EmNU1kyf1wwrtYlnGQ</t>
  </si>
  <si>
    <t xml:space="preserve">UCjs5dlECieutsx6hkZCRE6A</t>
  </si>
  <si>
    <t xml:space="preserve">UCuCWAK3C84HYo4F31zUmftA</t>
  </si>
  <si>
    <t xml:space="preserve">UCqLUC2Une_4qJC59ECjaN_w</t>
  </si>
  <si>
    <t xml:space="preserve">UCb-TR_pvKXDidWJemHejqvw</t>
  </si>
  <si>
    <t xml:space="preserve">UC1HCCOz_OVSRkz8m2ZSQfZg</t>
  </si>
  <si>
    <t xml:space="preserve">UCPNg7VBm5ccGF-3rS-2yr2w</t>
  </si>
  <si>
    <t xml:space="preserve">UCNL5TkqNmy22oT9QpWJpOvQ</t>
  </si>
  <si>
    <t xml:space="preserve">UCkuv-tZeqPZ6bzYBc_rn0VQ</t>
  </si>
  <si>
    <t xml:space="preserve">UChPzcvRs05UDf0XcmKaWtcw</t>
  </si>
  <si>
    <t xml:space="preserve">UCv_V36ly9k_jH-8oYWcQH1Q</t>
  </si>
  <si>
    <t xml:space="preserve">UCw8dM_oRFRegt1AbhQN31_w</t>
  </si>
  <si>
    <t xml:space="preserve">UCMkws09v_kx4La8So1xOogA</t>
  </si>
  <si>
    <t xml:space="preserve">UCCyCYLy5nJvNfz4eiD2gn-g</t>
  </si>
  <si>
    <t xml:space="preserve">UCINVqB5qMq0_qxlYv9mrYuA</t>
  </si>
  <si>
    <t xml:space="preserve">UCDoV0E69f3HgTfm2OVqBUOw</t>
  </si>
  <si>
    <t xml:space="preserve">UChkcHuy_i5AUe40ZqnVUR8Q</t>
  </si>
  <si>
    <t xml:space="preserve">UCM-q0U0F6-oMOFTYPtlsEfA</t>
  </si>
  <si>
    <t xml:space="preserve">UCEMQb2Q1VMO7xZ1JmGuRvmA</t>
  </si>
  <si>
    <t xml:space="preserve">UCKlPiDxyTBIJo_d1RjTxz7w</t>
  </si>
  <si>
    <t xml:space="preserve">UC4ERo2RzKxYA0GHEQZrJqhg</t>
  </si>
  <si>
    <t xml:space="preserve">UCoHtzQF79hdHu2yBhJ8RHqQ</t>
  </si>
  <si>
    <t xml:space="preserve">UCloeL1Rbw33jNHb6rMPqUyw</t>
  </si>
  <si>
    <t xml:space="preserve">UCaZ3YqYiP7aaFvFOctoIMXg</t>
  </si>
  <si>
    <t xml:space="preserve">UClC2ua5AOBejM274u5wM4fw</t>
  </si>
  <si>
    <t xml:space="preserve">UCSuom_wVDA-dn_Inu1rKNSQ</t>
  </si>
  <si>
    <t xml:space="preserve">UCE0HcS5Kgt5avBpeDMiRxLQ</t>
  </si>
  <si>
    <t xml:space="preserve">UCkZ80NUtBaJTiPbB009ZIag</t>
  </si>
  <si>
    <t xml:space="preserve">UC56LNg4HFGs5c-s6sQV3ZtQ</t>
  </si>
  <si>
    <t xml:space="preserve">UCtAKJ4vpNEuYONtYEbQ-uKw</t>
  </si>
  <si>
    <t xml:space="preserve">UCgY5n0NkAptvVLlkVtrT2vg</t>
  </si>
  <si>
    <t xml:space="preserve">UC4mx0zHsDkhzceD-hKiVT1g</t>
  </si>
  <si>
    <t xml:space="preserve">UCHfH6v6S7FOp2AoBE267FGw</t>
  </si>
  <si>
    <t xml:space="preserve">UCrmKqCdvQUJjIRcTquh46XA</t>
  </si>
  <si>
    <t xml:space="preserve">UCSnk4I3vYlgg9mPyQ5t8FiA</t>
  </si>
  <si>
    <t xml:space="preserve">UCbeOj-sFB8DAfaeJe4aep_w</t>
  </si>
  <si>
    <t xml:space="preserve">UCrC4NjvL3v1YRCjxOvFX_5A</t>
  </si>
  <si>
    <t xml:space="preserve">UCYdeu_7BFLqqBBl78rOo7Zw</t>
  </si>
  <si>
    <t xml:space="preserve">UCummnKxaPcPetzTm4haDQbg</t>
  </si>
  <si>
    <t xml:space="preserve">UC9FBNwk4VuDRHZigWcFVzIg</t>
  </si>
  <si>
    <t xml:space="preserve">UC-plqy8LWebD8C9YxAoCOaQ</t>
  </si>
  <si>
    <t xml:space="preserve">UCNgqhocea4MYwXUklEtjrlg</t>
  </si>
  <si>
    <t xml:space="preserve">UCgp7yvcZ1MwP09741jed7TA</t>
  </si>
  <si>
    <t xml:space="preserve">UCBPdwtkrhaV-hoijVj5bnBA</t>
  </si>
  <si>
    <t xml:space="preserve">UCfsn38nGTyPwXWMT0QJc3aA</t>
  </si>
  <si>
    <t xml:space="preserve">UCKHR2sI-rFJ4_nugHu_kFVw</t>
  </si>
  <si>
    <t xml:space="preserve">UCbvHfGzXXhd7RnbtDHAI67A</t>
  </si>
  <si>
    <t xml:space="preserve">UCBGveH0QXcGtTETUb-Axt6w</t>
  </si>
  <si>
    <t xml:space="preserve">UCDh_ZmpuZhIAzPnB60ecjSg</t>
  </si>
  <si>
    <t xml:space="preserve">UCBuKa4YZamcn7sJ8Ks85n6w</t>
  </si>
  <si>
    <t xml:space="preserve">UC4plPeL9AGdNk2PubviiFxw</t>
  </si>
  <si>
    <t xml:space="preserve">UCeZ6J-OeP5kNhn_cFNtN_zg</t>
  </si>
  <si>
    <t xml:space="preserve">UCLDW0G-0gxsjiUrenuP-NKw</t>
  </si>
  <si>
    <t xml:space="preserve">UC5oZfKcyeB3O1sKrxVTibAg</t>
  </si>
  <si>
    <t xml:space="preserve">UCeOKB73omgoheipQwiUP5KQ</t>
  </si>
  <si>
    <t xml:space="preserve">UC6er0AAj54QY28eY-no9x4g</t>
  </si>
  <si>
    <t xml:space="preserve">UC4KUFSZ_NGmcDq_ZE5_HVag</t>
  </si>
  <si>
    <t xml:space="preserve">UCO_ZxZJVU_2cucqlQizKA6g</t>
  </si>
  <si>
    <t xml:space="preserve">UCemQTMeapTRvLvC2ee3ExJQ</t>
  </si>
  <si>
    <t xml:space="preserve">UC4-LIpaZur7StCh76r62J5Q</t>
  </si>
  <si>
    <t xml:space="preserve">UCPesk0DDd0nbzjZORXuwqgw</t>
  </si>
  <si>
    <t xml:space="preserve">UCdTCho3kU2lMHw2UjebD8fQ</t>
  </si>
  <si>
    <t xml:space="preserve">UC3J-0LPz-z-GIB1V6B3NRmw</t>
  </si>
  <si>
    <t xml:space="preserve">UCfD9yQTH-9J1XyUfHGBFmbQ</t>
  </si>
  <si>
    <t xml:space="preserve">UCPXHoVDdKV8sr967XK7aW_w</t>
  </si>
  <si>
    <t xml:space="preserve">UCIUXCy7y_vMtRmvc0kc3c3w</t>
  </si>
  <si>
    <t xml:space="preserve">UCwekO_oXeK8evl4SP9m_Usw</t>
  </si>
  <si>
    <t xml:space="preserve">UCB-vpRKTNDwtcsm4qmfIgNA</t>
  </si>
  <si>
    <t xml:space="preserve">UChYyq0Rp017VYEQzrxOuSmQ</t>
  </si>
  <si>
    <t xml:space="preserve">UC-ei98rmpZXUAByMHYZSmrQ</t>
  </si>
  <si>
    <t xml:space="preserve">UCdVyVmiFbGZVdT9Wy3n91bg</t>
  </si>
  <si>
    <t xml:space="preserve">UCv3D5uoIDNV7vKDyGkrStvA</t>
  </si>
  <si>
    <t xml:space="preserve">UCiwWuWlxuD8zCnOVoGnFAmQ</t>
  </si>
  <si>
    <t xml:space="preserve">UCFpKYgMZwVy3uPMwmW62pvw</t>
  </si>
  <si>
    <t xml:space="preserve">UCJePfa53hTUMnagZogQRLoA</t>
  </si>
  <si>
    <t xml:space="preserve">UCw3xZCuPNcKP5G5dzObOC_Q</t>
  </si>
  <si>
    <t xml:space="preserve">UC3tnYcq6QvJe-hEsxEDOCbg</t>
  </si>
  <si>
    <t xml:space="preserve">UCN7YQVeBMiDot6lQk2JrK1w</t>
  </si>
  <si>
    <t xml:space="preserve">UCYRIDmCOzFcgkpp1f-wWcrQ</t>
  </si>
  <si>
    <t xml:space="preserve">UC0PHk55mQ5rX8jznMML_UNQ</t>
  </si>
  <si>
    <t xml:space="preserve">UCs6_3hofyNGT5dBsoheTneQ</t>
  </si>
  <si>
    <t xml:space="preserve">UCiJ04SZ-Ff8sAXVsdaz10TQ</t>
  </si>
  <si>
    <t xml:space="preserve">UCGq3--Xt60HDPt_BLOyGklA</t>
  </si>
  <si>
    <t xml:space="preserve">UCUgY0x3uYC79betpz_oQtew</t>
  </si>
  <si>
    <t xml:space="preserve">UCb6sOnoCgRxDk95UY-kBzMQ</t>
  </si>
  <si>
    <t xml:space="preserve">UC39wPxSAe3VTmQ70zL1KcyA</t>
  </si>
  <si>
    <t xml:space="preserve">UCWX2YVqpQbz2Y2GP-g7aqxw</t>
  </si>
  <si>
    <t xml:space="preserve">UCG53Opzdn0uC1n_PVzVcARw</t>
  </si>
  <si>
    <t xml:space="preserve">UCjIOCy9zOCsg_rm6asIYj4g</t>
  </si>
  <si>
    <t xml:space="preserve">UC3lgdS0YMCNx-DlLJiRLxlw</t>
  </si>
  <si>
    <t xml:space="preserve">UCHMp_3qN4bANzGnb0u-KvzQ</t>
  </si>
  <si>
    <t xml:space="preserve">UCut7Y9sJkcEaHtwy7jz6p2A</t>
  </si>
  <si>
    <t xml:space="preserve">UCX5UonDJTWWBEle1W9jJ7yQ</t>
  </si>
  <si>
    <t xml:space="preserve">UCO2lYk6BNbdgcQs_5XfBC_Q</t>
  </si>
  <si>
    <t xml:space="preserve">UCGMb4EIQp4FBSEcj5BYVq5Q</t>
  </si>
  <si>
    <t xml:space="preserve">UCW6q0Rsd0uLcJwn7XsWsRRQ</t>
  </si>
  <si>
    <t xml:space="preserve">UCXdDntJ93c1cxtMVFxDzflQ</t>
  </si>
  <si>
    <t xml:space="preserve">UCDklhDKZtD19feBwZxfzO5w</t>
  </si>
  <si>
    <t xml:space="preserve">UCtpcWP6wnbiDWhewxjQxlBw</t>
  </si>
  <si>
    <t xml:space="preserve">UC5Pug1yQPkk3FG9ii04kVCg</t>
  </si>
  <si>
    <t xml:space="preserve">UCnghV3naSnmflBOXvCmDBUA</t>
  </si>
  <si>
    <t xml:space="preserve">UCWe925xZQQKlwMkRBx0m-SQ</t>
  </si>
  <si>
    <t xml:space="preserve">UCVH4k1bqzb8bMFsDkyYDxCQ</t>
  </si>
  <si>
    <t xml:space="preserve">UCxCqzqvsUQPVMV3Qx8LyM9A</t>
  </si>
  <si>
    <t xml:space="preserve">UCDia5JKHbPJsagJJWjZhG_Q</t>
  </si>
  <si>
    <t xml:space="preserve">UCKs4Qrz36FWoyKnkeS4F6hw</t>
  </si>
  <si>
    <t xml:space="preserve">UCiTVPxb4HESj02hGy2Fp0ww</t>
  </si>
  <si>
    <t xml:space="preserve">UC1huyI8FK6y7m-heJIBqV1g</t>
  </si>
  <si>
    <t xml:space="preserve">UC1uunsjUSb_RbPv_HEWndQg</t>
  </si>
  <si>
    <t xml:space="preserve">UCZmHITmPv3ajSX7jfZhx01A</t>
  </si>
  <si>
    <t xml:space="preserve">UC-UCmb8ZBfgxi_nc33b-KXw</t>
  </si>
  <si>
    <t xml:space="preserve">UCBhMoHxBoO825RVTqVykSMw</t>
  </si>
  <si>
    <t xml:space="preserve">UCeT3qfOyeMOgRcBhzF4xA7Q</t>
  </si>
  <si>
    <t xml:space="preserve">UCyc8V1mh6Mxz0w5Z7oGQvhA</t>
  </si>
  <si>
    <t xml:space="preserve">UCKRXcFTob6Bm8DooP-q1Z5A</t>
  </si>
  <si>
    <t xml:space="preserve">UCtDTN2mTQ0izsD8b0B7LNGQ</t>
  </si>
  <si>
    <t xml:space="preserve">UC-m0ZsUO5KZiYM8xe-bct0w</t>
  </si>
  <si>
    <t xml:space="preserve">UCFjH8uA8Z7SCnzzX-kwCl9w</t>
  </si>
  <si>
    <t xml:space="preserve">UC9yuIuCyyCnp91NjBwBEuDQ</t>
  </si>
  <si>
    <t xml:space="preserve">UCJlQYP1IbUWQxGFgkp64BCg</t>
  </si>
  <si>
    <t xml:space="preserve">UCFXSwZ5gSw6-ZdV83SniKBA</t>
  </si>
  <si>
    <t xml:space="preserve">UCkwRx_efphyDYdozRJoI4hw</t>
  </si>
  <si>
    <t xml:space="preserve">UCdHME-0O5eDGjitZ6XRFB8Q</t>
  </si>
  <si>
    <t xml:space="preserve">UCpdO7Ops0JUPwjnTIdQrL2Q</t>
  </si>
  <si>
    <t xml:space="preserve">UCSVvCIdkkL7714i0GCB0G0w</t>
  </si>
  <si>
    <t xml:space="preserve">UCq5IPdewxm5b5B_MABpygRA</t>
  </si>
  <si>
    <t xml:space="preserve">UCUnJQHVD_p3fOl43h14DcTw</t>
  </si>
  <si>
    <t xml:space="preserve">UCuwUPdiFLW9gP-otfiCN8AQ</t>
  </si>
  <si>
    <t xml:space="preserve">UCtD0WGExA3sz6AIRd8zF5Rg</t>
  </si>
  <si>
    <t xml:space="preserve">UCmkVY7JEm3qHj2OYplUEzfQ</t>
  </si>
  <si>
    <t xml:space="preserve">UCmQp20pAxi6_-WU7RFzNwZg</t>
  </si>
  <si>
    <t xml:space="preserve">UCrvdMsIjkBv5VPUMZjSojaA</t>
  </si>
  <si>
    <t xml:space="preserve">UCP_I2jiHXW7wfKwxCWoaJZA</t>
  </si>
  <si>
    <t xml:space="preserve">UCAFvNPWMVbOtWxWdrq2Xa_A</t>
  </si>
  <si>
    <t xml:space="preserve">UCaQI5-FQ0rdD7uAdHIYSxzQ</t>
  </si>
  <si>
    <t xml:space="preserve">UC-WnK7if_o95z_b6tHDrcdQ</t>
  </si>
  <si>
    <t xml:space="preserve">UCEVZH1rk4d80Eej4ze-sjtA</t>
  </si>
  <si>
    <t xml:space="preserve">UC2TpiJFaC0f4_5GopyMkDdQ</t>
  </si>
  <si>
    <t xml:space="preserve">UCxENjVwBdP_i-JPfhXxQ5fQ</t>
  </si>
  <si>
    <t xml:space="preserve">UCzmlP2hHOILqjLZs6Dp159g</t>
  </si>
  <si>
    <t xml:space="preserve">UCR7hu8fna-b9i4B_Wcir9JA</t>
  </si>
  <si>
    <t xml:space="preserve">UCKNH9T3HU06GJ98_tmCe_zw</t>
  </si>
  <si>
    <t xml:space="preserve">UCfUB6aRXeVC0FZNF9AdSJyA</t>
  </si>
  <si>
    <t xml:space="preserve">UChGAsulnpraZCLYOefcTfLg</t>
  </si>
  <si>
    <t xml:space="preserve">UCo40MMzxUMBCc0m4F0MZTgw</t>
  </si>
  <si>
    <t xml:space="preserve">UC8rnu-BNvTWqDiDVkoLfUKQ</t>
  </si>
  <si>
    <t xml:space="preserve">UCa1-U0EemGNREMYbzFMimTQ</t>
  </si>
  <si>
    <t xml:space="preserve">UCNrYkkIkpj3Z0o98LWVHg5g</t>
  </si>
  <si>
    <t xml:space="preserve">UC7R5vRGwIQ-piVnhgg_TSrw</t>
  </si>
  <si>
    <t xml:space="preserve">UC6byD7xvMFhLS3nA5bHTDYQ</t>
  </si>
  <si>
    <t xml:space="preserve">UCi9-YhR-OPTsl3Vxxp5K9Qg</t>
  </si>
  <si>
    <t xml:space="preserve">UCkssF8RnDqw9Ik6OGP7adPA</t>
  </si>
  <si>
    <t xml:space="preserve">UCnwm1TTH0yTkqu20LyaAsQg</t>
  </si>
  <si>
    <t xml:space="preserve">UC7VrgeP09t-u5-wViBtrbWw</t>
  </si>
  <si>
    <t xml:space="preserve">UCKAXfjc3Fcb7RkQG3W0S98A</t>
  </si>
  <si>
    <t xml:space="preserve">UC6c-ENRpMlsW9V5QDIqxnig</t>
  </si>
  <si>
    <t xml:space="preserve">UClKctgfjTY1TPllOk4Ad3VA</t>
  </si>
  <si>
    <t xml:space="preserve">UCY_a4XLkX3pLVgnxhIKkpug</t>
  </si>
  <si>
    <t xml:space="preserve">UC0jxaPd5bmPFd2feM2cLkGA</t>
  </si>
  <si>
    <t xml:space="preserve">UCS1TURJzrhYRTSeTZWBz-Pg</t>
  </si>
  <si>
    <t xml:space="preserve">UC_9qStMfEWnXA1mWImmpNKw</t>
  </si>
  <si>
    <t xml:space="preserve">UCpoZCRvh1GAqOvd11kPnQAg</t>
  </si>
  <si>
    <t xml:space="preserve">UCdO08pEyC5mmy8Nn52fr1HA</t>
  </si>
  <si>
    <t xml:space="preserve">UCcYMuT4RfW8F7pqSwsBPZgA</t>
  </si>
  <si>
    <t xml:space="preserve">UCplhQGetBamwiuuhTN740yw</t>
  </si>
  <si>
    <t xml:space="preserve">UCLpOxO6e77kYJwwxBy9bqww</t>
  </si>
  <si>
    <t xml:space="preserve">UCw-HOXCTXe-_UoJKcr7lXPw</t>
  </si>
  <si>
    <t xml:space="preserve">UC-IpItKB30KslMXO43fjrrQ</t>
  </si>
  <si>
    <t xml:space="preserve">UCsGE4HYwOgyjJtEQBVsVd9g</t>
  </si>
  <si>
    <t xml:space="preserve">UCtnItzU7q_bA1eoEBjqcVrw</t>
  </si>
  <si>
    <t xml:space="preserve">UCkz33NQQY2k5uZPTmJRGZNw</t>
  </si>
  <si>
    <t xml:space="preserve">UCjwhB3ihHJFLA2-ttMKwubQ</t>
  </si>
  <si>
    <t xml:space="preserve">UCyd9JybuLU7tvGjwEO4uzfg</t>
  </si>
  <si>
    <t xml:space="preserve">UCKI-Hd3MVgXZk6QbQazbcfQ</t>
  </si>
  <si>
    <t xml:space="preserve">UCkROzKyhiHz_druKjVnRjvw</t>
  </si>
  <si>
    <t xml:space="preserve">UCOhYgIVWvQTpqkcDZ9EpqzA</t>
  </si>
  <si>
    <t xml:space="preserve">UCB-0-vhS6ptQ-0pqJ2RoDxQ</t>
  </si>
  <si>
    <t xml:space="preserve">UCxTbOU79jb1wXT-nFF3PxdQ</t>
  </si>
  <si>
    <t xml:space="preserve">UC4ZM4oVunAgw0zUDUOV3bXA</t>
  </si>
  <si>
    <t xml:space="preserve">UCHCAyYs_y9FfYV9ITDOeDMQ</t>
  </si>
  <si>
    <t xml:space="preserve">UCz0LaWOWAyrZRe6_4ZotnDw</t>
  </si>
  <si>
    <t xml:space="preserve">UC85Xaic7dQ7y5OEY1eENQKw</t>
  </si>
  <si>
    <t xml:space="preserve">UC6niHX--jTANllnTSGuaYCA</t>
  </si>
  <si>
    <t xml:space="preserve">UC2mBriLGJmcdhXatIrGU-iQ</t>
  </si>
  <si>
    <t xml:space="preserve">UCb8WiD1MrN-CgFsbxf36BLg</t>
  </si>
  <si>
    <t xml:space="preserve">UC5U2oPFb6mDgHnznpO1nicw</t>
  </si>
  <si>
    <t xml:space="preserve">UCpqMmunB8nTmAaJ7BJ5VizA</t>
  </si>
  <si>
    <t xml:space="preserve">UCwtILQwYy1gOiT4xY4Asg8A</t>
  </si>
  <si>
    <t xml:space="preserve">UC44urSwje54Hwdok-3hT1dQ</t>
  </si>
  <si>
    <t xml:space="preserve">UCcGThtkeEAcJMrD-kzoYNSA</t>
  </si>
  <si>
    <t xml:space="preserve">UCQUzGYhSML2PvVzhAwO90Ug</t>
  </si>
  <si>
    <t xml:space="preserve">UCgKIKiGmZZpo_iwN9Rao7yA</t>
  </si>
  <si>
    <t xml:space="preserve">UCfDXCu67W34W_9h2RonxJvQ</t>
  </si>
  <si>
    <t xml:space="preserve">UC3BC9FbD797RGSvZnQ4AREw</t>
  </si>
  <si>
    <t xml:space="preserve">UC5gi1kBz0ZZ1P9ohNFWOt0g</t>
  </si>
  <si>
    <t xml:space="preserve">UCYNuhWmnBRxNYI6l49lcGYw</t>
  </si>
  <si>
    <t xml:space="preserve">UCyCdGJqjRBQl6-YI9l-vAPA</t>
  </si>
  <si>
    <t xml:space="preserve">UCKfBmr2jPKGIkw9waYU0KNA</t>
  </si>
  <si>
    <t xml:space="preserve">UC6TSm2Jmt8yDT2enjDKdnzw</t>
  </si>
  <si>
    <t xml:space="preserve">UC7oeFutCTWQnF25lsooUiXQ</t>
  </si>
  <si>
    <t xml:space="preserve">UCU0H8h4IFMwqzd5tz4XaQBQ</t>
  </si>
  <si>
    <t xml:space="preserve">UCZIC60Uj1v82NoAIA9nWltQ</t>
  </si>
  <si>
    <t xml:space="preserve">UCtdwrHl2Q_QV8ShNH_bP6mA</t>
  </si>
  <si>
    <t xml:space="preserve">UCLy49N4J6qXcQMlKbVV6xhQ</t>
  </si>
  <si>
    <t xml:space="preserve">UC6QyJBzqB9z7CteW41otUxw</t>
  </si>
  <si>
    <t xml:space="preserve">UCW-h1rclP68A0RCNnVGSvvg</t>
  </si>
  <si>
    <t xml:space="preserve">UCwzrkYqV3yg9rG8MLBljlFg</t>
  </si>
  <si>
    <t xml:space="preserve">UC1o9hfvby_ns1sJIKEq9LFQ</t>
  </si>
  <si>
    <t xml:space="preserve">UCMsnv0DP3iD4cEYRSSh3T0Q</t>
  </si>
  <si>
    <t xml:space="preserve">UC-sY92cv3uD7uPqMAjfjCWQ</t>
  </si>
  <si>
    <t xml:space="preserve">UCamQeMJYQXc5Ly38A0FyA4w</t>
  </si>
  <si>
    <t xml:space="preserve">UCRp3bvRz8lNHoEBs3B_HQzA</t>
  </si>
  <si>
    <t xml:space="preserve">UCvohcKjA1kaUw3j9Id3HP1A</t>
  </si>
  <si>
    <t xml:space="preserve">UCIyStFkRX7RmdeEraDK2l3g</t>
  </si>
  <si>
    <t xml:space="preserve">UCXy56ynqKDTvFX7flPtbW4w</t>
  </si>
  <si>
    <t xml:space="preserve">UCRcT942ThAdpm4ZkZytccMg</t>
  </si>
  <si>
    <t xml:space="preserve">UC40yLyXk7doI_GG-0BvQ2kQ</t>
  </si>
  <si>
    <t xml:space="preserve">UCQ5edewE1yLW42YpRSpiVMA</t>
  </si>
  <si>
    <t xml:space="preserve">UC1vSkUkNZJu41SmywFy0yMA</t>
  </si>
  <si>
    <t xml:space="preserve">UCY8msY7MJB7Rw37dxs7jvgw</t>
  </si>
  <si>
    <t xml:space="preserve">UCcoJ3D2oxz2ewsgeauMaV6w</t>
  </si>
  <si>
    <t xml:space="preserve">UCkfdb6tUwVoGXPPzY7H6hUg</t>
  </si>
  <si>
    <t xml:space="preserve">UC4k_Ysx-8VP38EBMXtP-7fQ</t>
  </si>
  <si>
    <t xml:space="preserve">UCLKYZdjGK2FS6pRMuXC3ROQ</t>
  </si>
  <si>
    <t xml:space="preserve">UC-w9oWl8gW2Oy8gB3CSKfoA</t>
  </si>
  <si>
    <t xml:space="preserve">UCIBLogAPKTpgqo8VIVZCLHQ</t>
  </si>
  <si>
    <t xml:space="preserve">UC5cX0oov2mzvGPBqZrcNTlA</t>
  </si>
  <si>
    <t xml:space="preserve">UCSKwEDGN_sNsgd2_XZVn4Yg</t>
  </si>
  <si>
    <t xml:space="preserve">UC8Pqn8RWXMTCgw0VtCWEgRQ</t>
  </si>
  <si>
    <t xml:space="preserve">UCGkg-f6mtBHWtS7OIa0Kyrw</t>
  </si>
  <si>
    <t xml:space="preserve">UCzdqxIOV3iIRZQ4iiPeJGag</t>
  </si>
  <si>
    <t xml:space="preserve">UCFwhrXOTW6wj-j5qUYWbbOQ</t>
  </si>
  <si>
    <t xml:space="preserve">UCd2gxTx6Q9qL6cyAD5EZgEQ</t>
  </si>
  <si>
    <t xml:space="preserve">UCF9ss7sMU9naV5TYA1F6kDw</t>
  </si>
  <si>
    <t xml:space="preserve">UCpSYG5Z-40tuW5wq6XqUWtw</t>
  </si>
  <si>
    <t xml:space="preserve">UCzwUTp4OjMynFKxsofO5hlw</t>
  </si>
  <si>
    <t xml:space="preserve">UCqN6aBgPmVd2DQ35FOROGgA</t>
  </si>
  <si>
    <t xml:space="preserve">UCG_4T9HFxwqGZ5glNSQ39Fg</t>
  </si>
  <si>
    <t xml:space="preserve">UCAyqShHJvJyRr6GIZpw3n3Q</t>
  </si>
  <si>
    <t xml:space="preserve">UCpmqTsF7jBrRz8DWxhdEzWQ</t>
  </si>
  <si>
    <t xml:space="preserve">UCFzmh0CMIGWhBN_BMmzrLRA</t>
  </si>
  <si>
    <t xml:space="preserve">UCbP2HeYGC3kfHjHLMPplZuQ</t>
  </si>
  <si>
    <t xml:space="preserve">UC183URcd2uvgnonXXUFFc1A</t>
  </si>
  <si>
    <t xml:space="preserve">UC-PZL52Rr4V9G6sXqiFKvNA</t>
  </si>
  <si>
    <t xml:space="preserve">UCS6XB46diT24ASd_8886uFw</t>
  </si>
  <si>
    <t xml:space="preserve">UCrJOgw6aiIurQxfqriZ_-qQ</t>
  </si>
  <si>
    <t xml:space="preserve">UCOb24R2exqzx69YRtlk94ug</t>
  </si>
  <si>
    <t xml:space="preserve">UClisEWs-Byt8r9EjYY27wDw</t>
  </si>
  <si>
    <t xml:space="preserve">UCGacjbAwkakJDMvCGHvf6Wg</t>
  </si>
  <si>
    <t xml:space="preserve">UCEY2C6XmfPWhAN8DTV5Mq0g</t>
  </si>
  <si>
    <t xml:space="preserve">UCcyogDO_BD5HS7YlySkTELQ</t>
  </si>
  <si>
    <t xml:space="preserve">UC_RkcO0RuoersuSiCDGrTdw</t>
  </si>
  <si>
    <t xml:space="preserve">UC2Dx4ht7k7BU8_W_CFHY9Nw</t>
  </si>
  <si>
    <t xml:space="preserve">UCeScBQF-b-p0W4p-OyjEN1A</t>
  </si>
  <si>
    <t xml:space="preserve">UChTXM0X-2CYTo3u8BMFmeyw</t>
  </si>
  <si>
    <t xml:space="preserve">UCvzlnZbePin9kH-1JCKBt8Q</t>
  </si>
  <si>
    <t xml:space="preserve">UCNLhC5rFaFOvAvraOzY-V5Q</t>
  </si>
  <si>
    <t xml:space="preserve">UCNtRlv01a1qQGrQ8hEjN60A</t>
  </si>
  <si>
    <t xml:space="preserve">UC2xWwfUxK-9Q6NfgfmObF_A</t>
  </si>
  <si>
    <t xml:space="preserve">UCQ2A6LCgzkgS0rxO3q_2FQQ</t>
  </si>
  <si>
    <t xml:space="preserve">UCFxVBPy_scEnpKPUCud3iog</t>
  </si>
  <si>
    <t xml:space="preserve">UC4ob0b9Q9VZND4aZj6QQtJg</t>
  </si>
  <si>
    <t xml:space="preserve">UCILA46ilyvYvVa2KxK32-UA</t>
  </si>
  <si>
    <t xml:space="preserve">UC9mNxukTvZu7YNCwuvebFZA</t>
  </si>
  <si>
    <t xml:space="preserve">UCFTKEZMqKKxAUtuJ6dog04g</t>
  </si>
  <si>
    <t xml:space="preserve">UCKN9K4eNclA5hMRN12IjrrA</t>
  </si>
  <si>
    <t xml:space="preserve">UCY2505nuEP3anlsoEpfvzrw</t>
  </si>
  <si>
    <t xml:space="preserve">UCrC18Jr-wXQYWJW5HuHLmhA</t>
  </si>
  <si>
    <t xml:space="preserve">UCTaOl-lPhQxhfu2H23mm7RA</t>
  </si>
  <si>
    <t xml:space="preserve">UCL5fY4N6txaXQdW8TBLFTFQ</t>
  </si>
  <si>
    <t xml:space="preserve">UCWNylFF5xSiHkUgLBAkrg7Q</t>
  </si>
  <si>
    <t xml:space="preserve">UCqoSW-gOBQbYxAXxwc0StJg</t>
  </si>
  <si>
    <t xml:space="preserve">UCFVbOq9QM29ARYHYZ8W1c1g</t>
  </si>
  <si>
    <t xml:space="preserve">UCUpRwVkDlG22a1K1biTADpQ</t>
  </si>
  <si>
    <t xml:space="preserve">UCJbT9mCCVM6UudWRMBFKyNw</t>
  </si>
  <si>
    <t xml:space="preserve">UCm92NQYct8pbroR3UppaO5g</t>
  </si>
  <si>
    <t xml:space="preserve">UCuANNZg512Wvf-I_AMwZXnw</t>
  </si>
  <si>
    <t xml:space="preserve">UCVTf_5l6731E02VB6GkN9TQ</t>
  </si>
  <si>
    <t xml:space="preserve">UCHzhKoryN7fVP2ijGC-OgZw</t>
  </si>
  <si>
    <t xml:space="preserve">UCgYImB0onaBVHF_Ml_XnoDg</t>
  </si>
  <si>
    <t xml:space="preserve">UCgu0k23wapDBHoycACQGTzg</t>
  </si>
  <si>
    <t xml:space="preserve">UCsQmdJSyOxk7h0Ec9F7O8gA</t>
  </si>
  <si>
    <t xml:space="preserve">UC_oq9ZIQBBcVF4QXN6Pz0xg</t>
  </si>
  <si>
    <t xml:space="preserve">UC9Ks7rgMHDVGHPnpSjWO_3g</t>
  </si>
  <si>
    <t xml:space="preserve">UCI8lI9R9G_gm5od0UaDd9_w</t>
  </si>
  <si>
    <t xml:space="preserve">UCP6uQuc0gDzomZBrxGlgjLQ</t>
  </si>
  <si>
    <t xml:space="preserve">UCLWiTw5JEvxYJ9X9-6fK_4g</t>
  </si>
  <si>
    <t xml:space="preserve">UCrm2De89HWougYEEdXSDB1w</t>
  </si>
  <si>
    <t xml:space="preserve">UCzdV48SdvJpKEwqKxAAuyrA</t>
  </si>
  <si>
    <t xml:space="preserve">UCIFhEUxXV2usHgHwxg1HaSg</t>
  </si>
  <si>
    <t xml:space="preserve">UCzNAUOSsYlESnzHaV-V0EkQ</t>
  </si>
  <si>
    <t xml:space="preserve">UC7NUXSM5_xkx0SyM2DtQ08w</t>
  </si>
  <si>
    <t xml:space="preserve">UCZAc1jc4y25_vlp0ALZja2Q</t>
  </si>
  <si>
    <t xml:space="preserve">UCgFBFE4R-fMwvgxVpyzRRvw</t>
  </si>
  <si>
    <t xml:space="preserve">UCd51H1e_aTuPyp1j9f6VVrQ</t>
  </si>
  <si>
    <t xml:space="preserve">UCNTTrGU4a2qXAqdv6wJGsIw</t>
  </si>
  <si>
    <t xml:space="preserve">UCz6rW4u7i_g7GZp_u938bBA</t>
  </si>
  <si>
    <t xml:space="preserve">UCNhkdaC69U-OhmgNH4jbDmg</t>
  </si>
  <si>
    <t xml:space="preserve">UCP5RNesOH7HQwWU5bClf-Tw</t>
  </si>
  <si>
    <t xml:space="preserve">UCQhDM_1NFK6zL52N9R04hKQ</t>
  </si>
  <si>
    <t xml:space="preserve">UCnwemn3XFIEQqezlTIX63Dw</t>
  </si>
  <si>
    <t xml:space="preserve">UCMkqVX1new2fKXMqU1EQqqw</t>
  </si>
  <si>
    <t xml:space="preserve">UC9ik0sjnytZZx0tRZV7pFpg</t>
  </si>
  <si>
    <t xml:space="preserve">UCUuaCIyeKiKmphQa6NA9pjw</t>
  </si>
  <si>
    <t xml:space="preserve">UCxZSCDq3HJU0P_ozyOd4IFA</t>
  </si>
  <si>
    <t xml:space="preserve">UCNoZ5NEr7WHqLAEPaLgCw8w</t>
  </si>
  <si>
    <t xml:space="preserve">UCdru31-F6FvRis-SgWufnFA</t>
  </si>
  <si>
    <t xml:space="preserve">UC10fOxM1C1nmTl6jkZ8LrOA</t>
  </si>
  <si>
    <t xml:space="preserve">UCLlGxVFdpYEhNbhsr13Z-Cg</t>
  </si>
  <si>
    <t xml:space="preserve">UC7I-IWDnlH-F2owXuTysHpQ</t>
  </si>
  <si>
    <t xml:space="preserve">UCWaf5RVZaEeG55Y91CkT8OQ</t>
  </si>
  <si>
    <t xml:space="preserve">UC7kmyAdNsk6BB4RRYU__Akg</t>
  </si>
  <si>
    <t xml:space="preserve">UCwr16Of0Df0YvX131BnmHFw</t>
  </si>
  <si>
    <t xml:space="preserve">UCY_tzh5ft4JNCjES4-Ngvig</t>
  </si>
  <si>
    <t xml:space="preserve">UC-pBPpbeRmQXik-NEveTfbg</t>
  </si>
  <si>
    <t xml:space="preserve">UCBawc8nDu9SO_pzeBurOGuA</t>
  </si>
  <si>
    <t xml:space="preserve">UCFEuj2FtHfwdNeFGDC2LuTw</t>
  </si>
  <si>
    <t xml:space="preserve">UCe7V53TILmFdOCYI2TjHyLA</t>
  </si>
  <si>
    <t xml:space="preserve">UCQKMa9oEGX5QGcQgunBfqng</t>
  </si>
  <si>
    <t xml:space="preserve">UCAM4kZ3p2_zyiAOvkwmXBUg</t>
  </si>
  <si>
    <t xml:space="preserve">UCK-kUwdvvON8cb3dGPQjotQ</t>
  </si>
  <si>
    <t xml:space="preserve">UCkC9WpaFrcK5j-tjkPxWUDQ</t>
  </si>
  <si>
    <t xml:space="preserve">UCUJkdOq4FE3guXctEXBvQjA</t>
  </si>
  <si>
    <t xml:space="preserve">UCSmR76TED496O28f4dxLjBA</t>
  </si>
  <si>
    <t xml:space="preserve">UCm43o96rmDqT7ft8cXY6dpQ</t>
  </si>
  <si>
    <t xml:space="preserve">UCxuve0COiya5BjuASunSEuA</t>
  </si>
  <si>
    <t xml:space="preserve">UCbT_yS2JgIWczKuQ-5QsLAQ</t>
  </si>
  <si>
    <t xml:space="preserve">UCbVbLRcrA2b41aLjRElehyg</t>
  </si>
  <si>
    <t xml:space="preserve">UCT2vev3UPMKgNIvYVlvAcxg</t>
  </si>
  <si>
    <t xml:space="preserve">UCLqr-JuaX6DJw2ofJPw-uPA</t>
  </si>
  <si>
    <t xml:space="preserve">UCfPcrMPOiz12lw5UXDUuI7g</t>
  </si>
  <si>
    <t xml:space="preserve">UC-hUf-tZNjtV0BovxQna1qQ</t>
  </si>
  <si>
    <t xml:space="preserve">UCAY2VCHPwyYNELtn41yEmKw</t>
  </si>
  <si>
    <t xml:space="preserve">UC29OtXw4Tla8VWAo48Q8ofg</t>
  </si>
  <si>
    <t xml:space="preserve">UCQwNVOYxDuBC8wwWS7ngdog</t>
  </si>
  <si>
    <t xml:space="preserve">UC1E6qa8lH4ebf-x-SiuamCg</t>
  </si>
  <si>
    <t xml:space="preserve">UC-rukYm1IygBvbPKWnWxbVA</t>
  </si>
  <si>
    <t xml:space="preserve">UCsDOtEDbQSZqvdiMurjT51Q</t>
  </si>
  <si>
    <t xml:space="preserve">UCPoP0VzRh0g50ZqDMGqv7OQ</t>
  </si>
  <si>
    <t xml:space="preserve">UC81-DDUVk9AfNbaPQ-u3XIQ</t>
  </si>
  <si>
    <t xml:space="preserve">UCI8UyRj2Vuu-vCXi7V69MOA</t>
  </si>
  <si>
    <t xml:space="preserve">UCsDYpafr9Iqqg_xRvcOdPlQ</t>
  </si>
  <si>
    <t xml:space="preserve">UCfEisKog-Dr3a8-DlBSbrNQ</t>
  </si>
  <si>
    <t xml:space="preserve">UCU_otRwQp6V47jof7D1MJeg</t>
  </si>
  <si>
    <t xml:space="preserve">UCbp-f_xDAiKbXY0FH4Ik37A</t>
  </si>
  <si>
    <t xml:space="preserve">UCXp1P6GY6RyS_3WuZPTZi3A</t>
  </si>
  <si>
    <t xml:space="preserve">UCwh_qd5g7I88OVr8FM1PnjQ</t>
  </si>
  <si>
    <t xml:space="preserve">UCna8eZOQVNRXpvT_59AxRAA</t>
  </si>
  <si>
    <t xml:space="preserve">UCujLz80PKnVN4TdzNJS-jug</t>
  </si>
  <si>
    <t xml:space="preserve">UC5YqKHXASyCVWG35TqllziQ</t>
  </si>
  <si>
    <t xml:space="preserve">UCH0uh5-zRIn1cKddu066vjA</t>
  </si>
  <si>
    <t xml:space="preserve">UCpQnXF0ORYxda4HrprvLi7w</t>
  </si>
  <si>
    <t xml:space="preserve">UCrhdQqI4E6N-szDVwOBhrGw</t>
  </si>
  <si>
    <t xml:space="preserve">UCErnatAX14qoa5T4_jB1QWQ</t>
  </si>
  <si>
    <t xml:space="preserve">UC5gPCwQYzJBdCZlART6Q-Tg</t>
  </si>
  <si>
    <t xml:space="preserve">UCIMpvy0k0AN6tC7b8_XJZvg</t>
  </si>
  <si>
    <t xml:space="preserve">UCaNeJ6I6BFzAYEbPolhM8Fg</t>
  </si>
  <si>
    <t xml:space="preserve">UCWhDrhzJ16XO_zBeGmkFiew</t>
  </si>
  <si>
    <t xml:space="preserve">UCkPyIr-7bww20oIgSrB3PvA</t>
  </si>
  <si>
    <t xml:space="preserve">UCW4yo6_M7bDpYgtPxYYk23g</t>
  </si>
  <si>
    <t xml:space="preserve">UCSYGnhd0q0LmMSPtjzybs2w</t>
  </si>
  <si>
    <t xml:space="preserve">UCpIww5UNVfaErQ6sK0oWBqg</t>
  </si>
  <si>
    <t xml:space="preserve">UCSGjIKsQBTH4-WW364tY07Q</t>
  </si>
  <si>
    <t xml:space="preserve">UC96EQ7c5ytkz00WD6LBt7MA</t>
  </si>
  <si>
    <t xml:space="preserve">UCxMRMsAwd1hwgtcQ1pnDg8g</t>
  </si>
  <si>
    <t xml:space="preserve">UCj0jsLqHGc-LT61MF3ZHO4w</t>
  </si>
  <si>
    <t xml:space="preserve">UCO1vco1GTVtqfNBadb5ODGg</t>
  </si>
  <si>
    <t xml:space="preserve">UCsq1yX4jjchIzp_2fi0aqkA</t>
  </si>
  <si>
    <t xml:space="preserve">UCIbED-fQfA4tUkgj5S5wWxw</t>
  </si>
  <si>
    <t xml:space="preserve">UC3ujycUKUfqTjCRCqH0tUdQ</t>
  </si>
  <si>
    <t xml:space="preserve">UC0q3hyaooB0BKLh7hlJRdGQ</t>
  </si>
  <si>
    <t xml:space="preserve">UCqJ_Tcn7uSe-k-nwhWIGmHg</t>
  </si>
  <si>
    <t xml:space="preserve">UC1cRpuXMQH9KekabdsW1M_g</t>
  </si>
  <si>
    <t xml:space="preserve">UCGbAN9gmfXb530Y1RA8njyw</t>
  </si>
  <si>
    <t xml:space="preserve">UCDmh7Rt4kP3tvpMRpe0umLA</t>
  </si>
  <si>
    <t xml:space="preserve">UCgewh6ypdjZvk7hOjhcno1w</t>
  </si>
  <si>
    <t xml:space="preserve">UC7PR-EB6_v4nmMLnp-k_I0Q</t>
  </si>
  <si>
    <t xml:space="preserve">UCi73-p09as4fkn4HK_Xrywg</t>
  </si>
  <si>
    <t xml:space="preserve">UCINCWNMFrwyr8JE4hCCtw6w</t>
  </si>
  <si>
    <t xml:space="preserve">UCPvT74nBqWZ-q99tHH_90gg</t>
  </si>
  <si>
    <t xml:space="preserve">UCo7ZHCawMKxXsRCYgnzOvMg</t>
  </si>
  <si>
    <t xml:space="preserve">UC0RVGVWBZD9SK-pvufMklxA</t>
  </si>
  <si>
    <t xml:space="preserve">UCx9MOVywrKNxhxuiP-856IQ</t>
  </si>
  <si>
    <t xml:space="preserve">UC1Be9fnFTlcsUlejgfqag0g</t>
  </si>
  <si>
    <t xml:space="preserve">UCf6ptanPB6Bm7ZZDY0-JXrA</t>
  </si>
  <si>
    <t xml:space="preserve">UCPHAQAGukhje7ii0U_HnY5w</t>
  </si>
  <si>
    <t xml:space="preserve">UC86C6B7tjXBbpGqYaXv-DWA</t>
  </si>
  <si>
    <t xml:space="preserve">UCCh-qrYI2ho9-_3id-6qkuA</t>
  </si>
  <si>
    <t xml:space="preserve">UCogCUXRZtsJU5PiaVsvXKqg</t>
  </si>
  <si>
    <t xml:space="preserve">UC8LZYVde-9UIvOqbFJ9hJRg</t>
  </si>
  <si>
    <t xml:space="preserve">UCSg9t5YtAw1CgvA4JbMdfaA</t>
  </si>
  <si>
    <t xml:space="preserve">UC40htyARBYpi4gwDNaATUMA</t>
  </si>
  <si>
    <t xml:space="preserve">UC6r9_yadbaWP15vlyrL-T0w</t>
  </si>
  <si>
    <t xml:space="preserve">UCExh058w31k9oQ9TDmxwxpw</t>
  </si>
  <si>
    <t xml:space="preserve">UC-tX6dV9fEa-AagUsr-O2PA</t>
  </si>
  <si>
    <t xml:space="preserve">UC76TbffoX3vr1XpnHacmGnQ</t>
  </si>
  <si>
    <t xml:space="preserve">UCtTPunmzyKWFaX03M1sHrDQ</t>
  </si>
  <si>
    <t xml:space="preserve">UCCqXWg9SU0c0b0KvUkpvU4g</t>
  </si>
  <si>
    <t xml:space="preserve">UCravI4GmvahFmBPvwdq7neQ</t>
  </si>
  <si>
    <t xml:space="preserve">UCZWgl9UVG3a14lE2E9Q4jRg</t>
  </si>
  <si>
    <t xml:space="preserve">UCQM3e6arSELYW6ZTBtJPEgg</t>
  </si>
  <si>
    <t xml:space="preserve">UCFTM1FGjZSkoSPDZgtbp7hA</t>
  </si>
  <si>
    <t xml:space="preserve">UCVqpzMnKjgejx-ZC8YW2beQ</t>
  </si>
  <si>
    <t xml:space="preserve">UCq5fpn9Vtwd0YhNvgsozXCQ</t>
  </si>
  <si>
    <t xml:space="preserve">UCwQeFCz9XFaGBkTaR1XITFg</t>
  </si>
  <si>
    <t xml:space="preserve">UCuPMu7CuTBmGbJeooOr2E5g</t>
  </si>
  <si>
    <t xml:space="preserve">UCdQqBQ-nc25EDlsQi0GQnpg</t>
  </si>
  <si>
    <t xml:space="preserve">UCJcbH9xPAu10wrdod-W04WQ</t>
  </si>
  <si>
    <t xml:space="preserve">UCik-OVjX9i2eruUv1D-IbtA</t>
  </si>
  <si>
    <t xml:space="preserve">UCwksJ08ItYZMsVUSmQSAmTw</t>
  </si>
  <si>
    <t xml:space="preserve">UC4QxtTo9PSMIXxfgY8ZOeGg</t>
  </si>
  <si>
    <t xml:space="preserve">UC5tFWPKc2zZry3kANJpN_kA</t>
  </si>
  <si>
    <t xml:space="preserve">UCwZnyjD3oiPqRuu9i-tgAfg</t>
  </si>
  <si>
    <t xml:space="preserve">UC04eKCHxzFlMw16jsWfwErg</t>
  </si>
  <si>
    <t xml:space="preserve">UCuQ9zsTl1f6ZrnzGT8l6WHQ</t>
  </si>
  <si>
    <t xml:space="preserve">UCowvKthuTLl7F3LEvoaJHcg</t>
  </si>
  <si>
    <t xml:space="preserve">UCL_1aSGbMF-MAqImvLXl8Kg</t>
  </si>
  <si>
    <t xml:space="preserve">UCvtnc3lA8qMH0110jd7atfw</t>
  </si>
  <si>
    <t xml:space="preserve">UCGpBf6ZnPiAA8iJ8YFabCRQ</t>
  </si>
  <si>
    <t xml:space="preserve">UCZ7ZcPuiUmqc8SIlpTllkyg</t>
  </si>
  <si>
    <t xml:space="preserve">UCQuAGdTmaQ3mcguqmvOqNjg</t>
  </si>
  <si>
    <t xml:space="preserve">UC5OlcW6Ii9C0OVbWssNaeuQ</t>
  </si>
  <si>
    <t xml:space="preserve">UC0ORxjRa_tBFT1ls2y7X4VA</t>
  </si>
  <si>
    <t xml:space="preserve">UCPq0IxPMRY4z50EWRRah4Iw</t>
  </si>
  <si>
    <t xml:space="preserve">UCliTR9osj8WhFYv1wCT6kzA</t>
  </si>
  <si>
    <t xml:space="preserve">UCvdENuXInoTu04WHfsoa9Ig</t>
  </si>
  <si>
    <t xml:space="preserve">UCV0bMjKKAADomk1U7Py5bqA</t>
  </si>
  <si>
    <t xml:space="preserve">UCeTwhJyV5_fg37yMWloXi4Q</t>
  </si>
  <si>
    <t xml:space="preserve">UCf3dc-Y3k5vBTCVpPCAfG6g</t>
  </si>
  <si>
    <t xml:space="preserve">UCbCQJrjOJZ2p8umNe4DdhmQ</t>
  </si>
  <si>
    <t xml:space="preserve">UCVNoGh5F_Lp6yLtSCI1FWeg</t>
  </si>
  <si>
    <t xml:space="preserve">UCeUDlxPVQ3bric8V5BhoiAg</t>
  </si>
  <si>
    <t xml:space="preserve">UCYrqo9zqzbycDIR_3xPW4TQ</t>
  </si>
  <si>
    <t xml:space="preserve">UC5CQalEis9ATX-eAqFJ1Tmw</t>
  </si>
  <si>
    <t xml:space="preserve">UCLdxgXzdynsxdcWoTopfHbQ</t>
  </si>
  <si>
    <t xml:space="preserve">UCJHpcrckAk2jS5xxwUpwSrg</t>
  </si>
  <si>
    <t xml:space="preserve">UCqAI12plU1PETCNcZGLf8BA</t>
  </si>
  <si>
    <t xml:space="preserve">UCBPd-hwqKYZepqFlEhiaSpA</t>
  </si>
  <si>
    <t xml:space="preserve">UCQ8DHpYx3A54TLMQzmgW1xA</t>
  </si>
  <si>
    <t xml:space="preserve">UCI9cqO-Jm1gEMFX6LzWDC8w</t>
  </si>
  <si>
    <t xml:space="preserve">UC7pAB2d9aWkyCYsMaqu1CIQ</t>
  </si>
  <si>
    <t xml:space="preserve">UCs5RrH-pZi2SLmuhNJaDqcA</t>
  </si>
  <si>
    <t xml:space="preserve">UCyk857rkBO2iXydnLp9Bh3Q</t>
  </si>
  <si>
    <t xml:space="preserve">UCSAerSjaoz54uKb1ZqkQOow</t>
  </si>
  <si>
    <t xml:space="preserve">UCskBGNS_L1lFjowqBcbXq5w</t>
  </si>
  <si>
    <t xml:space="preserve">UChvL1yGRGKhdXwu1MadvKcQ</t>
  </si>
  <si>
    <t xml:space="preserve">UCaoFrq24qGMKsc0cCut1lNA</t>
  </si>
  <si>
    <t xml:space="preserve">UC6ZMDEo_WQTFs8vcO7oUeZg</t>
  </si>
  <si>
    <t xml:space="preserve">UCaH235DwibFdiV-8M2F4emQ</t>
  </si>
  <si>
    <t xml:space="preserve">UCQi8IKcwQp_XL-0ks9BMpDQ</t>
  </si>
  <si>
    <t xml:space="preserve">UCJZN5I3rfOQnTWRTwuE2W2g</t>
  </si>
  <si>
    <t xml:space="preserve">UCe7dT0Lln-b9930L4h7-bDQ</t>
  </si>
  <si>
    <t xml:space="preserve">UCagT8yKSIFior2bylZmiSBQ</t>
  </si>
  <si>
    <t xml:space="preserve">UCE6wlYZOldn_o25sXQzp0LA</t>
  </si>
  <si>
    <t xml:space="preserve">UCaa_mhQPPdddAkCpaFEiTcA</t>
  </si>
  <si>
    <t xml:space="preserve">UCmkNoDHBfKzPnXWTNoYQc7A</t>
  </si>
  <si>
    <t xml:space="preserve">UCm28pj3X__kXXeD7yq0WBsg</t>
  </si>
  <si>
    <t xml:space="preserve">UCR48l0EM04r_qVs7z-MVxyQ</t>
  </si>
  <si>
    <t xml:space="preserve">UCqnNQSr9_NVm756jpcnd7Hw</t>
  </si>
  <si>
    <t xml:space="preserve">UCKfejN_G655uGv4a1XCPYlw</t>
  </si>
  <si>
    <t xml:space="preserve">UCH_V41SFKuVT2R0pr67nkAg</t>
  </si>
  <si>
    <t xml:space="preserve">UClpdBL-6HiuWx2bgl1idViw</t>
  </si>
  <si>
    <t xml:space="preserve">UCHYydeIVoFHj_gWj8BZcn0Q</t>
  </si>
  <si>
    <t xml:space="preserve">UCP5fWMzthJwoonQcOnsqHWg</t>
  </si>
  <si>
    <t xml:space="preserve">UCweHCPfnPgFaR_Ir5Da6onA</t>
  </si>
  <si>
    <t xml:space="preserve">UCfsV0biWscjn0obrfTr-9KQ</t>
  </si>
  <si>
    <t xml:space="preserve">UCxcSvmchMRG22Vq49ma0Vmg</t>
  </si>
  <si>
    <t xml:space="preserve">UCk0rD4bhbSNnjYx09FPkXig</t>
  </si>
  <si>
    <t xml:space="preserve">UCV-iDbj5zWPDSn5eRh2FZfw</t>
  </si>
  <si>
    <t xml:space="preserve">UCeuJuRZ6njWmSd3fW2o5cMg</t>
  </si>
  <si>
    <t xml:space="preserve">UC1RIUWZZ2QCk-jRz3FGvhag</t>
  </si>
  <si>
    <t xml:space="preserve">UCoX8xraKAR_5P4Jwr0Dbc3Q</t>
  </si>
  <si>
    <t xml:space="preserve">UCDxNoaHOj2l2bFrHgCkg6Zw</t>
  </si>
  <si>
    <t xml:space="preserve">UCe1o2WGNYmH0HoosH2T6n-Q</t>
  </si>
  <si>
    <t xml:space="preserve">UCZOabCsJPv5YypnHSaALPyw</t>
  </si>
  <si>
    <t xml:space="preserve">UC1yHOGesWo99lSYOl1MqH0A</t>
  </si>
  <si>
    <t xml:space="preserve">UC_D5hKQBzPc2Ilx2gMfl1oA</t>
  </si>
  <si>
    <t xml:space="preserve">UCDyoch6mtkeC_5lNkI9W2OQ</t>
  </si>
  <si>
    <t xml:space="preserve">UCYv4upmG3Ex2Vz3ZHwSHipw</t>
  </si>
  <si>
    <t xml:space="preserve">UCTAiA-Th943Q23CZu8dm11A</t>
  </si>
  <si>
    <t xml:space="preserve">UCCmTSX19SklnNEM5kiSNYLQ</t>
  </si>
  <si>
    <t xml:space="preserve">UCgRzv1QIS8owqL4yt1T0Arg</t>
  </si>
  <si>
    <t xml:space="preserve">UCgrrJof9xu7dFczo7Y0Kk9A</t>
  </si>
  <si>
    <t xml:space="preserve">UCFypUKjQigfE8_cNzXQ1IxQ</t>
  </si>
  <si>
    <t xml:space="preserve">UC9g9IPdlT4BSdZA9WQ6O3-A</t>
  </si>
  <si>
    <t xml:space="preserve">UC_u85Uscn3o0osxOvnZq_PA</t>
  </si>
  <si>
    <t xml:space="preserve">UC030YhcxsiH86IA4ks9Cirg</t>
  </si>
  <si>
    <t xml:space="preserve">UCdWghuUa0qb1bgt0fdX6i0w</t>
  </si>
  <si>
    <t xml:space="preserve">UCYLSicYvcpLwWr0CVWE3xuA</t>
  </si>
  <si>
    <t xml:space="preserve">UC3NatFtMJFnE4mzSCL0Qkqw</t>
  </si>
  <si>
    <t xml:space="preserve">UCNCW8BZDqkxMLnrxdyGpwfA</t>
  </si>
  <si>
    <t xml:space="preserve">UCA1HQRY5r0xYhtwApr81pdg</t>
  </si>
  <si>
    <t xml:space="preserve">UCqPAi5jbvLqp3wOeW_IkkHg</t>
  </si>
  <si>
    <t xml:space="preserve">UC3KZ8z_wIz64lYP8rkADBsw</t>
  </si>
  <si>
    <t xml:space="preserve">UCotU5I29Ovp1FnNdsBECGLg</t>
  </si>
  <si>
    <t xml:space="preserve">UCHbzxPstXVVGe3KMj0-xZ7A</t>
  </si>
  <si>
    <t xml:space="preserve">UCrdck1of1PamzRyNNZoYVfQ</t>
  </si>
  <si>
    <t xml:space="preserve">UCCAkQJun-Px9HIOP1Xse60w</t>
  </si>
  <si>
    <t xml:space="preserve">UC_kevNVDBeoUFGIPQbZFavw</t>
  </si>
  <si>
    <t xml:space="preserve">UCyYFIBU9MuMeYCJcZGgRpWA</t>
  </si>
  <si>
    <t xml:space="preserve">UCrO0b6FMUNc8xAnD7BdLfcA</t>
  </si>
  <si>
    <t xml:space="preserve">UCwvFRbGrJ3kPAnS1iz_yALQ</t>
  </si>
  <si>
    <t xml:space="preserve">UCIDHnOhRwIRa-6CVOnZWRiw</t>
  </si>
  <si>
    <t xml:space="preserve">UC-JFCYHPWDWhTe2RzAwfgrQ</t>
  </si>
  <si>
    <t xml:space="preserve">UCRmBUxqF4mfMlc3KUU1hTGQ</t>
  </si>
  <si>
    <t xml:space="preserve">UCMyKAhfA_6UkRN5_hqVQedA</t>
  </si>
  <si>
    <t xml:space="preserve">UCSVrPZCQbKz2JdS-XoE5FzA</t>
  </si>
  <si>
    <t xml:space="preserve">UCMG8SSXuFS8o_V86QWQbeQQ</t>
  </si>
  <si>
    <t xml:space="preserve">UCYM6QJQ2889iUrBy8D3_aUA</t>
  </si>
  <si>
    <t xml:space="preserve">UCzENTM0hy1bK_vIdKfcE1aA</t>
  </si>
  <si>
    <t xml:space="preserve">UCtddlJrmNC5jIR4F4r3m5Yw</t>
  </si>
  <si>
    <t xml:space="preserve">UCwhb2W98W5XRw5RQtyN_VmA</t>
  </si>
  <si>
    <t xml:space="preserve">UC8kEPaYmpfHLCeR8Ivnqk_A</t>
  </si>
  <si>
    <t xml:space="preserve">UClRzRQxxOfWaXPpENft1qPA</t>
  </si>
  <si>
    <t xml:space="preserve">UC9vq5lJngilz6jEW6V_XrbA</t>
  </si>
  <si>
    <t xml:space="preserve">UCRZtlIhSePbOAlBbvT_aq1Q</t>
  </si>
  <si>
    <t xml:space="preserve">UCOn9E6VycblBGligrFUOsIg</t>
  </si>
  <si>
    <t xml:space="preserve">UCRY3RBsL7MqYH8ZH7OH2fOA</t>
  </si>
  <si>
    <t xml:space="preserve">UCPoqbuslUOB1aXEgeFycmpA</t>
  </si>
  <si>
    <t xml:space="preserve">UCb6x2VWQfY8ELiSup4xAEpw</t>
  </si>
  <si>
    <t xml:space="preserve">UCBe-mDvbhbUHZSSZk9I8UYw</t>
  </si>
  <si>
    <t xml:space="preserve">UCttAYAQpykQutDwqdlLbU8A</t>
  </si>
  <si>
    <t xml:space="preserve">UCQAdWg90dRr9e7FJ-HymVEg</t>
  </si>
  <si>
    <t xml:space="preserve">UCzojIVK9YrFhx594i31m6uw</t>
  </si>
  <si>
    <t xml:space="preserve">UCZ4TeP5KbO9Nex9E3sozMqA</t>
  </si>
  <si>
    <t xml:space="preserve">UCRUfdEhgPuvW-RRR4U6E-QA</t>
  </si>
  <si>
    <t xml:space="preserve">UC0e-mDWODto6r7eIOBVxdfw</t>
  </si>
  <si>
    <t xml:space="preserve">UC_K-_FXHFdh8pZgLkXq_OqA</t>
  </si>
  <si>
    <t xml:space="preserve">UCN83rA0uafgaB0lVtFAqSug</t>
  </si>
  <si>
    <t xml:space="preserve">UC4sw9AXN21Iaw3iMYINAvkQ</t>
  </si>
  <si>
    <t xml:space="preserve">UCJonHhxNiYZbkCRiw_RBVtw</t>
  </si>
  <si>
    <t xml:space="preserve">UCNhR5REsVSdwdhSBveJXWbA</t>
  </si>
  <si>
    <t xml:space="preserve">UCCuIPVnRDuPfmAlv4JQFa2w</t>
  </si>
  <si>
    <t xml:space="preserve">UCAqO9aZpv_ctG-DX4B1nc5w</t>
  </si>
  <si>
    <t xml:space="preserve">UCZ1IAE13PSeibGIIBKpJAWw</t>
  </si>
  <si>
    <t xml:space="preserve">UCcOCj9lruT2vEKWz6AX06Qw</t>
  </si>
  <si>
    <t xml:space="preserve">UC5XBccMPiEZTIamRHiH67aA</t>
  </si>
  <si>
    <t xml:space="preserve">UCGENmWnUotexWC_b4cX2wnw</t>
  </si>
  <si>
    <t xml:space="preserve">UCb-BJjPuVEZs8wSGIXQzC-A</t>
  </si>
  <si>
    <t xml:space="preserve">UCGnpnunQM-ETGq59v9TH-Xg</t>
  </si>
  <si>
    <t xml:space="preserve">UCqe7ivxu9A3Mmb3nDcKay8A</t>
  </si>
  <si>
    <t xml:space="preserve">UC3HlRu2RS1yss06c8IEKw8Q</t>
  </si>
  <si>
    <t xml:space="preserve">UCWgx2R2OEk79RUbOkKdtzCw</t>
  </si>
  <si>
    <t xml:space="preserve">UC-LpzUzkhlp2R7X9HFkmUMw</t>
  </si>
  <si>
    <t xml:space="preserve">UC0IF0gBh0MK63iA4zbzQmsg</t>
  </si>
  <si>
    <t xml:space="preserve">UC8R5DpsiuXLMb53WlNp1qeg</t>
  </si>
  <si>
    <t xml:space="preserve">UCqJte_TyE01aEv5Hvqysz3w</t>
  </si>
  <si>
    <t xml:space="preserve">UCDTth2ilnxyr4c9wfNiwqaA</t>
  </si>
  <si>
    <t xml:space="preserve">UCFMILFTlN4n6IWm7QzI-uhg</t>
  </si>
  <si>
    <t xml:space="preserve">UCMBEhla8h5CC5-_0xZnpGKw</t>
  </si>
  <si>
    <t xml:space="preserve">UCHQCy6xDBud7ijlwez6XSeg</t>
  </si>
  <si>
    <t xml:space="preserve">UCbNgY9-arRN6EEaYHpUO5Xw</t>
  </si>
  <si>
    <t xml:space="preserve">UCIDuc45phsEJ8ph0BF5r8ng</t>
  </si>
  <si>
    <t xml:space="preserve">UCN5KQ-e8cH3eTGR-e_avoYw</t>
  </si>
  <si>
    <t xml:space="preserve">UChAJW-EWEcKjxLXwviOKc5g</t>
  </si>
  <si>
    <t xml:space="preserve">UCvtVp3RXY1zNU3hMtQK5BWA</t>
  </si>
  <si>
    <t xml:space="preserve">UCPrt2F-Ff1Q2oJjYbXPoaEA</t>
  </si>
  <si>
    <t xml:space="preserve">UCIEXTLW54Og0o0kWvkUZXeA</t>
  </si>
  <si>
    <t xml:space="preserve">UCKUyo9glySkMb0EbYMX1GMQ</t>
  </si>
  <si>
    <t xml:space="preserve">UCweVm-of3ePvmv4uZDK_fYA</t>
  </si>
  <si>
    <t xml:space="preserve">UC0WYM3EEH5tJi8oSE4bnVGg</t>
  </si>
  <si>
    <t xml:space="preserve">UCR8-AYMMAWRc4ZkizQ4GF7w</t>
  </si>
  <si>
    <t xml:space="preserve">UCC_UDTs7bMeEKUpsdhRv_xw</t>
  </si>
  <si>
    <t xml:space="preserve">UC16oPdfnA_hrMUroVD5Ox5A</t>
  </si>
  <si>
    <t xml:space="preserve">UCswZzu9wDCTwGnnHfmoAGUg</t>
  </si>
  <si>
    <t xml:space="preserve">UCv7_8_HnXAadqvcMEaMiXRg</t>
  </si>
  <si>
    <t xml:space="preserve">UC205PRkhp0e9ENol37eNRFg</t>
  </si>
  <si>
    <t xml:space="preserve">UC6SkFdXp9cRNcCBUghb5PIA</t>
  </si>
  <si>
    <t xml:space="preserve">UCZjv6zieRSCn9kKj1Mi_mwA</t>
  </si>
  <si>
    <t xml:space="preserve">UCCCnCWybDGKm0NVPIMFbm1Q</t>
  </si>
  <si>
    <t xml:space="preserve">UCLUQA2u_2S7VJ7GvQiLHf4Q</t>
  </si>
  <si>
    <t xml:space="preserve">UCfi4W026NtwxmDq3BVlmnFw</t>
  </si>
  <si>
    <t xml:space="preserve">UC2IZqXjhHelMK09lIBF3CAw</t>
  </si>
  <si>
    <t xml:space="preserve">UCPLqLa9efJdhSYo3mZSCELQ</t>
  </si>
  <si>
    <t xml:space="preserve">UCY1pPGYkBq0uLu7-x6AHmcA</t>
  </si>
  <si>
    <t xml:space="preserve">UCu0cVyaC2Z4oqO5q3iZnbqw</t>
  </si>
  <si>
    <t xml:space="preserve">UCpAYS6qtw9XEjUcnOGR3Wkw</t>
  </si>
  <si>
    <t xml:space="preserve">UCEIaZ-bmX7AT8bBnHIU5BWw</t>
  </si>
  <si>
    <t xml:space="preserve">UCVAjgbB_EFVMv06e_lzcp7Q</t>
  </si>
  <si>
    <t xml:space="preserve">UCC13m5gHCPrN3rU5updSA3Q</t>
  </si>
  <si>
    <t xml:space="preserve">UClNgU_OB_xzo9NtnVeolnXQ</t>
  </si>
  <si>
    <t xml:space="preserve">UCjZi_N5iKgI0Vb5YAxAsWTg</t>
  </si>
  <si>
    <t xml:space="preserve">UCnlE5naj9ONYSjLX3wFvpMg</t>
  </si>
  <si>
    <t xml:space="preserve">UCSuP2VrHW3QpszrEZk1iOcw</t>
  </si>
  <si>
    <t xml:space="preserve">UCDIreO5gr67NVFGOhW-uUMw</t>
  </si>
  <si>
    <t xml:space="preserve">UCoIOW4qHdo6nJalShMotwZQ</t>
  </si>
  <si>
    <t xml:space="preserve">UCF2RLH1Esl2SlFpKvEIyH3g</t>
  </si>
  <si>
    <t xml:space="preserve">UC1T9Twfq85iwuFqWfO609pA</t>
  </si>
  <si>
    <t xml:space="preserve">UCI2yYeAVZiog_B8jwSwjYQw</t>
  </si>
  <si>
    <t xml:space="preserve">UCx0LDUAScKABemhu47xNIDQ</t>
  </si>
  <si>
    <t xml:space="preserve">UCyCG9F1fkTGRyIyi-Cpq6MQ</t>
  </si>
  <si>
    <t xml:space="preserve">UCtHuea-Iz1lvO9f2wEQytAg</t>
  </si>
  <si>
    <t xml:space="preserve">UCVQUcGWcp9jXgtfMTAD2nPw</t>
  </si>
  <si>
    <t xml:space="preserve">UCEWvoyZEPVL7sV4MzwuoGXA</t>
  </si>
  <si>
    <t xml:space="preserve">UCUn5FEIqt7ISdauD_wwmxYA</t>
  </si>
  <si>
    <t xml:space="preserve">UC3qUi5XjtegUzWFZfY4hkpw</t>
  </si>
  <si>
    <t xml:space="preserve">UC9b5fRBS-ixkZ-Woa4Mpkqw</t>
  </si>
  <si>
    <t xml:space="preserve">UCU_p7Ch8R1dKVOeQHYKIOFg</t>
  </si>
  <si>
    <t xml:space="preserve">UC0aQ6nbgMuMjSzm8vnt4zSw</t>
  </si>
  <si>
    <t xml:space="preserve">UCfZaTpCO46TIszBMkMzQ_YQ</t>
  </si>
  <si>
    <t xml:space="preserve">UCwD8C1JLRboaJVpIs5MwOCA</t>
  </si>
  <si>
    <t xml:space="preserve">UCFroR2mxprTcRZxxMxwoM0w</t>
  </si>
  <si>
    <t xml:space="preserve">UC6AoSktg5WGLME4mPqVc_bA</t>
  </si>
  <si>
    <t xml:space="preserve">UC2IZvh-9jYd0oyYVe7RKKKQ</t>
  </si>
  <si>
    <t xml:space="preserve">UCxEAK1vT1GCo0IjVg9n2lGw</t>
  </si>
  <si>
    <t xml:space="preserve">UCjh5qUbg0GLtVT-q9ZyEbLQ</t>
  </si>
  <si>
    <t xml:space="preserve">UCuwYNewF2hhT7lAXg1EDwXw</t>
  </si>
  <si>
    <t xml:space="preserve">UCt-5IXDxSkT5C2MK5V8A6ZA</t>
  </si>
  <si>
    <t xml:space="preserve">UCY9G05h0IBHAimoCQLmovuA</t>
  </si>
  <si>
    <t xml:space="preserve">UCeex8hXWbegjhnWBtiT6I9g</t>
  </si>
  <si>
    <t xml:space="preserve">UCLDEigzdUJONf1wivV6pC9Q</t>
  </si>
  <si>
    <t xml:space="preserve">UCjDq0dEKuSH9rirl22T7TjQ</t>
  </si>
  <si>
    <t xml:space="preserve">UCoBlg_TPtC3Oxfj_gRjRKrA</t>
  </si>
  <si>
    <t xml:space="preserve">UCxa5cG589NIsI82QDo6C40A</t>
  </si>
  <si>
    <t xml:space="preserve">UCQoDYu9zWVd-N6ehi2GbkLg</t>
  </si>
  <si>
    <t xml:space="preserve">UCfrlnvo943rpGr3-HcTVRHw</t>
  </si>
  <si>
    <t xml:space="preserve">UCDy5n4YEOg6daXPT-P-eESA</t>
  </si>
  <si>
    <t xml:space="preserve">UC_jojTCnd78Cfq_UC5pSOMg</t>
  </si>
  <si>
    <t xml:space="preserve">UCRem6VzhubgpM_YiJ9M3GpQ</t>
  </si>
  <si>
    <t xml:space="preserve">UCmUgrZo3e0yarJufGQHjlWw</t>
  </si>
  <si>
    <t xml:space="preserve">UCmDtiKKZBNSV45cGT8ssJ5g</t>
  </si>
  <si>
    <t xml:space="preserve">UC3WVla8a3joDjU6GxkGnhiA</t>
  </si>
  <si>
    <t xml:space="preserve">UCOg2DZDEh6GdQzWgo8hBm4g</t>
  </si>
  <si>
    <t xml:space="preserve">UCpUSmAMtG7FRuRC_H679ysg</t>
  </si>
  <si>
    <t xml:space="preserve">UCS3VEKQ3zcFdLhr-gieQ24g</t>
  </si>
  <si>
    <t xml:space="preserve">UCvKzzGO37oT83K0FwnUucxw</t>
  </si>
  <si>
    <t xml:space="preserve">UCuUzcAgS4QT3LE_au39lVRA</t>
  </si>
  <si>
    <t xml:space="preserve">UCM-u_-YWVuy0CsHnrMPRV6g</t>
  </si>
  <si>
    <t xml:space="preserve">UCAoYXsuNfEJyD7MuqI-EwUA</t>
  </si>
  <si>
    <t xml:space="preserve">UCbTK2RQ-kSdP2vf1WPRk26w</t>
  </si>
  <si>
    <t xml:space="preserve">UCBpB_rKriHZWIn1C6p36dyw</t>
  </si>
  <si>
    <t xml:space="preserve">UCblSO0ab_BMBe53BgiVXlig</t>
  </si>
  <si>
    <t xml:space="preserve">UCwYQ33hNCFtLYIB_blU4cmg</t>
  </si>
  <si>
    <t xml:space="preserve">UCVSZGK7hMMmHled90AijXyw</t>
  </si>
  <si>
    <t xml:space="preserve">UCCEqWptuHELsc3fXf4RG7iA</t>
  </si>
  <si>
    <t xml:space="preserve">UCiHR4bul453QkhqdNWUpHkg</t>
  </si>
  <si>
    <t xml:space="preserve">UCeIjzObEBzgySSUP2Vu_Ueg</t>
  </si>
  <si>
    <t xml:space="preserve">UCP0GR0mjnwR6XPCI7vaW-vA</t>
  </si>
  <si>
    <t xml:space="preserve">UCGt7Q8P3Hj8EfYWYpBpqBlw</t>
  </si>
  <si>
    <t xml:space="preserve">UCeicdzysLwCglf7W0I9y4kA</t>
  </si>
  <si>
    <t xml:space="preserve">UC7SuJ7R6oSftWO3v8qWc66Q</t>
  </si>
  <si>
    <t xml:space="preserve">UCfYdVkugQzaySto3xYq4Zlw</t>
  </si>
  <si>
    <t xml:space="preserve">UCnxfp2a9I_YnCXpbqvXD4Ww</t>
  </si>
  <si>
    <t xml:space="preserve">UCsS1XmmRRBGkHEMNx_Sa0tQ</t>
  </si>
  <si>
    <t xml:space="preserve">UCEt2xudI2EqHLUlvnYyN1Dg</t>
  </si>
  <si>
    <t xml:space="preserve">UCrycdDhOTghVOY60ltCOrHw</t>
  </si>
  <si>
    <t xml:space="preserve">UCPEMa6-4O-w8N6pnlmjCgmw</t>
  </si>
  <si>
    <t xml:space="preserve">UC2FHDS-7vy9-2o1CYTPnJZQ</t>
  </si>
  <si>
    <t xml:space="preserve">UCaUd_Ru3s21MaT05CQSnWsA</t>
  </si>
  <si>
    <t xml:space="preserve">UCcVGPH65pzy760UfIme29dw</t>
  </si>
  <si>
    <t xml:space="preserve">UCf6ki1JkyKPD8NtnWpU3rHA</t>
  </si>
  <si>
    <t xml:space="preserve">UC-dB2lbFkNLFd3WN7b6GVpQ</t>
  </si>
  <si>
    <t xml:space="preserve">UCTngumZeLr6bj7IJFOryd_A</t>
  </si>
  <si>
    <t xml:space="preserve">UC3zEavhmKSwXQxcLwEMRyLA</t>
  </si>
  <si>
    <t xml:space="preserve">UCpBtpc7YVdJ0VShNEZPxRHA</t>
  </si>
  <si>
    <t xml:space="preserve">UCnGy4uENJmddEbuHELUNI8g</t>
  </si>
  <si>
    <t xml:space="preserve">UC41DF-EVHcY98D6EE52jmbA</t>
  </si>
  <si>
    <t xml:space="preserve">UCkev6dx_P7p3uaPMgBQG6kQ</t>
  </si>
  <si>
    <t xml:space="preserve">UCNRJ_eSLsifGmtLI5XSANUg</t>
  </si>
  <si>
    <t xml:space="preserve">UCnzKeZxoLTopeKZCt7CEUUg</t>
  </si>
  <si>
    <t xml:space="preserve">UCfiaUWT8kYDzkqrA1hpTt6A</t>
  </si>
  <si>
    <t xml:space="preserve">UCwMlqjz83OVX9_4UXo6cAfA</t>
  </si>
  <si>
    <t xml:space="preserve">UCwpEsZCL2it-6xXgam6xdJA</t>
  </si>
  <si>
    <t xml:space="preserve">UC_poh7szMZvEoFxROWGfvVg</t>
  </si>
  <si>
    <t xml:space="preserve">UCR7BI_RCuOBqUduSvYqd94Q</t>
  </si>
  <si>
    <t xml:space="preserve">UCbgUUX7oeVOAhh6SmcjMR3A</t>
  </si>
  <si>
    <t xml:space="preserve">UCNKEYKaD4dv8Ys-907V4yVw</t>
  </si>
  <si>
    <t xml:space="preserve">UC0PA9wn-FAXk0HsiCmg9gSA</t>
  </si>
  <si>
    <t xml:space="preserve">UCZoERNzLDjVBuA2O4IxZi_Q</t>
  </si>
  <si>
    <t xml:space="preserve">UCGO-C4i-Elcrvo9V_aoShqw</t>
  </si>
  <si>
    <t xml:space="preserve">UCg1zOZjELgD6EB1gO7zcZAg</t>
  </si>
  <si>
    <t xml:space="preserve">UCSOOo5y-GsY4WCU7tnG5j2w</t>
  </si>
  <si>
    <t xml:space="preserve">UCe5sroO54ptsohogUAQ-R0w</t>
  </si>
  <si>
    <t xml:space="preserve">UC_s7AF8p_VB0JpBSocuS13Q</t>
  </si>
  <si>
    <t xml:space="preserve">UC0rb3twEKN03RGeOcg1OsPw</t>
  </si>
  <si>
    <t xml:space="preserve">UCGpRrBD7Yp3pzyRB1ogDz3w</t>
  </si>
  <si>
    <t xml:space="preserve">UCjDc3MSEXncXkt8fPJwgJzw</t>
  </si>
  <si>
    <t xml:space="preserve">UCzjlUwTXV3AiDEZyLTRF8xw</t>
  </si>
  <si>
    <t xml:space="preserve">UC0hxQsZ19PumeKr7xxFI-SA</t>
  </si>
  <si>
    <t xml:space="preserve">UCKr-aCwW9FJrAXT_Si7y4bQ</t>
  </si>
  <si>
    <t xml:space="preserve">UCsZCsYTEzRyMtWN2XFI81OA</t>
  </si>
  <si>
    <t xml:space="preserve">UCTbe1hTIflT180XimdGM3vQ</t>
  </si>
  <si>
    <t xml:space="preserve">UCagovnaxK2lHuYm6fDh6AEw</t>
  </si>
  <si>
    <t xml:space="preserve">UCdLitnQ5DQe7N-PytsJxN9w</t>
  </si>
  <si>
    <t xml:space="preserve">UCSPWh-0RDv57g0-TczphBkQ</t>
  </si>
  <si>
    <t xml:space="preserve">UCmo65VUkISSWMPWesVBUQGA</t>
  </si>
  <si>
    <t xml:space="preserve">UCan9zE-H0nj36LKz5hka9fQ</t>
  </si>
  <si>
    <t xml:space="preserve">UCVyPZd3t4LhxBP2y5neaQNw</t>
  </si>
  <si>
    <t xml:space="preserve">UCzpcBH-GXzCduviyDedIm5Q</t>
  </si>
  <si>
    <t xml:space="preserve">UCvukVzNnQA8qD-YklTFxpIA</t>
  </si>
  <si>
    <t xml:space="preserve">UC0uJgjy6PKu7_KyNjXfvvRQ</t>
  </si>
  <si>
    <t xml:space="preserve">UCzxVPosW4byr9XwKOzL9qKw</t>
  </si>
  <si>
    <t xml:space="preserve">UCGHns5iqu68XOgX_GHMR4-Q</t>
  </si>
  <si>
    <t xml:space="preserve">UCxvyz4VZnJkPcL5EGOfDIuQ</t>
  </si>
  <si>
    <t xml:space="preserve">UCrL6Mdf8-H8VZBd5DnPjNGw</t>
  </si>
  <si>
    <t xml:space="preserve">UCDSEcT2SUWE-SltfhoJtcVg</t>
  </si>
  <si>
    <t xml:space="preserve">UCW803AiYVJsaO1oxeVr8OeQ</t>
  </si>
  <si>
    <t xml:space="preserve">UCZY99Q7OhxYewcGxEj93FWA</t>
  </si>
  <si>
    <t xml:space="preserve">UCUQTl3_xaSpi3VdS0ynhFhA</t>
  </si>
  <si>
    <t xml:space="preserve">UCiUYXUgv78iWSuix_hA9T6w</t>
  </si>
  <si>
    <t xml:space="preserve">UCXyKCluTs-mGVe-oaBfbGGQ</t>
  </si>
  <si>
    <t xml:space="preserve">UCB12jjYsYv-eipCvBDcMbXw</t>
  </si>
  <si>
    <t xml:space="preserve">UCHzRdVrRQRMMinklYOcY1VA</t>
  </si>
  <si>
    <t xml:space="preserve">UCZfOdGzJ6DbaXAuvHPKOggA</t>
  </si>
  <si>
    <t xml:space="preserve">UCCUwzP5V6G0lPoTuH35kz_w</t>
  </si>
  <si>
    <t xml:space="preserve">UCpFygvlRTGTWkJLyXaAVUWw</t>
  </si>
  <si>
    <t xml:space="preserve">UCqTlyxwHQOoP-MrBRKxA9NQ</t>
  </si>
  <si>
    <t xml:space="preserve">UCBwb9RJowLRLI9qRWU5NqpQ</t>
  </si>
  <si>
    <t xml:space="preserve">UCqnuMsOnElcXBEvD5nk_VQg</t>
  </si>
  <si>
    <t xml:space="preserve">UCkIASmLZOXTzho8z24pssjA</t>
  </si>
  <si>
    <t xml:space="preserve">UC2LJK40k1VLYGcfpVd3LkQQ</t>
  </si>
  <si>
    <t xml:space="preserve">UCQOd6yNSS1fOVqDZNHHnxSg</t>
  </si>
  <si>
    <t xml:space="preserve">UCwFmjwiH7bTJRJOTJUVfYSQ</t>
  </si>
  <si>
    <t xml:space="preserve">UCuq7JARLE3Q12zW0XqsPvLg</t>
  </si>
  <si>
    <t xml:space="preserve">UCMDJPaiDdRPv2mrEJoLfklA</t>
  </si>
  <si>
    <t xml:space="preserve">UCsPWdbFZ0yd17pTcpkcqvhA</t>
  </si>
  <si>
    <t xml:space="preserve">UCyvB9BXy35GDxWcAD4oHS_A</t>
  </si>
  <si>
    <t xml:space="preserve">UC1qEgVf8dOuQJH0CtNdMASQ</t>
  </si>
  <si>
    <t xml:space="preserve">UCArESQXM-GVFas6baEZwOJg</t>
  </si>
  <si>
    <t xml:space="preserve">UC7Hpk-B91WHZ58axUnMB-lg</t>
  </si>
  <si>
    <t xml:space="preserve">UCCUz-Ma3BVdJE_8SmtUuqZw</t>
  </si>
  <si>
    <t xml:space="preserve">UC8fh8unjPYHYXlneHw-ZDyA</t>
  </si>
  <si>
    <t xml:space="preserve">UCoYrao7bUqM8v4nI6iUk_Xw</t>
  </si>
  <si>
    <t xml:space="preserve">UCQquFm5o8-udv4YkyVBquaA</t>
  </si>
  <si>
    <t xml:space="preserve">UCQN8ht4ZlxdPZHP-ALOE0MA</t>
  </si>
  <si>
    <t xml:space="preserve">UChA-V9BwffQ7KQaIbbqPOow</t>
  </si>
  <si>
    <t xml:space="preserve">UCMipXyV2c080yk-j8tNAi8Q</t>
  </si>
  <si>
    <t xml:space="preserve">UCo63yoT_MVy9CeJ1Un88FtA</t>
  </si>
  <si>
    <t xml:space="preserve">UCHmV1jXWHy8mKlic4j4rHmg</t>
  </si>
  <si>
    <t xml:space="preserve">UCBFG4LDTjnWqZWyrW4r-UNQ</t>
  </si>
  <si>
    <t xml:space="preserve">UCNvxs2UROjF5ZQh7RW18g6w</t>
  </si>
  <si>
    <t xml:space="preserve">UCceaqKV6k7XGtNXVXDxPu4A</t>
  </si>
  <si>
    <t xml:space="preserve">UCbhszNeLnmEauOZa08dE_Nw</t>
  </si>
  <si>
    <t xml:space="preserve">UCbhJPpqa92-t0kjtn3eI7tw</t>
  </si>
  <si>
    <t xml:space="preserve">UC7C_4m2S_lHukWXmlZ9_zBg</t>
  </si>
  <si>
    <t xml:space="preserve">UCtoBw4N5_kYcH5OHNgRldFw</t>
  </si>
  <si>
    <t xml:space="preserve">UCXz-NiqGt0sAIn_77IN-bGg</t>
  </si>
  <si>
    <t xml:space="preserve">UCTnAF0hhl1k4X_xo_oZSM9w</t>
  </si>
  <si>
    <t xml:space="preserve">UCnP3W7Wh4gUv-bl9NX7a6_Q</t>
  </si>
  <si>
    <t xml:space="preserve">UCKLXYxAaMXTpjCLudq1xq2A</t>
  </si>
  <si>
    <t xml:space="preserve">UCUfWNUeqXqZOHt46bWrniog</t>
  </si>
  <si>
    <t xml:space="preserve">UCR9oSctP1jWlR9w505qp2WQ</t>
  </si>
  <si>
    <t xml:space="preserve">UCh_WD2DxGoskrwgC6bA4Irg</t>
  </si>
  <si>
    <t xml:space="preserve">UC0L4r9ObbfbjmXlDXAlEDVg</t>
  </si>
  <si>
    <t xml:space="preserve">UC6i1mMJq2jYI7LGtcxWMUiw</t>
  </si>
  <si>
    <t xml:space="preserve">UCUvvrSjDsTzsOpPCsR1PXww</t>
  </si>
  <si>
    <t xml:space="preserve">UCV2H1qxX7WcWdn6fX1rrmww</t>
  </si>
  <si>
    <t xml:space="preserve">UCA2HkROQC_LBR-782Ummlww</t>
  </si>
  <si>
    <t xml:space="preserve">UCD3GN1FNGa2C2MlIzLwg8Vg</t>
  </si>
  <si>
    <t xml:space="preserve">UC8aYNHtHDHLakP7H-5RaxQA</t>
  </si>
  <si>
    <t xml:space="preserve">UCnZFLwu6nmBPlafb-_Cq1yg</t>
  </si>
  <si>
    <t xml:space="preserve">UCrBKXGjBX58iwNYtkIYUatw</t>
  </si>
  <si>
    <t xml:space="preserve">UCkdeLVZwe84ZlUEok17N0SA</t>
  </si>
  <si>
    <t xml:space="preserve">UCqOjZ38bROz6cyxQQg4FWWw</t>
  </si>
  <si>
    <t xml:space="preserve">UCtBbt5_-szH26CwsZZwh47g</t>
  </si>
  <si>
    <t xml:space="preserve">UCHtOsI4EJv3mi-Sa5yjNy5A</t>
  </si>
  <si>
    <t xml:space="preserve">UCF36ZzSGjEFv-OcjKNuwcug</t>
  </si>
  <si>
    <t xml:space="preserve">UCqaASO6KQZ7miVMHXPc-kpQ</t>
  </si>
  <si>
    <t xml:space="preserve">UC6w5uaSX94E1eez4Azcc0Zg</t>
  </si>
  <si>
    <t xml:space="preserve">UCtx3GJu0bQQJSJ2COIGJToQ</t>
  </si>
  <si>
    <t xml:space="preserve">UCY-rBfd9R847gA_xzS64zlA</t>
  </si>
  <si>
    <t xml:space="preserve">UCIuVC2j5mA8RN9t3SCsZ5Tw</t>
  </si>
  <si>
    <t xml:space="preserve">UC4WyNpChnK7vR0yxsI3nlHA</t>
  </si>
  <si>
    <t xml:space="preserve">UC-bSQgmOmTd3WAjE4lnJTxg</t>
  </si>
  <si>
    <t xml:space="preserve">UC2tS3pJ9tHmVig_DmAs8cSg</t>
  </si>
  <si>
    <t xml:space="preserve">UCozgWx2Z0FQsZLbwKZ_0KIw</t>
  </si>
  <si>
    <t xml:space="preserve">UCJ96j1FxEBC3PEDe5146BYw</t>
  </si>
  <si>
    <t xml:space="preserve">UCFcKlf9D_aJ3JwxnNsEqGzQ</t>
  </si>
  <si>
    <t xml:space="preserve">UCujruoQDh9gyUkVGg2LYNeg</t>
  </si>
  <si>
    <t xml:space="preserve">UCU4TiYGakdXOPwsR_a9rM1Q</t>
  </si>
  <si>
    <t xml:space="preserve">UC9FPNUs7pmhyJa8I0n4FAPA</t>
  </si>
  <si>
    <t xml:space="preserve">UCz701j0Z_hDFAywq1AEan2Q</t>
  </si>
  <si>
    <t xml:space="preserve">UCVsbBfSax_1bnJGwi_o6YKw</t>
  </si>
  <si>
    <t xml:space="preserve">UC_0lWsDQPbATkXWdZTS8sfQ</t>
  </si>
  <si>
    <t xml:space="preserve">UCRwUx2nXbL6ePnmA3YO8pUg</t>
  </si>
  <si>
    <t xml:space="preserve">UCT8WSUQeSjS3YXhMgi9XOLA</t>
  </si>
  <si>
    <t xml:space="preserve">UC9T5yTyzHxK_597yfC-GlDw</t>
  </si>
  <si>
    <t xml:space="preserve">UCxbKJmSfLVaooB4Z-CUvLvQ</t>
  </si>
  <si>
    <t xml:space="preserve">UC9C5oko5p_JBEzAnYBNmCbg</t>
  </si>
  <si>
    <t xml:space="preserve">UCUvX8v-BaHoiJjIon7WxOZA</t>
  </si>
  <si>
    <t xml:space="preserve">UCDegHOUpScIto8t4H5qOjnQ</t>
  </si>
  <si>
    <t xml:space="preserve">UCIuk-x-RwTOIbPenYaq3C_A</t>
  </si>
  <si>
    <t xml:space="preserve">UC_QRIodVwcbV4xgy9Mrso0Q</t>
  </si>
  <si>
    <t xml:space="preserve">UCiid3x3FH6AxCDwDA3jZO9g</t>
  </si>
  <si>
    <t xml:space="preserve">UCru35uCxJb0T5WiQHzNLAVg</t>
  </si>
  <si>
    <t xml:space="preserve">UCQztZZtwZj25-ntvWSoPyQw</t>
  </si>
  <si>
    <t xml:space="preserve">UCy0DKBrx9_oSksbATGQdCJw</t>
  </si>
  <si>
    <t xml:space="preserve">UCnGMAPMFCkT5L3f16F6yY_g</t>
  </si>
  <si>
    <t xml:space="preserve">UCJLx_2N3_BHn2ehMrLjlnrw</t>
  </si>
  <si>
    <t xml:space="preserve">UCbLDNpucPl4Vb_pakhRPtvA</t>
  </si>
  <si>
    <t xml:space="preserve">UCI_LQw4DG0O6GMVGZN3v-Zg</t>
  </si>
  <si>
    <t xml:space="preserve">UC4Kh0VSxZmLvHfRRF8wLqrA</t>
  </si>
  <si>
    <t xml:space="preserve">UCf9Jxoefkk5EkfOm-v_jACQ</t>
  </si>
  <si>
    <t xml:space="preserve">UCaMrQu1MSdPSGyLfmG2Trsw</t>
  </si>
  <si>
    <t xml:space="preserve">UCM7Trk3IetXHtqO7S1VluQQ</t>
  </si>
  <si>
    <t xml:space="preserve">UCRY6mnGa8pblzSt2JKcRlRg</t>
  </si>
  <si>
    <t xml:space="preserve">UClB1xP7WLivnQmVvbemIgEg</t>
  </si>
  <si>
    <t xml:space="preserve">UCpdhj3sKAMAA0kK9_Pgw6mg</t>
  </si>
  <si>
    <t xml:space="preserve">UCBNOuLdBz7x9XnRt_iIpVMw</t>
  </si>
  <si>
    <t xml:space="preserve">UCtOq3jQ4Vlf8hhwfvMcGtIQ</t>
  </si>
  <si>
    <t xml:space="preserve">UCUJYUmmPNw6Pr7qGVel6XhA</t>
  </si>
  <si>
    <t xml:space="preserve">UCVlZzQ3dhFtunbBhoQ8ru-Q</t>
  </si>
  <si>
    <t xml:space="preserve">UC7i6Yq3YJCWHX3PrGqsF4Gw</t>
  </si>
  <si>
    <t xml:space="preserve">UCbu1bWXGNpGbxPgyP-LMdxQ</t>
  </si>
  <si>
    <t xml:space="preserve">UCMx7ryu_3DpJpimWPVOTaSg</t>
  </si>
  <si>
    <t xml:space="preserve">UC5yOHO-T3wzqDFDT3caGrRA</t>
  </si>
  <si>
    <t xml:space="preserve">UC8SkwM7b8kw-njFEZODfdtg</t>
  </si>
  <si>
    <t xml:space="preserve">UCPpV1UAObCRhY51Ofqe0N6w</t>
  </si>
  <si>
    <t xml:space="preserve">UCm5sprpVhMLA1VPj1Poy0OA</t>
  </si>
  <si>
    <t xml:space="preserve">UCTgyz9rBg2oVkSeeCOjPu8A</t>
  </si>
  <si>
    <t xml:space="preserve">UCO_QYUKw1JltAAToNl0Kaog</t>
  </si>
  <si>
    <t xml:space="preserve">UCUXtBrP7KCS4ICJ2Yh4nPYg</t>
  </si>
  <si>
    <t xml:space="preserve">UCVHsIftZeta_dVUatYi9H5Q</t>
  </si>
  <si>
    <t xml:space="preserve">UCD9sjzPA93mxDmbL25qYLow</t>
  </si>
  <si>
    <t xml:space="preserve">UCwWz32We084dlhKPFHXkuqw</t>
  </si>
  <si>
    <t xml:space="preserve">UCMeZ7KtX7XtUv0v1nKkDnEw</t>
  </si>
  <si>
    <t xml:space="preserve">UCt8YJuMLCUutQFoGbuwNY7A</t>
  </si>
  <si>
    <t xml:space="preserve">UCoWTDrj-6D7PMtcTndG-owQ</t>
  </si>
  <si>
    <t xml:space="preserve">UC2hg6EJI4w3NFlA88fLOFHw</t>
  </si>
  <si>
    <t xml:space="preserve">UCK34YpSdXdCoCDSyffdIWNg</t>
  </si>
  <si>
    <t xml:space="preserve">UCDceZjMAVUZQlO60usQnUyg</t>
  </si>
  <si>
    <t xml:space="preserve">UCnW6DSKka7iAM3qrJJBRxaQ</t>
  </si>
  <si>
    <t xml:space="preserve">UCizXq8XeMs6N4kUC5jKBZiw</t>
  </si>
  <si>
    <t xml:space="preserve">UC57frBDG8M7DCsg5Q3H354g</t>
  </si>
  <si>
    <t xml:space="preserve">UCopLZK69EWgXUBviX8y9F-g</t>
  </si>
  <si>
    <t xml:space="preserve">UCCvGokEGyKbgAnqX8jRPAPA</t>
  </si>
  <si>
    <t xml:space="preserve">UC5CbB7rMn1GTYWssomu5Nuw</t>
  </si>
  <si>
    <t xml:space="preserve">UCZxy5pKBZEN_GByRlepmiUw</t>
  </si>
  <si>
    <t xml:space="preserve">UCHb7TlPpsES8HUB6SJhKtiw</t>
  </si>
  <si>
    <t xml:space="preserve">UCo79JKXfeorvO1zg6fKrnug</t>
  </si>
  <si>
    <t xml:space="preserve">UCk2EPDOXZDNMQSduDc7lyZA</t>
  </si>
  <si>
    <t xml:space="preserve">UCOrITwiiSQYVuAi7wTY2UPw</t>
  </si>
  <si>
    <t xml:space="preserve">UCYWU95J_nSOhp5YVtbTBOaw</t>
  </si>
  <si>
    <t xml:space="preserve">UCL2Ev_fyz0QoCB0j32ONeQg</t>
  </si>
  <si>
    <t xml:space="preserve">UC6BZzLc_TV6-1cnmy4vFurQ</t>
  </si>
  <si>
    <t xml:space="preserve">UCO1fKdEdQDfuK9OIuKlCyUA</t>
  </si>
  <si>
    <t xml:space="preserve">UCbVJeeUVOxgxUdxofkoHdQg</t>
  </si>
  <si>
    <t xml:space="preserve">UCsbzU-pSggRF03Tcjp-W7RA</t>
  </si>
  <si>
    <t xml:space="preserve">UCanTF3F7BDzrjaLG1WRb2Pw</t>
  </si>
  <si>
    <t xml:space="preserve">UChMnGam4beXtOesGxYMwsvw</t>
  </si>
  <si>
    <t xml:space="preserve">UCQlJNNzXZ2WyAxQIpm5aILw</t>
  </si>
  <si>
    <t xml:space="preserve">UCn_1CiNIfT7hjBKSNl1szGQ</t>
  </si>
  <si>
    <t xml:space="preserve">UCnEN8uD1X2JjlnyrRLOuWLw</t>
  </si>
  <si>
    <t xml:space="preserve">UCp9nQpt7yrn_pOikaR3cypw</t>
  </si>
  <si>
    <t xml:space="preserve">UC8d3kdFmb3gjZ_020YMa3lA</t>
  </si>
  <si>
    <t xml:space="preserve">UCrPTs__baXcAo_yR4VU0hTw</t>
  </si>
  <si>
    <t xml:space="preserve">UCdX0FzlFMeOIP8iS4v0vlfA</t>
  </si>
  <si>
    <t xml:space="preserve">UCVbNbVDDZReLcDzfUWGTDtg</t>
  </si>
  <si>
    <t xml:space="preserve">UCesKXX9aVek_fXV37EIZtZQ</t>
  </si>
  <si>
    <t xml:space="preserve">UCu5TkpMVY2oz69KnLVpdc-A</t>
  </si>
  <si>
    <t xml:space="preserve">UC5hKJAt__KO-8eR-JtoAB7Q</t>
  </si>
  <si>
    <t xml:space="preserve">UC1NqQjgZ2kwVzwdXUdX0rRA</t>
  </si>
  <si>
    <t xml:space="preserve">UCQmyfIfYBCzt3GlCznV8IxQ</t>
  </si>
  <si>
    <t xml:space="preserve">UC9tsrW3tSTGrdIRTC-emcPA</t>
  </si>
  <si>
    <t xml:space="preserve">UCVoVneLJ0pJZ5O1irMkzwyw</t>
  </si>
  <si>
    <t xml:space="preserve">UCezGQRvPh0WP0S9ZTamO-zw</t>
  </si>
  <si>
    <t xml:space="preserve">UCikNqT0_jog1IuDhSnpDTeQ</t>
  </si>
  <si>
    <t xml:space="preserve">UCUASQ8BrXPCjWDQMjE_INQQ</t>
  </si>
  <si>
    <t xml:space="preserve">UCOGT-H0mDOeuu_tLqpSOVDQ</t>
  </si>
  <si>
    <t xml:space="preserve">UCOgeV_4Gk4UhhG63CHNKefQ</t>
  </si>
  <si>
    <t xml:space="preserve">UCq7urBdrrBr8JAFmySYR04A</t>
  </si>
  <si>
    <t xml:space="preserve">UCyXvt2uyqY8Gfdd-I948MYA</t>
  </si>
  <si>
    <t xml:space="preserve">UCBSzgwcAV9pBcMPiXf2QE6g</t>
  </si>
  <si>
    <t xml:space="preserve">UC13Jl3UsXaAv-ndRDwGTQjQ</t>
  </si>
  <si>
    <t xml:space="preserve">UC109mTSOGYo6zbxc33WToBw</t>
  </si>
  <si>
    <t xml:space="preserve">UCJTpvZaIAYuYjDvN3i3QUiQ</t>
  </si>
  <si>
    <t xml:space="preserve">UCxcI823WTRw0eIeJU21Z49Q</t>
  </si>
  <si>
    <t xml:space="preserve">UCQH77kFpWPFK40TJVxPpM8w</t>
  </si>
  <si>
    <t xml:space="preserve">UC-n4k3K6l5J3vwbdvD8fp_g</t>
  </si>
  <si>
    <t xml:space="preserve">UCz6HVkdi1gQEYiFcg_EdeJQ</t>
  </si>
  <si>
    <t xml:space="preserve">UC7VMTWa3UzPHO1KgWQOjsOg</t>
  </si>
  <si>
    <t xml:space="preserve">UCp4IlxdnsB3vUNjsTxY-YBg</t>
  </si>
  <si>
    <t xml:space="preserve">UCj7bCYRx3baqVacATJuiN_Q</t>
  </si>
  <si>
    <t xml:space="preserve">UCHLWlNrOZVjqma1sscf3vIw</t>
  </si>
  <si>
    <t xml:space="preserve">UCsGma07G-_lx5qnpfpI8BOQ</t>
  </si>
  <si>
    <t xml:space="preserve">UCmyPr7TbvE9ycl9PL-UiA5A</t>
  </si>
  <si>
    <t xml:space="preserve">UCP4MLvr3U4fVeH9R_gBNnhA</t>
  </si>
  <si>
    <t xml:space="preserve">UCLTBd4O_ZB-K3A-Clit6OgA</t>
  </si>
  <si>
    <t xml:space="preserve">UCwHB5bHw6ktcwzFF3YNYd_Q</t>
  </si>
  <si>
    <t xml:space="preserve">UC1uodEbZ7TOIgT_XypeWP5Q</t>
  </si>
  <si>
    <t xml:space="preserve">UCzuasoydpucTsGWtF9ZaupA</t>
  </si>
  <si>
    <t xml:space="preserve">UCupAYiW_BhnaAVFpA3iB7ng</t>
  </si>
  <si>
    <t xml:space="preserve">UC1zF82a4tVe1SAJQrgrLvMw</t>
  </si>
  <si>
    <t xml:space="preserve">UCVnLR-qs-iU_3qdJV9Wju6A</t>
  </si>
  <si>
    <t xml:space="preserve">UCCCBB6UWdIexeSn4y73-KgQ</t>
  </si>
  <si>
    <t xml:space="preserve">UCH-L3ibmmOOYNGoNlSVqwhQ</t>
  </si>
  <si>
    <t xml:space="preserve">UCQv6q0lvV9a9cociDouYXaw</t>
  </si>
  <si>
    <t xml:space="preserve">UCT4kmNDSppEVbNcPgnjShPA</t>
  </si>
  <si>
    <t xml:space="preserve">UC_uR26BodKBZ4HVwxwd5isQ</t>
  </si>
  <si>
    <t xml:space="preserve">UC5ZXmKfBg0k3VDoVvx0s3lA</t>
  </si>
  <si>
    <t xml:space="preserve">UCj5uWBquxNykqgzSWFHW0Qg</t>
  </si>
  <si>
    <t xml:space="preserve">UCQemzRWOMazoaSuULUuSCpg</t>
  </si>
  <si>
    <t xml:space="preserve">UCGeV-3R502w6bllp2EQ8zzg</t>
  </si>
  <si>
    <t xml:space="preserve">UCj6-3fHx-aOY5U1T46ALrzQ</t>
  </si>
  <si>
    <t xml:space="preserve">UCZYt6vjPlgqaRp4MSWnzs8w</t>
  </si>
  <si>
    <t xml:space="preserve">UC7JdMmLxu89On7ZAyevBbhg</t>
  </si>
  <si>
    <t xml:space="preserve">UC5a2G6YpwcmsIkK3B0X-mhQ</t>
  </si>
  <si>
    <t xml:space="preserve">UCf6Jc77UVTl1eOh6Bb6vAlQ</t>
  </si>
  <si>
    <t xml:space="preserve">UCU8bg97Ce4GlB6H99zwtTwQ</t>
  </si>
  <si>
    <t xml:space="preserve">UCol-yY1m48ggs5ZS_P3BSng</t>
  </si>
  <si>
    <t xml:space="preserve">UCh4rI-uaFbZWliPoTX8fohA</t>
  </si>
  <si>
    <t xml:space="preserve">UCXJqCmjJ-r_CLcx2hMJ3lmA</t>
  </si>
  <si>
    <t xml:space="preserve">UCICWIYEx2mo4wYZzLwJ7wVw</t>
  </si>
  <si>
    <t xml:space="preserve">UCVWrJ5UJXeIY9iYpoASxIFg</t>
  </si>
  <si>
    <t xml:space="preserve">UC5C5u-7wuEnFFjdjNC2ANkA</t>
  </si>
  <si>
    <t xml:space="preserve">UCPKFCFpV3VO_SSTFZ-rMMTQ</t>
  </si>
  <si>
    <t xml:space="preserve">UCVwqij7jD0LsvMs2zo_-7cQ</t>
  </si>
  <si>
    <t xml:space="preserve">UCg6TgtnmY8cYMQ4rx8EtWWA</t>
  </si>
  <si>
    <t xml:space="preserve">UCJ2gA4eplKqO4xZmYJweuWQ</t>
  </si>
  <si>
    <t xml:space="preserve">UCeXGHpv7nJMv3KcJvPG-FSw</t>
  </si>
  <si>
    <t xml:space="preserve">UC_9ARu8-ZbQUopiPCtOkqew</t>
  </si>
  <si>
    <t xml:space="preserve">UCQkgAGeUcDkKVuiFkAzUNSg</t>
  </si>
  <si>
    <t xml:space="preserve">UCh_Df-UneDU4P1nku_tlZIA</t>
  </si>
  <si>
    <t xml:space="preserve">UCR1ILtZPSx0BJo6TH8WPogA</t>
  </si>
  <si>
    <t xml:space="preserve">UCZyySan2dnqglrzwtnYwt4Q</t>
  </si>
  <si>
    <t xml:space="preserve">UC7FvFpXV-9nbCBWS5pUKhZw</t>
  </si>
  <si>
    <t xml:space="preserve">UCWd04qRfvtq1t8yNgd_okEA</t>
  </si>
  <si>
    <t xml:space="preserve">UC37cKOhZha6iuoAp3EmazFg</t>
  </si>
  <si>
    <t xml:space="preserve">UChM7XCN4ts7myqwWmEggUDQ</t>
  </si>
  <si>
    <t xml:space="preserve">UCEzUQHUjaRS2iRShJKsMF6g</t>
  </si>
  <si>
    <t xml:space="preserve">UC5-Td7mw-76nfoa_AyS0xFA</t>
  </si>
  <si>
    <t xml:space="preserve">UCQ1DUK0UfqZjL0tO_x-UI7g</t>
  </si>
  <si>
    <t xml:space="preserve">UCrQhVHzh8e_vkBPOyhMWdoQ</t>
  </si>
  <si>
    <t xml:space="preserve">UCI-WWu1jr1-pk4iBMCUevBw</t>
  </si>
  <si>
    <t xml:space="preserve">UCEpe5DhhS0HYFBaCVsU2Iwg</t>
  </si>
  <si>
    <t xml:space="preserve">UCP9oYkhS0h35soQZtZyC9ZQ</t>
  </si>
  <si>
    <t xml:space="preserve">UCVEUcegvqdoNbyceTtDJffQ</t>
  </si>
  <si>
    <t xml:space="preserve">UCguUR7CobZWf3n6enaEGZqA</t>
  </si>
  <si>
    <t xml:space="preserve">UCD_hwsDMqpuaFH_Vpf5SZMA</t>
  </si>
  <si>
    <t xml:space="preserve">UCPicfXzzaSQ0S97WDSbNPcA</t>
  </si>
  <si>
    <t xml:space="preserve">UCEAxBxiTGJht1r6AzHZYn2A</t>
  </si>
  <si>
    <t xml:space="preserve">UCtuVG-cRWPosl_GuYLFtG5g</t>
  </si>
  <si>
    <t xml:space="preserve">UCbItMHbIn4kliYTQL966FTQ</t>
  </si>
  <si>
    <t xml:space="preserve">UC8xOhGVZAX53bmDAQVGzHnA</t>
  </si>
  <si>
    <t xml:space="preserve">UC963r3Mun0ieya7yYvmV6ig</t>
  </si>
  <si>
    <t xml:space="preserve">UCS7FDrLNDOJR9NOTi8q46IA</t>
  </si>
  <si>
    <t xml:space="preserve">UCyqopP-t4ZfYRKiluI5f_eg</t>
  </si>
  <si>
    <t xml:space="preserve">UCGz07_TgleGM4-fpOZOWkvQ</t>
  </si>
  <si>
    <t xml:space="preserve">UCdc4jmL6HRq0MBFxAiegpNg</t>
  </si>
  <si>
    <t xml:space="preserve">UCje3nLoy3OmnZhBLg7kFT3g</t>
  </si>
  <si>
    <t xml:space="preserve">UCHdKsVKYS3OmPuDvOJ6iI_Q</t>
  </si>
  <si>
    <t xml:space="preserve">UCGGyiPkFNm-poAMLa9w5Q6Q</t>
  </si>
  <si>
    <t xml:space="preserve">UCGTDDN7Vr0KBf5j264g5TZA</t>
  </si>
  <si>
    <t xml:space="preserve">UC2NnW30S2AFHWmEb2n5PWBA</t>
  </si>
  <si>
    <t xml:space="preserve">UCXLRYpwgR-LEIPlqbXfB2sA</t>
  </si>
  <si>
    <t xml:space="preserve">UCSIsj9Z2kwcgcxr8MWbS_8w</t>
  </si>
  <si>
    <t xml:space="preserve">UCFYRx4_tu-Rnrd85RUyKolg</t>
  </si>
  <si>
    <t xml:space="preserve">UCWADPeZQJYMKJqZLFdzan9Q</t>
  </si>
  <si>
    <t xml:space="preserve">UC08zyEX9amyrnW49lgpIjMA</t>
  </si>
  <si>
    <t xml:space="preserve">UCLu0X5WEcefIhlqA37lR7Rg</t>
  </si>
  <si>
    <t xml:space="preserve">UCNE5-tnBwTh3kioNgldihVA</t>
  </si>
  <si>
    <t xml:space="preserve">UCQKu1DyS72sHiYKFmZ-O5Qg</t>
  </si>
  <si>
    <t xml:space="preserve">UCFtG-eE-EKpRGeHC3gorOTg</t>
  </si>
  <si>
    <t xml:space="preserve">UChknL2ihNgn_9d_i12cuzKQ</t>
  </si>
  <si>
    <t xml:space="preserve">UChxu8kTOQ-BRKWse18iHRZg</t>
  </si>
  <si>
    <t xml:space="preserve">UC6msEPvOkNeFkVAGcS7H1jw</t>
  </si>
  <si>
    <t xml:space="preserve">UC0fv2UmsHbNzutaBWgBZmBQ</t>
  </si>
  <si>
    <t xml:space="preserve">UCh2T2tyKvRg5mwZYABhV8mg</t>
  </si>
  <si>
    <t xml:space="preserve">UCdqTN3trwqFNWUNQOHAnhgA</t>
  </si>
  <si>
    <t xml:space="preserve">UCUvvorWNWYFlFan5JNInrMA</t>
  </si>
  <si>
    <t xml:space="preserve">UCA_XhesaPYz_AnJFXuISCPg</t>
  </si>
  <si>
    <t xml:space="preserve">UCvKyQnhB5gvaMnEYf64BIYA</t>
  </si>
  <si>
    <t xml:space="preserve">UCVCxn9k2z86QsxczrQCxvUw</t>
  </si>
  <si>
    <t xml:space="preserve">UCunauRvuGMTUWkzIp20Goeg</t>
  </si>
  <si>
    <t xml:space="preserve">UCwhJ_VtIAeeiCC50yKMMcnA</t>
  </si>
  <si>
    <t xml:space="preserve">UCWGjJvI_6gX-RACsZ6KZyrw</t>
  </si>
  <si>
    <t xml:space="preserve">UCw3eyA3edUq3AJkh8HFLD2Q</t>
  </si>
  <si>
    <t xml:space="preserve">UC7raRsx4ojx3cyXT3x9-PuQ</t>
  </si>
  <si>
    <t xml:space="preserve">UCp1JNTBQjsxMhL2aj4mMMuw</t>
  </si>
  <si>
    <t xml:space="preserve">UCH1OFuIbtOhyKInJaFVqUPA</t>
  </si>
  <si>
    <t xml:space="preserve">UCx8-H_8V8o2BZQjpNIiLLEw</t>
  </si>
  <si>
    <t xml:space="preserve">UCRXiHXzBuKWb7ogtZHq9n4Q</t>
  </si>
  <si>
    <t xml:space="preserve">UC-T4JheeuNl2DVg-B-v7McA</t>
  </si>
  <si>
    <t xml:space="preserve">UCc92866RFTehbIh7upkuo7Q</t>
  </si>
  <si>
    <t xml:space="preserve">UCFrw_BQ1toyEHdvv8KYc0ow</t>
  </si>
  <si>
    <t xml:space="preserve">UCY73nofrqNLuGAaN2MlThZg</t>
  </si>
  <si>
    <t xml:space="preserve">UCAnZsrzzwqidu3wxbMl-GcQ</t>
  </si>
  <si>
    <t xml:space="preserve">UCC-Xp5Y5ZlJJ02B_rHnDm2A</t>
  </si>
  <si>
    <t xml:space="preserve">UC_nFNaWCHaBplNwLaczOK3w</t>
  </si>
  <si>
    <t xml:space="preserve">UChRDim3brXnwAj_YVrfzVkg</t>
  </si>
  <si>
    <t xml:space="preserve">UCuj28Zll58sztDqLiDhzgtQ</t>
  </si>
  <si>
    <t xml:space="preserve">UCpcAFSwaub8KgAcs3as11Kg</t>
  </si>
  <si>
    <t xml:space="preserve">UCz6V6FB-_oYVzdoWODci-vw</t>
  </si>
  <si>
    <t xml:space="preserve">UC5ui0E_RpUbjPdUPiVAop5w</t>
  </si>
  <si>
    <t xml:space="preserve">UCKRJ43s0mokC9obLoI1nTYw</t>
  </si>
  <si>
    <t xml:space="preserve">UCea4Re8yzqVnsXwQsUtGazQ</t>
  </si>
  <si>
    <t xml:space="preserve">UCi8SiHrogvhlngzJZ00Nq0g</t>
  </si>
  <si>
    <t xml:space="preserve">UC3_2vuSOhyw1DkzUPvdxPYQ</t>
  </si>
  <si>
    <t xml:space="preserve">UCP5dbh_DZ0NF8fxIF6Ct7tQ</t>
  </si>
  <si>
    <t xml:space="preserve">UCdfoFB89_k9FCB_xbe5wOpQ</t>
  </si>
  <si>
    <t xml:space="preserve">UCXKnb5zqzfAIQfGXdb1e-aA</t>
  </si>
  <si>
    <t xml:space="preserve">UCey8dJ_zcujU68c1q-I_bTA</t>
  </si>
  <si>
    <t xml:space="preserve">UCYOwK6sRK5gwm8HfTVJnSrg</t>
  </si>
  <si>
    <t xml:space="preserve">UCzWd8lsefYoh42OCrg6FzuQ</t>
  </si>
  <si>
    <t xml:space="preserve">UC3wis7qwuUKLfbDM0-giubQ</t>
  </si>
  <si>
    <t xml:space="preserve">UCzKAsoWcS7vNl070Z9ixOSA</t>
  </si>
  <si>
    <t xml:space="preserve">UCrWUolRMMtMMjpfQSwQbhhQ</t>
  </si>
  <si>
    <t xml:space="preserve">UCuL2Jl6EVhfKmUSL_H4ReXA</t>
  </si>
  <si>
    <t xml:space="preserve">UCmnZjkj98IwUHky1Ig9x19A</t>
  </si>
  <si>
    <t xml:space="preserve">UCrA7z49CFx3UCgsyAJPv28w</t>
  </si>
  <si>
    <t xml:space="preserve">UCUedCYdgJ66ve3_D1dY3-UA</t>
  </si>
  <si>
    <t xml:space="preserve">UCVHH7j0zpl_ykHyul6rVrtA</t>
  </si>
  <si>
    <t xml:space="preserve">UCFiG7qr7BJXuJDn6ZlXOp3g</t>
  </si>
  <si>
    <t xml:space="preserve">UC8lIGbogm1jbSnD4HyNbooA</t>
  </si>
  <si>
    <t xml:space="preserve">UC1O_C3sOoUaOpTuCuoUzN2Q</t>
  </si>
  <si>
    <t xml:space="preserve">UClMH_Fgdumy-3-XDNbAstTw</t>
  </si>
  <si>
    <t xml:space="preserve">UCyZCL31zz2VS_ZwLcOYizwQ</t>
  </si>
  <si>
    <t xml:space="preserve">UC1nWWXBE-EBVYcdn47wo2mw</t>
  </si>
  <si>
    <t xml:space="preserve">UCVB8DW5CGrFVktK6D-j_ZEg</t>
  </si>
  <si>
    <t xml:space="preserve">UC81H953Ffpj8MMjZSRyBTCg</t>
  </si>
  <si>
    <t xml:space="preserve">UC9IBizx-tQ_f94TIlC9cFTQ</t>
  </si>
  <si>
    <t xml:space="preserve">UCqYKt8r_NmQzyzadckN3TTA</t>
  </si>
  <si>
    <t xml:space="preserve">UCMAMi60f1cG4oTCZC1M2ajg</t>
  </si>
  <si>
    <t xml:space="preserve">UCEKSp4RZga1EDUHO3fSTCyQ</t>
  </si>
  <si>
    <t xml:space="preserve">UCGOumeX-R2dKfan6hYjGR_Q</t>
  </si>
  <si>
    <t xml:space="preserve">UCZ4gb6O-G8oFU6NMNe4BXBw</t>
  </si>
  <si>
    <t xml:space="preserve">UCbbyjqjqpvOR2rHqu1XqFdw</t>
  </si>
  <si>
    <t xml:space="preserve">UCldqYEvBA1y9v2aUjbvOYHQ</t>
  </si>
  <si>
    <t xml:space="preserve">UCYtA8JGTd5LqDoyUkTG8Vxw</t>
  </si>
  <si>
    <t xml:space="preserve">UCOZZbzNiwvj308Vt-ndesKA</t>
  </si>
  <si>
    <t xml:space="preserve">UCepAjFvCvyVHQgU4M61AKlA</t>
  </si>
  <si>
    <t xml:space="preserve">UCxtg2BPPbjNRY7-Phj60AkQ</t>
  </si>
  <si>
    <t xml:space="preserve">UCB8nXFT1i5aFxRbZubQaSFA</t>
  </si>
  <si>
    <t xml:space="preserve">UCx1kUsmHclWWfc4gHILipGg</t>
  </si>
  <si>
    <t xml:space="preserve">UC-IKhof34ezgSUTiAx8momA</t>
  </si>
  <si>
    <t xml:space="preserve">UC9ww5eix1OcNSGGQ4uK7HMw</t>
  </si>
  <si>
    <t xml:space="preserve">UC2l6npgo1b7U20-hmJtimnQ</t>
  </si>
  <si>
    <t xml:space="preserve">UCPoBADpliY8LUcfd6Olojrg</t>
  </si>
  <si>
    <t xml:space="preserve">UCcpjNosa5KkoNT-uaHENZKw</t>
  </si>
  <si>
    <t xml:space="preserve">UCMfFRek-6_VUTfC2PkRIBFg</t>
  </si>
  <si>
    <t xml:space="preserve">UCDeVK6Eb3r62PcRfdHS1Xdg</t>
  </si>
  <si>
    <t xml:space="preserve">UCrpYomKlq2tRLDjkvWp7UAQ</t>
  </si>
  <si>
    <t xml:space="preserve">UC9e1IGGejltTDpgl2XPAOhA</t>
  </si>
  <si>
    <t xml:space="preserve">UCHgZ5a6Ui3iz0g8ogCYimTg</t>
  </si>
  <si>
    <t xml:space="preserve">UCh10O-jW4kG3Y2T4Nmw3GTw</t>
  </si>
  <si>
    <t xml:space="preserve">UCUumaqF5t6ik7AWqBP6rweA</t>
  </si>
  <si>
    <t xml:space="preserve">UCfmqQWx5LFQECAZs4dvpsfQ</t>
  </si>
  <si>
    <t xml:space="preserve">UCmVQ6ncEm25DaLnnh0gZ0tQ</t>
  </si>
  <si>
    <t xml:space="preserve">UCyPRRNP7xGR-xCNkeoxXSJg</t>
  </si>
  <si>
    <t xml:space="preserve">UCKfHndvkTHWpUg1S12KOLqQ</t>
  </si>
  <si>
    <t xml:space="preserve">UCsZOOKtx1ukHm6DLEZ2hq7w</t>
  </si>
  <si>
    <t xml:space="preserve">UCpz5mTSO00BcmFwtN1z3GtQ</t>
  </si>
  <si>
    <t xml:space="preserve">UC7NraZAcrZYEFHfk9eI9T6A</t>
  </si>
  <si>
    <t xml:space="preserve">UCYSvmuqB8zax0hyPkzYd5aQ</t>
  </si>
  <si>
    <t xml:space="preserve">UCHqQFxtY-Iqym3lkoFZoiCA</t>
  </si>
  <si>
    <t xml:space="preserve">UCP6bXfIFGMgTrUCh25pIP2w</t>
  </si>
  <si>
    <t xml:space="preserve">UC59EuFkhzEkOxDinXxcoH9Q</t>
  </si>
  <si>
    <t xml:space="preserve">UCq9aUYGZTkrUh5lu6doz7OQ</t>
  </si>
  <si>
    <t xml:space="preserve">UCOVpjGnVv0U9qA5XA-JlF7w</t>
  </si>
  <si>
    <t xml:space="preserve">UCn_upXGoIPCOlYwqTQGO2dA</t>
  </si>
  <si>
    <t xml:space="preserve">UCWuT2VH4pAcW1jH3hEvzOOQ</t>
  </si>
  <si>
    <t xml:space="preserve">UCmalSJlhrEDmGqrO6fML7jQ</t>
  </si>
  <si>
    <t xml:space="preserve">UCF9Fu6X_pJKQq9bbK26qmZA</t>
  </si>
  <si>
    <t xml:space="preserve">UC1VT8SUJ7yvIkE4eCzXVSNA</t>
  </si>
  <si>
    <t xml:space="preserve">UC9MyrHVQmKJ3rtGrBY26qgA</t>
  </si>
  <si>
    <t xml:space="preserve">UCsXIWxq-wO7rKz3_hRqMJKg</t>
  </si>
  <si>
    <t xml:space="preserve">UClKhTWlC_759-MNjU5RN50Q</t>
  </si>
  <si>
    <t xml:space="preserve">UCvKhuGg8JEMCwlcLItFjGMg</t>
  </si>
  <si>
    <t xml:space="preserve">UCY_Xe5SSjG6tLU1RjnGKckQ</t>
  </si>
  <si>
    <t xml:space="preserve">UCBY3f7lGn0AU9TtWpmk7rEw</t>
  </si>
  <si>
    <t xml:space="preserve">UCGMgxuHB6ctPRQr_vjBD1CQ</t>
  </si>
  <si>
    <t xml:space="preserve">UCUvJKy-A_jUE-CB6xcg9a0A</t>
  </si>
  <si>
    <t xml:space="preserve">UCpi2S8wW4xLlUCVryhyBtsA</t>
  </si>
  <si>
    <t xml:space="preserve">UCV2tpTxfOZHYZ8KzUK7fcPg</t>
  </si>
  <si>
    <t xml:space="preserve">UCt2nNvAlisAMjr7XoTeBgNQ</t>
  </si>
  <si>
    <t xml:space="preserve">UCj-9sQF1cB7Q-QJFX-DMdSA</t>
  </si>
  <si>
    <t xml:space="preserve">UCc-tlpYLqmJGMoUzl_5amxg</t>
  </si>
  <si>
    <t xml:space="preserve">UCTAW7zIqDFZZbtsQQ0I7VPw</t>
  </si>
  <si>
    <t xml:space="preserve">UC0N-2V0n8v5WcL0bYzlLyzg</t>
  </si>
  <si>
    <t xml:space="preserve">UCUGzEVYyxe-KHzPBCwWAz9g</t>
  </si>
  <si>
    <t xml:space="preserve">UC5qkJxnFkk9wQNT0CF8gFnA</t>
  </si>
  <si>
    <t xml:space="preserve">UCw9XoBldT6zfKWbsdZD_STg</t>
  </si>
  <si>
    <t xml:space="preserve">UCjUjScNyJbPQwsYf4WzJyfA</t>
  </si>
  <si>
    <t xml:space="preserve">UCfmVXZXOk2bl9GEIz-2c2vg</t>
  </si>
  <si>
    <t xml:space="preserve">UC6FejMHmWEOSVq8DZuL3AoQ</t>
  </si>
  <si>
    <t xml:space="preserve">UC6aK0gdFsT7q2t1dWCQLG6g</t>
  </si>
  <si>
    <t xml:space="preserve">UC1Jo6UXxw-hh8atJdLYQthw</t>
  </si>
  <si>
    <t xml:space="preserve">UC0OPnM1WTYZO1BFLE017DFQ</t>
  </si>
  <si>
    <t xml:space="preserve">UCl3glnLgye7nbvCmXQwDV4A</t>
  </si>
  <si>
    <t xml:space="preserve">UCsGPQOmCm3iGhBxJJjOFrYw</t>
  </si>
  <si>
    <t xml:space="preserve">UCazFovsd7uw-68oTybwdIcw</t>
  </si>
  <si>
    <t xml:space="preserve">UCWO9O83O0bH_YDzSvUYMNPQ</t>
  </si>
  <si>
    <t xml:space="preserve">UC-DtbRiglRsaf6Xoe5PZcIw</t>
  </si>
  <si>
    <t xml:space="preserve">UCjwjo_jDjfsLhaZ-S-S-vrA</t>
  </si>
  <si>
    <t xml:space="preserve">UCxD_oNefakx0TloZ_dUcOHw</t>
  </si>
  <si>
    <t xml:space="preserve">UCEfGUvCw55erPx0Hl_4zJHQ</t>
  </si>
  <si>
    <t xml:space="preserve">UCDjnHLNIAQyJ63SANDAZMcA</t>
  </si>
  <si>
    <t xml:space="preserve">UCa5GFYMNAqTtDPd3C1eusMg</t>
  </si>
  <si>
    <t xml:space="preserve">UCasqQwxjxS93Ztj04mJQd9w</t>
  </si>
  <si>
    <t xml:space="preserve">UCEwi3-J8frU_Ksz9iULh9Og</t>
  </si>
  <si>
    <t xml:space="preserve">UCsWpELe0HH1bF5GIgpDP85w</t>
  </si>
  <si>
    <t xml:space="preserve">UC9uNpqgB0PfH1-hHQrUWXyw</t>
  </si>
  <si>
    <t xml:space="preserve">UCDQ3ModxYLThd9s5rJFLwfA</t>
  </si>
  <si>
    <t xml:space="preserve">UCsV_AubhtkEoMz8Pya4DuOA</t>
  </si>
  <si>
    <t xml:space="preserve">UC4nY2iZYi4bDt3C4DhjL9yA</t>
  </si>
  <si>
    <t xml:space="preserve">UCfyo6hPA20gqCM2wbGbj2eg</t>
  </si>
  <si>
    <t xml:space="preserve">UC08N4YEI_9snLf2QYDpxt0g</t>
  </si>
  <si>
    <t xml:space="preserve">UChBXjR9FPLRxASzXCd7i1pA</t>
  </si>
  <si>
    <t xml:space="preserve">UCEAx6O0cqWjLcGtdcKqpiIA</t>
  </si>
  <si>
    <t xml:space="preserve">UCZ--oeeD0QtBOe3pySYcOuw</t>
  </si>
  <si>
    <t xml:space="preserve">UCkb6UrUqyplN6z76ub0xXVg</t>
  </si>
  <si>
    <t xml:space="preserve">UC4qfjttpd6UP5_qTFUci1Fg</t>
  </si>
  <si>
    <t xml:space="preserve">UC1i7oAb4FnGE7cYXz68vGiQ</t>
  </si>
  <si>
    <t xml:space="preserve">UCCocTrMnq50-uIERQW7A2WA</t>
  </si>
  <si>
    <t xml:space="preserve">UCRYVp_4yPKC4Tywa1ORvP4g</t>
  </si>
  <si>
    <t xml:space="preserve">UCkqKzPtumm-OrJQfjCKa6tQ</t>
  </si>
  <si>
    <t xml:space="preserve">UCMgRILlxr2oQzOrkC_i0Bzg</t>
  </si>
  <si>
    <t xml:space="preserve">UCIoUXqqg6rBfG9e2qJN1qgw</t>
  </si>
  <si>
    <t xml:space="preserve">UCjVS_wIz8rJwt0ZJarqXYBA</t>
  </si>
  <si>
    <t xml:space="preserve">UCPKl-4XagyUFqutVVJlfWyA</t>
  </si>
  <si>
    <t xml:space="preserve">UCSqHaaSAvjhc9G0zUUR1VLQ</t>
  </si>
  <si>
    <t xml:space="preserve">UCWt7C7KnugGkm-lS2gycdhA</t>
  </si>
  <si>
    <t xml:space="preserve">UCHmLYR8blx6ZXV914mh7qpg</t>
  </si>
  <si>
    <t xml:space="preserve">UCouHa9uAFpMlZPKy0BEvKwQ</t>
  </si>
  <si>
    <t xml:space="preserve">UCfO2oAdLLl9hjtmjWu3t9sA</t>
  </si>
  <si>
    <t xml:space="preserve">UCOFCG8J8KDcWHmesYNBx_Uw</t>
  </si>
  <si>
    <t xml:space="preserve">UCcJg-G_tlHxgQZJGr0KZ3Pw</t>
  </si>
  <si>
    <t xml:space="preserve">UCzvNe-7kXLj2ZTAXJAQJIOg</t>
  </si>
  <si>
    <t xml:space="preserve">UCBXotngAFT-8USdGWv0E9DQ</t>
  </si>
  <si>
    <t xml:space="preserve">UC_JSsEJaYoOVf-xnzCq_LtA</t>
  </si>
  <si>
    <t xml:space="preserve">UCTYsA3eCyhfw6zd9U8L_r9g</t>
  </si>
  <si>
    <t xml:space="preserve">UCo6BTzM0BXygo_sOLazk6hA</t>
  </si>
  <si>
    <t xml:space="preserve">UCpCsZ_EFh-hzlrKK8ZKhW3A</t>
  </si>
  <si>
    <t xml:space="preserve">UCv6VjyUvQtXAU6IEJiMAHTg</t>
  </si>
  <si>
    <t xml:space="preserve">UCvcVKczRueLbgvVcGECrwSQ</t>
  </si>
  <si>
    <t xml:space="preserve">UC9G9dVamsElry0sbeKX1hjw</t>
  </si>
  <si>
    <t xml:space="preserve">UCJwhZJy9UhfZvlLS2Xy-1Qg</t>
  </si>
  <si>
    <t xml:space="preserve">UC3-4MtjwR6fSIa31KudmL0A</t>
  </si>
  <si>
    <t xml:space="preserve">UC7h3w17ciIbjjr84AaK4h1A</t>
  </si>
  <si>
    <t xml:space="preserve">UCzw35O6toJtjqEAAt4LTjKQ</t>
  </si>
  <si>
    <t xml:space="preserve">UCgEOYmQ08o18vSqEj_17Eaw</t>
  </si>
  <si>
    <t xml:space="preserve">UCuyd-GPDK2RP7qeLCe7A94w</t>
  </si>
  <si>
    <t xml:space="preserve">UCxB2skx9iZ8ZAm7mu4QC28Q</t>
  </si>
  <si>
    <t xml:space="preserve">UCMQ_EpT5AmKAgUMBYPASPiA</t>
  </si>
  <si>
    <t xml:space="preserve">UCVlmPeHJPOvE2zGIZ8RCUow</t>
  </si>
  <si>
    <t xml:space="preserve">UCJHULpAPVZZtdA4mm_gggeg</t>
  </si>
  <si>
    <t xml:space="preserve">UCRKdzM4CF31FK3k8keEb76Q</t>
  </si>
  <si>
    <t xml:space="preserve">UCBTj1tYhkwOJX0xJ0POG8yg</t>
  </si>
  <si>
    <t xml:space="preserve">UCu6oT-LaHX7CFztFKAI6aqg</t>
  </si>
  <si>
    <t xml:space="preserve">UCd2CBMSZfehum13I_SLM9AQ</t>
  </si>
  <si>
    <t xml:space="preserve">UCzlVB0ShqVAAGZ20ltvl4Xw</t>
  </si>
  <si>
    <t xml:space="preserve">UCeE1i5EtxDq_BE2xqeNyU4w</t>
  </si>
  <si>
    <t xml:space="preserve">UCyASJeOjsz623GE8pmrSJIg</t>
  </si>
  <si>
    <t xml:space="preserve">UC_tO4HnFycFEXozmUzmlBbA</t>
  </si>
  <si>
    <t xml:space="preserve">UCnDqw7new8iJpOidPZ6R3DQ</t>
  </si>
  <si>
    <t xml:space="preserve">UCPjF_ygkYcgvfl_-dg8ZqdQ</t>
  </si>
  <si>
    <t xml:space="preserve">UCkntUpls2zcowZL3nO9mw3A</t>
  </si>
  <si>
    <t xml:space="preserve">UCiVwphwkwQINIEhghW0BvAg</t>
  </si>
  <si>
    <t xml:space="preserve">UC_r97qKpSCev03bfqvSB_Lw</t>
  </si>
  <si>
    <t xml:space="preserve">UCRS2BahLemI8xAxiV-QZOoQ</t>
  </si>
  <si>
    <t xml:space="preserve">UCDozv1UqkRxY39u4CwHGbzw</t>
  </si>
  <si>
    <t xml:space="preserve">UCrYcRwqeTwjEgf9dgOtCoHw</t>
  </si>
  <si>
    <t xml:space="preserve">UC6-PqkyEfNkefHHjORW2jgA</t>
  </si>
  <si>
    <t xml:space="preserve">UCMaICWtgvwvd98Wp3vCjZ9g</t>
  </si>
  <si>
    <t xml:space="preserve">UCg964rdrzNxfTyyfTZFsirQ</t>
  </si>
  <si>
    <t xml:space="preserve">UCodefuC8pG8MkkW5dHitnqQ</t>
  </si>
  <si>
    <t xml:space="preserve">UCY0x_lcvIqPsNZossNoMt9Q</t>
  </si>
  <si>
    <t xml:space="preserve">UCga22T1lweq-TmfzzGkyITQ</t>
  </si>
  <si>
    <t xml:space="preserve">UCz5fxZjG0LZNMq6QcW5VqYw</t>
  </si>
  <si>
    <t xml:space="preserve">UC7ALdzkbQNRQKHwJxV2a5gQ</t>
  </si>
  <si>
    <t xml:space="preserve">UC9ek5qZ1resjh0FqSbw9JMg</t>
  </si>
  <si>
    <t xml:space="preserve">UCXg9VlZz5c3O6t17LPMitzA</t>
  </si>
  <si>
    <t xml:space="preserve">UC-n-RvfScuFgKy47pUOrvRQ</t>
  </si>
  <si>
    <t xml:space="preserve">UCjA3bY5YExTknjGrI7Ta0GQ</t>
  </si>
  <si>
    <t xml:space="preserve">UCHyQbvXJ_YgQxxFTnMOjPMw</t>
  </si>
  <si>
    <t xml:space="preserve">UCrjlBooVMDiDNnJBRKmCnTw</t>
  </si>
  <si>
    <t xml:space="preserve">UCrthViLN3AFsHhb_k4qZ28w</t>
  </si>
  <si>
    <t xml:space="preserve">UCmCOfHxrryLPtOlMfdayJmw</t>
  </si>
  <si>
    <t xml:space="preserve">UClXnmRtaoqVtU8zkNi3UYnA</t>
  </si>
  <si>
    <t xml:space="preserve">UC9A3kW89pTj9yVPbedY3WMg</t>
  </si>
  <si>
    <t xml:space="preserve">UCJfp6YCPhstW-4q9X7PNy7w</t>
  </si>
  <si>
    <t xml:space="preserve">UCynCiHFhe066Pvtpe_wqCHA</t>
  </si>
  <si>
    <t xml:space="preserve">UCiNsy67tYayVm0rCcKdrA6Q</t>
  </si>
  <si>
    <t xml:space="preserve">UCI0A2pogaQg0eoFPS0r6lzA</t>
  </si>
  <si>
    <t xml:space="preserve">UCV17MET_rZQYUQEwGyp0k0g</t>
  </si>
  <si>
    <t xml:space="preserve">UCdvRl7bTUfcWYYkJQuuDPLg</t>
  </si>
  <si>
    <t xml:space="preserve">UCahlLFC5FDxMUhfCBP2NY8A</t>
  </si>
  <si>
    <t xml:space="preserve">UCe3BqwRj_MONvyV2bCXKXbw</t>
  </si>
  <si>
    <t xml:space="preserve">UC4Bt7kAFyM-c2xesW3FaEqA</t>
  </si>
  <si>
    <t xml:space="preserve">UCemy3dAAaElWSJ7-00NrmRw</t>
  </si>
  <si>
    <t xml:space="preserve">UCjusT1x9bPDiqUUnFnQSCTg</t>
  </si>
  <si>
    <t xml:space="preserve">UCN4k3rQiExmOxEErcrY6cLQ</t>
  </si>
  <si>
    <t xml:space="preserve">UCn7xnblhmCmstAZ8_Yh3XOA</t>
  </si>
  <si>
    <t xml:space="preserve">UC9CNRJnZjYX4u8KFoCX-pLw</t>
  </si>
  <si>
    <t xml:space="preserve">UCZZhfDZvCFbd38LF3zNW3cw</t>
  </si>
  <si>
    <t xml:space="preserve">UCJUI77o9_VMx_AWxiMDtkjQ</t>
  </si>
  <si>
    <t xml:space="preserve">UC-yDhOUeGmKqX0aTVn-fAMw</t>
  </si>
  <si>
    <t xml:space="preserve">UCvXJsjQlOw5X3MUHJe1780A</t>
  </si>
  <si>
    <t xml:space="preserve">UC0eObQCW3jvotk4hERUfeew</t>
  </si>
  <si>
    <t xml:space="preserve">UC7YUrsXvsWdidfUNjDUOACg</t>
  </si>
  <si>
    <t xml:space="preserve">UCjagdique_a5HkaNhy8mAcg</t>
  </si>
  <si>
    <t xml:space="preserve">UCMhaltVYpOydK5UciK3xIXw</t>
  </si>
  <si>
    <t xml:space="preserve">UCpt3nYYT9tQw3M_fp25RrZw</t>
  </si>
  <si>
    <t xml:space="preserve">UCais_dHy20NRPGnUO5J75EQ</t>
  </si>
  <si>
    <t xml:space="preserve">UCrV75AUrGAzyFysMs2RUtUQ</t>
  </si>
  <si>
    <t xml:space="preserve">UCUkISod6tzaYaG6Z_vMDOuQ</t>
  </si>
  <si>
    <t xml:space="preserve">UCpH-ILyduTkw2Va6Hc7tvAw</t>
  </si>
  <si>
    <t xml:space="preserve">UCt5n1pHee5qHBuDDhDxzXoA</t>
  </si>
  <si>
    <t xml:space="preserve">UCKxFnLZHM3IbN7ndGEZMcyQ</t>
  </si>
  <si>
    <t xml:space="preserve">UCsncOB1FfcZkKd1KqDU2PLA</t>
  </si>
  <si>
    <t xml:space="preserve">UCR_g7cfpdyh_cEO2V3MKGYA</t>
  </si>
  <si>
    <t xml:space="preserve">UCBVWazXUuaH_UjzshktHWLw</t>
  </si>
  <si>
    <t xml:space="preserve">UCrgzE_KucRuZCKkQrfYActg</t>
  </si>
  <si>
    <t xml:space="preserve">UCpP27s8UqA9s0RYMW7mPjxQ</t>
  </si>
  <si>
    <t xml:space="preserve">UCx4QhF9CoOESVrPHP-NCUag</t>
  </si>
  <si>
    <t xml:space="preserve">UCUc_keR0M1WXez70Ur2gluw</t>
  </si>
  <si>
    <t xml:space="preserve">UCuSonTbArCftSfRD-xsEWOg</t>
  </si>
  <si>
    <t xml:space="preserve">UC8CSCA2zhQIXsJ15ixWm8QQ</t>
  </si>
  <si>
    <t xml:space="preserve">UC3tRLIiVt1HdFsfJQu-9rzA</t>
  </si>
  <si>
    <t xml:space="preserve">UClEV2WmLx-PwDiWGaub2Kmw</t>
  </si>
  <si>
    <t xml:space="preserve">UCf5BpzjGuojYdpNs9HM1VNA</t>
  </si>
  <si>
    <t xml:space="preserve">UCIBqs61ZzCJ4ggfNvFJS2ig</t>
  </si>
  <si>
    <t xml:space="preserve">UCnnEfFm4zRxfxsWrefHPsjQ</t>
  </si>
  <si>
    <t xml:space="preserve">UCB0yvSilXjLZ7ENtp9xiG0w</t>
  </si>
  <si>
    <t xml:space="preserve">UCyOFq3Tp48Uw7IBV8S7T9Ww</t>
  </si>
  <si>
    <t xml:space="preserve">UCcJIbBQj1-oLMk28LyGhpIQ</t>
  </si>
  <si>
    <t xml:space="preserve">UCBqVXri5tkyN9yrvoh5wFzw</t>
  </si>
  <si>
    <t xml:space="preserve">UCpxH8qcwTTyAQTBm8Z-Mneg</t>
  </si>
  <si>
    <t xml:space="preserve">UCOms6tTgMa7XTFZFvW763cQ</t>
  </si>
  <si>
    <t xml:space="preserve">UCRRWCF7EU9KofmgC9Wg4qBQ</t>
  </si>
  <si>
    <t xml:space="preserve">UCZ1AV7odeYSdlJ12hQMJ-aQ</t>
  </si>
  <si>
    <t xml:space="preserve">UCjDlpzWetSl0itxJlewq3sg</t>
  </si>
  <si>
    <t xml:space="preserve">UCqvHFSJIuOlBQw7LPUTPHaw</t>
  </si>
  <si>
    <t xml:space="preserve">UCBRReKiaDBTYszlLLH-PArQ</t>
  </si>
  <si>
    <t xml:space="preserve">UCNVuLKaKdDhJSbZzdRvgrxQ</t>
  </si>
  <si>
    <t xml:space="preserve">UCAqlE9ynxgCcynxbkSqCgVw</t>
  </si>
  <si>
    <t xml:space="preserve">UCwWulKRaMSsCHfrZtI4MHwQ</t>
  </si>
  <si>
    <t xml:space="preserve">UC1r3ylHAfLDocOkOuWIXCeA</t>
  </si>
  <si>
    <t xml:space="preserve">UCdDZWpYGr61kw3nRiTKLIMw</t>
  </si>
  <si>
    <t xml:space="preserve">UCb1iqYSU74A8lS_4sW0VqNQ</t>
  </si>
  <si>
    <t xml:space="preserve">UCzYbHm5Zy3ne66ZO3LK1b0g</t>
  </si>
  <si>
    <t xml:space="preserve">UCDblfXrCFHCjypoRMzVgSYg</t>
  </si>
  <si>
    <t xml:space="preserve">UCAg8WBou9jKrAudUJD51ZDg</t>
  </si>
  <si>
    <t xml:space="preserve">UCrMF6MeCt7wcb-UwMJiN6Cg</t>
  </si>
  <si>
    <t xml:space="preserve">UCN8IIIzLmsKsutgr-a7dyXw</t>
  </si>
  <si>
    <t xml:space="preserve">UCalh77UMP-7Va42ahoFHnZA</t>
  </si>
  <si>
    <t xml:space="preserve">UCAZD_s3_XGcRKm3wGNbpxSQ</t>
  </si>
  <si>
    <t xml:space="preserve">UCYvNQWoXtr5G9nO9WwyadNA</t>
  </si>
  <si>
    <t xml:space="preserve">UCGn9cTrxfHXjlQJJIch6vHQ</t>
  </si>
  <si>
    <t xml:space="preserve">UCGZ6UGw85wN55DfejQO2Lrw</t>
  </si>
  <si>
    <t xml:space="preserve">UCZglK0Bhcs6dKAu4C0uIEcA</t>
  </si>
  <si>
    <t xml:space="preserve">UCbP449RtHbxn2mG_GKuo4IA</t>
  </si>
  <si>
    <t xml:space="preserve">UCu0t2ivGZto6yHskTBkfUEg</t>
  </si>
  <si>
    <t xml:space="preserve">UCNDJJCDsJ2dxBZKcAKikKJw</t>
  </si>
  <si>
    <t xml:space="preserve">UC2svJeLsPyo9heb26GpBu6w</t>
  </si>
  <si>
    <t xml:space="preserve">UCylag9fHcX-spo_jLmZHpdw</t>
  </si>
  <si>
    <t xml:space="preserve">UCqpt3eXca0Y63BQ0go8WP3w</t>
  </si>
  <si>
    <t xml:space="preserve">UCpGBEbbsWctGAP59wXKuj-g</t>
  </si>
  <si>
    <t xml:space="preserve">UCDqBKe_pD1dMRCeo6TJXFlw</t>
  </si>
  <si>
    <t xml:space="preserve">UCSpmMMKzX6aESUld5YgbssQ</t>
  </si>
  <si>
    <t xml:space="preserve">UCJOSZDgVu_jr9TL4XABjPRw</t>
  </si>
  <si>
    <t xml:space="preserve">UCkp62NfpNRrZtpTZR7GnyVA</t>
  </si>
  <si>
    <t xml:space="preserve">UCk9FuP7t29sHuCVVi17I4Xg</t>
  </si>
  <si>
    <t xml:space="preserve">UCedJuLWe4xLTOuD_rLNdc6g</t>
  </si>
  <si>
    <t xml:space="preserve">UC5YKcUgGxBzudgsW5aC6ySA</t>
  </si>
  <si>
    <t xml:space="preserve">UCM_ldke0A2IINyde-gUMUcQ</t>
  </si>
  <si>
    <t xml:space="preserve">UCBMUQhzF311FusaMJFrgM8Q</t>
  </si>
  <si>
    <t xml:space="preserve">UCChmJrVa8kDg05JfCmxpLRw</t>
  </si>
  <si>
    <t xml:space="preserve">UCdNiWWwtjtZXQU88QIY-k1g</t>
  </si>
  <si>
    <t xml:space="preserve">UCQSnJ9pCScLTRG40n7l2oOQ</t>
  </si>
  <si>
    <t xml:space="preserve">UCCkXRf_LbxdAX5hBp018cIg</t>
  </si>
  <si>
    <t xml:space="preserve">UCh7x6d9ImAEc3uhVJPLp64Q</t>
  </si>
  <si>
    <t xml:space="preserve">UCI0c341HaQ9KPft_ZZZUULg</t>
  </si>
  <si>
    <t xml:space="preserve">UCE6olusNOY-YmBoT9ArfjGg</t>
  </si>
  <si>
    <t xml:space="preserve">UCr3TboR7Q7seWiGw2OJj4jg</t>
  </si>
  <si>
    <t xml:space="preserve">UCFQm18T_5d6Je4hVxgYNWvA</t>
  </si>
  <si>
    <t xml:space="preserve">UC0vBx62AswEBDYSKKS-uiEA</t>
  </si>
  <si>
    <t xml:space="preserve">UC32EuT-Yf37PUMy9KNitKqA</t>
  </si>
  <si>
    <t xml:space="preserve">UCC9T_3n1VzC-AIjLMmdg4Vg</t>
  </si>
  <si>
    <t xml:space="preserve">UCIlIhmZJI8xvwpYoeJI7y2Q</t>
  </si>
  <si>
    <t xml:space="preserve">UCT5KtvsZ0KIDax8ttzbSGHg</t>
  </si>
  <si>
    <t xml:space="preserve">UCroOaW8bUO6HT3JEaLLARzA</t>
  </si>
  <si>
    <t xml:space="preserve">UC_WobLRxDqdI8kO0gy0T6Rw</t>
  </si>
  <si>
    <t xml:space="preserve">UCj4EmsgR4hreQSscjPCbAOg</t>
  </si>
  <si>
    <t xml:space="preserve">UCHvOwgKMW_9Gj8Hz1zWKbFw</t>
  </si>
  <si>
    <t xml:space="preserve">UCcutVF5EuVy0H7boR07_aIA</t>
  </si>
  <si>
    <t xml:space="preserve">UCEkC1FiBDvknfth8AbrjwIA</t>
  </si>
  <si>
    <t xml:space="preserve">UCOzOLwulhQc9LLqSUTiebOA</t>
  </si>
  <si>
    <t xml:space="preserve">UCEWLP1vMpuXLbGjU0_sWLbw</t>
  </si>
  <si>
    <t xml:space="preserve">UCOscL_Oj7gn_JQ9Jx54Adrg</t>
  </si>
  <si>
    <t xml:space="preserve">UCcjKf634z6kU6pyLkVP6xYg</t>
  </si>
  <si>
    <t xml:space="preserve">UC-nI9z5MBOTbIsYMElGzkXg</t>
  </si>
  <si>
    <t xml:space="preserve">UCxHJuXSdSyNvuWpSHQpXr_Q</t>
  </si>
  <si>
    <t xml:space="preserve">UCJp5dW9c5PbaloVwaiOBydg</t>
  </si>
  <si>
    <t xml:space="preserve">UChEmN4yLCOqyaa-8-D-muYg</t>
  </si>
  <si>
    <t xml:space="preserve">UCWFWEBbTsPM84G7bPKSvYrA</t>
  </si>
  <si>
    <t xml:space="preserve">UCuyPO8QsIO1qlR9Np8qXY2w</t>
  </si>
  <si>
    <t xml:space="preserve">UCr57uNlkRtWt8IqMOvUSYKQ</t>
  </si>
  <si>
    <t xml:space="preserve">UC29BkgrcixDqhPRylMeeV3A</t>
  </si>
  <si>
    <t xml:space="preserve">UCzQNZabwV3L6mD6YLjSdBKA</t>
  </si>
  <si>
    <t xml:space="preserve">UCJlWfg-WnbLMl8-YvgpCE5A</t>
  </si>
  <si>
    <t xml:space="preserve">UCKTmQriO9OorGm-YfaRDNeg</t>
  </si>
  <si>
    <t xml:space="preserve">UCGIjNfvFhyUlb0OLTokXW0Q</t>
  </si>
  <si>
    <t xml:space="preserve">UCLptYRgaD1Ynj7omwyHCTzQ</t>
  </si>
  <si>
    <t xml:space="preserve">UClagDKaZSGz5YdHmAquJVjg</t>
  </si>
  <si>
    <t xml:space="preserve">UCOxae9H1Leuli_-4Ewt7WoA</t>
  </si>
  <si>
    <t xml:space="preserve">UCeG7XTfHT8SFNdPiqJntF7g</t>
  </si>
  <si>
    <t xml:space="preserve">UCqtLKDwnnznReFh29GSUylQ</t>
  </si>
  <si>
    <t xml:space="preserve">UCxlvgdN89Sub1GsROlpBhGg</t>
  </si>
  <si>
    <t xml:space="preserve">UCfaFFkQzaH0WkmQJdTlfxLQ</t>
  </si>
  <si>
    <t xml:space="preserve">UCCwt6PDivCeJ9dnQz5jtIqQ</t>
  </si>
  <si>
    <t xml:space="preserve">UCOUz7ePApCuqBx23qFyAqog</t>
  </si>
  <si>
    <t xml:space="preserve">UCh1WUiQDml4jWqBlvHBoGcQ</t>
  </si>
  <si>
    <t xml:space="preserve">UCVYRV6AOvR-NFPTkzcScxRg</t>
  </si>
  <si>
    <t xml:space="preserve">UCfuUqvwgCOhDKRRnxHVhBow</t>
  </si>
  <si>
    <t xml:space="preserve">UCy1AgAHcuV4sPaHvRYahWaw</t>
  </si>
  <si>
    <t xml:space="preserve">UCq-oIrCIna7w7pKb30mBmlA</t>
  </si>
  <si>
    <t xml:space="preserve">UCL6OmfZMdTxU5g_WC8kvqfQ</t>
  </si>
  <si>
    <t xml:space="preserve">UCUlwUXDeJgGL4hToJuw_jmQ</t>
  </si>
  <si>
    <t xml:space="preserve">UCoJdeLq-x4yGLLgvzv-GC1Q</t>
  </si>
  <si>
    <t xml:space="preserve">UCauukPEzF2ou6pEwqxUjLSA</t>
  </si>
  <si>
    <t xml:space="preserve">UCsQtUuShXmjxjoz-pTlknsg</t>
  </si>
  <si>
    <t xml:space="preserve">UCde-2tSxawPq4T05Nt773rQ</t>
  </si>
  <si>
    <t xml:space="preserve">UC8Z5RV0Hkr9go1GE-PevsEA</t>
  </si>
  <si>
    <t xml:space="preserve">UCuLYvuN02wTcf3VbpC6HEKQ</t>
  </si>
  <si>
    <t xml:space="preserve">UCbvf_c50z3jglQY0zApt-bw</t>
  </si>
  <si>
    <t xml:space="preserve">UC6kISSTgfIBIiSXmsNr3Epw</t>
  </si>
  <si>
    <t xml:space="preserve">UCXBM9Ddl98fKsXMkzlNdciw</t>
  </si>
  <si>
    <t xml:space="preserve">UCu0HI0THVGFWA6y12gb8G0g</t>
  </si>
  <si>
    <t xml:space="preserve">UCrp84jQYkyVCp4NmrI24dVQ</t>
  </si>
  <si>
    <t xml:space="preserve">UC_k9oNcxOyIww6Wfkywz-eg</t>
  </si>
  <si>
    <t xml:space="preserve">UCNxHAnlh3DBKJLjMxRdUQ8Q</t>
  </si>
  <si>
    <t xml:space="preserve">UCHg6JlboXvQbGnIs1Gk9Eow</t>
  </si>
  <si>
    <t xml:space="preserve">UCMuRS67FNmbdDtjCK497IwA</t>
  </si>
  <si>
    <t xml:space="preserve">UCaF-CptgKW8spHo8AjMb_cA</t>
  </si>
  <si>
    <t xml:space="preserve">UC92yaHPWPqQAbHKF7JlTVmw</t>
  </si>
  <si>
    <t xml:space="preserve">UCPR8WpGLNwNdXn6M9L9ZmlQ</t>
  </si>
  <si>
    <t xml:space="preserve">UCTMzJcvae3ZSMvcA19qL48A</t>
  </si>
  <si>
    <t xml:space="preserve">UCnU1L84KQPs_YRzwy74S5Zw</t>
  </si>
  <si>
    <t xml:space="preserve">UCxjISGNAqOVQcs7bKZnwtYg</t>
  </si>
  <si>
    <t xml:space="preserve">UCIM9BZfECnPzEmq1MZ-hkNA</t>
  </si>
  <si>
    <t xml:space="preserve">UCnVUsSyJETHr47qix98BLyw</t>
  </si>
  <si>
    <t xml:space="preserve">UC8MPsIdAKq8K4DkORZFgyIg</t>
  </si>
  <si>
    <t xml:space="preserve">UCbn0o14sHGlTuzE1LbD7bwg</t>
  </si>
  <si>
    <t xml:space="preserve">UCoFX7c_olUVwe9icHC3BoKg</t>
  </si>
  <si>
    <t xml:space="preserve">UCsBz1VoqYcEKtJYs8w4rAUw</t>
  </si>
  <si>
    <t xml:space="preserve">UC9vA08aYoklOWcjguh1641A</t>
  </si>
  <si>
    <t xml:space="preserve">UCf9StUUEcbRpbvpdKx5eS_g</t>
  </si>
  <si>
    <t xml:space="preserve">UC16uWNAJTKSm9_Tt7YJ5IKA</t>
  </si>
  <si>
    <t xml:space="preserve">UCPPiQEcnCszqZ-5wEb06BjQ</t>
  </si>
  <si>
    <t xml:space="preserve">UC4pWDw0ictSJ6GDbrlqvaEw</t>
  </si>
  <si>
    <t xml:space="preserve">UCwtxU9uvjBWFRXQoFthMBMQ</t>
  </si>
  <si>
    <t xml:space="preserve">UCjXpmh7lBKlgJAn1cx2CcwA</t>
  </si>
  <si>
    <t xml:space="preserve">UCYcTUKRTJsQ32h6mL8bSPzA</t>
  </si>
  <si>
    <t xml:space="preserve">UCPtEVCTHvPxE8i8cIirX94g</t>
  </si>
  <si>
    <t xml:space="preserve">UC_p5Y4QaX5JbEqaIQXBPGEA</t>
  </si>
  <si>
    <t xml:space="preserve">UC5RW2sy-lZDqXo1FP6N3zvg</t>
  </si>
  <si>
    <t xml:space="preserve">UCjVse9i1SD8vg5ycrKPFWSg</t>
  </si>
  <si>
    <t xml:space="preserve">UCqlhc3yKv6Zhwry8cZu019A</t>
  </si>
  <si>
    <t xml:space="preserve">UCwMt0LoYO3XTkdZmzFOS0qw</t>
  </si>
  <si>
    <t xml:space="preserve">UCvjj5eoI0TuZE6sr6BjIq4w</t>
  </si>
  <si>
    <t xml:space="preserve">UCXTt53t4H4g0Qw4heBhbAxg</t>
  </si>
  <si>
    <t xml:space="preserve">UC7rPccatXfcuLxiUPzm9AyQ</t>
  </si>
  <si>
    <t xml:space="preserve">UCMADTa2I09LMVKJhGgvfAlQ</t>
  </si>
  <si>
    <t xml:space="preserve">UC1Fc-8RLxmoi6Tw9cbNoxxQ</t>
  </si>
  <si>
    <t xml:space="preserve">UCTfiGc39Na9MC0uVGz_vSiA</t>
  </si>
  <si>
    <t xml:space="preserve">UCA2zX_BsZyxwKEbHQkmxFMw</t>
  </si>
  <si>
    <t xml:space="preserve">UCB0Nf7zhLXsAVgPwU4HIO-A</t>
  </si>
  <si>
    <t xml:space="preserve">UCUIS1iggyRjSrt0vyIUfKaw</t>
  </si>
  <si>
    <t xml:space="preserve">UCBvPQLjFXFxmG--X8PftWBQ</t>
  </si>
  <si>
    <t xml:space="preserve">UCBc95pEmmGpyseMo1ZNphCg</t>
  </si>
  <si>
    <t xml:space="preserve">UCZvlUoz1ajwES9Bhxz6hFRg</t>
  </si>
  <si>
    <t xml:space="preserve">UCHpyuZr94fqLTeLBGmEM0GA</t>
  </si>
  <si>
    <t xml:space="preserve">UCg_s_KTTPhQGYhzqrTUJatQ</t>
  </si>
  <si>
    <t xml:space="preserve">UCMT54iAjwSTEtDaNys0aqTA</t>
  </si>
  <si>
    <t xml:space="preserve">UCH3bOkIzCdFmKX6wk7AOBxw</t>
  </si>
  <si>
    <t xml:space="preserve">UCnbD79UM-eP4HjIDWlGuHtw</t>
  </si>
  <si>
    <t xml:space="preserve">UCEEzwrDdpMjHqBiyx2u5Ecg</t>
  </si>
  <si>
    <t xml:space="preserve">UCn9C9bieTyXcLh5mjXIfxdQ</t>
  </si>
  <si>
    <t xml:space="preserve">UCuijqghAS1tK6yWw8-1vrJQ</t>
  </si>
  <si>
    <t xml:space="preserve">UCI0csZlKsyJunqjtQ8wUx3A</t>
  </si>
  <si>
    <t xml:space="preserve">UCkuqglFoknU76TNpZXN5q-Q</t>
  </si>
  <si>
    <t xml:space="preserve">UCR-BKmDfgTZQ5wpYEJ3TMeQ</t>
  </si>
  <si>
    <t xml:space="preserve">UCObnYvlwpQke-H9X6clC9-g</t>
  </si>
  <si>
    <t xml:space="preserve">UCABmVi-7_WjIgKpTjhHeNCA</t>
  </si>
  <si>
    <t xml:space="preserve">UCUsoHKEYnqwTJl_mKmBf9Rw</t>
  </si>
  <si>
    <t xml:space="preserve">UCm6eKegXi49Orc15SeRbSww</t>
  </si>
  <si>
    <t xml:space="preserve">UC0yinjLu8vFP-F4nI6aOOuA</t>
  </si>
  <si>
    <t xml:space="preserve">UCEsuQdxKl5LkDJXYQqkniow</t>
  </si>
  <si>
    <t xml:space="preserve">UC9aI61j2OtICfHK7UX-L_6A</t>
  </si>
  <si>
    <t xml:space="preserve">UCga81_b1mgyDzBI-kqx9QiQ</t>
  </si>
  <si>
    <t xml:space="preserve">UCdvefeTvqpkylqCnNbksYxg</t>
  </si>
  <si>
    <t xml:space="preserve">UCYBGuI6-V6py9oTCAAmaYhw</t>
  </si>
  <si>
    <t xml:space="preserve">UCHV8r7zUOCnX3Mrf2rwPuhw</t>
  </si>
  <si>
    <t xml:space="preserve">UCR6YPyVyMgBE3lUsznemoLQ</t>
  </si>
  <si>
    <t xml:space="preserve">UCGVC65F9Je7bYNviR5YW9zQ</t>
  </si>
  <si>
    <t xml:space="preserve">UCrecfWERZb6mMnHxK3x_rWw</t>
  </si>
  <si>
    <t xml:space="preserve">UCUiM4hQNJoigEMWrfpU3FZg</t>
  </si>
  <si>
    <t xml:space="preserve">UCU7FaIrdYmD012X3qaDrm-A</t>
  </si>
  <si>
    <t xml:space="preserve">UCFwKAbKGtLj4AMfHGklWy8Q</t>
  </si>
  <si>
    <t xml:space="preserve">UC1MXSdwuLo5-rQffzlKX47g</t>
  </si>
  <si>
    <t xml:space="preserve">UCC2Wokt_vcpDUA_AsvznPoQ</t>
  </si>
  <si>
    <t xml:space="preserve">UCgrePp2L4VqrhgfhfXLJwTg</t>
  </si>
  <si>
    <t xml:space="preserve">UC_AJos-p18VTEkV4jif7iAw</t>
  </si>
  <si>
    <t xml:space="preserve">UCXBX0R2Qo6bypx0dj4SHDuQ</t>
  </si>
  <si>
    <t xml:space="preserve">UCdMQVFPaa2MCb7jPnGweS4w</t>
  </si>
  <si>
    <t xml:space="preserve">UCfimDg9vGDszVWgnjMUhAfA</t>
  </si>
  <si>
    <t xml:space="preserve">UCtNUkW7hMvTRDATKnSlc-rg</t>
  </si>
  <si>
    <t xml:space="preserve">UC06QJEB1HtLHOoOAjFazwug</t>
  </si>
  <si>
    <t xml:space="preserve">UCUTOoz69-1q_ufeMsYYef8A</t>
  </si>
  <si>
    <t xml:space="preserve">UCrR0R4cw2h0UbA9p6xtg0-g</t>
  </si>
  <si>
    <t xml:space="preserve">UCLlhVR0KgGbUwMXt3vMH1_A</t>
  </si>
  <si>
    <t xml:space="preserve">UC0aM9fwXR6J7pOIAZ-XgApA</t>
  </si>
  <si>
    <t xml:space="preserve">UCE43WLnnJlOaC45v3ZFPEDQ</t>
  </si>
  <si>
    <t xml:space="preserve">UCLmlXI2pNOKg6VMB19JawBA</t>
  </si>
  <si>
    <t xml:space="preserve">UCpMH0gwyPZw20r90Lv6zB-Q</t>
  </si>
  <si>
    <t xml:space="preserve">UCcsF8_zRfgaWu-Es7km-_3w</t>
  </si>
  <si>
    <t xml:space="preserve">UCTw6uOBFH_0BRnZTX-JPZug</t>
  </si>
  <si>
    <t xml:space="preserve">UCG9m7Ckfrl0gCVlIEtg-XFg</t>
  </si>
  <si>
    <t xml:space="preserve">UChxQC64ox3svsNl5ZuC_1_Q</t>
  </si>
  <si>
    <t xml:space="preserve">UCmvpm8VUt3Ap_m5DZ0SmLMA</t>
  </si>
  <si>
    <t xml:space="preserve">UCS4EkOySNCFV1-voB9D1DSQ</t>
  </si>
  <si>
    <t xml:space="preserve">UCsQgqiB9Z1acmLn0C6RZE0g</t>
  </si>
  <si>
    <t xml:space="preserve">UCKprxg2qfiF1fYQltZi8c_g</t>
  </si>
  <si>
    <t xml:space="preserve">UCFqKRQiwNzhSD4y9Ll63dVw</t>
  </si>
  <si>
    <t xml:space="preserve">UCBRiCdhKaBRg8g-hg3PYJmQ</t>
  </si>
  <si>
    <t xml:space="preserve">UCBE0dR3HZ-ZX1oLMcU9Gi2A</t>
  </si>
  <si>
    <t xml:space="preserve">UCSy3PdFPFvIj-1W__dllr7w</t>
  </si>
  <si>
    <t xml:space="preserve">UCECGLK59w2Zs1e-Uax0tFTw</t>
  </si>
  <si>
    <t xml:space="preserve">UCl4QoIuyQR49s34gNFv_f3w</t>
  </si>
  <si>
    <t xml:space="preserve">UCteovWj1E9FQffb-1sfk3mw</t>
  </si>
  <si>
    <t xml:space="preserve">UCmVZ59K2NuIAE-rYLU3Ge-g</t>
  </si>
  <si>
    <t xml:space="preserve">UCYCV7YVe3uSQQinilo94uKA</t>
  </si>
  <si>
    <t xml:space="preserve">UCyT7javQ80OHH64YgMF3oNQ</t>
  </si>
  <si>
    <t xml:space="preserve">UCcqkpR8RI44TQIyzVn-L3gw</t>
  </si>
  <si>
    <t xml:space="preserve">UCEogJO9k8gyo4PXisfJdm1Q</t>
  </si>
  <si>
    <t xml:space="preserve">UCt0zzjdburpnn56SUWl5iQQ</t>
  </si>
  <si>
    <t xml:space="preserve">UCUBep7htYfdiMAGMZ9JRDHA</t>
  </si>
  <si>
    <t xml:space="preserve">UCduvt26R3ba_RqugodBSDnw</t>
  </si>
  <si>
    <t xml:space="preserve">UCeei1L64lmQptmrlHFisw2Q</t>
  </si>
  <si>
    <t xml:space="preserve">UCHdMLBhB_jDtSxxwzWowhlg</t>
  </si>
  <si>
    <t xml:space="preserve">UCrddB8xGvtdbrXUw0frCokA</t>
  </si>
  <si>
    <t xml:space="preserve">UCY83L4ntOaUWxoE0Zhyh3bQ</t>
  </si>
  <si>
    <t xml:space="preserve">UCpSzMrVC36NictxkhZR1Kpw</t>
  </si>
  <si>
    <t xml:space="preserve">UCakdd02jzfgmsXVsKbsKXfw</t>
  </si>
  <si>
    <t xml:space="preserve">UCN8ZbPs-1KR4AcL5MiyvJwA</t>
  </si>
  <si>
    <t xml:space="preserve">UCNOXnvbV9jd-XYz8eYyQuUA</t>
  </si>
  <si>
    <t xml:space="preserve">UCn3OaQ46pHuXNoaMxMaGi7w</t>
  </si>
  <si>
    <t xml:space="preserve">UC8REArs1rWyEV6WaalYM8ag</t>
  </si>
  <si>
    <t xml:space="preserve">UCWk8q66nx_ehEd4v3q8497g</t>
  </si>
  <si>
    <t xml:space="preserve">UCkki2wtVlIS443UyedakhLA</t>
  </si>
  <si>
    <t xml:space="preserve">UCXkVshSFepeAapoypdXx2Mw</t>
  </si>
  <si>
    <t xml:space="preserve">UC9zMTDUuR_qZ_vOuC6f5O-A</t>
  </si>
  <si>
    <t xml:space="preserve">UCZysckbZJmTXJ0feCqUKrRg</t>
  </si>
  <si>
    <t xml:space="preserve">UCKtEEYVsJk8gOruyr92IhbQ</t>
  </si>
  <si>
    <t xml:space="preserve">UC25WvYlX5yfYlTkCU5TVI3w</t>
  </si>
  <si>
    <t xml:space="preserve">UCLc_5tql1N2qoamnwG9v_lA</t>
  </si>
  <si>
    <t xml:space="preserve">UC63N6RDraqJqKDL39dmlWcQ</t>
  </si>
  <si>
    <t xml:space="preserve">UCFldDMP8jS3XvM44eqvxjLQ</t>
  </si>
  <si>
    <t xml:space="preserve">UCg8gmNHIVXl86EY_U6lqbLw</t>
  </si>
  <si>
    <t xml:space="preserve">UC3PKj6TrcbEAuTfeUjFSeQw</t>
  </si>
  <si>
    <t xml:space="preserve">UCVouVYeLakGbFacfnA1c-Cw</t>
  </si>
  <si>
    <t xml:space="preserve">UC46_-jsLvYWlkJ-yYjpDZxg</t>
  </si>
  <si>
    <t xml:space="preserve">UCVMMfGWa4pUdGWqSDyx2eaQ</t>
  </si>
  <si>
    <t xml:space="preserve">UCaHIhhEabcrJRioNKYCFxpQ</t>
  </si>
  <si>
    <t xml:space="preserve">UCy_oIfkfDyoGpyObuiK9MZQ</t>
  </si>
  <si>
    <t xml:space="preserve">UCdPoL0JWA9Rdfjy8nn-tVyw</t>
  </si>
  <si>
    <t xml:space="preserve">UCd0746EM7f7USdWjdDFm0iw</t>
  </si>
  <si>
    <t xml:space="preserve">UCLBy3SGxGHxQy0P_LBG_7jw</t>
  </si>
  <si>
    <t xml:space="preserve">UC4O_nJaUbyRyYBRGO5GzHaw</t>
  </si>
  <si>
    <t xml:space="preserve">UCu4hdd30_lYnx4AD-kUyRAg</t>
  </si>
  <si>
    <t xml:space="preserve">UCg-2R1icN51wHm8oFKzsEWw</t>
  </si>
  <si>
    <t xml:space="preserve">UCk2SmYzV22BD7xiRyb0IXOA</t>
  </si>
  <si>
    <t xml:space="preserve">UCRpxYg4lBuCzsrE2ACFc8ZQ</t>
  </si>
  <si>
    <t xml:space="preserve">UCi9r5igvQblbI0PhJFj-IDg</t>
  </si>
  <si>
    <t xml:space="preserve">UCOqd54G4pLzigewdwGsdBdw</t>
  </si>
  <si>
    <t xml:space="preserve">UCg3LNMpW2sgZc3nthsbsfzQ</t>
  </si>
  <si>
    <t xml:space="preserve">UCqWr0wkWLW-s1coJddWaFIw</t>
  </si>
  <si>
    <t xml:space="preserve">UCogp7ZK90HTSplJxiEYyg0Q</t>
  </si>
  <si>
    <t xml:space="preserve">UCGy4jfe6myJyucRz_fWJbJQ</t>
  </si>
  <si>
    <t xml:space="preserve">UCXltj5A7xW_D2g0gmlJbs3A</t>
  </si>
  <si>
    <t xml:space="preserve">UCPIyb2_im4qMhI2hNm-AzHw</t>
  </si>
  <si>
    <t xml:space="preserve">UCwfRJ5abKSveqRkAMGKazLw</t>
  </si>
  <si>
    <t xml:space="preserve">UCEF31PMhb9XJmDg3Cecs9Ig</t>
  </si>
  <si>
    <t xml:space="preserve">UClCY_EjksrZlw1totn9dT7A</t>
  </si>
  <si>
    <t xml:space="preserve">UCk9P9FH37GNzqIcP_4WcUEg</t>
  </si>
  <si>
    <t xml:space="preserve">UCFX2I9nmxAfOkRHlCD3g0iQ</t>
  </si>
  <si>
    <t xml:space="preserve">UCz_1ZFdddzJaM14jE9lHF6Q</t>
  </si>
  <si>
    <t xml:space="preserve">UC4PBmgsnt4PuxwPfQ0NBxHA</t>
  </si>
  <si>
    <t xml:space="preserve">UCEq_f4q_3MQJlGOLrGfXKmQ</t>
  </si>
  <si>
    <t xml:space="preserve">UCLYeOQfyYjcho15H6-Uv9KA</t>
  </si>
  <si>
    <t xml:space="preserve">UCLgz497wS67kdNDhot6wT_Q</t>
  </si>
  <si>
    <t xml:space="preserve">UCHjx-SNdsXuU73yiWwHt6Zg</t>
  </si>
  <si>
    <t xml:space="preserve">UCdv48KenG3dqDLRxycBjn4A</t>
  </si>
  <si>
    <t xml:space="preserve">UC8FpigDu4zir3CX0swW79og</t>
  </si>
  <si>
    <t xml:space="preserve">UCVz2ij6Q36zLwKrahXi-PAg</t>
  </si>
  <si>
    <t xml:space="preserve">UCYNHtTzYyHi42GziGrjb02g</t>
  </si>
  <si>
    <t xml:space="preserve">UCK9eVqJG07tpuQEadDlnwJw</t>
  </si>
  <si>
    <t xml:space="preserve">UCzYHvcsLULgdNROmynQWzWA</t>
  </si>
  <si>
    <t xml:space="preserve">UCn3HpfVDb7rHXO9RO7yZQmg</t>
  </si>
  <si>
    <t xml:space="preserve">UCZpZMjPV_EijkMTEzCdG78Q</t>
  </si>
  <si>
    <t xml:space="preserve">UCIi0tFMfjTfAPwYRpkEIgNw</t>
  </si>
  <si>
    <t xml:space="preserve">UC7EswUEX6-CIhSz3pkCUOAw</t>
  </si>
  <si>
    <t xml:space="preserve">UCmWct-TPkAugX1FsBb2O2xA</t>
  </si>
  <si>
    <t xml:space="preserve">UCi6DO1OXZ7psQbUmanKFluQ</t>
  </si>
  <si>
    <t xml:space="preserve">UCh0RIqyy5l_0qnQVWEmMqTg</t>
  </si>
  <si>
    <t xml:space="preserve">UCw8_nfV52c102E8A93E6MmA</t>
  </si>
  <si>
    <t xml:space="preserve">UCTKhMMAFDXtY2gkQ0ezjNpg</t>
  </si>
  <si>
    <t xml:space="preserve">UCxGjNIWjjz85nBadgB7_tyw</t>
  </si>
  <si>
    <t xml:space="preserve">UChJRYLnIwsP4dLduaQcn1yQ</t>
  </si>
  <si>
    <t xml:space="preserve">UCSohzcKB8NU_V1ek8Jsj9cw</t>
  </si>
  <si>
    <t xml:space="preserve">UCbe2rmGKWeU26D7QP4V-uyw</t>
  </si>
  <si>
    <t xml:space="preserve">UCrxjXz5KnMxdLaLFkyBC-rQ</t>
  </si>
  <si>
    <t xml:space="preserve">UCA7sytNT0KxAa_e7MfP0qrQ</t>
  </si>
  <si>
    <t xml:space="preserve">UCWmIVMwMWGqZcWJBrSmlSOg</t>
  </si>
  <si>
    <t xml:space="preserve">UCDN81Dx69yis-_fGot4ZpFQ</t>
  </si>
  <si>
    <t xml:space="preserve">UCrg6pYvMMXBPD4VXuhqAzqw</t>
  </si>
  <si>
    <t xml:space="preserve">UCz-mi9wzT0LkIf0tIQvSl2w</t>
  </si>
  <si>
    <t xml:space="preserve">UCfnld0KI03bK1IbzC7eKTqw</t>
  </si>
  <si>
    <t xml:space="preserve">UC9yQU9ofeFYN7oZIRlEfjag</t>
  </si>
  <si>
    <t xml:space="preserve">UCIeMsDzpCrs83aVJNH-X8rA</t>
  </si>
  <si>
    <t xml:space="preserve">UCa1DrVdRPEvEQiaocQIe1uA</t>
  </si>
  <si>
    <t xml:space="preserve">UCXJ-9NYnfeGaqpQdY9H5Ljg</t>
  </si>
  <si>
    <t xml:space="preserve">UCEofXice02y_Nii2kd1dU_Q</t>
  </si>
  <si>
    <t xml:space="preserve">UCpeMVE7K3MqzAEErkgeBZTg</t>
  </si>
  <si>
    <t xml:space="preserve">UCu8jTlGUxRxBeNrgXm-U1sQ</t>
  </si>
  <si>
    <t xml:space="preserve">UCClE9GByQKHnzhrWl5nDfhQ</t>
  </si>
  <si>
    <t xml:space="preserve">UCDSWZh5ABlZa9Ntc1GYu3sA</t>
  </si>
  <si>
    <t xml:space="preserve">UCbT0G1ItC221ubKgvuXnwLQ</t>
  </si>
  <si>
    <t xml:space="preserve">UCAEnPXRbUUagDIqYLvPGJfg</t>
  </si>
  <si>
    <t xml:space="preserve">UCNfRcWCcinbVNiwEL5k6_PA</t>
  </si>
  <si>
    <t xml:space="preserve">UCHvfQh4PidbcbHmPihyitmg</t>
  </si>
  <si>
    <t xml:space="preserve">UC-LaI8__cEyl1UEcfydzl-Q</t>
  </si>
  <si>
    <t xml:space="preserve">UCX4vTaseP0gv9jzlCHTBWdg</t>
  </si>
  <si>
    <t xml:space="preserve">UCIIhk88KSu2Ds-0DCcWTu0Q</t>
  </si>
  <si>
    <t xml:space="preserve">UCL5PfkZB-RD8ucWbzIG_0CQ</t>
  </si>
  <si>
    <t xml:space="preserve">UCmg6Ota1RUT_8R2MuW1XFKw</t>
  </si>
  <si>
    <t xml:space="preserve">UC9_Omzm49dt39jGAApxwwYw</t>
  </si>
  <si>
    <t xml:space="preserve">UCtnXaGIIWaf9rL0cAdaqILQ</t>
  </si>
  <si>
    <t xml:space="preserve">UCty4CnkLoxjvYAKTZctqjgQ</t>
  </si>
  <si>
    <t xml:space="preserve">UCEJ3CK9JOlXgx1_ZM6I5Wcg</t>
  </si>
  <si>
    <t xml:space="preserve">UCOwDXeP68AyrzDK-XR8Hv8A</t>
  </si>
  <si>
    <t xml:space="preserve">UC1wBoSu3amXKx4KSqPxhmLw</t>
  </si>
  <si>
    <t xml:space="preserve">UCrtgmTGnuqNVgsgMzHbWrBw</t>
  </si>
  <si>
    <t xml:space="preserve">UCO2uGybS5P67weh9-sFlJiw</t>
  </si>
  <si>
    <t xml:space="preserve">UC1T94mSy0h8Dlema-YBSCzw</t>
  </si>
  <si>
    <t xml:space="preserve">UC37zhNfMgmTdyHc0L8oB4Bw</t>
  </si>
  <si>
    <t xml:space="preserve">UCrprNXMB5xtEt9QfizFa92Q</t>
  </si>
  <si>
    <t xml:space="preserve">UCLig0mTH2jvEpJsOtrZkvzA</t>
  </si>
  <si>
    <t xml:space="preserve">UC6DFXlpdyxiHMQug3_8_piw</t>
  </si>
  <si>
    <t xml:space="preserve">UCc6PH6WJs69N1dm9Y-40aag</t>
  </si>
  <si>
    <t xml:space="preserve">UCE3lfyj7ug1GXY9q_fxSfTA</t>
  </si>
  <si>
    <t xml:space="preserve">UC4gn-J39CCKIMoN_-Cy9IWA</t>
  </si>
  <si>
    <t xml:space="preserve">UCvolZArLy9GL6vIqX93wNaQ</t>
  </si>
  <si>
    <t xml:space="preserve">UCULjtLq35o3L8vvozY2v4Uw</t>
  </si>
  <si>
    <t xml:space="preserve">UCwHxZxlO4ku6L_Ht97ti-JQ</t>
  </si>
  <si>
    <t xml:space="preserve">UCqGn2BxEK4TreJrJmCWAE0Q</t>
  </si>
  <si>
    <t xml:space="preserve">UCSkgW3JNslqH2S6qHgr8j_g</t>
  </si>
  <si>
    <t xml:space="preserve">UCmY4iMGgEa49b7-NH94p1BQ</t>
  </si>
  <si>
    <t xml:space="preserve">UCTPvvmGrYsSWlAfwWQcbxdw</t>
  </si>
  <si>
    <t xml:space="preserve">UCH_6S6XPUFQDTT60N2zIzyg</t>
  </si>
  <si>
    <t xml:space="preserve">UCviR-fjnug9I9ZVBSKt2qRg</t>
  </si>
  <si>
    <t xml:space="preserve">UCN2DZwG-ATUaYGWXujT5z9Q</t>
  </si>
  <si>
    <t xml:space="preserve">UCLhuYaBT3qovSzVOn_jp88Q</t>
  </si>
  <si>
    <t xml:space="preserve">UCwRboznikLW0qAOQ1eIKBXg</t>
  </si>
  <si>
    <t xml:space="preserve">UC94h_93a_luyg6csZsF7Urg</t>
  </si>
  <si>
    <t xml:space="preserve">UCw5srg_GiplQUYk0_oLmL-Q</t>
  </si>
  <si>
    <t xml:space="preserve">UC7dz4uVtNi27lBKVHKv3T9w</t>
  </si>
  <si>
    <t xml:space="preserve">UC52-DAqpgd2GqzOyO4wu0ew</t>
  </si>
  <si>
    <t xml:space="preserve">UCNC650qtGLmhsrAK2lavRNA</t>
  </si>
  <si>
    <t xml:space="preserve">UCo_63CAJiLXtE9DYk5pirBQ</t>
  </si>
  <si>
    <t xml:space="preserve">UCOL_jnSeaZxOJUoNnDknIxw</t>
  </si>
  <si>
    <t xml:space="preserve">UCUCT33ZErQc4-K-gtTafqag</t>
  </si>
  <si>
    <t xml:space="preserve">UCOwsGhxDBdCyvDUFY41bxqQ</t>
  </si>
  <si>
    <t xml:space="preserve">UCBtyKx76fZiO0e325KHtfTQ</t>
  </si>
  <si>
    <t xml:space="preserve">UCi-EaBN2Jvgq-U2xi7RJo6A</t>
  </si>
  <si>
    <t xml:space="preserve">UC67EYmlVbMyypqMO4fckmIw</t>
  </si>
  <si>
    <t xml:space="preserve">UChxl5v0GkHuFvBaXC8Q7jEg</t>
  </si>
  <si>
    <t xml:space="preserve">UC8rh3jawAXu6y3zOKkzJyQw</t>
  </si>
  <si>
    <t xml:space="preserve">UCoMTBECkbtsSDsQV2OalyRA</t>
  </si>
  <si>
    <t xml:space="preserve">UC2U8Jmwgb7erTe0tgXSWYyA</t>
  </si>
  <si>
    <t xml:space="preserve">UC4r6nalq_1-9rc80qdVLatQ</t>
  </si>
  <si>
    <t xml:space="preserve">UCKQLhhXA05sgZwxCtaFKfDQ</t>
  </si>
  <si>
    <t xml:space="preserve">UCSvTYx8YfcRuGtl4rgsVOqQ</t>
  </si>
  <si>
    <t xml:space="preserve">UCBNibGNIqpCLm73_kfqf3Og</t>
  </si>
  <si>
    <t xml:space="preserve">UCW_EYCYchSyzVgOWpKLGQtg</t>
  </si>
  <si>
    <t xml:space="preserve">UCzCZcPQhueh60fi3aeAs0OA</t>
  </si>
  <si>
    <t xml:space="preserve">UC-qbOsmVpYAXM-BYqkf3XZQ</t>
  </si>
  <si>
    <t xml:space="preserve">UCAa5yldu-KBNBMwQDBC0gbw</t>
  </si>
  <si>
    <t xml:space="preserve">UCrTtUMgBrn-novhoylqnDOA</t>
  </si>
  <si>
    <t xml:space="preserve">UCEmXjrQp3yArPwI9q_K3ilw</t>
  </si>
  <si>
    <t xml:space="preserve">UC1c6bKWeVpntzNw6ucrq8Vw</t>
  </si>
  <si>
    <t xml:space="preserve">UCYIaIrvCnO1DliZGQSAoXfA</t>
  </si>
  <si>
    <t xml:space="preserve">UC8FQ8dbicT7iah1pDljwwsA</t>
  </si>
  <si>
    <t xml:space="preserve">UCbqgRc-WEGTgnrjdoRNrz3g</t>
  </si>
  <si>
    <t xml:space="preserve">UCWNNxDufK8VTQ9xQ-KpwWGg</t>
  </si>
  <si>
    <t xml:space="preserve">UCLjV2c4MiSpr_uMxJ11V8Pg</t>
  </si>
  <si>
    <t xml:space="preserve">UChJ9NlaOUtBxNnNMuRtO9qQ</t>
  </si>
  <si>
    <t xml:space="preserve">UCq5W70c6BkXxcUvo0tBtcZg</t>
  </si>
  <si>
    <t xml:space="preserve">UCONFO107WYKPzrzKlvyC8Jg</t>
  </si>
  <si>
    <t xml:space="preserve">UCd22y9s-f8XbLy8KD4XfjLg</t>
  </si>
  <si>
    <t xml:space="preserve">UCDSWb-hc5-jjL3M3GzZKCDg</t>
  </si>
  <si>
    <t xml:space="preserve">UCsXdhZj8R8rE8RTTyXr7q0g</t>
  </si>
  <si>
    <t xml:space="preserve">UCh-5M0r0SBgb5xNCFXG7aXQ</t>
  </si>
  <si>
    <t xml:space="preserve">UCB0ZUbuOEAeN64aUGO5My5Q</t>
  </si>
  <si>
    <t xml:space="preserve">UC7PqEK7y8pawZ1JlZS8eQSw</t>
  </si>
  <si>
    <t xml:space="preserve">UCUDc5epIDkpGLr9gm4r5gaw</t>
  </si>
  <si>
    <t xml:space="preserve">UCxVZeD2Q0-m9UZp35zWLe3g</t>
  </si>
  <si>
    <t xml:space="preserve">UCWE8GMv0qRy3MuzZvx9fYxg</t>
  </si>
  <si>
    <t xml:space="preserve">UCPRUVTO_aXIMDMRn-xL-92A</t>
  </si>
  <si>
    <t xml:space="preserve">UCseG6HoMJUIlUvDICcNAJWw</t>
  </si>
  <si>
    <t xml:space="preserve">UCgsH7MPhGoRSurk5Ly5SrOA</t>
  </si>
  <si>
    <t xml:space="preserve">UCqTkLcZF3h4nDYl_U9DLHTg</t>
  </si>
  <si>
    <t xml:space="preserve">UC7XOjeQMGho_tiXAruiuNrg</t>
  </si>
  <si>
    <t xml:space="preserve">UC5sAxbzXgEL1M5rnHqu6Ljg</t>
  </si>
  <si>
    <t xml:space="preserve">UCNX-ah8-YpnmqDtla1d5R-Q</t>
  </si>
  <si>
    <t xml:space="preserve">UCv3qk6cnOEAlnmC3gUoMSoQ</t>
  </si>
  <si>
    <t xml:space="preserve">UCgJDSReUYJbtktP5RuUA_qw</t>
  </si>
  <si>
    <t xml:space="preserve">UCMQ81etXH5p0TFN8YzCf8AQ</t>
  </si>
  <si>
    <t xml:space="preserve">UC7E7PEfqECo0yoVra6t0WPg</t>
  </si>
  <si>
    <t xml:space="preserve">UCHV5JrOwVaLeo9nwMIf1JtQ</t>
  </si>
  <si>
    <t xml:space="preserve">UCwN7aN5W0gWKghNBwMXUHBQ</t>
  </si>
  <si>
    <t xml:space="preserve">UCbC93juTDYqn9zOYsLf1mcA</t>
  </si>
  <si>
    <t xml:space="preserve">UChoBUwK6UPEGUa2MWdCKRxw</t>
  </si>
  <si>
    <t xml:space="preserve">UC8jERxZrKuL3iH6GmLSaBQg</t>
  </si>
  <si>
    <t xml:space="preserve">UCL1y2Y3FouN8y6DJGj12MHg</t>
  </si>
  <si>
    <t xml:space="preserve">UCZQoHVnf9iZ_SMGx-kxsfrQ</t>
  </si>
  <si>
    <t xml:space="preserve">UCKf2wG06libvM0Mg97dhwmQ</t>
  </si>
  <si>
    <t xml:space="preserve">UCuya80W2OLxeZebdDUghFEA</t>
  </si>
  <si>
    <t xml:space="preserve">UClzMwbHAFaksdw6KH_ErmCQ</t>
  </si>
  <si>
    <t xml:space="preserve">UCpYwk1tInR4ttoP5IoJ8OJQ</t>
  </si>
  <si>
    <t xml:space="preserve">UCxgwgZFb9Pg0_b7bjDiIMrA</t>
  </si>
  <si>
    <t xml:space="preserve">UCuy8xACQWLZXaT6YO1ElKmw</t>
  </si>
  <si>
    <t xml:space="preserve">UC4Y9EcsF69dXrSdKgamlwxQ</t>
  </si>
  <si>
    <t xml:space="preserve">UC_m-4-GyfoD4M5Iw8nolgpg</t>
  </si>
  <si>
    <t xml:space="preserve">UCpfWN7_YDjXG5GfnUh69dQw</t>
  </si>
  <si>
    <t xml:space="preserve">UCMrRRZxUAXRzjai0SSoFgdw</t>
  </si>
  <si>
    <t xml:space="preserve">UCqOOzdxL085yXa99ymIMrVg</t>
  </si>
  <si>
    <t xml:space="preserve">UC2smM2C_ot7EBcyuEldmb-A</t>
  </si>
  <si>
    <t xml:space="preserve">UCNi_vge0Wij6vJISgRuYvwg</t>
  </si>
  <si>
    <t xml:space="preserve">UCjawvXMbq5QRaZSNtjvCMTg</t>
  </si>
  <si>
    <t xml:space="preserve">UCssXsSzGPmUCrQo2NHx1b-A</t>
  </si>
  <si>
    <t xml:space="preserve">UCLcNciLKdI380VqdpDlIbxw</t>
  </si>
  <si>
    <t xml:space="preserve">UCbJtunjNap2FbB-j9alz5Eg</t>
  </si>
  <si>
    <t xml:space="preserve">UCUYb5dQhtZwrsRJ1tJ3zUxw</t>
  </si>
  <si>
    <t xml:space="preserve">UC3wNF0cJRPY7Rgr21Cfvapw</t>
  </si>
  <si>
    <t xml:space="preserve">UCdEOBaPRNGkARcipRPNBExA</t>
  </si>
  <si>
    <t xml:space="preserve">UCwftacfGuw1gHX6Li8RqPSA</t>
  </si>
  <si>
    <t xml:space="preserve">UCXB7TXzTGZqPPJ8UVMpVhVQ</t>
  </si>
  <si>
    <t xml:space="preserve">UC8yk1fl3u8KYcZLlCz4t16w</t>
  </si>
  <si>
    <t xml:space="preserve">UCld7oaxNvXzNd-qkOD67ULA</t>
  </si>
  <si>
    <t xml:space="preserve">UCnt7I4XqhG6FPv7zqy9W6eA</t>
  </si>
  <si>
    <t xml:space="preserve">UCHZHDFH7Bb7nktcKhvMIpmw</t>
  </si>
  <si>
    <t xml:space="preserve">UCtXed2a398YUEsIaNdNJ4xA</t>
  </si>
  <si>
    <t xml:space="preserve">UCEwmiCp1oyCv3SAmAyACTfQ</t>
  </si>
  <si>
    <t xml:space="preserve">UC0oNeXXaLQjdt95YPR-0ZJQ</t>
  </si>
  <si>
    <t xml:space="preserve">UCvylJslj6FikWDZtDDrS3Tg</t>
  </si>
  <si>
    <t xml:space="preserve">UCFJ6gIVlls65EVy-Vu-pwVg</t>
  </si>
  <si>
    <t xml:space="preserve">UCNBKHSc8glbQLrUkXUM1I1Q</t>
  </si>
  <si>
    <t xml:space="preserve">UCOYGVk9PROui911DkdhtvKQ</t>
  </si>
  <si>
    <t xml:space="preserve">UCmjXTiUkntH3Z5I0rA_WoDw</t>
  </si>
  <si>
    <t xml:space="preserve">UC6TF3Az8qnVIUzlOiPHBjEg</t>
  </si>
  <si>
    <t xml:space="preserve">UC7OJIb0TuOAXq_PYHik03fQ</t>
  </si>
  <si>
    <t xml:space="preserve">UCrtEMHzfor6BcqZnWmjqT1Q</t>
  </si>
  <si>
    <t xml:space="preserve">UCfsy8OA1OKy4PjlERsI56CA</t>
  </si>
  <si>
    <t xml:space="preserve">UCSvcehn0dZdGXB1Hbm5XEDQ</t>
  </si>
  <si>
    <t xml:space="preserve">UCXFIlJ-_bo7QFYQVREx1Rew</t>
  </si>
  <si>
    <t xml:space="preserve">UCgrnLFH_f1fkAatT5OAxtPQ</t>
  </si>
  <si>
    <t xml:space="preserve">UC79mLmxkIp_aFpsWXHj1CXg</t>
  </si>
  <si>
    <t xml:space="preserve">UCKMS62Hy-l0A5us3pAg8o1Q</t>
  </si>
  <si>
    <t xml:space="preserve">UC-EaB6pNOTB1jQDN5BpxKcg</t>
  </si>
  <si>
    <t xml:space="preserve">UCzxRFZIzbgmLiTB6u5ETvMQ</t>
  </si>
  <si>
    <t xml:space="preserve">UCKYhm-H1IXC14t3xTSYh2nw</t>
  </si>
  <si>
    <t xml:space="preserve">UCz3xeJ7v4ijGzOrVqNxW-WQ</t>
  </si>
  <si>
    <t xml:space="preserve">UCYuc9opLVj3wi3SoDvgDeoA</t>
  </si>
  <si>
    <t xml:space="preserve">UCijjR5AaiHSwtiCT5NGUidg</t>
  </si>
  <si>
    <t xml:space="preserve">UC3mK7Eh5A0D4JyvJIlTri1g</t>
  </si>
  <si>
    <t xml:space="preserve">UCwcOV0rz2WD9m5eXsf-Vk8g</t>
  </si>
  <si>
    <t xml:space="preserve">UCMwlPtMcvOp8SxZ0rD6R2Gg</t>
  </si>
  <si>
    <t xml:space="preserve">UC9e0-FhxkH-iL0t0xw5NeXg</t>
  </si>
  <si>
    <t xml:space="preserve">UCtORhLS00baS4N57obXg_pg</t>
  </si>
  <si>
    <t xml:space="preserve">UC0FF57jTMT_7313DG_eBcow</t>
  </si>
  <si>
    <t xml:space="preserve">UCmgF3IC5b7tSmG8G-0An3Jg</t>
  </si>
  <si>
    <t xml:space="preserve">UCVFCFqvbfYit1JtZLq8qlGQ</t>
  </si>
  <si>
    <t xml:space="preserve">UCED6-aRodKm-cNja8Lvsalw</t>
  </si>
  <si>
    <t xml:space="preserve">UCq9eJXkDqLFJ_6wAXTEZxmw</t>
  </si>
  <si>
    <t xml:space="preserve">UCnxqI9mS7n-Sb_FoKbjuxkA</t>
  </si>
  <si>
    <t xml:space="preserve">UCsG6bDTpiZ0yc12D8wf63Ag</t>
  </si>
  <si>
    <t xml:space="preserve">UCYIuZEUWuxGXPCV4eb2KVJw</t>
  </si>
  <si>
    <t xml:space="preserve">UCkEdIjVH67nKftoNEElj5mg</t>
  </si>
  <si>
    <t xml:space="preserve">UCPXHVCert6--m80A9ZSXjKw</t>
  </si>
  <si>
    <t xml:space="preserve">UCRNG4rt-74rREgw-yiheqDg</t>
  </si>
  <si>
    <t xml:space="preserve">UCNaDnPS-joRDiMO843EndNw</t>
  </si>
  <si>
    <t xml:space="preserve">UCJDetprk0nKSzaPjx8Ldpnw</t>
  </si>
  <si>
    <t xml:space="preserve">UC0vEITpjAWMaHmwD7Y8yexQ</t>
  </si>
  <si>
    <t xml:space="preserve">UC6e4O4lxpBaLYPbot2KEZGQ</t>
  </si>
  <si>
    <t xml:space="preserve">UCF715sBUzFJyHcjGo6UUeoA</t>
  </si>
  <si>
    <t xml:space="preserve">UCCO1WTlxp8JTS4GqjxpDhdw</t>
  </si>
  <si>
    <t xml:space="preserve">UCQjzv8RwVZpQmk7com22UNA</t>
  </si>
  <si>
    <t xml:space="preserve">UCIHryjDpIFSfirK2XsoVZ0g</t>
  </si>
  <si>
    <t xml:space="preserve">UCV85POUxD3_Vw4PCGt7uthA</t>
  </si>
  <si>
    <t xml:space="preserve">UChO7m7UKDjeXSx669-hQksg</t>
  </si>
  <si>
    <t xml:space="preserve">UC3nF2zvVJsPUn2P8v2PiJdw</t>
  </si>
  <si>
    <t xml:space="preserve">UCFiWWS89wU6ehT-LO4W3R9w</t>
  </si>
  <si>
    <t xml:space="preserve">UCjIaKSYY2-k7hlavQmnSzcA</t>
  </si>
  <si>
    <t xml:space="preserve">UCohgZVEOCVMk-uRbf6nwH2A</t>
  </si>
  <si>
    <t xml:space="preserve">UCKsMi--2Qmayd_5lxN4xXVw</t>
  </si>
  <si>
    <t xml:space="preserve">UC7t6bG2oCbKXBm2vyVwCdwQ</t>
  </si>
  <si>
    <t xml:space="preserve">UCrc23OtePtGaBWAh4nnjiSw</t>
  </si>
  <si>
    <t xml:space="preserve">UCNpepTzYz9mz4Q5Qk9d0XJw</t>
  </si>
  <si>
    <t xml:space="preserve">UC4bsdwc_rxr67DrKBOfZurg</t>
  </si>
  <si>
    <t xml:space="preserve">UC0CWlMWRpuLIrp39nelismg</t>
  </si>
  <si>
    <t xml:space="preserve">UCRS_1Xen_LTdvb7P6ph6KhQ</t>
  </si>
  <si>
    <t xml:space="preserve">UCW36Rwwyjc2C-96o-Btcglw</t>
  </si>
  <si>
    <t xml:space="preserve">UCsGsz0K3QwzF6V893QuMBAw</t>
  </si>
  <si>
    <t xml:space="preserve">UCcxGPamJyyWRK9b4q0LWfNQ</t>
  </si>
  <si>
    <t xml:space="preserve">UC97qxGRmPsyfV0Miz7AxU2A</t>
  </si>
  <si>
    <t xml:space="preserve">UChV1atcCrkVRMCQrYJz5f3g</t>
  </si>
  <si>
    <t xml:space="preserve">UCSgxujWKHvw7_t2r2smJpZg</t>
  </si>
  <si>
    <t xml:space="preserve">UCJp69mY5DESZH7nrVtCYGww</t>
  </si>
  <si>
    <t xml:space="preserve">UCtA-10mMIg_FU0QUBpYHC9g</t>
  </si>
  <si>
    <t xml:space="preserve">UCp0yDDnyu-C-0Bo_y1JbGtA</t>
  </si>
  <si>
    <t xml:space="preserve">UCFzm4kJcC_f1WWXZQO2_e3g</t>
  </si>
  <si>
    <t xml:space="preserve">UCkuD8jyHRrQR0-Oop0K5skw</t>
  </si>
  <si>
    <t xml:space="preserve">UCrs6J5y7Dc08BRg9RXx2QrQ</t>
  </si>
  <si>
    <t xml:space="preserve">UCVHduEmTvCOiZmsPN4oxYWQ</t>
  </si>
  <si>
    <t xml:space="preserve">UCY9lNd3X79J1yUzu5DUItyg</t>
  </si>
  <si>
    <t xml:space="preserve">UCreXS6fI1-2OVrUJ61PY_2g</t>
  </si>
  <si>
    <t xml:space="preserve">UC3cDLkZuer_q92s9vMzFUFA</t>
  </si>
  <si>
    <t xml:space="preserve">UCGQcBVkwC4x9HCGI6uHxbJA</t>
  </si>
  <si>
    <t xml:space="preserve">UCSbm8Gka5nJPDDE0YTJmqPQ</t>
  </si>
  <si>
    <t xml:space="preserve">UCy39DSRdsAi1CPLWJJqlK5w</t>
  </si>
  <si>
    <t xml:space="preserve">UCav09ZyF01jhQMBa1OgwCyg</t>
  </si>
  <si>
    <t xml:space="preserve">UC69H6wmCsVrYCZsnP8SB-2Q</t>
  </si>
  <si>
    <t xml:space="preserve">UCo-KVHWLYsUqQV3d48Cp8Tw</t>
  </si>
  <si>
    <t xml:space="preserve">UC56CoeCYdEZZcmFRTfCeTog</t>
  </si>
  <si>
    <t xml:space="preserve">UCjicpL45faQ8JBODw7lhc9w</t>
  </si>
  <si>
    <t xml:space="preserve">UCrw0kFvy84t514B9oHIRT5g</t>
  </si>
  <si>
    <t xml:space="preserve">UCKeJMa0J6dLsG1z1uwo_Agg</t>
  </si>
  <si>
    <t xml:space="preserve">UCW2GVjsWO-0nto2-ZGlGQvA</t>
  </si>
  <si>
    <t xml:space="preserve">UChmnNqIzmrkoSsFqkma83_w</t>
  </si>
  <si>
    <t xml:space="preserve">UC4qU6cw83YmJnDyMkR5nDkg</t>
  </si>
  <si>
    <t xml:space="preserve">UC8RlfIKR63QnmNambn_3plg</t>
  </si>
  <si>
    <t xml:space="preserve">UCKSeCf8bzv8YUZ6okwZfWKQ</t>
  </si>
  <si>
    <t xml:space="preserve">UCBi5WafwgQOGsrb1zNDR1CA</t>
  </si>
  <si>
    <t xml:space="preserve">UCZgtZXpd9WvTqk4rtqQijUQ</t>
  </si>
  <si>
    <t xml:space="preserve">UC--MSNrR_zO4Zb5OvwjWF4A</t>
  </si>
  <si>
    <t xml:space="preserve">UCl38g1hOryM7AJLG8IQpepw</t>
  </si>
  <si>
    <t xml:space="preserve">UCH_mIbPwp45BMltwxWhUYfg</t>
  </si>
  <si>
    <t xml:space="preserve">UCLUNXrPoHrKIj0eBR5FoXNA</t>
  </si>
  <si>
    <t xml:space="preserve">UCBQkl-NzfkP8uOrlQ3LEwzg</t>
  </si>
  <si>
    <t xml:space="preserve">UCFswLcNsh36T0VqPa_A4SuA</t>
  </si>
  <si>
    <t xml:space="preserve">UCBv4ZitU_xfSAC-_-FHPkbQ</t>
  </si>
  <si>
    <t xml:space="preserve">UCM45TiZyKYwX51p6XDe5sUw</t>
  </si>
  <si>
    <t xml:space="preserve">UCvThd-aSSS55cF_dUeQWyFg</t>
  </si>
  <si>
    <t xml:space="preserve">UCoMpeRFz303vKNB3EAnhZPw</t>
  </si>
  <si>
    <t xml:space="preserve">UCnwKLesJR7SCPdxqiM-0lYA</t>
  </si>
  <si>
    <t xml:space="preserve">UC3-cDH-P3BXFaZsDbswsLrQ</t>
  </si>
  <si>
    <t xml:space="preserve">UC4d7YkQU_IV5Bb8MDD_liqA</t>
  </si>
  <si>
    <t xml:space="preserve">UCbNzWUnEPLhyUh_kqR5GKIQ</t>
  </si>
  <si>
    <t xml:space="preserve">UCe1IUfF7P6BM6bLxp4SIm-A</t>
  </si>
  <si>
    <t xml:space="preserve">UC6YWt15wSenbz9x6elU8XCQ</t>
  </si>
  <si>
    <t xml:space="preserve">UCg3nbLTQVeEB7r8gNeRjzLg</t>
  </si>
  <si>
    <t xml:space="preserve">UCncL_KAKZU86ToIco7y3uYw</t>
  </si>
  <si>
    <t xml:space="preserve">UCcNQQEvWA9BJG_yBQ9JkhnA</t>
  </si>
  <si>
    <t xml:space="preserve">UC-ooJUsWVsDaQ9oSFTW9JvA</t>
  </si>
  <si>
    <t xml:space="preserve">UCxkJs6xfxn8VydgK4SxtOcQ</t>
  </si>
  <si>
    <t xml:space="preserve">UC7sE5Q_x9nTZYzfDyCV8z1w</t>
  </si>
  <si>
    <t xml:space="preserve">UCZOoMPpSd1OLOMeeYBwC3xQ</t>
  </si>
  <si>
    <t xml:space="preserve">UCiMOecenYiNLew2GsxDsRoQ</t>
  </si>
  <si>
    <t xml:space="preserve">UCSIUNV-FQPqxrW2uHy8U4Qw</t>
  </si>
  <si>
    <t xml:space="preserve">UCh49DGOpC_xvQEEHtZlaZbQ</t>
  </si>
  <si>
    <t xml:space="preserve">UCCQKJF_oPS4uMv_dW6ACpfg</t>
  </si>
  <si>
    <t xml:space="preserve">UCQZ80IqI4TSvu9EiZpGxTcw</t>
  </si>
  <si>
    <t xml:space="preserve">UCOylFpY1hvTFr7rpVTbJdog</t>
  </si>
  <si>
    <t xml:space="preserve">UCEj6SZKfFlXQ5q3tvnUUnug</t>
  </si>
  <si>
    <t xml:space="preserve">UCNTkkbzVbUo_B7iE79b5HyA</t>
  </si>
  <si>
    <t xml:space="preserve">UCdrNdGQ8f9dXNsdawvFg3Aw</t>
  </si>
  <si>
    <t xml:space="preserve">UCJgkN05RC8tmzUrgwl8VGWQ</t>
  </si>
  <si>
    <t xml:space="preserve">UCY4iKGdIkQ4oNRz-cXY133Q</t>
  </si>
  <si>
    <t xml:space="preserve">UCeNMZKYZnpYtGRyxI_9q39g</t>
  </si>
  <si>
    <t xml:space="preserve">UCExt5NS2olk5LebcJaQqpBg</t>
  </si>
  <si>
    <t xml:space="preserve">UC1_BrnBkaGMgsAcAPC4uE4w</t>
  </si>
  <si>
    <t xml:space="preserve">UCcnLQ-Pk3Y5tiwuUam8IW7A</t>
  </si>
  <si>
    <t xml:space="preserve">UCJJjgLhvlmP85tZUyW3CDKg</t>
  </si>
  <si>
    <t xml:space="preserve">UCa4G8rQS-dwsX_c1h1h43Ww</t>
  </si>
  <si>
    <t xml:space="preserve">UCpcEmGvsCgl1A4oA3n55-dg</t>
  </si>
  <si>
    <t xml:space="preserve">UCCqidPHF5oO7GlWly_YDmxA</t>
  </si>
  <si>
    <t xml:space="preserve">UCV6liMoe2StF3OAyuEoHSxw</t>
  </si>
  <si>
    <t xml:space="preserve">UCAQjmY2DJqwU3Eqz0oN83aw</t>
  </si>
  <si>
    <t xml:space="preserve">UC3uDbJrPwK1X5jog7PT4gMw</t>
  </si>
  <si>
    <t xml:space="preserve">UCzfWb7OpaAzbtTv3abv_koA</t>
  </si>
  <si>
    <t xml:space="preserve">UC5uX_fDn5H-L84j579f29ug</t>
  </si>
  <si>
    <t xml:space="preserve">UCR6V7hVJOEs-5I2ovKZ613Q</t>
  </si>
  <si>
    <t xml:space="preserve">UCHkjKxyrftk3Db16y1X8xGg</t>
  </si>
  <si>
    <t xml:space="preserve">UChHsehmRfUIE9CY0W4TBTlg</t>
  </si>
  <si>
    <t xml:space="preserve">UCbMn17XcNcOTg6QslPKP8aw</t>
  </si>
  <si>
    <t xml:space="preserve">UCbFDzdU0Rqq7sk6kPShwMkA</t>
  </si>
  <si>
    <t xml:space="preserve">UCtMsK12pzp5tO4NX1H8E8HQ</t>
  </si>
  <si>
    <t xml:space="preserve">UClTRc14Vu37R__HJptd2Fgw</t>
  </si>
  <si>
    <t xml:space="preserve">UCS21y_F4hJr5BdrPTB5nwbQ</t>
  </si>
  <si>
    <t xml:space="preserve">UCLnXillsQnpU8pkh-LGXIrQ</t>
  </si>
  <si>
    <t xml:space="preserve">UCr-h3VORUAv-q0R8dmBszlg</t>
  </si>
  <si>
    <t xml:space="preserve">UCMwRCIy86meXysplb3eG1dA</t>
  </si>
  <si>
    <t xml:space="preserve">UCGWNWDAa05j3eo-6cwlC_Jw</t>
  </si>
  <si>
    <t xml:space="preserve">UCGqJlVzYBBuOdpFcTpUg7UA</t>
  </si>
  <si>
    <t xml:space="preserve">UC7rYHxzODsGrvJ0BysNjC_g</t>
  </si>
  <si>
    <t xml:space="preserve">UC-nhrJo1nq0WNZ2N9TruWJg</t>
  </si>
  <si>
    <t xml:space="preserve">UCkx_XTujc42f-8UTfYq7D_A</t>
  </si>
  <si>
    <t xml:space="preserve">UCCgcWV0hJmOikJqFMk4RtzQ</t>
  </si>
  <si>
    <t xml:space="preserve">UCYAkqdMSTvKGIZmiUYaYC-Q</t>
  </si>
  <si>
    <t xml:space="preserve">UCOencwY-Q6NlIx_V6Rns-UA</t>
  </si>
  <si>
    <t xml:space="preserve">UCxA6H9Xpwa0lRisl03D_yMA</t>
  </si>
  <si>
    <t xml:space="preserve">UCo00O-ImOleI3RbS21MwDqQ</t>
  </si>
  <si>
    <t xml:space="preserve">UC6XbACcYUHCzxqgync4_31g</t>
  </si>
  <si>
    <t xml:space="preserve">UC8KwJSUilOiKrlWL7rzMrnA</t>
  </si>
  <si>
    <t xml:space="preserve">UCll5P8D8eVSHxPjkK5U78LQ</t>
  </si>
  <si>
    <t xml:space="preserve">UCXIdSaQ2Khi19rlKy3i-ZYA</t>
  </si>
  <si>
    <t xml:space="preserve">UCBGnyMnjFkYrsKhBkgIGx1g</t>
  </si>
  <si>
    <t xml:space="preserve">UC5WNmHnTMj8EvVGCwWtBfUQ</t>
  </si>
  <si>
    <t xml:space="preserve">UC4L5ZNAKVGIkrNxrevH6U4w</t>
  </si>
  <si>
    <t xml:space="preserve">UCORKpwPcddNIMMChfECW_ow</t>
  </si>
  <si>
    <t xml:space="preserve">UCAt34roFlm4c9wsg6492YDQ</t>
  </si>
  <si>
    <t xml:space="preserve">UCLE9xzpJp7XElDs2Bxw8nLQ</t>
  </si>
  <si>
    <t xml:space="preserve">UCcFE3Y0fp4LGjZ48QY01TYQ</t>
  </si>
  <si>
    <t xml:space="preserve">UCD7Zb3c1aoooohZSARn720g</t>
  </si>
  <si>
    <t xml:space="preserve">UCWkrHLGq4kDEEHdCnBo07JQ</t>
  </si>
  <si>
    <t xml:space="preserve">UCwtn8BNdyXDas8izCgBKTlA</t>
  </si>
  <si>
    <t xml:space="preserve">UCdYu5nPHYMeS30zyaweyziQ</t>
  </si>
  <si>
    <t xml:space="preserve">UCGRBPtqOHodL6VThTqEtKlw</t>
  </si>
  <si>
    <t xml:space="preserve">UCY9Ly5urNMZIvgiYWISqqNw</t>
  </si>
  <si>
    <t xml:space="preserve">UCFWIVtXpn_GqWivkUWqaqWg</t>
  </si>
  <si>
    <t xml:space="preserve">UCQ5aXYup48fqfirIdvECeAw</t>
  </si>
  <si>
    <t xml:space="preserve">UCVSkwgjNufta2cUG9Mc66eA</t>
  </si>
  <si>
    <t xml:space="preserve">UCNPh82AdDtmwkJxP4gtREJw</t>
  </si>
  <si>
    <t xml:space="preserve">UCrgbcgr8YCwHPM9xwedPJYg</t>
  </si>
  <si>
    <t xml:space="preserve">UCdI2Up33y8tEosSAT-5Wzsw</t>
  </si>
  <si>
    <t xml:space="preserve">UCYc1NpW-GMw9qI-o4IGqnxg</t>
  </si>
  <si>
    <t xml:space="preserve">UCJFYG8rKSO-ZoM9awuwZU2A</t>
  </si>
  <si>
    <t xml:space="preserve">UCAP9YboPas3vvmI7ZFTdMHg</t>
  </si>
  <si>
    <t xml:space="preserve">UCkwbtQDuhXaQJ4CcmezK0AQ</t>
  </si>
  <si>
    <t xml:space="preserve">UC7uzuZJIYzcxV9JJ1yAtHHg</t>
  </si>
  <si>
    <t xml:space="preserve">UCQPHKGx27lcxqOzwqdOGCnw</t>
  </si>
  <si>
    <t xml:space="preserve">UCbUOp8q9RC9xwX_ACdF3sLg</t>
  </si>
  <si>
    <t xml:space="preserve">UC_93EcBGveUt9SuwXMdKmVA</t>
  </si>
  <si>
    <t xml:space="preserve">UCWlq4kJSgHOy_Ha5ebkr8sw</t>
  </si>
  <si>
    <t xml:space="preserve">UCGNkOwzqlCwbYXvvo7xtsPA</t>
  </si>
  <si>
    <t xml:space="preserve">UCCn_sMT2AliFdlXKlvTrwdQ</t>
  </si>
  <si>
    <t xml:space="preserve">UC2lJVQCh9ajz6XB5zOMGFbA</t>
  </si>
  <si>
    <t xml:space="preserve">UCtPvXB4ZnUf2e768OG1TEJQ</t>
  </si>
  <si>
    <t xml:space="preserve">UCcrcU_NMbLIcCqLoj4oC0MA</t>
  </si>
  <si>
    <t xml:space="preserve">UCEfVbFjKMPdtGeNzp4Aar5w</t>
  </si>
  <si>
    <t xml:space="preserve">UC7QYVtRIgPV4N8A8pa-1sfw</t>
  </si>
  <si>
    <t xml:space="preserve">UCFqYI_5ksnEuDYtkKQHmrUg</t>
  </si>
  <si>
    <t xml:space="preserve">UC4gHe4ylUuNINJvnVfXW5Fw</t>
  </si>
  <si>
    <t xml:space="preserve">UCXycJOeJ1yDxgpeHB99PnBA</t>
  </si>
  <si>
    <t xml:space="preserve">UCtx8n1KTu4aC8TMm5ROBB7Q</t>
  </si>
  <si>
    <t xml:space="preserve">UC2meLC_qNZHfGV8GqrNIL5Q</t>
  </si>
  <si>
    <t xml:space="preserve">UCYxnfuZ1Y3z6ke3_V9gx13w</t>
  </si>
  <si>
    <t xml:space="preserve">UCPyg1bziA6iTfjjX-IwGlhQ</t>
  </si>
  <si>
    <t xml:space="preserve">UC85BVst8i9MypL_BC1-f29A</t>
  </si>
  <si>
    <t xml:space="preserve">UCc-5CARuiQdsdY0AF_wJ7SQ</t>
  </si>
  <si>
    <t xml:space="preserve">UCUT87w4Pv5UzoOalbGYG3Ow</t>
  </si>
  <si>
    <t xml:space="preserve">UCfXoodvwgOHSwLMoyExQVqg</t>
  </si>
  <si>
    <t xml:space="preserve">UCHR7MUUM2b52pSMqM0J2AWA</t>
  </si>
  <si>
    <t xml:space="preserve">UCWym7jRAGu9RUhu3CG4dKbQ</t>
  </si>
  <si>
    <t xml:space="preserve">UCwFdG4dB9rJMHSgAGjOWMPA</t>
  </si>
  <si>
    <t xml:space="preserve">UCAtkVHXLx0lXUA-ORidavlA</t>
  </si>
  <si>
    <t xml:space="preserve">UCW5_UGhE2i4nNSDEkHdwBig</t>
  </si>
  <si>
    <t xml:space="preserve">UC69okeeWUm18IeAG9s9mygw</t>
  </si>
  <si>
    <t xml:space="preserve">UC2ox9waBL68x5KEjXtcLTZA</t>
  </si>
  <si>
    <t xml:space="preserve">UCONr9LnH0M3PA_VjchLNp1w</t>
  </si>
  <si>
    <t xml:space="preserve">UCeAW-Z_Y-M5UQmPSy0lwIRg</t>
  </si>
  <si>
    <t xml:space="preserve">UC9CQ2b92C4PoluscRZiSN8Q</t>
  </si>
  <si>
    <t xml:space="preserve">UCGYKS7rPl7l4SC9nYf2Ofzg</t>
  </si>
  <si>
    <t xml:space="preserve">UCQYO2p7JMcCp-9xIZxGP2Sg</t>
  </si>
  <si>
    <t xml:space="preserve">UC3kIy9kdcoZ93XdMZdipSYA</t>
  </si>
  <si>
    <t xml:space="preserve">UCF1-Lp1C_oqHLrPx2qI3WKQ</t>
  </si>
  <si>
    <t xml:space="preserve">UCzP960u6bsPPj7hi9SFlC3Q</t>
  </si>
  <si>
    <t xml:space="preserve">UCKplh2an9UvgdHhVgMPpODQ</t>
  </si>
  <si>
    <t xml:space="preserve">UCV9qVFbmioyTgd1d2bW702w</t>
  </si>
  <si>
    <t xml:space="preserve">UCIucgvMfbPycCVoOthUJKUw</t>
  </si>
  <si>
    <t xml:space="preserve">UCRYuFJE-uILDzWthdB4ZowA</t>
  </si>
  <si>
    <t xml:space="preserve">UCaWb4UL3ERRTw3M5kvl8Snw</t>
  </si>
  <si>
    <t xml:space="preserve">UCIJRzbnk8l-4o1YJgYl0e4Q</t>
  </si>
  <si>
    <t xml:space="preserve">UCXB_yEZ2xVY4veNXtVTo8Aw</t>
  </si>
  <si>
    <t xml:space="preserve">UCl0qZwRZEI68jRmT65-_BIA</t>
  </si>
  <si>
    <t xml:space="preserve">UCpcdPloTijprixyP0as7sDg</t>
  </si>
  <si>
    <t xml:space="preserve">UCfZ8GwZk1uEkRhVTeNRpSOA</t>
  </si>
  <si>
    <t xml:space="preserve">UCXpwkTNUUEfx5dpkO-KjEGg</t>
  </si>
  <si>
    <t xml:space="preserve">UCSD8HYFTAJHilD6PXvJ9CCg</t>
  </si>
  <si>
    <t xml:space="preserve">UCM30f7-pUr_lrb9sXa4ah1A</t>
  </si>
  <si>
    <t xml:space="preserve">UCNS0MhZYvIqAlblytvpmFXA</t>
  </si>
  <si>
    <t xml:space="preserve">UCvM9jT9D1uBWXw6nPJtlSQw</t>
  </si>
  <si>
    <t xml:space="preserve">UCcCQjkMaQ4WT-2roV8xYtLQ</t>
  </si>
  <si>
    <t xml:space="preserve">UCNYQ0V5rDebD3DG1caNE7xQ</t>
  </si>
  <si>
    <t xml:space="preserve">UCUllfi8CiGlDC39QflceELA</t>
  </si>
  <si>
    <t xml:space="preserve">UCWMcLi3A0aB6YUmc8HYut_Q</t>
  </si>
  <si>
    <t xml:space="preserve">UCfAG6KhCqBhbm-LackLq-gQ</t>
  </si>
  <si>
    <t xml:space="preserve">UC8XmEMiIsECpIiSWQOg1OGg</t>
  </si>
  <si>
    <t xml:space="preserve">UC8ofcOdHNINiPrBA9D59Vaw</t>
  </si>
  <si>
    <t xml:space="preserve">UCafIZFEbANNTTb9AwA9f-zw</t>
  </si>
  <si>
    <t xml:space="preserve">UCot2IbQK-re3-hCcMPG9zgQ</t>
  </si>
  <si>
    <t xml:space="preserve">UCTUJiZITUg3oIpQqHNfovrw</t>
  </si>
  <si>
    <t xml:space="preserve">UC3l3bFL0SgJBhwFhSxvxczw</t>
  </si>
  <si>
    <t xml:space="preserve">UCZaqBFnWWFplBOt85cuiZVQ</t>
  </si>
  <si>
    <t xml:space="preserve">UCLZd0rWXW0RUbjAdxX38pZA</t>
  </si>
  <si>
    <t xml:space="preserve">UC_VWPuBAVcm-kPR5aIiNj4A</t>
  </si>
  <si>
    <t xml:space="preserve">UCsbSSZQ5gBbz0XYtIRoRIHA</t>
  </si>
  <si>
    <t xml:space="preserve">UCD-zodYZX201IkkJrOzki6Q</t>
  </si>
  <si>
    <t xml:space="preserve">UCRoyzQ5u0oS4l85W7DHm57w</t>
  </si>
  <si>
    <t xml:space="preserve">UCLlHgusuRTH6H4QQdYNwzoQ</t>
  </si>
  <si>
    <t xml:space="preserve">UCGOgaSBk-OxPNF25tiL3HPw</t>
  </si>
  <si>
    <t xml:space="preserve">UCaID5r7RiKU2gFlPHDCjNoA</t>
  </si>
  <si>
    <t xml:space="preserve">UCgt1ehzCTD8PFyfOomUoWyQ</t>
  </si>
  <si>
    <t xml:space="preserve">UCi9Ca_PL0ckz11Sy94aIgig</t>
  </si>
  <si>
    <t xml:space="preserve">UC3x7MBeEzKRPT8BKbnK-xpw</t>
  </si>
  <si>
    <t xml:space="preserve">UCoj9VSurXdwfAwoz6eRJfGw</t>
  </si>
  <si>
    <t xml:space="preserve">UCdayFqal1XXF3phLh1ane5g</t>
  </si>
  <si>
    <t xml:space="preserve">UCKxsNFCdCoX8vdOH-Riq0Tw</t>
  </si>
  <si>
    <t xml:space="preserve">UCEtUt8cPprjRFDuOgectkFQ</t>
  </si>
  <si>
    <t xml:space="preserve">UCion26SJ49OrkrQjmMTgY_Q</t>
  </si>
  <si>
    <t xml:space="preserve">UCwVpJz8C8S-c5CSB5vSdXaw</t>
  </si>
  <si>
    <t xml:space="preserve">UCjfpualfdN16io6VXdh03aA</t>
  </si>
  <si>
    <t xml:space="preserve">UCBUCAqr1rzMDkY1qzegsr2w</t>
  </si>
  <si>
    <t xml:space="preserve">UCm95E1cd0i6C1tEOXx_d_Xg</t>
  </si>
  <si>
    <t xml:space="preserve">UCvKxP66yTnbEJLEeEoaoxOQ</t>
  </si>
  <si>
    <t xml:space="preserve">UCG04dVOTmbRYPY1wvshBVDQ</t>
  </si>
  <si>
    <t xml:space="preserve">UCYFGWGYenxqOxGBjPFhxHow</t>
  </si>
  <si>
    <t xml:space="preserve">UCvND2AHFJyV2NJ0p5uTG9LA</t>
  </si>
  <si>
    <t xml:space="preserve">UCAqCYMDy1H1pCtESKVwxM0g</t>
  </si>
  <si>
    <t xml:space="preserve">UCCqIwM_FY5JAhfsJYU6EPaQ</t>
  </si>
  <si>
    <t xml:space="preserve">UCswYHxzkhRrMQDN75JB0u5A</t>
  </si>
  <si>
    <t xml:space="preserve">UChVq-nSz6ZaQjE3goEowUYQ</t>
  </si>
  <si>
    <t xml:space="preserve">UCQTRa6gG11udoEP6femvptQ</t>
  </si>
  <si>
    <t xml:space="preserve">UCiafvXUz0fqJVNT9PvHy-4g</t>
  </si>
  <si>
    <t xml:space="preserve">UC_M1UxjONAucRQP6hp-uCZg</t>
  </si>
  <si>
    <t xml:space="preserve">UC5fCatIeN1X-_j3VXSe558w</t>
  </si>
  <si>
    <t xml:space="preserve">UCA90WrZXBXwA9yAwbZXUWZQ</t>
  </si>
  <si>
    <t xml:space="preserve">UCtktNRrG-Yqiq2n9ZBI-gNw</t>
  </si>
  <si>
    <t xml:space="preserve">UC1nHMzSXh8ycC4FRK90Xe4g</t>
  </si>
  <si>
    <t xml:space="preserve">UC3mWxx7vM1UPj0sj5-P6f_w</t>
  </si>
  <si>
    <t xml:space="preserve">UC_wKvOPtk0DZIUumcqJKZ5Q</t>
  </si>
  <si>
    <t xml:space="preserve">UC9k4Y2MoO93pouW_MYGr_mw</t>
  </si>
  <si>
    <t xml:space="preserve">UC4XIxMYzZ6iCm-iP8ZMn-2g</t>
  </si>
  <si>
    <t xml:space="preserve">UCRs8QpafcjBs1SVCcb7bUwQ</t>
  </si>
  <si>
    <t xml:space="preserve">UCMp2kZQHUJNxO2VA2Tg2t6Q</t>
  </si>
  <si>
    <t xml:space="preserve">UCW6Qqob-SkK6Y7qCq_TQJ7g</t>
  </si>
  <si>
    <t xml:space="preserve">UCs4cdaJGGtQVWh67CT2ytYA</t>
  </si>
  <si>
    <t xml:space="preserve">UCm75USr-yHNDIc8jZjT9ZhQ</t>
  </si>
  <si>
    <t xml:space="preserve">UCivB7VrtSERfR5GDrJ4ylMQ</t>
  </si>
  <si>
    <t xml:space="preserve">UCPFice7KR_gD5OtJhbIOgtQ</t>
  </si>
  <si>
    <t xml:space="preserve">UCeQaS4eO_gmVY9a7dn534kQ</t>
  </si>
  <si>
    <t xml:space="preserve">UCoHztc5u7oUnMJiguYdQq6g</t>
  </si>
  <si>
    <t xml:space="preserve">UCVc-UgSHbw8Yc6RM7dnW_Og</t>
  </si>
  <si>
    <t xml:space="preserve">UCQ0KQYpXOzslu5t0D3TzTHw</t>
  </si>
  <si>
    <t xml:space="preserve">UCCSIOVSdRD_UH9vz5GrsUNQ</t>
  </si>
  <si>
    <t xml:space="preserve">UCU3DRwhbKLseYk7GydpzZTA</t>
  </si>
  <si>
    <t xml:space="preserve">UC3hf4CyyPhvDAGPLNe0y3rg</t>
  </si>
  <si>
    <t xml:space="preserve">UCZurmPTojOgmUrhe3O6GJAA</t>
  </si>
  <si>
    <t xml:space="preserve">UCVwOrs7Y3-SVMdgxa-KFM3A</t>
  </si>
  <si>
    <t xml:space="preserve">UCtr-2xMTsti78StH6YgHa9g</t>
  </si>
  <si>
    <t xml:space="preserve">UCQ-HwmhXRrIVF9xatBnv4RA</t>
  </si>
  <si>
    <t xml:space="preserve">UCUYAsvrT6BXWbXIS6djIqdA</t>
  </si>
  <si>
    <t xml:space="preserve">UCd2Us39_YnfAfE13nOSk2rQ</t>
  </si>
  <si>
    <t xml:space="preserve">UCq8LRfAjjnXR61cxhmx7RFQ</t>
  </si>
  <si>
    <t xml:space="preserve">UCbA980Hyk85ixsysmnW05Jw</t>
  </si>
  <si>
    <t xml:space="preserve">UCeQDg2F4tg3w35d2CkUCpqw</t>
  </si>
  <si>
    <t xml:space="preserve">UCieiXJdKN9vIFhwQy-upIaA</t>
  </si>
  <si>
    <t xml:space="preserve">UC4sGD824gvBseFCMOfqK5mA</t>
  </si>
  <si>
    <t xml:space="preserve">UCKY2FOz176Cgkrm3kEExmnA</t>
  </si>
  <si>
    <t xml:space="preserve">UCTJLa3sPsQKKEj-vNYwmnqQ</t>
  </si>
  <si>
    <t xml:space="preserve">UCA5uJh7gj3XOvaBlybTBzAA</t>
  </si>
  <si>
    <t xml:space="preserve">UCyrvWgGziWy8ONAfADrfAQw</t>
  </si>
  <si>
    <t xml:space="preserve">UCBOs6624oqScw8PaU-Jzw9A</t>
  </si>
  <si>
    <t xml:space="preserve">UCRC25UW34xBDU2mDFZ71_tQ</t>
  </si>
  <si>
    <t xml:space="preserve">UCEDJgZlZOFgol72BvtrHb8w</t>
  </si>
  <si>
    <t xml:space="preserve">UC_wn1yawtXgBjzaybvcQDvA</t>
  </si>
  <si>
    <t xml:space="preserve">UCuD72MttMh8o4wO8aoO81kA</t>
  </si>
  <si>
    <t xml:space="preserve">UC_evcfxhjjui5hChhLE08tQ</t>
  </si>
  <si>
    <t xml:space="preserve">UCKO5S6Gm4a37a9Z7b8_S4JA</t>
  </si>
  <si>
    <t xml:space="preserve">UCLKqyda5pqTYB7Ib0nqRjOA</t>
  </si>
  <si>
    <t xml:space="preserve">UCQeu3lsFIWx1TAz4Q-pjvnQ</t>
  </si>
  <si>
    <t xml:space="preserve">UCCKlKmeN_pYF0M3r2QeHLHA</t>
  </si>
  <si>
    <t xml:space="preserve">UCtwuuXEuXt7Nl1eBUeiul1A</t>
  </si>
  <si>
    <t xml:space="preserve">UCnB3yK9nwcp9zr5FlIMNEPg</t>
  </si>
  <si>
    <t xml:space="preserve">UC4bdR9_9vBeDNPBEU4qreig</t>
  </si>
  <si>
    <t xml:space="preserve">UCpf52RGvK4ESyw3vtee5wDQ</t>
  </si>
  <si>
    <t xml:space="preserve">UCLGqErtddwfZfRItwOxQ3tg</t>
  </si>
  <si>
    <t xml:space="preserve">UCYU13THY-CVhKo-C5HDsxdQ</t>
  </si>
  <si>
    <t xml:space="preserve">UChoQqdZ3yE6IQLJHuTkVEiQ</t>
  </si>
  <si>
    <t xml:space="preserve">UCUcJLCOjCR4_Tkt0XzRoQEQ</t>
  </si>
  <si>
    <t xml:space="preserve">UCWqLAWHkGS2JtZfZRxa_ifQ</t>
  </si>
  <si>
    <t xml:space="preserve">UCndiT_eTxb_ehKI1834L_hA</t>
  </si>
  <si>
    <t xml:space="preserve">UC8HxLqNBByrIUBHcwwdi0FA</t>
  </si>
  <si>
    <t xml:space="preserve">UCxmSA11SbI_3yBcHu6pKi_Q</t>
  </si>
  <si>
    <t xml:space="preserve">UCc_ntc0DCa6ZU1CMwyeI55g</t>
  </si>
  <si>
    <t xml:space="preserve">UCdtO1wTCNj0IO8NCRF8TY2w</t>
  </si>
  <si>
    <t xml:space="preserve">UCB8T9mjdJHahaRhtDqajg0g</t>
  </si>
  <si>
    <t xml:space="preserve">UC3yea2ePcVxvwCl1EoVroMQ</t>
  </si>
  <si>
    <t xml:space="preserve">UCCBCb-aMFevB5FmKpLiXdzw</t>
  </si>
  <si>
    <t xml:space="preserve">UCuN_WZW0khSbkzgUKmrnl8A</t>
  </si>
  <si>
    <t xml:space="preserve">UC03wDU_a5-VDYuenyupXjIQ</t>
  </si>
  <si>
    <t xml:space="preserve">UChF_sXx89oVo_M2BEPRFYMw</t>
  </si>
  <si>
    <t xml:space="preserve">UCXxwvevU8ApbPL9daT_eT8g</t>
  </si>
  <si>
    <t xml:space="preserve">UCTTQ9EBEG9LwQdgRKq_vBMw</t>
  </si>
  <si>
    <t xml:space="preserve">UCtsSQuSqNdhE-YrijRqQACg</t>
  </si>
  <si>
    <t xml:space="preserve">UCURmi-Gqs4wEyq5OAqFaDgw</t>
  </si>
  <si>
    <t xml:space="preserve">UCRm6IjHoMkObHrBsnUZNpBQ</t>
  </si>
  <si>
    <t xml:space="preserve">UCLri_X2za8lXzmEltfffo3A</t>
  </si>
  <si>
    <t xml:space="preserve">UCqtfc-btBTki3cTx92LsPqw</t>
  </si>
  <si>
    <t xml:space="preserve">UCHarYroI0BtcnBSgy5PVXvw</t>
  </si>
  <si>
    <t xml:space="preserve">UCkzxUuB96SsG5LyC-SnpELA</t>
  </si>
  <si>
    <t xml:space="preserve">UCN6W5Z374tLcM-D2xEod6xA</t>
  </si>
  <si>
    <t xml:space="preserve">UCnZA1nSA4vX4oHThNtCeMyw</t>
  </si>
  <si>
    <t xml:space="preserve">UCr2den0LYe2BiszucdC8F_w</t>
  </si>
  <si>
    <t xml:space="preserve">UC70qvIT-VejO5DrUz7kmwyQ</t>
  </si>
  <si>
    <t xml:space="preserve">UCBhCqWaMfZRbKAXx_14ZOdQ</t>
  </si>
  <si>
    <t xml:space="preserve">UCrVi13aI6deP5j54dAh8DoQ</t>
  </si>
  <si>
    <t xml:space="preserve">UCXDCEbmjq6ynXKTf-EaocOg</t>
  </si>
  <si>
    <t xml:space="preserve">UCjUJ0bTJhYgaHL6V3nXAyQg</t>
  </si>
  <si>
    <t xml:space="preserve">UC1vVuJbug82Iz9qUyJE-UxQ</t>
  </si>
  <si>
    <t xml:space="preserve">UC2f5HsJRRduz--KO6F08TJA</t>
  </si>
  <si>
    <t xml:space="preserve">UC6939J_bcBk63mQoH-jp3dg</t>
  </si>
  <si>
    <t xml:space="preserve">UC0rRfKcWo6rnLtSWnPdccBQ</t>
  </si>
  <si>
    <t xml:space="preserve">UCc8Chy-n3YCG6Os58au-ZNQ</t>
  </si>
  <si>
    <t xml:space="preserve">UCxLI_UluGSESWVHCvYkZ5Bg</t>
  </si>
  <si>
    <t xml:space="preserve">UCrRRss9TjPn2UletAlEFZbQ</t>
  </si>
  <si>
    <t xml:space="preserve">UCwJMdb3Raiea_nMGjuc4p7A</t>
  </si>
  <si>
    <t xml:space="preserve">UCPgDMEYAFLaZdScnUQRBffw</t>
  </si>
  <si>
    <t xml:space="preserve">UCy6_XLgowOLf_8CHdjJNMGQ</t>
  </si>
  <si>
    <t xml:space="preserve">UCnwcEa9319a-2Hehdm0jBsA</t>
  </si>
  <si>
    <t xml:space="preserve">UCBY9J_yofi3Z72B68-66gIA</t>
  </si>
  <si>
    <t xml:space="preserve">UC-oJ5_TMqq-C6LXV_bePquA</t>
  </si>
  <si>
    <t xml:space="preserve">UCNcIOookEnXOM_2FSK_sE1Q</t>
  </si>
  <si>
    <t xml:space="preserve">UCkSfUTwJHoXPPLfhg3yU_rg</t>
  </si>
  <si>
    <t xml:space="preserve">UCAzdps2tJzn1whZE-PmgNiA</t>
  </si>
  <si>
    <t xml:space="preserve">UCO874TsGBuovKDKlifudE-A</t>
  </si>
  <si>
    <t xml:space="preserve">UCFNGyTuFd_9Q_MClmOyM5DA</t>
  </si>
  <si>
    <t xml:space="preserve">UCuunCqd6RsldM8Jna-zsvVg</t>
  </si>
  <si>
    <t xml:space="preserve">UCNM0RBOxB6glTPYKJT2Ksng</t>
  </si>
  <si>
    <t xml:space="preserve">UCVARAwkFGd11wim5LTpO2iQ</t>
  </si>
  <si>
    <t xml:space="preserve">UCHxB8irmMoRQ5PdLV3aM8VQ</t>
  </si>
  <si>
    <t xml:space="preserve">UCjDnt2b8-I7bu4MRF9Uwf-A</t>
  </si>
  <si>
    <t xml:space="preserve">UClFVoicbb4021y22E1YzsdA</t>
  </si>
  <si>
    <t xml:space="preserve">UCThV1UD7cpRFKXlZJa8rNJw</t>
  </si>
  <si>
    <t xml:space="preserve">UCV7XiN_H4Vf375SPIGfoxMw</t>
  </si>
  <si>
    <t xml:space="preserve">UCfZ41FrgmE4k75W91JJZbVQ</t>
  </si>
  <si>
    <t xml:space="preserve">UC_7EGvXRIP2FkAjaefpT_vw</t>
  </si>
  <si>
    <t xml:space="preserve">UCgz5dDB51XiHnKIdepGksyQ</t>
  </si>
  <si>
    <t xml:space="preserve">UCZAO2qJQbJmOZXT4KU-NXsg</t>
  </si>
  <si>
    <t xml:space="preserve">UCFSBIHW0pby3v5TR6kb-H7A</t>
  </si>
  <si>
    <t xml:space="preserve">UCLvkOSHPDOsRxuXHDYfa7Uw</t>
  </si>
  <si>
    <t xml:space="preserve">UCXF1dopgbAX4gMMqjdwhLkw</t>
  </si>
  <si>
    <t xml:space="preserve">UCSjP7dTsq55kDlTz-A0vjSw</t>
  </si>
  <si>
    <t xml:space="preserve">UCtbc3BuAV408RN94w3EYHyw</t>
  </si>
  <si>
    <t xml:space="preserve">UCSWW0FqSmKWsY2h8CWTYFXw</t>
  </si>
  <si>
    <t xml:space="preserve">UCX_h0WRbmDLjtQd3RKZw83Q</t>
  </si>
  <si>
    <t xml:space="preserve">UCxYecck1XkOmBKazq5IVu6g</t>
  </si>
  <si>
    <t xml:space="preserve">UCx5SW3nA3QZOL9bj9O2fHzA</t>
  </si>
  <si>
    <t xml:space="preserve">UC5E-jjQPjyO70ZfZib0Si0Q</t>
  </si>
  <si>
    <t xml:space="preserve">UCN-R5t427yJjzcCa6K7p2zA</t>
  </si>
  <si>
    <t xml:space="preserve">UCZhHm3M3OK1LQPvZCPi7Vug</t>
  </si>
  <si>
    <t xml:space="preserve">UC7HDnkuoT65Bv5FYZY3O9Zw</t>
  </si>
  <si>
    <t xml:space="preserve">UCQbUlYFhjEkt8CnbwDhpcow</t>
  </si>
  <si>
    <t xml:space="preserve">UCByHEY3AT9PhColTO4ISs4A</t>
  </si>
  <si>
    <t xml:space="preserve">UCVTQgo7JKh5It-AYp5_RaSg</t>
  </si>
  <si>
    <t xml:space="preserve">UCIg1fGP1uK63IFgHEOcYk0g</t>
  </si>
  <si>
    <t xml:space="preserve">UCFnqFwxNS2kEKgbPVC3xcHg</t>
  </si>
  <si>
    <t xml:space="preserve">UCO3rXui4nEniw4hvoYc_N8g</t>
  </si>
  <si>
    <t xml:space="preserve">UChQcTr5Xwe8tu-6tDP8nFSg</t>
  </si>
  <si>
    <t xml:space="preserve">UChE86yb4gbR4X2YF_ju3unA</t>
  </si>
  <si>
    <t xml:space="preserve">UCmFcc_FIZkXO1ip-Qsg-KrA</t>
  </si>
  <si>
    <t xml:space="preserve">UCJJP9CUVzO5IGFVvdg2WQKw</t>
  </si>
  <si>
    <t xml:space="preserve">UCN8Y4EoXcpWLTkJKlpxh8nw</t>
  </si>
  <si>
    <t xml:space="preserve">UCSU_wHMH-Jtqvz5NDcPMOtQ</t>
  </si>
  <si>
    <t xml:space="preserve">UCPvkJ8lGnllkjkmcwt5A3Yg</t>
  </si>
  <si>
    <t xml:space="preserve">UC0l0U7GnQGkAofdkS_c38Bw</t>
  </si>
  <si>
    <t xml:space="preserve">UCBmkYglsIsK7oC3U6yaNUEw</t>
  </si>
  <si>
    <t xml:space="preserve">UC13eeUsfNS-BfFgLLZzPHJw</t>
  </si>
  <si>
    <t xml:space="preserve">UCMmnFwze0RltCLdz56UAfvA</t>
  </si>
  <si>
    <t xml:space="preserve">UC-F3fJqjXhxi_qAot3rb8Ng</t>
  </si>
  <si>
    <t xml:space="preserve">UCaBpNrEtSah1mrup3yz4Lhw</t>
  </si>
  <si>
    <t xml:space="preserve">UCLETwGfftH0wuNqU6bW1XCA</t>
  </si>
  <si>
    <t xml:space="preserve">UCgqfPyAgRp7_KXzIZw1K1ig</t>
  </si>
  <si>
    <t xml:space="preserve">UCY9vPxAHc90UDcVcgFxJJEQ</t>
  </si>
  <si>
    <t xml:space="preserve">UCZcMmt2oSbV01aUvcVUrSaw</t>
  </si>
  <si>
    <t xml:space="preserve">UCFxTEPZ5lXXm02DLPSRF3NQ</t>
  </si>
  <si>
    <t xml:space="preserve">UCtebriAn8MCv0o1JAAgMZPg</t>
  </si>
  <si>
    <t xml:space="preserve">UCnRCUB8utEFY0xqm7L92yZg</t>
  </si>
  <si>
    <t xml:space="preserve">UCf-ngYLSv08HOPpzCKhzqeQ</t>
  </si>
  <si>
    <t xml:space="preserve">UCX9Kim7qja2qlch0AO2aerQ</t>
  </si>
  <si>
    <t xml:space="preserve">UCHYVOFd3E5WfP5infRbuVtw</t>
  </si>
  <si>
    <t xml:space="preserve">UCgdCCj8WyA2rhX4kCbK7NbQ</t>
  </si>
  <si>
    <t xml:space="preserve">UCCW6WdKJfqFUfoio0Lr0iHw</t>
  </si>
  <si>
    <t xml:space="preserve">UCVoReXuiBzSY6HbtZaxf6pQ</t>
  </si>
  <si>
    <t xml:space="preserve">UCXaaKQdMfqHO0mMXV3odawg</t>
  </si>
  <si>
    <t xml:space="preserve">UCw4xDZyBK0TlJTjbTGtAuEw</t>
  </si>
  <si>
    <t xml:space="preserve">UCUzCgFZGocBFTCRQacv5V9A</t>
  </si>
  <si>
    <t xml:space="preserve">UCugh3d3oNYRVzUVkFtgOJng</t>
  </si>
  <si>
    <t xml:space="preserve">UCd4B2Mjcs8_fVSyDTxVT_tA</t>
  </si>
  <si>
    <t xml:space="preserve">UCdZizb0fP4Yn0xXTnSXbemA</t>
  </si>
  <si>
    <t xml:space="preserve">UCF2w4uZqwWrcdlWk2JuHzsg</t>
  </si>
  <si>
    <t xml:space="preserve">UCrbaMf7Qn4jmi8Mpu-EerVQ</t>
  </si>
  <si>
    <t xml:space="preserve">UC9uNszDksWNnAyQycrcye8Q</t>
  </si>
  <si>
    <t xml:space="preserve">UC-veYoWcF6geQYNFDLq221w</t>
  </si>
  <si>
    <t xml:space="preserve">UCA2UxUNJWBK5lMe3e0p7w4w</t>
  </si>
  <si>
    <t xml:space="preserve">UCHMwyEtasfFID9MjkRn3r_A</t>
  </si>
  <si>
    <t xml:space="preserve">UCfVQnVmeBrK0YbAnNuxTrLA</t>
  </si>
  <si>
    <t xml:space="preserve">UCZ9CW_OWg7mXE8vdp6zYceA</t>
  </si>
  <si>
    <t xml:space="preserve">UCsyqWt5rqHHhBovHyrEUPCQ</t>
  </si>
  <si>
    <t xml:space="preserve">UCWLrOXP2GadWaiOiCX2FH3Q</t>
  </si>
  <si>
    <t xml:space="preserve">UCC184ncihJzZze2CmfAQGOQ</t>
  </si>
  <si>
    <t xml:space="preserve">UCuDmQ2Y-OHqiFA_3jpSnS4Q</t>
  </si>
  <si>
    <t xml:space="preserve">UCZXO_W8cIEfXktkTvrQJYOQ</t>
  </si>
  <si>
    <t xml:space="preserve">UC2ZhCMCEJ1NJYew4VlnbYZg</t>
  </si>
  <si>
    <t xml:space="preserve">UCIvSvgrEcTgDZPmZNDLRHQA</t>
  </si>
  <si>
    <t xml:space="preserve">UCPTxiyWXeGz7YeA--VdX2kg</t>
  </si>
  <si>
    <t xml:space="preserve">UC-ErSGqjKhmZL7BLUeNqHWA</t>
  </si>
  <si>
    <t xml:space="preserve">UCUgxf8AptYm5goprnHFhQug</t>
  </si>
  <si>
    <t xml:space="preserve">UCBc_QTRQXmhL8SgzNmtU1SA</t>
  </si>
  <si>
    <t xml:space="preserve">UCWADitF_6_0h0JwFYzGvwWg</t>
  </si>
  <si>
    <t xml:space="preserve">UCJFiG_LzzsNmYLyJbD3kXGA</t>
  </si>
  <si>
    <t xml:space="preserve">UC5AoCOpMrosY7sWc7JcwECw</t>
  </si>
  <si>
    <t xml:space="preserve">UCEp4Y_KpJ8Ogeyl07w4rg7Q</t>
  </si>
  <si>
    <t xml:space="preserve">UC_Ei0bbEgFeyoRYtiX5E4Hw</t>
  </si>
  <si>
    <t xml:space="preserve">UC2eUr931D22tjqHXMwkK5QA</t>
  </si>
  <si>
    <t xml:space="preserve">UCL53g8LyPow_19ojzApU6xw</t>
  </si>
  <si>
    <t xml:space="preserve">UCiU0DwnFdPN4hhnq2jKlEyw</t>
  </si>
  <si>
    <t xml:space="preserve">UCQTBUAlsZnlV15q1ZBfjDxQ</t>
  </si>
  <si>
    <t xml:space="preserve">UCDVxQdgOI7aIFI9VNCPSfDg</t>
  </si>
  <si>
    <t xml:space="preserve">UCPXM1s5WGdX_mFJzxzuw7eQ</t>
  </si>
  <si>
    <t xml:space="preserve">UCgOfmtKgJqQ2y_l2RJUhY-w</t>
  </si>
  <si>
    <t xml:space="preserve">UCTkrcivGBkMY4Vij-prQCfA</t>
  </si>
  <si>
    <t xml:space="preserve">UCQrlXdo7pZtgzusPA8KrShw</t>
  </si>
  <si>
    <t xml:space="preserve">UCTAyetm6MEKIR4Vu_j7K-ig</t>
  </si>
  <si>
    <t xml:space="preserve">UCqQBDs_f3v3h-UFFld9PcKQ</t>
  </si>
  <si>
    <t xml:space="preserve">UCyduSIVpv1r64d4l_Y-_dvw</t>
  </si>
  <si>
    <t xml:space="preserve">UCX_sFk4N2C7dFvjCLUoPvQg</t>
  </si>
  <si>
    <t xml:space="preserve">UCiWsgUNiND0za5YWQQ2akrw</t>
  </si>
  <si>
    <t xml:space="preserve">UCbrXZ-szsm3fN7aGSJcX4Og</t>
  </si>
  <si>
    <t xml:space="preserve">UCpVjkh4yJzPBcJNLnW1yT8A</t>
  </si>
  <si>
    <t xml:space="preserve">UC_Gsl_v4RPiU7E2LPxO41CQ</t>
  </si>
  <si>
    <t xml:space="preserve">UCzeu1G2TkyyWo7CLQS08itA</t>
  </si>
  <si>
    <t xml:space="preserve">UCt4OiktFWITfMMSSUBD2nLQ</t>
  </si>
  <si>
    <t xml:space="preserve">UClFdOQBzNzPEo5I0E7rXbcQ</t>
  </si>
  <si>
    <t xml:space="preserve">UC4-Bk3Aw5QKFpn9gw_vFJDw</t>
  </si>
  <si>
    <t xml:space="preserve">UCIiBx4r_OCAaHlGMlZQ7OrA</t>
  </si>
  <si>
    <t xml:space="preserve">UC1bP2CSl2eSNOCGU05dJHfg</t>
  </si>
  <si>
    <t xml:space="preserve">UCh7KuMrL6iSDnB4mwBPpHEA</t>
  </si>
  <si>
    <t xml:space="preserve">UCuvxfdasfGw6cEeseKwMe6g</t>
  </si>
  <si>
    <t xml:space="preserve">UCAE4gzskHRe8TeTl6eVneyA</t>
  </si>
  <si>
    <t xml:space="preserve">UCyqVnOGQO7v71Fm318SfVyg</t>
  </si>
  <si>
    <t xml:space="preserve">UCgwU7rXHj60-NCQRR8tcr3g</t>
  </si>
  <si>
    <t xml:space="preserve">UCKdfzlcm9GctB-76NozkSAA</t>
  </si>
  <si>
    <t xml:space="preserve">UC8m3r_w66USOVZUY36aB6wA</t>
  </si>
  <si>
    <t xml:space="preserve">UCrj6ws9M7PVCcBqKDz3Bucg</t>
  </si>
  <si>
    <t xml:space="preserve">UCAsjyUoHRgCA5oHVfwvcGhg</t>
  </si>
  <si>
    <t xml:space="preserve">UCwJMT9O5z5zsJTQO3H4C4_w</t>
  </si>
  <si>
    <t xml:space="preserve">UCo0iTcQ7092kEjKLYup9AMA</t>
  </si>
  <si>
    <t xml:space="preserve">UCjXE9bKtPpwww8Kacx9McNA</t>
  </si>
  <si>
    <t xml:space="preserve">UC7V94FS77mp9kmpddUpFsZA</t>
  </si>
  <si>
    <t xml:space="preserve">UCySWTmRjReU7WrD6LclL0wQ</t>
  </si>
  <si>
    <t xml:space="preserve">UCwDxpxo7NJGXYxm_4qQZoyA</t>
  </si>
  <si>
    <t xml:space="preserve">UCt6PSLl5Xzz5afnojedEH4g</t>
  </si>
  <si>
    <t xml:space="preserve">UCydk9wZnrXlzKdk7u9BNDtA</t>
  </si>
  <si>
    <t xml:space="preserve">UCbTggJVf0NDTfWX-C_gUGSg</t>
  </si>
  <si>
    <t xml:space="preserve">UCUS3ZC6c38zSZp7jn6t-bVg</t>
  </si>
  <si>
    <t xml:space="preserve">UCSJs-V4MKWaCDFs85i5rQNA</t>
  </si>
  <si>
    <t xml:space="preserve">UCYvFqT7MVqoUVIxBhnSbzjQ</t>
  </si>
  <si>
    <t xml:space="preserve">UCyaVYSpj0c3e0E4VmKSrc9g</t>
  </si>
  <si>
    <t xml:space="preserve">UCnTX7YVTsmgyyZ06iETRgsw</t>
  </si>
  <si>
    <t xml:space="preserve">UC8vG3GdOqWdoLlTGNjjIbPg</t>
  </si>
  <si>
    <t xml:space="preserve">UCUGVlDXR8f-sGtMK0ksfs1g</t>
  </si>
  <si>
    <t xml:space="preserve">UCxzNPaToGSLpTKBYxOscZqQ</t>
  </si>
  <si>
    <t xml:space="preserve">UC2SztvKJ-WFt8rlJ_V_8dIQ</t>
  </si>
  <si>
    <t xml:space="preserve">UCHPtcyVNdgtF1uK-K-6ooQw</t>
  </si>
  <si>
    <t xml:space="preserve">UCoN3YCkZQgRFBHkM72UuGeA</t>
  </si>
  <si>
    <t xml:space="preserve">UC2CAMbn5av4qqRRX4r1I_8g</t>
  </si>
  <si>
    <t xml:space="preserve">UChvim8KPe0whMoHjJhFZdww</t>
  </si>
  <si>
    <t xml:space="preserve">UCqi3ewl5uz_QElUUboPuOoA</t>
  </si>
  <si>
    <t xml:space="preserve">UCX4TLeSPNLKqaNZ0z7vWPSQ</t>
  </si>
  <si>
    <t xml:space="preserve">UCBryxYkuBwLWCv9Yuws-0Dw</t>
  </si>
  <si>
    <t xml:space="preserve">UCy3CUAIYgZdAOG9k3IPdLmw</t>
  </si>
  <si>
    <t xml:space="preserve">UCz6D-pXhywmdCOayYsx5WGQ</t>
  </si>
  <si>
    <t xml:space="preserve">UCSghPzRjaLn-gVHbq9bJG7g</t>
  </si>
  <si>
    <t xml:space="preserve">UCfRyE9uyQuiWZTiR59gN0qQ</t>
  </si>
  <si>
    <t xml:space="preserve">UCrYlCLzCPGgUMI-JVJ7UZ6A</t>
  </si>
  <si>
    <t xml:space="preserve">UCQOyoW2DJX6R8eWzMSLfZ1Q</t>
  </si>
  <si>
    <t xml:space="preserve">UCOMG0iHHi27owoyxGvURxiQ</t>
  </si>
  <si>
    <t xml:space="preserve">UCo-4YZHIB5F41n2YVBPA9Dg</t>
  </si>
  <si>
    <t xml:space="preserve">UC9paJ4hkGEvsxcPzk-1KtsA</t>
  </si>
  <si>
    <t xml:space="preserve">UChGko6FotOyQCG-cPbZsXwA</t>
  </si>
  <si>
    <t xml:space="preserve">UCHsdfdC07E9yISYSYd9oe8w</t>
  </si>
  <si>
    <t xml:space="preserve">UCvwyJFqRmqc3mbSB_SDEQGg</t>
  </si>
  <si>
    <t xml:space="preserve">UCkHl3fPy-ljjkNNBQwoYFew</t>
  </si>
  <si>
    <t xml:space="preserve">UCQ83z90H5XL-WtZBc6PsrQg</t>
  </si>
  <si>
    <t xml:space="preserve">UCy7deXby63slAVDNSrTmOZQ</t>
  </si>
  <si>
    <t xml:space="preserve">UC8G0lizBEEg_iIr48HM_igw</t>
  </si>
  <si>
    <t xml:space="preserve">UCFdrgI4RTRrZ6orEeEQJy3A</t>
  </si>
  <si>
    <t xml:space="preserve">UCl_NQqvVu5pEpdMOMRTwqIA</t>
  </si>
  <si>
    <t xml:space="preserve">UC9Wky0j6WFWMP0-DRXG5X_A</t>
  </si>
  <si>
    <t xml:space="preserve">UCzciyhKgQO2l4RC6fdLrZIg</t>
  </si>
  <si>
    <t xml:space="preserve">UCcdS7zCL5enE9J72ufzI5PA</t>
  </si>
  <si>
    <t xml:space="preserve">UC8d0MGrsCPCR8PoachcNHBQ</t>
  </si>
  <si>
    <t xml:space="preserve">UCom-wwz1havQ5hOqvKQqf5A</t>
  </si>
  <si>
    <t xml:space="preserve">UCuTVBTUD21DmU-mseaX7JkA</t>
  </si>
  <si>
    <t xml:space="preserve">UC65WTuS2BTJRgkwS1z4jUmQ</t>
  </si>
  <si>
    <t xml:space="preserve">UCX17FcGWwXRCQR00k-fSGhg</t>
  </si>
  <si>
    <t xml:space="preserve">UC3peb43RaA_CobmztuCPdDA</t>
  </si>
  <si>
    <t xml:space="preserve">UCpUYkSDJpHug-vfC5S-NXRA</t>
  </si>
  <si>
    <t xml:space="preserve">UC3ADz_R1cmrKBp5Aza3k2Mw</t>
  </si>
  <si>
    <t xml:space="preserve">UCZIKV-r7gvvSIq2ABYQStKA</t>
  </si>
  <si>
    <t xml:space="preserve">UCqtf7wBsQoCwH1PJ2grAAsQ</t>
  </si>
  <si>
    <t xml:space="preserve">UCUImAI50qUPNf2CdUsPF36A</t>
  </si>
  <si>
    <t xml:space="preserve">UCQmh4QzwBMnPSQhUXiR2ZgA</t>
  </si>
  <si>
    <t xml:space="preserve">UCTt0gabUyUH4tIqM5d6eK_w</t>
  </si>
  <si>
    <t xml:space="preserve">UC0605TGJuUV8dimhLEn0qHQ</t>
  </si>
  <si>
    <t xml:space="preserve">UCeB0R1Mjyj11bYyldX4vQiQ</t>
  </si>
  <si>
    <t xml:space="preserve">UCKOakaW3T4pHyIM6efxMYmQ</t>
  </si>
  <si>
    <t xml:space="preserve">UC91WgeaAsNDhywF7_zinAlg</t>
  </si>
  <si>
    <t xml:space="preserve">UC94S02dN90hIo7F2xLyoI3A</t>
  </si>
  <si>
    <t xml:space="preserve">UCyND4xBeUM9ybDnYoPg3WPg</t>
  </si>
  <si>
    <t xml:space="preserve">UC-KBBqNUClvEmiypIhUoaWw</t>
  </si>
  <si>
    <t xml:space="preserve">UCciiqJbc9Xli4oTFqUJhdZQ</t>
  </si>
  <si>
    <t xml:space="preserve">UC4eTN3IM43ArfUoUSLetZYw</t>
  </si>
  <si>
    <t xml:space="preserve">UCHuWoIPWIsDpdAqPn48LsNQ</t>
  </si>
  <si>
    <t xml:space="preserve">UC0i2DYJKDkaSdlwehlN6-Lw</t>
  </si>
  <si>
    <t xml:space="preserve">UCxBOdHvL0uAYTPwaxtXVbww</t>
  </si>
  <si>
    <t xml:space="preserve">UCW64nTVTzu_8yqninTGawpA</t>
  </si>
  <si>
    <t xml:space="preserve">UCMartS7qv4RjXBO-JeVMfEQ</t>
  </si>
  <si>
    <t xml:space="preserve">UCOtpCsZxYQNtUtQi6NVRIFg</t>
  </si>
  <si>
    <t xml:space="preserve">UCH2Xsy59ouDWqvJC6M5op9g</t>
  </si>
  <si>
    <t xml:space="preserve">UCSDZQfGPsPiHkcyyx6tT4_A</t>
  </si>
  <si>
    <t xml:space="preserve">UChsC8dNphphM_5nfTizklKw</t>
  </si>
  <si>
    <t xml:space="preserve">UCLBFLDPVWopeW0TaxcVOhkg</t>
  </si>
  <si>
    <t xml:space="preserve">UCt-lqwnK8aodAzsKuepsdFw</t>
  </si>
  <si>
    <t xml:space="preserve">UCt0L4zh1nkUKz36L8PsgCGw</t>
  </si>
  <si>
    <t xml:space="preserve">UCWuaaekWkD48dpjsMQsPskA</t>
  </si>
  <si>
    <t xml:space="preserve">UCcmKy_Sh0mneSu6q7aaK7sQ</t>
  </si>
  <si>
    <t xml:space="preserve">UCvR3SPVZtGvNiCoceBx5mCw</t>
  </si>
  <si>
    <t xml:space="preserve">UCw5LtE-P30NFQKk1cYZ4Qug</t>
  </si>
  <si>
    <t xml:space="preserve">UCbJ9ancSMqQZi2suK8T9V9w</t>
  </si>
  <si>
    <t xml:space="preserve">UC1jzOzpbEoqf-x_tbYWvkAw</t>
  </si>
  <si>
    <t xml:space="preserve">UCWp0caP4zQ20KtZWe41UXDQ</t>
  </si>
  <si>
    <t xml:space="preserve">UCmZ6MG-8QpT4SHqtMcK3Ruw</t>
  </si>
  <si>
    <t xml:space="preserve">UCKfUuP7dbt5_dDk0RLkrJag</t>
  </si>
  <si>
    <t xml:space="preserve">UC0AALJ9SyFy_zocizxmfKSg</t>
  </si>
  <si>
    <t xml:space="preserve">UCBJwAmWMqetWPAJCDvzG96Q</t>
  </si>
  <si>
    <t xml:space="preserve">UC7TTYIYHGWYEqpi2wYPO25w</t>
  </si>
  <si>
    <t xml:space="preserve">UCi9mn-c0K-3aCs6kpr9DfGw</t>
  </si>
  <si>
    <t xml:space="preserve">UCilmFvrrRKEPvbWA778e2oA</t>
  </si>
  <si>
    <t xml:space="preserve">UC7LW32eyYR-w0HauAepyqng</t>
  </si>
  <si>
    <t xml:space="preserve">UCDEbrTWOUTeMMChQPWAzupw</t>
  </si>
  <si>
    <t xml:space="preserve">UCCuHYj-aXodeomaU1fber3A</t>
  </si>
  <si>
    <t xml:space="preserve">UCS2VUwmL5aEla12ihmx-Hrg</t>
  </si>
  <si>
    <t xml:space="preserve">UCZHXp2Y--jAuBrQZM3dHvdw</t>
  </si>
  <si>
    <t xml:space="preserve">UCL9m_tnAVA3fbNNLdDWTc9w</t>
  </si>
  <si>
    <t xml:space="preserve">UCDuW9RYegDssURnVqZ2Ujyg</t>
  </si>
  <si>
    <t xml:space="preserve">UCx0UTtV15gHc0OqEtQ8Gkpw</t>
  </si>
  <si>
    <t xml:space="preserve">UCDsu9PvgCQqNDaMZzL1tcSQ</t>
  </si>
  <si>
    <t xml:space="preserve">UCrB8j1YCbuYhIcImwNkJgCg</t>
  </si>
  <si>
    <t xml:space="preserve">UC_ZlSKo7iJpkD0lsx77OjlA</t>
  </si>
  <si>
    <t xml:space="preserve">UC5VX1ckWpFMhVgyP56eOhBQ</t>
  </si>
  <si>
    <t xml:space="preserve">UCYo6_DZHw9_FZSYYLURa9lQ</t>
  </si>
  <si>
    <t xml:space="preserve">UCTmteCsaE-pPUgCdinqgh4A</t>
  </si>
  <si>
    <t xml:space="preserve">UCF3pkvyyercYqBq275B8VLQ</t>
  </si>
  <si>
    <t xml:space="preserve">UCxKCKnccuNO15wPEBVdhzaw</t>
  </si>
  <si>
    <t xml:space="preserve">UCf9T51_FmMlfhiGpoes0yFA</t>
  </si>
  <si>
    <t xml:space="preserve">UCRgLwzUAgzROSAdIVszu7Ng</t>
  </si>
  <si>
    <t xml:space="preserve">UCIqpI10br1LYVaN3zsZlrHQ</t>
  </si>
  <si>
    <t xml:space="preserve">UCjaduboRYgUIqkvBDJ4GbPw</t>
  </si>
  <si>
    <t xml:space="preserve">UCR8wiJUtuR74whxDdYK9-gA</t>
  </si>
  <si>
    <t xml:space="preserve">UCKQtHhBInrD4uPIu1a3xfuw</t>
  </si>
  <si>
    <t xml:space="preserve">UC3aJUKR9vS5CGJ7JdsmUGQQ</t>
  </si>
  <si>
    <t xml:space="preserve">UCnYLzkF8hEteih7COtPXmmQ</t>
  </si>
  <si>
    <t xml:space="preserve">UCHnrUPk8-iz6VbTic-w8h1g</t>
  </si>
  <si>
    <t xml:space="preserve">UC5HY9BXOEG11GkhB80oADFA</t>
  </si>
  <si>
    <t xml:space="preserve">UCzGlkZAe_iOrrYIG3q35Esw</t>
  </si>
  <si>
    <t xml:space="preserve">UCMs2LxbnlV2MfPMQ1S0nR1Q</t>
  </si>
  <si>
    <t xml:space="preserve">UC_84k0Yd9q70ru3J-VClheA</t>
  </si>
  <si>
    <t xml:space="preserve">UCLnVkiQsBO6JJ30i5NRsgGw</t>
  </si>
  <si>
    <t xml:space="preserve">UCDbtQ55dbyxytVHH0rijJxQ</t>
  </si>
  <si>
    <t xml:space="preserve">UCrtd2zM4Hq_q6zw9wYiE_IA</t>
  </si>
  <si>
    <t xml:space="preserve">UCW6GYgScRLrWh4IbMywasJA</t>
  </si>
  <si>
    <t xml:space="preserve">UCF4piUI3U7RZNHoszeeu8ZQ</t>
  </si>
  <si>
    <t xml:space="preserve">UCoKXRxb8YXBUO3aFZrcwt8g</t>
  </si>
  <si>
    <t xml:space="preserve">UCjGC9zWjHHF6CG1j8YfJK9g</t>
  </si>
  <si>
    <t xml:space="preserve">UCKSVKGZE9QgQcDt-f_ofl9A</t>
  </si>
  <si>
    <t xml:space="preserve">UC36oFzsurlTCn6DNJk7gx4Q</t>
  </si>
  <si>
    <t xml:space="preserve">UCGqCm_J15IOkidcdXxQ-MAg</t>
  </si>
  <si>
    <t xml:space="preserve">UCPn-w9paG7hw4aHaXdEZ1Kw</t>
  </si>
  <si>
    <t xml:space="preserve">UCB4X9NB9FEl8c0qfKSYWWCQ</t>
  </si>
  <si>
    <t xml:space="preserve">UCWJoxaiGioreCa8K-AiCRtA</t>
  </si>
  <si>
    <t xml:space="preserve">UCVrSbAO-97K11v3EeFQPojw</t>
  </si>
  <si>
    <t xml:space="preserve">UCKH244kkPLXoDCsEShgOwYA</t>
  </si>
  <si>
    <t xml:space="preserve">UCAPsmMmgG6B6zzVdR4TMa7w</t>
  </si>
  <si>
    <t xml:space="preserve">UCK_4QQUt2C8QS1dk5nxGqJw</t>
  </si>
  <si>
    <t xml:space="preserve">UCQ8DKQ-WS7NGWzy3iiAPjQg</t>
  </si>
  <si>
    <t xml:space="preserve">UC3--K-h857r2WOUejAGgk8g</t>
  </si>
  <si>
    <t xml:space="preserve">UCTg1PHqZ00p6SwlQ5R2e9kA</t>
  </si>
  <si>
    <t xml:space="preserve">UCfdRf8JhyPnAh6u5RX7_QNA</t>
  </si>
  <si>
    <t xml:space="preserve">UCJAm9RR4GGmePiEnOR2aK3Q</t>
  </si>
  <si>
    <t xml:space="preserve">UCmehuBRitBEfDEk0YwlhUtA</t>
  </si>
  <si>
    <t xml:space="preserve">UC2wQZsCvTlldiKkP1rAA7VQ</t>
  </si>
  <si>
    <t xml:space="preserve">UCJac92f_YjF_EiVr_Cp0kzQ</t>
  </si>
  <si>
    <t xml:space="preserve">UCbAMLctQ6w8lwt44s4SQD7g</t>
  </si>
  <si>
    <t xml:space="preserve">UCZlvgyM9J3QQEM5NaAJoOrw</t>
  </si>
  <si>
    <t xml:space="preserve">UCIFW2blDOTgMo4sbZvy5q3w</t>
  </si>
  <si>
    <t xml:space="preserve">UCrMp6pcG-mtZ6hxOTLwEmPg</t>
  </si>
  <si>
    <t xml:space="preserve">UCjin_JMnoRCBgC9R0rzw-MQ</t>
  </si>
  <si>
    <t xml:space="preserve">UC9Y5UGz-ZL1lWvWFoSp2wTA</t>
  </si>
  <si>
    <t xml:space="preserve">UCMctbCpIK2a4_HOYP-rt7eg</t>
  </si>
  <si>
    <t xml:space="preserve">UC7SByCjrPo17Ohcup3YQ6CA</t>
  </si>
  <si>
    <t xml:space="preserve">UCut059-41de7fgIT4TsSc0w</t>
  </si>
  <si>
    <t xml:space="preserve">UCCs4Q8hP2oSijopA0Oua72w</t>
  </si>
  <si>
    <t xml:space="preserve">UCschDYcHV2A6m-qi5fwCNDw</t>
  </si>
  <si>
    <t xml:space="preserve">UCik6TMhUKxZlunX4n3KURdQ</t>
  </si>
  <si>
    <t xml:space="preserve">UCdpaOp-ZCZbbky9IslAow3w</t>
  </si>
  <si>
    <t xml:space="preserve">UCeqrq_qZvLz5ZARUC3tAC3Q</t>
  </si>
  <si>
    <t xml:space="preserve">UCPFtZBcUYuxnm5sic2FSNuQ</t>
  </si>
  <si>
    <t xml:space="preserve">UCDfy2RuMjMq4DZjAI1y85Ng</t>
  </si>
  <si>
    <t xml:space="preserve">UC4vR7FNGExmDyWtzLIP2Fsw</t>
  </si>
  <si>
    <t xml:space="preserve">UClotW43rAwv0_KRCzscEgDQ</t>
  </si>
  <si>
    <t xml:space="preserve">UCLJsj-n7l-qj_8Oy2KHFj5w</t>
  </si>
  <si>
    <t xml:space="preserve">UCOnXXPKclBAMoVyQiQ_cxpg</t>
  </si>
  <si>
    <t xml:space="preserve">UCrOSaEIhxyDkh5QQDf4m2pQ</t>
  </si>
  <si>
    <t xml:space="preserve">UC8GI7ZeEvYtUZIMQxDOJ8Og</t>
  </si>
  <si>
    <t xml:space="preserve">UCW7WugaHVra-5NaONjZmwGQ</t>
  </si>
  <si>
    <t xml:space="preserve">UCuoFNm8UH-EfIFmG-9vL4aA</t>
  </si>
  <si>
    <t xml:space="preserve">UCJAjJ1LkP3pjOhjlQf2dsng</t>
  </si>
  <si>
    <t xml:space="preserve">UCPAHF7Dpd4usax9_DHxNCtg</t>
  </si>
  <si>
    <t xml:space="preserve">UC3BvTp9Z2l3BXeJof1sqjEw</t>
  </si>
  <si>
    <t xml:space="preserve">UCKHxFawjQo7XO_66uroOxzQ</t>
  </si>
  <si>
    <t xml:space="preserve">UCjOBq97vcsaiv_fYJ5OoRjQ</t>
  </si>
  <si>
    <t xml:space="preserve">UCQg9Dn8iIhS6a_22eAMEjCQ</t>
  </si>
  <si>
    <t xml:space="preserve">UC8Nbgc4vUi27HgBv2ffEiHw</t>
  </si>
  <si>
    <t xml:space="preserve">UCRzEzje2WXWuYbU56RC7hfg</t>
  </si>
  <si>
    <t xml:space="preserve">UCgSzVsuviPQDrie2-LkCIzA</t>
  </si>
  <si>
    <t xml:space="preserve">UCrTs2N3qPqvxS-EW-VdsDlA</t>
  </si>
  <si>
    <t xml:space="preserve">UCaaIJ9AgUqjRka74gWBsZwA</t>
  </si>
  <si>
    <t xml:space="preserve">UCXp-cY0drk8Ve7BQb8iyf8A</t>
  </si>
  <si>
    <t xml:space="preserve">UC7iuDjCnEFf6pAskdZsvQ3w</t>
  </si>
  <si>
    <t xml:space="preserve">UCa7xo_7e5TwV1L7HjqoHlqg</t>
  </si>
  <si>
    <t xml:space="preserve">UCrSiB6KdWs87LPFQga_aZfA</t>
  </si>
  <si>
    <t xml:space="preserve">UCB7-B0LHqE6sMK6JwWs_hKw</t>
  </si>
  <si>
    <t xml:space="preserve">UCqXx4YaMy_edSqHtuAzaN3g</t>
  </si>
  <si>
    <t xml:space="preserve">UCgZIFtUJQjNHiB22qCdSCYg</t>
  </si>
  <si>
    <t xml:space="preserve">UCp4W8zw8TQJp75c9NG0_79Q</t>
  </si>
  <si>
    <t xml:space="preserve">UCg1Id2qMmc22nQFHyLEzogw</t>
  </si>
  <si>
    <t xml:space="preserve">UCmXFHDJ_oNiUXFvHOAxJ45g</t>
  </si>
  <si>
    <t xml:space="preserve">UCilOAUEQ90kmtMpnFrE-UDA</t>
  </si>
  <si>
    <t xml:space="preserve">UCwxlgYFD2LRxmTtB4lph6Dg</t>
  </si>
  <si>
    <t xml:space="preserve">UCQHEPyUiNuKXgZviphObFbg</t>
  </si>
  <si>
    <t xml:space="preserve">UCXyTXC3tPRiR41cN5YMu4Tg</t>
  </si>
  <si>
    <t xml:space="preserve">UC8l0zRmIKAiuzt1W41rX8ww</t>
  </si>
  <si>
    <t xml:space="preserve">UCY1pEz1D2sLDRY8Pp9cbf_w</t>
  </si>
  <si>
    <t xml:space="preserve">UCN0754-kHLVg8T3c9Ptl2tQ</t>
  </si>
  <si>
    <t xml:space="preserve">UCYg-lp55SoEHtor0Z_wXhvQ</t>
  </si>
  <si>
    <t xml:space="preserve">UCcNFqmKvjYJ4uT7m73m9Gzw</t>
  </si>
  <si>
    <t xml:space="preserve">UCRhTp51B-OmjGb9pmor1izA</t>
  </si>
  <si>
    <t xml:space="preserve">UChmS05I9nqlewC7o6Le01PA</t>
  </si>
  <si>
    <t xml:space="preserve">UCYfmecSpbA9eKScENck0SxQ</t>
  </si>
  <si>
    <t xml:space="preserve">UCLTsmsnxVXZ5s1l-wBA-DJw</t>
  </si>
  <si>
    <t xml:space="preserve">UCVr4XPfmenahjX-V3E7W5tw</t>
  </si>
  <si>
    <t xml:space="preserve">UCXzbaxQDm_J8tde9xKEalkg</t>
  </si>
  <si>
    <t xml:space="preserve">UC0yTzhyCOykbC8LLDBDheGA</t>
  </si>
  <si>
    <t xml:space="preserve">UCBYzDJTo_0pcQ9CBV8Ozslw</t>
  </si>
  <si>
    <t xml:space="preserve">UCaO-uRH2PbEP2fl-tWqR1VQ</t>
  </si>
  <si>
    <t xml:space="preserve">UCVDk3W25v4OiVi8XwKdaJBw</t>
  </si>
  <si>
    <t xml:space="preserve">UCSbw4liXeVeEZym1GyNZbrQ</t>
  </si>
  <si>
    <t xml:space="preserve">UCI8nXcFNNOFrTMjW0fWnSUw</t>
  </si>
  <si>
    <t xml:space="preserve">UCyOqhXLqyl212EorlasUfYg</t>
  </si>
  <si>
    <t xml:space="preserve">UC5FgOlJzKhlSZXOmFN5ub1Q</t>
  </si>
  <si>
    <t xml:space="preserve">UCXxUayhQHz_NC6lUCoAmJjg</t>
  </si>
  <si>
    <t xml:space="preserve">UCo01FgqzojD0f_WEtCNRaSQ</t>
  </si>
  <si>
    <t xml:space="preserve">UCg2BLUv5gHLmqjSjkzveOPg</t>
  </si>
  <si>
    <t xml:space="preserve">UC6cOwMfjCJJ39OKMX3GCsSA</t>
  </si>
  <si>
    <t xml:space="preserve">UC3r_UJx0MYRhmPZP7_A0xGA</t>
  </si>
  <si>
    <t xml:space="preserve">UCpCsZNpgNr3U0uamY3f821A</t>
  </si>
  <si>
    <t xml:space="preserve">UCt3kzvhrvlfDd1AaP1-o4ww</t>
  </si>
  <si>
    <t xml:space="preserve">UCcq6HyUzitcCiZlGg2HtRIQ</t>
  </si>
  <si>
    <t xml:space="preserve">UCRpDcBWWkic9-kQ6SHXu4VA</t>
  </si>
  <si>
    <t xml:space="preserve">UC0hrPVmlFxeRvLNJMdNX4Kg</t>
  </si>
  <si>
    <t xml:space="preserve">UCy-m7wtx7d3uDiGRzODmi7g</t>
  </si>
  <si>
    <t xml:space="preserve">UCzsR3ghNLC6qCQrHlAKlGVQ</t>
  </si>
  <si>
    <t xml:space="preserve">UCDxxNnhtCG38wvuCjiyzOaA</t>
  </si>
  <si>
    <t xml:space="preserve">UCl-ozj1Gzs3NjT7y0qElaTw</t>
  </si>
  <si>
    <t xml:space="preserve">UCpgnoCflV9Yrj5bAb247wcw</t>
  </si>
  <si>
    <t xml:space="preserve">UChiJI6aZx9XflzWBg98p6TA</t>
  </si>
  <si>
    <t xml:space="preserve">UC3hMRd0hcCWRV1vFjezuefA</t>
  </si>
  <si>
    <t xml:space="preserve">UCnNn4VPADdndeRqDNTGugaA</t>
  </si>
  <si>
    <t xml:space="preserve">UCDrRojKeA8WsvwL5_HBHokw</t>
  </si>
  <si>
    <t xml:space="preserve">UCCbnSjx2zdsWIV5wKOslG2g</t>
  </si>
  <si>
    <t xml:space="preserve">UCZeBJ0ETZlagrv92Dn323oA</t>
  </si>
  <si>
    <t xml:space="preserve">UC-eWMObGAUIFLsu6reunQ3A</t>
  </si>
  <si>
    <t xml:space="preserve">UCPpjhEtx0M6T3H-4GV4SKeg</t>
  </si>
  <si>
    <t xml:space="preserve">UC8Jd5CYl4zQa_kBNdkPrP0w</t>
  </si>
  <si>
    <t xml:space="preserve">UCrdOvtBDvpLltap7ptCcKxg</t>
  </si>
  <si>
    <t xml:space="preserve">UCcR6gvEw__ugwQaS27McIUA</t>
  </si>
  <si>
    <t xml:space="preserve">UCvKIpNI7l-XweJYo5a-RCdw</t>
  </si>
  <si>
    <t xml:space="preserve">UCmVd4i6b9lJ5pH0wYbwbMGw</t>
  </si>
  <si>
    <t xml:space="preserve">UCsjsp8pH5ksLeSQiQDPZO0g</t>
  </si>
  <si>
    <t xml:space="preserve">UCo5DUW5DLKvCO-M1xEwXH5w</t>
  </si>
  <si>
    <t xml:space="preserve">UCO3R6yASfocLaLTDyZHDuAw</t>
  </si>
  <si>
    <t xml:space="preserve">UCRjSeIVCLmDHZ2dNssT7xvg</t>
  </si>
  <si>
    <t xml:space="preserve">UCVb8RTHoMD8CoHb8ZmTsGcw</t>
  </si>
  <si>
    <t xml:space="preserve">UCdpHYrNDvXqreUGPsqfX6jg</t>
  </si>
  <si>
    <t xml:space="preserve">UC8hJdmvM1kUA2J9KlU07nQw</t>
  </si>
  <si>
    <t xml:space="preserve">UCFZFYFIzdogd7nQfsIJ6bCw</t>
  </si>
  <si>
    <t xml:space="preserve">UCer2Liv7ASwieHZk76QYz_g</t>
  </si>
  <si>
    <t xml:space="preserve">UCj9CywGjtcdW_rCa1uWJiGQ</t>
  </si>
  <si>
    <t xml:space="preserve">UCItE14v-1HEQbFkGXCaqhCg</t>
  </si>
  <si>
    <t xml:space="preserve">UCcd9jhJHg-JWuEz861i2saQ</t>
  </si>
  <si>
    <t xml:space="preserve">UC0Fxs5vOGxWQqcuNjB6JZNw</t>
  </si>
  <si>
    <t xml:space="preserve">UCR_2U6Ckk2iffJdxfWWQmcg</t>
  </si>
  <si>
    <t xml:space="preserve">UChjApHrYdDgxVKGOgMQ1KnA</t>
  </si>
  <si>
    <t xml:space="preserve">UC4Jwz33QLMSOQEJkGPanGpg</t>
  </si>
  <si>
    <t xml:space="preserve">UCBQTOqpeA28XHf_aLD9sGfA</t>
  </si>
  <si>
    <t xml:space="preserve">UCO9z-7kc8CDTFY5s7Ullz7w</t>
  </si>
  <si>
    <t xml:space="preserve">UCsmxILcBOJwU2d5WZi8ulgQ</t>
  </si>
  <si>
    <t xml:space="preserve">UCcNKR03knYmJZx2TA3x-4lw</t>
  </si>
  <si>
    <t xml:space="preserve">UCWp3dCCc13gr6lxe_3dsIXw</t>
  </si>
  <si>
    <t xml:space="preserve">UCwXoila4MIHneo5Pl2EDqrg</t>
  </si>
  <si>
    <t xml:space="preserve">UCWtG2h1I4hyUudSsIBw1cwA</t>
  </si>
  <si>
    <t xml:space="preserve">UCdhu9-K6DZIfIBdKzedpSzw</t>
  </si>
  <si>
    <t xml:space="preserve">UCwoozj1lyIbfQY4Sp4Gls1g</t>
  </si>
  <si>
    <t xml:space="preserve">UCGFJLPfbyYhOP5FfX7_rWFw</t>
  </si>
  <si>
    <t xml:space="preserve">UCiCr-43tTDRmH4RV42hmTmQ</t>
  </si>
  <si>
    <t xml:space="preserve">UCCuMPdZI3dCLUPGD6TsmDkw</t>
  </si>
  <si>
    <t xml:space="preserve">UCsK1PjBpTvz4qAOwtjor15g</t>
  </si>
  <si>
    <t xml:space="preserve">UCZwXDSdyhxLk7W_sFQsANCA</t>
  </si>
  <si>
    <t xml:space="preserve">UCKhaZGk_YMxHFqUIUo4CxVg</t>
  </si>
  <si>
    <t xml:space="preserve">UCIFQgj1Rhx-FFgyo0zzPSfw</t>
  </si>
  <si>
    <t xml:space="preserve">UCCmWU5-oK7MR4RQt0SdYWbQ</t>
  </si>
  <si>
    <t xml:space="preserve">UCiLfeVOBJoAPUbiKxrHBcuw</t>
  </si>
  <si>
    <t xml:space="preserve">UCtzK1Q-jw4aOgzLXqQpmybg</t>
  </si>
  <si>
    <t xml:space="preserve">UCfV-cq1ikCK8Xj_s2jPeQ3g</t>
  </si>
  <si>
    <t xml:space="preserve">UC1jdqRaeWzUKt19WbbEgwGQ</t>
  </si>
  <si>
    <t xml:space="preserve">UCSNyGhBhJomk2IBlrGjt0jA</t>
  </si>
  <si>
    <t xml:space="preserve">UCMJoOmW5Zpk3ep6XwKivlmQ</t>
  </si>
  <si>
    <t xml:space="preserve">UCky03MonS3REdCXCvOfua2g</t>
  </si>
  <si>
    <t xml:space="preserve">UCa-eSrRfQHLX-OL4G2NxS2Q</t>
  </si>
  <si>
    <t xml:space="preserve">UCNJJswo_gpUyEF4nrvYP9rA</t>
  </si>
  <si>
    <t xml:space="preserve">UCuS13t8PD-6boP_B-pd7u5A</t>
  </si>
  <si>
    <t xml:space="preserve">UCb8PSfcsgFqkztYoTMP7Exg</t>
  </si>
  <si>
    <t xml:space="preserve">UCuVmzw46bPl2MStXvMyCGfA</t>
  </si>
  <si>
    <t xml:space="preserve">UCesjpe5FQgZG6-esS5Adsfw</t>
  </si>
  <si>
    <t xml:space="preserve">UCRVTA2bxxIt42y5V0n1zWdQ</t>
  </si>
  <si>
    <t xml:space="preserve">UCBntDaPELzNdC_PgQRYxuAg</t>
  </si>
  <si>
    <t xml:space="preserve">UC5YdAtWv_T7IPQzZDvSt71A</t>
  </si>
  <si>
    <t xml:space="preserve">UCauyfx8BvXrdX6D_S3Erh6w</t>
  </si>
  <si>
    <t xml:space="preserve">UCKaVfd9D2EH7P-U7O9Lh0Xw</t>
  </si>
  <si>
    <t xml:space="preserve">UC8bmtIx3qQyHTnafF0uoUBA</t>
  </si>
  <si>
    <t xml:space="preserve">UCG7C9WD8OIDZbh_vFB356VQ</t>
  </si>
  <si>
    <t xml:space="preserve">UCiYDV0gtH1ljNlJN42S8eGQ</t>
  </si>
  <si>
    <t xml:space="preserve">UCYnwqPiYdXkBZqng3lE5u2w</t>
  </si>
  <si>
    <t xml:space="preserve">UCl0k6_11cll8OhoqffXfknQ</t>
  </si>
  <si>
    <t xml:space="preserve">UCY29sVNHP1cugF_CPDwp36A</t>
  </si>
  <si>
    <t xml:space="preserve">UCBbsl_ejeP5uroPshLSbPkw</t>
  </si>
  <si>
    <t xml:space="preserve">UC8m_TmXKJYjdbCcboix2rvg</t>
  </si>
  <si>
    <t xml:space="preserve">UC-zcxbOmTsRzSlydELA8Bag</t>
  </si>
  <si>
    <t xml:space="preserve">UCLKDqkmygqYMCVfH9FITtpg</t>
  </si>
  <si>
    <t xml:space="preserve">UCHBmRwbadi_zs5Q1odn4Fzw</t>
  </si>
  <si>
    <t xml:space="preserve">UCHxcflr9gOTr0dA2ujps5PQ</t>
  </si>
  <si>
    <t xml:space="preserve">UCM_0tZIZxMlB5pbYjRT4a0w</t>
  </si>
  <si>
    <t xml:space="preserve">UCujo_ZlMoGpTyC0BEsiGUFg</t>
  </si>
  <si>
    <t xml:space="preserve">UC5K207XdVJQ2JGaPTMHHUgw</t>
  </si>
  <si>
    <t xml:space="preserve">UCsnDgWtZdAZfUervHtX-U8A</t>
  </si>
  <si>
    <t xml:space="preserve">UCWemA5UlffM28L6CSKkerFw</t>
  </si>
  <si>
    <t xml:space="preserve">UCgD2acGw8hAHJrmMaR-i2Zg</t>
  </si>
  <si>
    <t xml:space="preserve">UCUif-kPeMTxR17qsBljk_4g</t>
  </si>
  <si>
    <t xml:space="preserve">UCNe1hPu1ezRpkO41VID90Qg</t>
  </si>
  <si>
    <t xml:space="preserve">UC5O9xXewPfevK7Dd3n1DXsA</t>
  </si>
  <si>
    <t xml:space="preserve">UC4ne8eWv9oN6a7RgmCgMP3g</t>
  </si>
  <si>
    <t xml:space="preserve">UCoVcxJl0W0prfKyVMK_rxrQ</t>
  </si>
  <si>
    <t xml:space="preserve">UCTOnLTM22UgQ7JAezSOdOSQ</t>
  </si>
  <si>
    <t xml:space="preserve">UCu_e5nCElMwEsbtNQn0IYOQ</t>
  </si>
  <si>
    <t xml:space="preserve">UCzkM7ccvLMbqTW-YiZmUCEg</t>
  </si>
  <si>
    <t xml:space="preserve">UCGmquqsCaGpHze9N0KwkmTQ</t>
  </si>
  <si>
    <t xml:space="preserve">UCOaSOMiIEBi5OMCFzY9lSIw</t>
  </si>
  <si>
    <t xml:space="preserve">UCE7qCkNkOm_kppJDWQzNnVA</t>
  </si>
  <si>
    <t xml:space="preserve">UC8uTFxKu3UhPbbbzQbDWHow</t>
  </si>
  <si>
    <t xml:space="preserve">UCQr_M4rulCCLJrvrmEKPZ9A</t>
  </si>
  <si>
    <t xml:space="preserve">UCDPnsKDVArX0Ooqdcj25CEA</t>
  </si>
  <si>
    <t xml:space="preserve">UCNFVJvBzMFaWPcNxZzurddw</t>
  </si>
  <si>
    <t xml:space="preserve">UCV1BuCRR9oyvkcPOMmCKNMg</t>
  </si>
  <si>
    <t xml:space="preserve">UCQUF7BK9w7iNXgAJtbpE5Ww</t>
  </si>
  <si>
    <t xml:space="preserve">UC9LFVFomQEpHyApyhlJoJIg</t>
  </si>
  <si>
    <t xml:space="preserve">UCKTBYOQAHJxzgiLP48B8Apg</t>
  </si>
  <si>
    <t xml:space="preserve">UCOrpbn5s6GAvJz8fDt5mOyA</t>
  </si>
  <si>
    <t xml:space="preserve">UCO1S62Yfk1S8XRYjksIf9kg</t>
  </si>
  <si>
    <t xml:space="preserve">UCZnfsz3Wgf6V_Hu1d7m7GTA</t>
  </si>
  <si>
    <t xml:space="preserve">UCshyM08-MXmCTAq74i3aIkg</t>
  </si>
  <si>
    <t xml:space="preserve">UCCu0CzaATLOUGHINGfxZwrA</t>
  </si>
  <si>
    <t xml:space="preserve">UC2dFrGKOrBaQrlC3DqWJ9vA</t>
  </si>
  <si>
    <t xml:space="preserve">UChhYUjvA-4vH4ixRko4RZRw</t>
  </si>
  <si>
    <t xml:space="preserve">UCv0isN7jDXrAWJGjxrouMpg</t>
  </si>
  <si>
    <t xml:space="preserve">UCITq952Isyv7MbWNusSAFDA</t>
  </si>
  <si>
    <t xml:space="preserve">UC0pn4J1gb2q4e98T-BX-Sng</t>
  </si>
  <si>
    <t xml:space="preserve">UCq3mOOGWKHQ_FZj8aj7uWOw</t>
  </si>
  <si>
    <t xml:space="preserve">UCFRS4oVcRZBdZ0ID4LTiAeg</t>
  </si>
  <si>
    <t xml:space="preserve">UCKxwEXrlXQYnXLw-L5ojmmw</t>
  </si>
  <si>
    <t xml:space="preserve">UCEyaHLYVG0WIAABOLbCb27A</t>
  </si>
  <si>
    <t xml:space="preserve">UCJeOXhoLoDQeRaZT9ApJAXQ</t>
  </si>
  <si>
    <t xml:space="preserve">UCNcCrZ5DVh6j1Ya0uD1_uzw</t>
  </si>
  <si>
    <t xml:space="preserve">UChvLzY9MIzTfx0831VkY5bQ</t>
  </si>
  <si>
    <t xml:space="preserve">UC2YFKfvra80gb6nNEZ3NsXQ</t>
  </si>
  <si>
    <t xml:space="preserve">UCpYduClvjfEFO71CNN0o1aQ</t>
  </si>
  <si>
    <t xml:space="preserve">UC8b5ecQZKt9a1jDTuzudhwA</t>
  </si>
  <si>
    <t xml:space="preserve">UC7vuXkt4OA1JXj_3DT6WJoA</t>
  </si>
  <si>
    <t xml:space="preserve">UCyarrOOOHzUNETRDYerahmA</t>
  </si>
  <si>
    <t xml:space="preserve">UCJUegbxqq84RTADsPyPmj4w</t>
  </si>
  <si>
    <t xml:space="preserve">UCOsV75fSUr8gnMbhx-Qh3Lg</t>
  </si>
  <si>
    <t xml:space="preserve">UCDiD6lDqK4TMGXWgD4sPapQ</t>
  </si>
  <si>
    <t xml:space="preserve">UCI8m-3oHyPuGTgXfuNaAbeQ</t>
  </si>
  <si>
    <t xml:space="preserve">UCBO2MfelOTyAyf7m5Atg_xg</t>
  </si>
  <si>
    <t xml:space="preserve">UCcIbadbS1wvdAUaB6ANPDJQ</t>
  </si>
  <si>
    <t xml:space="preserve">UCpNGDeOgH14QdiYvWzOVTVQ</t>
  </si>
  <si>
    <t xml:space="preserve">UC3ingNbF2mWgFdiXpBahhUA</t>
  </si>
  <si>
    <t xml:space="preserve">UCCnz3J2VuO2j3B4ihtn00tQ</t>
  </si>
  <si>
    <t xml:space="preserve">UChENy2b530TSEyRFV_FnkUg</t>
  </si>
  <si>
    <t xml:space="preserve">UC94FeYOIBSBZRPc-0bFIlpQ</t>
  </si>
  <si>
    <t xml:space="preserve">UCDj1jLUeLXGFppgWZNcx5UQ</t>
  </si>
  <si>
    <t xml:space="preserve">UCxZH0aZnRfxs-HVjm6fEWZQ</t>
  </si>
  <si>
    <t xml:space="preserve">UCgCNFoWWPXcoVr5xNesnVbQ</t>
  </si>
  <si>
    <t xml:space="preserve">UCqId1zcX3NJ819EQHX7gvSw</t>
  </si>
  <si>
    <t xml:space="preserve">UCY-X_R2mw_-MOX7WVL1aBog</t>
  </si>
  <si>
    <t xml:space="preserve">UC1L2Z59HKNb1RvzS0w1P9Bw</t>
  </si>
  <si>
    <t xml:space="preserve">UC2niR7kf9LyCEecicFuFbKg</t>
  </si>
  <si>
    <t xml:space="preserve">UCLegWjd1F5mA5b25SEI_Wdg</t>
  </si>
  <si>
    <t xml:space="preserve">UCJyRBj5vM6bxEUHZDmwO5ww</t>
  </si>
  <si>
    <t xml:space="preserve">UCb7IH7B4NbgW-DkHV38LLLA</t>
  </si>
  <si>
    <t xml:space="preserve">UCQIb53CNJAxYxryjeW7wIJA</t>
  </si>
  <si>
    <t xml:space="preserve">UCbY06EnieXZfq6IB5bz0E4A</t>
  </si>
  <si>
    <t xml:space="preserve">UCx29pmyVOjk7ZinBNUDVgnQ</t>
  </si>
  <si>
    <t xml:space="preserve">UCN4HxkZ3priKiigBjBC-L2Q</t>
  </si>
  <si>
    <t xml:space="preserve">UC2vH9rqGh-fJELF8acGfBdw</t>
  </si>
  <si>
    <t xml:space="preserve">UCpxPvuuXYQm4EAKAs7cyfig</t>
  </si>
  <si>
    <t xml:space="preserve">UCFxTs2cVT344R19fzKAhM3Q</t>
  </si>
  <si>
    <t xml:space="preserve">UC1h756hc8ziZ0TbasarHs2g</t>
  </si>
  <si>
    <t xml:space="preserve">UCo9xTRmg1SqQ5JSsA2fAgJw</t>
  </si>
  <si>
    <t xml:space="preserve">UC3uAZPfkZIyqA0Uc0ZCwTPg</t>
  </si>
  <si>
    <t xml:space="preserve">UCdepwa6Qc4UZqMB3LYEjnGg</t>
  </si>
  <si>
    <t xml:space="preserve">UCXo-Z_2ZZwxbnkHS1ozZaBg</t>
  </si>
  <si>
    <t xml:space="preserve">UCo87Nn7vbifSYSbq98Z5ZYQ</t>
  </si>
  <si>
    <t xml:space="preserve">UCiyC_wMdLliHsEz-dpThZdQ</t>
  </si>
  <si>
    <t xml:space="preserve">UCmX5LWjzVEt48n9zi51e7fQ</t>
  </si>
  <si>
    <t xml:space="preserve">UCRl0MzDJgOon_vQXNiXx00Q</t>
  </si>
  <si>
    <t xml:space="preserve">UCWNo3RECWv-1askkneKe2gQ</t>
  </si>
  <si>
    <t xml:space="preserve">UCqmR71aNswGjC3cKkMsJNEA</t>
  </si>
  <si>
    <t xml:space="preserve">UCQzWmG2yWly41GBYzeuIqbg</t>
  </si>
  <si>
    <t xml:space="preserve">UCfCw00iCADpJODDPouGCxEw</t>
  </si>
  <si>
    <t xml:space="preserve">UCcLQJOfR-MCcI5RtIHFl6Ww</t>
  </si>
  <si>
    <t xml:space="preserve">UCIONSVXaD5JBj4B3N7PKFjg</t>
  </si>
  <si>
    <t xml:space="preserve">UCTmj6f6nQv6DKONt-vBeSZQ</t>
  </si>
  <si>
    <t xml:space="preserve">UChJT7Cp5L3NECfIaYCZRWSA</t>
  </si>
  <si>
    <t xml:space="preserve">UC2SvDrQlk26DNSsfXyb3Fpg</t>
  </si>
  <si>
    <t xml:space="preserve">UCvLTkug5QunlzhyYPslHm-w</t>
  </si>
  <si>
    <t xml:space="preserve">UClP0BpyXiaYwBAx3Yc75LmA</t>
  </si>
  <si>
    <t xml:space="preserve">UCVSjGPj-4suXOrW42dMkrrQ</t>
  </si>
  <si>
    <t xml:space="preserve">UCebUEw_1sgkQxQU01dohoHg</t>
  </si>
  <si>
    <t xml:space="preserve">UCmPJb3ic5InQDxgh92C_98w</t>
  </si>
  <si>
    <t xml:space="preserve">UC6VTRoVrCX4knTTZS3L4PKw</t>
  </si>
  <si>
    <t xml:space="preserve">UCmfIOFX7Mr0oDO1vEMxK9eA</t>
  </si>
  <si>
    <t xml:space="preserve">UCCI37YB3l21oq_sLoc92YfA</t>
  </si>
  <si>
    <t xml:space="preserve">UC00CZ9XdZmZRmLr6KsiX9Og</t>
  </si>
  <si>
    <t xml:space="preserve">UCVJTkP56VARluj61X5v0exw</t>
  </si>
  <si>
    <t xml:space="preserve">UClQe7H1LXdsz_iEmhw5LKXg</t>
  </si>
  <si>
    <t xml:space="preserve">UCaHyiyvJp4hhPNhIU7r9uqg</t>
  </si>
  <si>
    <t xml:space="preserve">UCzHUnoYmawteZGQaxjhB3RA</t>
  </si>
  <si>
    <t xml:space="preserve">UCV4L5OOjZiEqHExIl9gDhAg</t>
  </si>
  <si>
    <t xml:space="preserve">UCN19GEbe9_9KPAYIPZrgDBA</t>
  </si>
  <si>
    <t xml:space="preserve">UCuOEJKsxQkkfj_NRUT8rX-g</t>
  </si>
  <si>
    <t xml:space="preserve">UCRRG9eijSFyFwRlHDe_eWDQ</t>
  </si>
  <si>
    <t xml:space="preserve">UCaxTAACJccK8w8XHpaEhJKg</t>
  </si>
  <si>
    <t xml:space="preserve">UCYjHibSNH3MovM8jnPK9xhg</t>
  </si>
  <si>
    <t xml:space="preserve">UCoKftT070h0_jDxPMazy6-w</t>
  </si>
  <si>
    <t xml:space="preserve">UCh8wCtEbxVF2jZmC_SlYfng</t>
  </si>
  <si>
    <t xml:space="preserve">UCMgRVume4Kqw-ASXYWDyREw</t>
  </si>
  <si>
    <t xml:space="preserve">UC0HRiu6tTcgIKDD9kiHSqsg</t>
  </si>
  <si>
    <t xml:space="preserve">UC0GG7VONFgTx9Uthd6Ntbng</t>
  </si>
  <si>
    <t xml:space="preserve">UC4R7cEcdHEitfETstIy2BYg</t>
  </si>
  <si>
    <t xml:space="preserve">UCQFCtCbaNz5HYyXQd4eUNAg</t>
  </si>
  <si>
    <t xml:space="preserve">UCldCnzQZTcb2Idb3gEMm8Iw</t>
  </si>
  <si>
    <t xml:space="preserve">UCOhCD4zQBz-FfnVVZgL5D7Q</t>
  </si>
  <si>
    <t xml:space="preserve">UC2Ebjnp7RI430DPRptnYD4A</t>
  </si>
  <si>
    <t xml:space="preserve">UCtKudOHYuYPPowwMg5MNjgA</t>
  </si>
  <si>
    <t xml:space="preserve">UC683B9WyeYf6wIptKscnhuA</t>
  </si>
  <si>
    <t xml:space="preserve">UCqaMvDr7DmdzkmBqcLUuIag</t>
  </si>
  <si>
    <t xml:space="preserve">UCLvCUXIYOT0M8xv1nVfbieQ</t>
  </si>
  <si>
    <t xml:space="preserve">UCFH-wKdpu3zoSqVNue0XbcQ</t>
  </si>
  <si>
    <t xml:space="preserve">UCK6rnkkXusFuO06QID5X8jw</t>
  </si>
  <si>
    <t xml:space="preserve">UCGo8xAyKOd4sA4Maz4M0euw</t>
  </si>
  <si>
    <t xml:space="preserve">UC3IkaHROpCBxkeii2zI7XjA</t>
  </si>
  <si>
    <t xml:space="preserve">UCxmH3D2LWL9wpUOBQ1-x70g</t>
  </si>
  <si>
    <t xml:space="preserve">UCyM3Lk0cPN8tHl7XWxdcN_g</t>
  </si>
  <si>
    <t xml:space="preserve">UCMya0xLX-QQXCJ3OCoz2mjg</t>
  </si>
  <si>
    <t xml:space="preserve">UCONVcfduH4lQAUdywsbHpqQ</t>
  </si>
  <si>
    <t xml:space="preserve">UCI5-YicBniz3C82XxzbzErg</t>
  </si>
  <si>
    <t xml:space="preserve">UCz3Sm3PlqKH2t_gd4i4gIdw</t>
  </si>
  <si>
    <t xml:space="preserve">UCEnj9o5ymTj3Zi7qRRDXsew</t>
  </si>
  <si>
    <t xml:space="preserve">UCFcvarNltLl7NcfoewXQ04g</t>
  </si>
  <si>
    <t xml:space="preserve">UCuMlrQ5YxnM9vr0k4jJBH3Q</t>
  </si>
  <si>
    <t xml:space="preserve">UCGfdY4Z1w7nF9oFYd3M1zEA</t>
  </si>
  <si>
    <t xml:space="preserve">UCBBwsD4xq9ZwkIWDkBT_xQQ</t>
  </si>
  <si>
    <t xml:space="preserve">UCqG6OTR1Q5MKD64ynYwXbtw</t>
  </si>
  <si>
    <t xml:space="preserve">UCdDtF2bmMVT6pjScqg_Un-g</t>
  </si>
  <si>
    <t xml:space="preserve">UCV9biQWxC1RIHAtHxO5AxEg</t>
  </si>
  <si>
    <t xml:space="preserve">UCr4VuLW6YV_XcKIDIMrG6eQ</t>
  </si>
  <si>
    <t xml:space="preserve">UCJ4g2FdUM000onbYDrnAX3g</t>
  </si>
  <si>
    <t xml:space="preserve">UCEQkD16-sqvIvTmaJYgvP3A</t>
  </si>
  <si>
    <t xml:space="preserve">UCL8TIcG1mJbI2sFBaI-S1rA</t>
  </si>
  <si>
    <t xml:space="preserve">UCGsjkRKf0Jh2eimML3Pj6wA</t>
  </si>
  <si>
    <t xml:space="preserve">UC-vF3vifY_J4EU2GZ8NGoaA</t>
  </si>
  <si>
    <t xml:space="preserve">UCFLbb6vHAe_-mT1sIe7oxfA</t>
  </si>
  <si>
    <t xml:space="preserve">UCAMDn1zjnCXJnG3piUL7VPQ</t>
  </si>
  <si>
    <t xml:space="preserve">UCEzHCpvFWoF85UabbzKTkOQ</t>
  </si>
  <si>
    <t xml:space="preserve">UC_aJgo46VBbxjB9XG1gclsw</t>
  </si>
  <si>
    <t xml:space="preserve">UC20uyV2RWrFIO0u8c0ZT7cQ</t>
  </si>
  <si>
    <t xml:space="preserve">UCV35bD4dyeiQWItPQPIgepw</t>
  </si>
  <si>
    <t xml:space="preserve">UCJW3oUy5NZHSOexmp-aVwUg</t>
  </si>
  <si>
    <t xml:space="preserve">UCOi8BUOki0oEgU1U5Mmm7zg</t>
  </si>
  <si>
    <t xml:space="preserve">UCLXFzuRQtBMTPYgOpVCf1ng</t>
  </si>
  <si>
    <t xml:space="preserve">UCrrdl-ap0_9Tu7XW6py4EWg</t>
  </si>
  <si>
    <t xml:space="preserve">UCcsRvgrRLJfaeRcksxtMeYg</t>
  </si>
  <si>
    <t xml:space="preserve">UC8xH8rJMo9rpTHGSp5ESQHQ</t>
  </si>
  <si>
    <t xml:space="preserve">UCEJ_nncDU4wInCyVg2pl_Lw</t>
  </si>
  <si>
    <t xml:space="preserve">UCkUy37Vupivc9Mf4pK1B3xw</t>
  </si>
  <si>
    <t xml:space="preserve">UCRzdYjloQI7VJYax6GsX8ZQ</t>
  </si>
  <si>
    <t xml:space="preserve">UC_ObivYy7jKwy6uYtLmB8sQ</t>
  </si>
  <si>
    <t xml:space="preserve">UCXBCtrHr6vCGUupTEJCt9FA</t>
  </si>
  <si>
    <t xml:space="preserve">UCc--qJXOYwF35-7YpM80x0w</t>
  </si>
  <si>
    <t xml:space="preserve">UC90LjqWJwUcMNcsYW1VjfCA</t>
  </si>
  <si>
    <t xml:space="preserve">UCtgO4le0A5L2c_R-R2DGO0g</t>
  </si>
  <si>
    <t xml:space="preserve">UC96VylzEbnuns7I06qSXIkw</t>
  </si>
  <si>
    <t xml:space="preserve">UCkjS-vBpEVdHI32M58xUXUQ</t>
  </si>
  <si>
    <t xml:space="preserve">UC4sPBkl1-mXveLvyitUDigA</t>
  </si>
  <si>
    <t xml:space="preserve">UC2EuY-mpHUuGvatKB9ALo5Q</t>
  </si>
  <si>
    <t xml:space="preserve">UCX3_LZqWIEQIK22w2Wkkqcw</t>
  </si>
  <si>
    <t xml:space="preserve">UCmT0Y-jN6pugSaDn_CPFODA</t>
  </si>
  <si>
    <t xml:space="preserve">UCNpdeh2Sy0bzU8MZpg5EwTg</t>
  </si>
  <si>
    <t xml:space="preserve">UCgVuhUfVhvnhpyAWVUM7wGw</t>
  </si>
  <si>
    <t xml:space="preserve">UC3OTX8bdPmhlM7ux-BMH0RA</t>
  </si>
  <si>
    <t xml:space="preserve">UC8TFwTdZHZrczwKxiVDY2mg</t>
  </si>
  <si>
    <t xml:space="preserve">UC0GN6VYjrrqXfyRKGBIScnw</t>
  </si>
  <si>
    <t xml:space="preserve">UCHYPM-aPz7sL-MDHugYXWrA</t>
  </si>
  <si>
    <t xml:space="preserve">UCJkBWlfovIVSyKQgQF3fD6Q</t>
  </si>
  <si>
    <t xml:space="preserve">UCba2bZfQGWDZy0ElltBhhEQ</t>
  </si>
  <si>
    <t xml:space="preserve">UCpSpJTzSlHf7QxVykN6IA4Q</t>
  </si>
  <si>
    <t xml:space="preserve">UCYeDZo8jtoqGoJgwRT113gg</t>
  </si>
  <si>
    <t xml:space="preserve">UC5dqYplOUGD15QXGeAQwYAA</t>
  </si>
  <si>
    <t xml:space="preserve">UCQG6RzWJW020EVsh5I0mP2g</t>
  </si>
  <si>
    <t xml:space="preserve">UCsGBDQo6oMY80AWlAPf-pYA</t>
  </si>
  <si>
    <t xml:space="preserve">UCNo2btNwS4tIlMLvCj6L8xQ</t>
  </si>
  <si>
    <t xml:space="preserve">UCglTJ6-k8OoPnTu7Pa8nkHw</t>
  </si>
  <si>
    <t xml:space="preserve">UCQkL5_Nibf6tXi0grVCCiZg</t>
  </si>
  <si>
    <t xml:space="preserve">UCSctkDmHBQidpPR1t4a0IJg</t>
  </si>
  <si>
    <t xml:space="preserve">UCIPZVAwDGa-A4ZJxCBvXRuQ</t>
  </si>
  <si>
    <t xml:space="preserve">UCAz5L_P21zh_QEO1NOX4xyw</t>
  </si>
  <si>
    <t xml:space="preserve">UC4gON4eBraggD3DiO3ttlIg</t>
  </si>
  <si>
    <t xml:space="preserve">UC7jgT2oi0WHOJwdepc2b7sw</t>
  </si>
  <si>
    <t xml:space="preserve">UCYQpUNgt_vqIGS73GP8Jf9A</t>
  </si>
  <si>
    <t xml:space="preserve">UCC3kHYtu2QeTfWuPXvleR6A</t>
  </si>
  <si>
    <t xml:space="preserve">UC4kbR1HgD9apGxQ-VKfgAJQ</t>
  </si>
  <si>
    <t xml:space="preserve">UCvNR_63v1FUep_GaNBGfVFg</t>
  </si>
  <si>
    <t xml:space="preserve">UCUz1Q9nrHuCLgtTPAILjiig</t>
  </si>
  <si>
    <t xml:space="preserve">UC9uGCJeSKSr0jZVqAhs0feA</t>
  </si>
  <si>
    <t xml:space="preserve">UC_bwifMp-nvzWH11Cq42M5w</t>
  </si>
  <si>
    <t xml:space="preserve">UCZsij4PpVHI-b8l5j9g7erA</t>
  </si>
  <si>
    <t xml:space="preserve">UCmoYHdc9k7WZGMqrmoLIH0A</t>
  </si>
  <si>
    <t xml:space="preserve">UC2WKsYBxMwx7E7ENkND-fkg</t>
  </si>
  <si>
    <t xml:space="preserve">UCHMXQSLdXL7q1SntZBjhW3Q</t>
  </si>
  <si>
    <t xml:space="preserve">UCQFOgpRI4PaWQmW5lHfb1_g</t>
  </si>
  <si>
    <t xml:space="preserve">UCmXFdsJtTAbbYrH7zz-lkkw</t>
  </si>
  <si>
    <t xml:space="preserve">UCf9KtkSS0L9guds8mSh_Wzw</t>
  </si>
  <si>
    <t xml:space="preserve">UC-IC430ZsGtGFqKT7Aj_sxQ</t>
  </si>
  <si>
    <t xml:space="preserve">UC13Q8NEFAFDkgPL9E-Pu9QA</t>
  </si>
  <si>
    <t xml:space="preserve">UCL7cW5OJQLPnT2P9lLm6SaA</t>
  </si>
  <si>
    <t xml:space="preserve">UCon5cg49Zf6karoGOPkCNug</t>
  </si>
  <si>
    <t xml:space="preserve">UCmnqAqzci6BTETm58Njxt6Q</t>
  </si>
  <si>
    <t xml:space="preserve">UCHiX8E_gCGnwfChS8_tp5ow</t>
  </si>
  <si>
    <t xml:space="preserve">UCdKPm5KM99O75NtArFkMDDA</t>
  </si>
  <si>
    <t xml:space="preserve">UCPSSI7gxXdPw8NcTbl9wByw</t>
  </si>
  <si>
    <t xml:space="preserve">UCtAoItAnNOJYf8XqnERy50w</t>
  </si>
  <si>
    <t xml:space="preserve">UC1pHKw5WmAynZJoKw9tU9Sw</t>
  </si>
  <si>
    <t xml:space="preserve">UCfjozJV7z9c7lo5OjNvT_BQ</t>
  </si>
  <si>
    <t xml:space="preserve">UCHB_UxB7_MNEemgpW5ciODQ</t>
  </si>
  <si>
    <t xml:space="preserve">UCEHGp8mXq7CCBAECu3xLl-w</t>
  </si>
  <si>
    <t xml:space="preserve">UCWg_k7MR35ID6_rHdbSwYmQ</t>
  </si>
  <si>
    <t xml:space="preserve">UC99t-uHkRXSsj6UtzCnrMwg</t>
  </si>
  <si>
    <t xml:space="preserve">UCErR0-CDZioDSUu45Aroxnw</t>
  </si>
  <si>
    <t xml:space="preserve">UCF9half7__L_fiDqOAXVv4g</t>
  </si>
  <si>
    <t xml:space="preserve">UCEw_YKybZRqi2RwJzljk-Ew</t>
  </si>
  <si>
    <t xml:space="preserve">UCORp0YF0Wgr6phtYSwpf6BA</t>
  </si>
  <si>
    <t xml:space="preserve">UCIqoWksBbMp1A21x2Fz6puQ</t>
  </si>
  <si>
    <t xml:space="preserve">UC2lnBs1z3rTMZrUpkYtJsqA</t>
  </si>
  <si>
    <t xml:space="preserve">UCi03-vtkKibxULyrvsuNC8Q</t>
  </si>
  <si>
    <t xml:space="preserve">UCO4nRWhL9Uuvc4NIJoLElHA</t>
  </si>
  <si>
    <t xml:space="preserve">UCKgEQgpuavX9Rwr2knqvunQ</t>
  </si>
  <si>
    <t xml:space="preserve">UCXvopCfQZU3kY6xl2OISxXw</t>
  </si>
  <si>
    <t xml:space="preserve">UCO1aucBAJgFR8odzfXOZ5uw</t>
  </si>
  <si>
    <t xml:space="preserve">UC9fp7HFY9cmZUOzpT2FJUqA</t>
  </si>
  <si>
    <t xml:space="preserve">UCS4O3la_Zxh1pfVQRN61BpQ</t>
  </si>
  <si>
    <t xml:space="preserve">UCu2holHldnaop5-BjpLPHNA</t>
  </si>
  <si>
    <t xml:space="preserve">UCESrIawvJuaIyRqHUFlt3kg</t>
  </si>
  <si>
    <t xml:space="preserve">UC7uaBY99e2BTOp5HTYaFtTw</t>
  </si>
  <si>
    <t xml:space="preserve">UCp-PZmO3McLRP74au5qIViw</t>
  </si>
  <si>
    <t xml:space="preserve">UCPSeGG--Ua0GRAJywse3UAg</t>
  </si>
  <si>
    <t xml:space="preserve">UC2imVpV-FqJAh6hgoEbgo_Q</t>
  </si>
  <si>
    <t xml:space="preserve">UCQe8FO0t4qGTiXWusUdKmwQ</t>
  </si>
  <si>
    <t xml:space="preserve">UCm9NxAPjzJIwYiiEfAebNdw</t>
  </si>
  <si>
    <t xml:space="preserve">UCB482vG7KOwZwOGckoN4ukg</t>
  </si>
  <si>
    <t xml:space="preserve">UCKPtkVw8Iquze_Jjld8dalQ</t>
  </si>
  <si>
    <t xml:space="preserve">UCd8wf-mQCO-zl0_UKwwUS1w</t>
  </si>
  <si>
    <t xml:space="preserve">UCD-tDqFDvhe-J-tusenjSdg</t>
  </si>
  <si>
    <t xml:space="preserve">UCEItOFf7-Bdjnknbm6Gn80g</t>
  </si>
  <si>
    <t xml:space="preserve">UCnvm-ySHUG9tHnrSGmnr9ow</t>
  </si>
  <si>
    <t xml:space="preserve">UCEA5jY3LqL8vl1fqXpfUrfQ</t>
  </si>
  <si>
    <t xml:space="preserve">UC662drcjIRviVFl5Beh7nNg</t>
  </si>
  <si>
    <t xml:space="preserve">UCVMIaShu0v-DkHkE3uBF-pg</t>
  </si>
  <si>
    <t xml:space="preserve">UCFbeHQInG2idjxbs2sE3peg</t>
  </si>
  <si>
    <t xml:space="preserve">UCdG1Z0WlDE1V27xua2NHYKg</t>
  </si>
  <si>
    <t xml:space="preserve">UC_IVHWeYdc7ANp5uyNdQrlA</t>
  </si>
  <si>
    <t xml:space="preserve">UCwE8wclwaXHc3FS1l2wchBg</t>
  </si>
  <si>
    <t xml:space="preserve">UCb8jhPQAei2r3K-UjYpF0XA</t>
  </si>
  <si>
    <t xml:space="preserve">UCX9dSXnt89pY9el_mS3TmfA</t>
  </si>
  <si>
    <t xml:space="preserve">UCLKfEa5JCktRKqhE6mx5sQw</t>
  </si>
  <si>
    <t xml:space="preserve">UCRymPeSgUFT3uPGKB-GljbQ</t>
  </si>
  <si>
    <t xml:space="preserve">UCakcBNEp0r8cqbxKacnC2zQ</t>
  </si>
  <si>
    <t xml:space="preserve">UC2z4BtulCUXlr0mObKGvdqQ</t>
  </si>
  <si>
    <t xml:space="preserve">UChX5wIxBZ3kK6cUJxiOeILg</t>
  </si>
  <si>
    <t xml:space="preserve">UC0HcfF11ZSyOYKADIFQKq7A</t>
  </si>
  <si>
    <t xml:space="preserve">UCCwBpv_kdVcrvxMiJ-AHmAg</t>
  </si>
  <si>
    <t xml:space="preserve">UCDEWVCa2RbQuFWB4kuk1CoA</t>
  </si>
  <si>
    <t xml:space="preserve">UCg1GsUI_IHih-oQxh542KKg</t>
  </si>
  <si>
    <t xml:space="preserve">UCKkjXjle0a0uH02Gzso7iIw</t>
  </si>
  <si>
    <t xml:space="preserve">UCBbYxIYlIveTk2UqHgeo9DQ</t>
  </si>
  <si>
    <t xml:space="preserve">UCNvlBdhGPEzpK65umzYo2ew</t>
  </si>
  <si>
    <t xml:space="preserve">UCds2czcAqwlsBCxxpVkarww</t>
  </si>
  <si>
    <t xml:space="preserve">UCAxvSl-IXU0HcYhiL8YfBvg</t>
  </si>
  <si>
    <t xml:space="preserve">UCSuF0k_DZxvAB3UOSFN3fmA</t>
  </si>
  <si>
    <t xml:space="preserve">UCXFGPZ0udeL_TnLNECoaDUQ</t>
  </si>
  <si>
    <t xml:space="preserve">UCvG-AXBLPVWtFKzeQv68QqA</t>
  </si>
  <si>
    <t xml:space="preserve">UCLI5I1QwKqQn0Cf4nzdGKeQ</t>
  </si>
  <si>
    <t xml:space="preserve">UCC_4QjDj50XzbLe8F31-vkQ</t>
  </si>
  <si>
    <t xml:space="preserve">UCOblCTCUL0DQYzYYxuUtoqQ</t>
  </si>
  <si>
    <t xml:space="preserve">UCabOV6NTF7Y5GeVOk2WGqLw</t>
  </si>
  <si>
    <t xml:space="preserve">UC52R90IdroVqlUtIe-8B0mw</t>
  </si>
  <si>
    <t xml:space="preserve">UCV01cEjT9EGakHXILA_uZOQ</t>
  </si>
  <si>
    <t xml:space="preserve">UCEGAltRg_F4kLi8Wejj8d4Q</t>
  </si>
  <si>
    <t xml:space="preserve">UCq-Fj5jknLsUf-MWSy4_brA</t>
  </si>
  <si>
    <t xml:space="preserve">UCFFbwnve3yF62-tVXkTyHqg</t>
  </si>
  <si>
    <t xml:space="preserve">UC_vcKmg67vjMP7ciLnSxSHQ</t>
  </si>
  <si>
    <t xml:space="preserve">UCiGyWN6DEbnj2alu7iapuKQ</t>
  </si>
  <si>
    <t xml:space="preserve">UCVOTBwF0vnSxMRIbfSE_K_g</t>
  </si>
  <si>
    <t xml:space="preserve">UCBqFKDipsnzvJdt6UT0lMIg</t>
  </si>
  <si>
    <t xml:space="preserve">UCsNxHPbaCWL1tKw2hxGQD6g</t>
  </si>
  <si>
    <t xml:space="preserve">UCvpfclapgcuJo0M_x65pfRw</t>
  </si>
  <si>
    <t xml:space="preserve">UCl5dXugC3XZeDVsDkTaWJ4g</t>
  </si>
  <si>
    <t xml:space="preserve">UCOsyDsO5tIt-VZ1iwjdQmew</t>
  </si>
  <si>
    <t xml:space="preserve">UCtgGOdTlM-NdJ9rPKIYN8UQ</t>
  </si>
  <si>
    <t xml:space="preserve">UCeVMnSShP_Iviwkknt83cww</t>
  </si>
  <si>
    <t xml:space="preserve">Market Sizing — TAM / SAM / SOM</t>
  </si>
  <si>
    <t xml:space="preserve">Indian influencer-marketing opportunity · top-down + bottoms-up cross-check · Source: market_sizing.md (EY/Kofluence/Goat-Kantar 2025)</t>
  </si>
  <si>
    <t xml:space="preserve">Layer</t>
  </si>
  <si>
    <t xml:space="preserve">Definition</t>
  </si>
  <si>
    <t xml:space="preserve">Figure (₹ cr)</t>
  </si>
  <si>
    <t xml:space="preserve">TAM</t>
  </si>
  <si>
    <t xml:space="preserve">Total Indian influencer-marketing spend (2025, ~25% YoY)</t>
  </si>
  <si>
    <t xml:space="preserve">SAM</t>
  </si>
  <si>
    <t xml:space="preserve">Mid-market D2C + independent-agency segment (~15% of TAM)</t>
  </si>
  <si>
    <t xml:space="preserve">Tooling-SAM</t>
  </si>
  <si>
    <t xml:space="preserve">Software/tooling spend within SAM (4% of campaign spend)</t>
  </si>
  <si>
    <t xml:space="preserve">SOM</t>
  </si>
  <si>
    <t xml:space="preserve">CreatorPulse achievable Year-5 ARR (from Financials)</t>
  </si>
  <si>
    <t xml:space="preserve">Assumptions</t>
  </si>
  <si>
    <t xml:space="preserve">SAM as % of TAM</t>
  </si>
  <si>
    <t xml:space="preserve">Tooling as % of SAM</t>
  </si>
  <si>
    <t xml:space="preserve">Bottoms-up TAM cross-check</t>
  </si>
  <si>
    <t xml:space="preserve">Active brands running paid campaigns</t>
  </si>
  <si>
    <t xml:space="preserve">Avg annual influencer budget (₹)</t>
  </si>
  <si>
    <t xml:space="preserve">Implied TAM (₹ cr)</t>
  </si>
  <si>
    <t xml:space="preserve">5-Year DCF — Revenue / EBITDA / NPV / IRR</t>
  </si>
  <si>
    <t xml:space="preserve">Freemium B2B SaaS · SOM build from market_sizing.md (Year-5: 1,200 brands × ₹50k + 150 agencies × ₹1.5L)</t>
  </si>
  <si>
    <t xml:space="preserve">Assumptions (blue = input)</t>
  </si>
  <si>
    <t xml:space="preserve">Brand accounts (Yr5)</t>
  </si>
  <si>
    <t xml:space="preserve">Brand price/yr (₹)</t>
  </si>
  <si>
    <t xml:space="preserve">Agency accounts (Yr5)</t>
  </si>
  <si>
    <t xml:space="preserve">Agency price/yr (₹)</t>
  </si>
  <si>
    <t xml:space="preserve">Gross margin</t>
  </si>
  <si>
    <t xml:space="preserve">OpEx % of revenue</t>
  </si>
  <si>
    <t xml:space="preserve">Tax rate</t>
  </si>
  <si>
    <t xml:space="preserve">WACC</t>
  </si>
  <si>
    <t xml:space="preserve">Terminal growth</t>
  </si>
  <si>
    <t xml:space="preserve">Initial investment (₹)</t>
  </si>
  <si>
    <t xml:space="preserve">Adoption ramp (% of Yr5)</t>
  </si>
  <si>
    <t xml:space="preserve">Y1</t>
  </si>
  <si>
    <t xml:space="preserve">Y2</t>
  </si>
  <si>
    <t xml:space="preserve">Y3</t>
  </si>
  <si>
    <t xml:space="preserve">Y4</t>
  </si>
  <si>
    <t xml:space="preserve">Y5</t>
  </si>
  <si>
    <t xml:space="preserve">P&amp;L build (₹)</t>
  </si>
  <si>
    <t xml:space="preserve">Year</t>
  </si>
  <si>
    <t xml:space="preserve">Brand accounts</t>
  </si>
  <si>
    <t xml:space="preserve">Agency accounts</t>
  </si>
  <si>
    <t xml:space="preserve">Revenue</t>
  </si>
  <si>
    <t xml:space="preserve">Gross profit</t>
  </si>
  <si>
    <t xml:space="preserve">OpEx</t>
  </si>
  <si>
    <t xml:space="preserve">EBITDA</t>
  </si>
  <si>
    <t xml:space="preserve">Tax</t>
  </si>
  <si>
    <t xml:space="preserve">FCF</t>
  </si>
  <si>
    <t xml:space="preserve">Valuation</t>
  </si>
  <si>
    <t xml:space="preserve">Year-5 ARR (₹)</t>
  </si>
  <si>
    <t xml:space="preserve">Terminal value (₹)</t>
  </si>
  <si>
    <t xml:space="preserve">NPV of FCF (₹)</t>
  </si>
  <si>
    <t xml:space="preserve">PV of terminal (₹)</t>
  </si>
  <si>
    <t xml:space="preserve">Enterprise NPV (₹)</t>
  </si>
  <si>
    <t xml:space="preserve">IRR</t>
  </si>
  <si>
    <t xml:space="preserve">XNPV (dated)</t>
  </si>
  <si>
    <t xml:space="preserve">Cashflow (incl. Y0)</t>
  </si>
  <si>
    <t xml:space="preserve">Cashflow dates</t>
  </si>
  <si>
    <t xml:space="preserve">NPV sensitivity to WACC</t>
  </si>
  <si>
    <t xml:space="preserve">Scenarios — Year-5 ARR sensitivity</t>
  </si>
  <si>
    <t xml:space="preserve">Two-variable grid: paid-conversion (adoption) × take-rate (price). Live formulas (base / bull / bear).</t>
  </si>
  <si>
    <t xml:space="preserve">Adoption ↓  /  Take-rate →</t>
  </si>
  <si>
    <t xml:space="preserve">Base = adoption 100%, take-rate 100%  (centre cell).  Bull = 140%/120%.  Bear = 60%/80%.</t>
  </si>
  <si>
    <t xml:space="preserve">Niche Analytics</t>
  </si>
  <si>
    <t xml:space="preserve">Per-niche aggregates over the live corpus (AVERAGEIF/COUNTIF on Data) · demand slope from Prophet niche_forecast_v1 · est. CPM via VLOOKUP</t>
  </si>
  <si>
    <t xml:space="preserve">Niche</t>
  </si>
  <si>
    <t xml:space="preserve">Channels</t>
  </si>
  <si>
    <t xml:space="preserve">Mean subs</t>
  </si>
  <si>
    <t xml:space="preserve">Mean views</t>
  </si>
  <si>
    <t xml:space="preserve">Avg engagement</t>
  </si>
  <si>
    <t xml:space="preserve">Avg fraud risk</t>
  </si>
  <si>
    <t xml:space="preserve">Avg est. cost (₹)</t>
  </si>
  <si>
    <t xml:space="preserve">CPM (₹)</t>
  </si>
  <si>
    <t xml:space="preserve">Demand slope</t>
  </si>
  <si>
    <t xml:space="preserve">Fastest-growing niche (INDEX/MATCH on slope):</t>
  </si>
  <si>
    <t xml:space="preserve">Highest avg fraud risk (INDEX/MATCH):</t>
  </si>
  <si>
    <t xml:space="preserve">Engagement-Risk Distribution &amp; False-Positive Cost</t>
  </si>
  <si>
    <t xml:space="preserve">fraud_risk = XGBoost fraud_classifier_v1 P(suspicious) over 12,547 live channels (model validated on a simulated cohort).</t>
  </si>
  <si>
    <t xml:space="preserve">Risk band</t>
  </si>
  <si>
    <t xml:space="preserve">Lower</t>
  </si>
  <si>
    <t xml:space="preserve">Upper</t>
  </si>
  <si>
    <t xml:space="preserve">% of corpus</t>
  </si>
  <si>
    <t xml:space="preserve">Very low</t>
  </si>
  <si>
    <t xml:space="preserve">Low</t>
  </si>
  <si>
    <t xml:space="preserve">Moderate</t>
  </si>
  <si>
    <t xml:space="preserve">Elevated</t>
  </si>
  <si>
    <t xml:space="preserve">High</t>
  </si>
  <si>
    <t xml:space="preserve">Severe</t>
  </si>
  <si>
    <t xml:space="preserve">Total</t>
  </si>
  <si>
    <t xml:space="preserve">False-positive cost analysis</t>
  </si>
  <si>
    <t xml:space="preserve">Est. true-fraud prevalence</t>
  </si>
  <si>
    <t xml:space="preserve">Cost per false flag (lost deal, ₹)</t>
  </si>
  <si>
    <t xml:space="preserve">Flag threshold</t>
  </si>
  <si>
    <t xml:space="preserve">Flagged channels</t>
  </si>
  <si>
    <t xml:space="preserve">Est. false positives</t>
  </si>
  <si>
    <t xml:space="preserve">FP cost (₹)</t>
  </si>
  <si>
    <t xml:space="preserve">Retention Cohorts (PostHog)</t>
  </si>
  <si>
    <t xml:space="preserve">Weekly-returning cohorts + persona power users. SIMULATED cohort — pre-launch, no organic traffic (per §18 taxonomy).</t>
  </si>
  <si>
    <t xml:space="preserve">Weekly cohort</t>
  </si>
  <si>
    <t xml:space="preserve">Week 0</t>
  </si>
  <si>
    <t xml:space="preserve">W1</t>
  </si>
  <si>
    <t xml:space="preserve">W2</t>
  </si>
  <si>
    <t xml:space="preserve">W4</t>
  </si>
  <si>
    <t xml:space="preserve">W1 retention</t>
  </si>
  <si>
    <t xml:space="preserve">W4 retention</t>
  </si>
  <si>
    <t xml:space="preserve">2025-W01</t>
  </si>
  <si>
    <t xml:space="preserve">2025-W02</t>
  </si>
  <si>
    <t xml:space="preserve">2025-W03</t>
  </si>
  <si>
    <t xml:space="preserve">2025-W04</t>
  </si>
  <si>
    <t xml:space="preserve">Behavioural cohorts (30d)</t>
  </si>
  <si>
    <t xml:space="preserve">Cohort</t>
  </si>
  <si>
    <t xml:space="preserve">Users</t>
  </si>
  <si>
    <t xml:space="preserve">Share of active</t>
  </si>
  <si>
    <t xml:space="preserve">Brand power users (5+ briefs)</t>
  </si>
  <si>
    <t xml:space="preserve">Creator power users (3+ chart views)</t>
  </si>
  <si>
    <t xml:space="preserve">Multi-persona users</t>
  </si>
  <si>
    <t xml:space="preserve">Single-session</t>
  </si>
  <si>
    <t xml:space="preserve">Conversion Funnels (dual persona)</t>
  </si>
  <si>
    <t xml:space="preserve">North Star = weekly matched campaigns (brand sessions with ≥1 shortlist). SIMULATED — pre-launch (per §18 funnels).</t>
  </si>
  <si>
    <t xml:space="preserve">Brand funnel step</t>
  </si>
  <si>
    <t xml:space="preserve">Step conv.</t>
  </si>
  <si>
    <t xml:space="preserve">Cum. conv.</t>
  </si>
  <si>
    <t xml:space="preserve">persona_selected (brand)</t>
  </si>
  <si>
    <t xml:space="preserve">brief_composed</t>
  </si>
  <si>
    <t xml:space="preserve">match_requested</t>
  </si>
  <si>
    <t xml:space="preserve">creator_shortlisted</t>
  </si>
  <si>
    <t xml:space="preserve">comparison_viewed</t>
  </si>
  <si>
    <t xml:space="preserve">Creator funnel step</t>
  </si>
  <si>
    <t xml:space="preserve">persona_selected (creator)</t>
  </si>
  <si>
    <t xml:space="preserve">creator_searched</t>
  </si>
  <si>
    <t xml:space="preserve">creator_profile_viewed</t>
  </si>
  <si>
    <t xml:space="preserve">niche_demand_chart_viewed</t>
  </si>
  <si>
    <t xml:space="preserve">North Star — weekly matched campaigns</t>
  </si>
  <si>
    <t xml:space="preserve">Competitive Teardown — weighted scoring</t>
  </si>
  <si>
    <t xml:space="preserve">CreatorPulse vs incumbents. Weighted score = SUMPRODUCT(weights, scores). Scores 1–5; see docs/business/competitive_analysis.md.</t>
  </si>
  <si>
    <t xml:space="preserve">Criterion</t>
  </si>
  <si>
    <t xml:space="preserve">Weight</t>
  </si>
  <si>
    <t xml:space="preserve">CreatorPulse</t>
  </si>
  <si>
    <t xml:space="preserve">HypeAuditor</t>
  </si>
  <si>
    <t xml:space="preserve">AnyTag</t>
  </si>
  <si>
    <t xml:space="preserve">BizFluence</t>
  </si>
  <si>
    <t xml:space="preserve">IndianInfluencer</t>
  </si>
  <si>
    <t xml:space="preserve">Mid-market pricing</t>
  </si>
  <si>
    <t xml:space="preserve">Fraud / engagement screening</t>
  </si>
  <si>
    <t xml:space="preserve">Creator-side product</t>
  </si>
  <si>
    <t xml:space="preserve">India-specific data</t>
  </si>
  <si>
    <t xml:space="preserve">Discovery + match quality</t>
  </si>
  <si>
    <t xml:space="preserve">Ease of use</t>
  </si>
  <si>
    <t xml:space="preserve">Weighted score</t>
  </si>
  <si>
    <t xml:space="preserve">Q1 OKRs</t>
  </si>
  <si>
    <t xml:space="preserve">Objective → key results with completion % and traffic-light status.</t>
  </si>
  <si>
    <t xml:space="preserve">Objective</t>
  </si>
  <si>
    <t xml:space="preserve">Key result</t>
  </si>
  <si>
    <t xml:space="preserve">Target</t>
  </si>
  <si>
    <t xml:space="preserve">Actual</t>
  </si>
  <si>
    <t xml:space="preserve">Completion</t>
  </si>
  <si>
    <t xml:space="preserve">Status</t>
  </si>
  <si>
    <t xml:space="preserve">Ship dual-persona product</t>
  </si>
  <si>
    <t xml:space="preserve">Creator + brand flows live</t>
  </si>
  <si>
    <t xml:space="preserve">Index the Indian creator graph</t>
  </si>
  <si>
    <t xml:space="preserve">Channels indexed</t>
  </si>
  <si>
    <t xml:space="preserve">Trustworthy matching</t>
  </si>
  <si>
    <t xml:space="preserve">Match-ranking A/B lift (%)</t>
  </si>
  <si>
    <t xml:space="preserve">Model quality</t>
  </si>
  <si>
    <t xml:space="preserve">Forecast coverage</t>
  </si>
  <si>
    <t xml:space="preserve">Niches with 12-wk forecast</t>
  </si>
  <si>
    <t xml:space="preserve">Analytics instrumentation</t>
  </si>
  <si>
    <t xml:space="preserve">PostHog events live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</si>
</sst>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"/>
    <numFmt numFmtId="166" formatCode="0.0"/>
    <numFmt numFmtId="167" formatCode="0.000"/>
    <numFmt numFmtId="168" formatCode="0.00"/>
    <numFmt numFmtId="169" formatCode="0.0%"/>
    <numFmt numFmtId="170" formatCode="#,##0;\(#,##0\);\-"/>
    <numFmt numFmtId="171" formatCode="yyyy\-mm\-dd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B4D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sz val="9"/>
      <color rgb="FF666666"/>
      <name val="Calibri"/>
      <family val="0"/>
      <charset val="1"/>
    </font>
    <font>
      <b val="true"/>
      <sz val="18"/>
      <color rgb="FF1F3B4D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1"/>
      <color rgb="FF0000FF"/>
      <name val="Calibri"/>
      <family val="0"/>
      <charset val="1"/>
    </font>
    <font>
      <sz val="11"/>
      <color rgb="FF000000"/>
      <name val="Calibri"/>
      <family val="0"/>
      <charset val="1"/>
    </font>
    <font>
      <sz val="11"/>
      <color rgb="FF008000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3B4D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1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3B4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B4D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blCreators" displayName="tblCreators" ref="A4:F12551" headerRowCount="1" totalsRowCount="0" totalsRowShown="0">
  <autoFilter ref="A4:F12551"/>
  <tableColumns count="6">
    <tableColumn id="1" name="channel_id"/>
    <tableColumn id="2" name="niche"/>
    <tableColumn id="3" name="subscriber_count"/>
    <tableColumn id="4" name="mean_views"/>
    <tableColumn id="5" name="mean_engagement_rate"/>
    <tableColumn id="6" name="fraud_risk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8"/>
    <col collapsed="false" customWidth="true" hidden="false" outlineLevel="0" max="3" min="3" style="1" width="20"/>
    <col collapsed="false" customWidth="true" hidden="false" outlineLevel="0" max="4" min="4" style="1" width="8"/>
    <col collapsed="false" customWidth="true" hidden="false" outlineLevel="0" max="5" min="5" style="1" width="20"/>
    <col collapsed="false" customWidth="true" hidden="false" outlineLevel="0" max="6" min="6" style="1" width="8"/>
    <col collapsed="false" customWidth="true" hidden="false" outlineLevel="0" max="7" min="7" style="1" width="20"/>
    <col collapsed="false" customWidth="true" hidden="false" outlineLevel="0" max="8" min="8" style="1" width="8"/>
  </cols>
  <sheetData>
    <row r="1" customFormat="false" ht="19.7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4" customFormat="false" ht="15" hidden="false" customHeight="false" outlineLevel="0" collapsed="false">
      <c r="A4" s="4" t="s">
        <v>2</v>
      </c>
      <c r="C4" s="4" t="s">
        <v>3</v>
      </c>
      <c r="E4" s="4" t="s">
        <v>4</v>
      </c>
      <c r="G4" s="4" t="s">
        <v>5</v>
      </c>
    </row>
    <row r="5" customFormat="false" ht="22.05" hidden="false" customHeight="false" outlineLevel="0" collapsed="false">
      <c r="A5" s="5" t="n">
        <f aca="false">COUNTA(Data!A5:A12551)-0</f>
        <v>12547</v>
      </c>
      <c r="C5" s="5" t="n">
        <f aca="false">COUNTA(Niches!A5:A24)</f>
        <v>20</v>
      </c>
      <c r="E5" s="5" t="n">
        <f aca="false">Market_Sizing!C5</f>
        <v>3400</v>
      </c>
      <c r="G5" s="6" t="n">
        <f aca="false">Financials!$B$31/10000000</f>
        <v>8.25</v>
      </c>
    </row>
    <row r="7" customFormat="false" ht="15" hidden="false" customHeight="false" outlineLevel="0" collapsed="false">
      <c r="A7" s="4" t="s">
        <v>6</v>
      </c>
      <c r="C7" s="4" t="s">
        <v>7</v>
      </c>
      <c r="E7" s="4" t="s">
        <v>8</v>
      </c>
      <c r="G7" s="4" t="s">
        <v>9</v>
      </c>
    </row>
    <row r="8" customFormat="false" ht="22.05" hidden="false" customHeight="false" outlineLevel="0" collapsed="false">
      <c r="A8" s="6" t="n">
        <f aca="false">Financials!$B$35/10000000</f>
        <v>7.11104777480309</v>
      </c>
      <c r="C8" s="7" t="n">
        <f aca="false">MEDIAN(Data!F5:F12551)</f>
        <v>0.0822</v>
      </c>
      <c r="E8" s="8" t="n">
        <f aca="false">OKRs!D8</f>
        <v>0.83</v>
      </c>
      <c r="G8" s="9" t="n">
        <f aca="false">OKRs!D7/100</f>
        <v>0.23</v>
      </c>
    </row>
    <row r="11" customFormat="false" ht="15" hidden="false" customHeight="false" outlineLevel="0" collapsed="false">
      <c r="A11" s="10" t="s">
        <v>10</v>
      </c>
    </row>
    <row r="12" customFormat="false" ht="15" hidden="false" customHeight="true" outlineLevel="0" collapsed="false">
      <c r="A12" s="11" t="s">
        <v>11</v>
      </c>
      <c r="B12" s="11"/>
      <c r="C12" s="11"/>
      <c r="D12" s="11"/>
      <c r="E12" s="11"/>
      <c r="F12" s="11"/>
      <c r="G12" s="11"/>
      <c r="H12" s="11"/>
    </row>
    <row r="13" customFormat="false" ht="15" hidden="false" customHeight="false" outlineLevel="0" collapsed="false">
      <c r="A13" s="11"/>
      <c r="B13" s="11"/>
      <c r="C13" s="11"/>
      <c r="D13" s="11"/>
      <c r="E13" s="11"/>
      <c r="F13" s="11"/>
      <c r="G13" s="11"/>
      <c r="H13" s="11"/>
    </row>
    <row r="14" customFormat="false" ht="15" hidden="false" customHeight="false" outlineLevel="0" collapsed="false">
      <c r="A14" s="11"/>
      <c r="B14" s="11"/>
      <c r="C14" s="11"/>
      <c r="D14" s="11"/>
      <c r="E14" s="11"/>
      <c r="F14" s="11"/>
      <c r="G14" s="11"/>
      <c r="H14" s="11"/>
    </row>
    <row r="15" customFormat="false" ht="15" hidden="false" customHeight="false" outlineLevel="0" collapsed="false">
      <c r="A15" s="11"/>
      <c r="B15" s="11"/>
      <c r="C15" s="11"/>
      <c r="D15" s="11"/>
      <c r="E15" s="11"/>
      <c r="F15" s="11"/>
      <c r="G15" s="11"/>
      <c r="H15" s="11"/>
    </row>
    <row r="16" customFormat="false" ht="15" hidden="false" customHeight="false" outlineLevel="0" collapsed="false">
      <c r="A16" s="11"/>
      <c r="B16" s="11"/>
      <c r="C16" s="11"/>
      <c r="D16" s="11"/>
      <c r="E16" s="11"/>
      <c r="F16" s="11"/>
      <c r="G16" s="11"/>
      <c r="H16" s="11"/>
    </row>
  </sheetData>
  <mergeCells count="1">
    <mergeCell ref="A12:H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55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4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12"/>
  </cols>
  <sheetData>
    <row r="1" customFormat="false" ht="19.7" hidden="false" customHeight="false" outlineLevel="0" collapsed="false">
      <c r="A1" s="2" t="s">
        <v>12</v>
      </c>
    </row>
    <row r="2" customFormat="false" ht="15" hidden="false" customHeight="false" outlineLevel="0" collapsed="false">
      <c r="A2" s="3" t="s">
        <v>13</v>
      </c>
    </row>
    <row r="4" customFormat="false" ht="28.35" hidden="false" customHeight="false" outlineLevel="0" collapsed="false">
      <c r="A4" s="12" t="s">
        <v>14</v>
      </c>
      <c r="B4" s="12" t="s">
        <v>15</v>
      </c>
      <c r="C4" s="12" t="s">
        <v>16</v>
      </c>
      <c r="D4" s="12" t="s">
        <v>17</v>
      </c>
      <c r="E4" s="12" t="s">
        <v>18</v>
      </c>
      <c r="F4" s="12" t="s">
        <v>19</v>
      </c>
    </row>
    <row r="5" customFormat="false" ht="15" hidden="false" customHeight="false" outlineLevel="0" collapsed="false">
      <c r="A5" s="1" t="s">
        <v>20</v>
      </c>
      <c r="B5" s="1" t="s">
        <v>21</v>
      </c>
      <c r="C5" s="1" t="n">
        <v>52800000</v>
      </c>
      <c r="D5" s="1" t="n">
        <v>5522.1</v>
      </c>
      <c r="E5" s="1" t="n">
        <v>0.0185</v>
      </c>
      <c r="F5" s="1" t="n">
        <v>0.1053</v>
      </c>
    </row>
    <row r="6" customFormat="false" ht="15" hidden="false" customHeight="false" outlineLevel="0" collapsed="false">
      <c r="A6" s="1" t="s">
        <v>22</v>
      </c>
      <c r="B6" s="1" t="s">
        <v>21</v>
      </c>
      <c r="C6" s="1" t="n">
        <v>41200000</v>
      </c>
      <c r="D6" s="1" t="n">
        <v>24342.6</v>
      </c>
      <c r="E6" s="1" t="n">
        <v>0.0074</v>
      </c>
      <c r="F6" s="1" t="n">
        <v>0.0811</v>
      </c>
    </row>
    <row r="7" customFormat="false" ht="15" hidden="false" customHeight="false" outlineLevel="0" collapsed="false">
      <c r="A7" s="1" t="s">
        <v>23</v>
      </c>
      <c r="B7" s="1" t="s">
        <v>24</v>
      </c>
      <c r="C7" s="1" t="n">
        <v>105000000</v>
      </c>
      <c r="D7" s="1" t="n">
        <v>19921.4</v>
      </c>
      <c r="E7" s="1" t="n">
        <v>0.0508</v>
      </c>
      <c r="F7" s="1" t="n">
        <v>0.0938</v>
      </c>
    </row>
    <row r="8" customFormat="false" ht="15" hidden="false" customHeight="false" outlineLevel="0" collapsed="false">
      <c r="A8" s="1" t="s">
        <v>25</v>
      </c>
      <c r="B8" s="1" t="s">
        <v>26</v>
      </c>
      <c r="C8" s="1" t="n">
        <v>56600000</v>
      </c>
      <c r="D8" s="1" t="n">
        <v>4326.7</v>
      </c>
      <c r="E8" s="1" t="n">
        <v>0.0738</v>
      </c>
      <c r="F8" s="1" t="n">
        <v>0.2381</v>
      </c>
    </row>
    <row r="9" customFormat="false" ht="15" hidden="false" customHeight="false" outlineLevel="0" collapsed="false">
      <c r="A9" s="1" t="s">
        <v>27</v>
      </c>
      <c r="B9" s="1" t="s">
        <v>28</v>
      </c>
      <c r="C9" s="1" t="n">
        <v>39700000</v>
      </c>
      <c r="D9" s="1" t="n">
        <v>929957.5</v>
      </c>
      <c r="E9" s="1" t="n">
        <v>0.0285</v>
      </c>
      <c r="F9" s="1" t="n">
        <v>0.0409</v>
      </c>
    </row>
    <row r="10" customFormat="false" ht="15" hidden="false" customHeight="false" outlineLevel="0" collapsed="false">
      <c r="A10" s="1" t="s">
        <v>29</v>
      </c>
      <c r="B10" s="1" t="s">
        <v>30</v>
      </c>
      <c r="C10" s="1" t="n">
        <v>34400000</v>
      </c>
      <c r="D10" s="1" t="n">
        <v>782083.7</v>
      </c>
      <c r="E10" s="1" t="n">
        <v>0.0053</v>
      </c>
      <c r="F10" s="1" t="n">
        <v>0.0822</v>
      </c>
    </row>
    <row r="11" customFormat="false" ht="15" hidden="false" customHeight="false" outlineLevel="0" collapsed="false">
      <c r="A11" s="1" t="s">
        <v>31</v>
      </c>
      <c r="B11" s="1" t="s">
        <v>32</v>
      </c>
      <c r="C11" s="1" t="n">
        <v>34100000</v>
      </c>
      <c r="D11" s="1" t="n">
        <v>23398.1</v>
      </c>
      <c r="E11" s="1" t="n">
        <v>0.0115</v>
      </c>
      <c r="F11" s="1" t="n">
        <v>0.0822</v>
      </c>
    </row>
    <row r="12" customFormat="false" ht="15" hidden="false" customHeight="false" outlineLevel="0" collapsed="false">
      <c r="A12" s="1" t="s">
        <v>33</v>
      </c>
      <c r="B12" s="1" t="s">
        <v>30</v>
      </c>
      <c r="C12" s="1" t="n">
        <v>41400000</v>
      </c>
      <c r="D12" s="1" t="n">
        <v>29241.6</v>
      </c>
      <c r="E12" s="1" t="n">
        <v>0.0073</v>
      </c>
      <c r="F12" s="1" t="n">
        <v>0.0811</v>
      </c>
    </row>
    <row r="13" customFormat="false" ht="15" hidden="false" customHeight="false" outlineLevel="0" collapsed="false">
      <c r="A13" s="1" t="s">
        <v>34</v>
      </c>
      <c r="B13" s="1" t="s">
        <v>35</v>
      </c>
      <c r="C13" s="1" t="n">
        <v>61800000</v>
      </c>
      <c r="D13" s="1" t="n">
        <v>46907.9</v>
      </c>
      <c r="E13" s="1" t="n">
        <v>0.0105</v>
      </c>
      <c r="F13" s="1" t="n">
        <v>0.0811</v>
      </c>
    </row>
    <row r="14" customFormat="false" ht="15" hidden="false" customHeight="false" outlineLevel="0" collapsed="false">
      <c r="A14" s="1" t="s">
        <v>36</v>
      </c>
      <c r="B14" s="1" t="s">
        <v>21</v>
      </c>
      <c r="C14" s="1" t="n">
        <v>39400000</v>
      </c>
      <c r="D14" s="1" t="n">
        <v>18054.1</v>
      </c>
      <c r="E14" s="1" t="n">
        <v>0.0107</v>
      </c>
      <c r="F14" s="1" t="n">
        <v>0.0811</v>
      </c>
    </row>
    <row r="15" customFormat="false" ht="15" hidden="false" customHeight="false" outlineLevel="0" collapsed="false">
      <c r="A15" s="1" t="s">
        <v>37</v>
      </c>
      <c r="B15" s="1" t="s">
        <v>21</v>
      </c>
      <c r="C15" s="1" t="n">
        <v>82100000</v>
      </c>
      <c r="D15" s="1" t="n">
        <v>92</v>
      </c>
      <c r="E15" s="1" t="n">
        <v>0.1195</v>
      </c>
      <c r="F15" s="1" t="n">
        <v>0.2059</v>
      </c>
    </row>
    <row r="16" customFormat="false" ht="15" hidden="false" customHeight="false" outlineLevel="0" collapsed="false">
      <c r="A16" s="1" t="s">
        <v>38</v>
      </c>
      <c r="B16" s="1" t="s">
        <v>26</v>
      </c>
      <c r="C16" s="1" t="n">
        <v>3530000</v>
      </c>
      <c r="D16" s="1" t="n">
        <v>264218.9</v>
      </c>
      <c r="E16" s="1" t="n">
        <v>0.0387</v>
      </c>
      <c r="F16" s="1" t="n">
        <v>0.0409</v>
      </c>
    </row>
    <row r="17" customFormat="false" ht="15" hidden="false" customHeight="false" outlineLevel="0" collapsed="false">
      <c r="A17" s="1" t="s">
        <v>39</v>
      </c>
      <c r="B17" s="1" t="s">
        <v>21</v>
      </c>
      <c r="C17" s="1" t="n">
        <v>70300000</v>
      </c>
      <c r="D17" s="1" t="n">
        <v>110748.8</v>
      </c>
      <c r="E17" s="1" t="n">
        <v>0.0076</v>
      </c>
      <c r="F17" s="1" t="n">
        <v>0.0811</v>
      </c>
    </row>
    <row r="18" customFormat="false" ht="15" hidden="false" customHeight="false" outlineLevel="0" collapsed="false">
      <c r="A18" s="1" t="s">
        <v>40</v>
      </c>
      <c r="B18" s="1" t="s">
        <v>41</v>
      </c>
      <c r="C18" s="1" t="n">
        <v>31000000</v>
      </c>
      <c r="D18" s="1" t="n">
        <v>1650</v>
      </c>
      <c r="E18" s="1" t="n">
        <v>0.0123</v>
      </c>
      <c r="F18" s="1" t="n">
        <v>0.1866</v>
      </c>
    </row>
    <row r="19" customFormat="false" ht="15" hidden="false" customHeight="false" outlineLevel="0" collapsed="false">
      <c r="A19" s="1" t="s">
        <v>42</v>
      </c>
      <c r="B19" s="1" t="s">
        <v>32</v>
      </c>
      <c r="C19" s="1" t="n">
        <v>53400000</v>
      </c>
      <c r="D19" s="1" t="n">
        <v>32362.4</v>
      </c>
      <c r="E19" s="1" t="n">
        <v>0.0089</v>
      </c>
      <c r="F19" s="1" t="n">
        <v>0.0811</v>
      </c>
    </row>
    <row r="20" customFormat="false" ht="15" hidden="false" customHeight="false" outlineLevel="0" collapsed="false">
      <c r="A20" s="1" t="s">
        <v>43</v>
      </c>
      <c r="B20" s="1" t="s">
        <v>26</v>
      </c>
      <c r="C20" s="1" t="n">
        <v>38700000</v>
      </c>
      <c r="D20" s="1" t="n">
        <v>266854.4</v>
      </c>
      <c r="E20" s="1" t="n">
        <v>0.0054</v>
      </c>
      <c r="F20" s="1" t="n">
        <v>0.073</v>
      </c>
    </row>
    <row r="21" customFormat="false" ht="15" hidden="false" customHeight="false" outlineLevel="0" collapsed="false">
      <c r="A21" s="1" t="s">
        <v>44</v>
      </c>
      <c r="B21" s="1" t="s">
        <v>26</v>
      </c>
      <c r="C21" s="1" t="n">
        <v>50100000</v>
      </c>
      <c r="D21" s="1" t="n">
        <v>2062843.6</v>
      </c>
      <c r="E21" s="1" t="n">
        <v>0.0148</v>
      </c>
      <c r="F21" s="1" t="n">
        <v>0.0811</v>
      </c>
    </row>
    <row r="22" customFormat="false" ht="15" hidden="false" customHeight="false" outlineLevel="0" collapsed="false">
      <c r="A22" s="1" t="s">
        <v>45</v>
      </c>
      <c r="B22" s="1" t="s">
        <v>26</v>
      </c>
      <c r="C22" s="1" t="n">
        <v>17000000</v>
      </c>
      <c r="D22" s="1" t="n">
        <v>405131.2</v>
      </c>
      <c r="E22" s="1" t="n">
        <v>0.0189</v>
      </c>
      <c r="F22" s="1" t="n">
        <v>0.0576</v>
      </c>
    </row>
    <row r="23" customFormat="false" ht="15" hidden="false" customHeight="false" outlineLevel="0" collapsed="false">
      <c r="A23" s="1" t="s">
        <v>46</v>
      </c>
      <c r="B23" s="1" t="s">
        <v>32</v>
      </c>
      <c r="C23" s="1" t="n">
        <v>81600000</v>
      </c>
      <c r="D23" s="1" t="n">
        <v>221530.8</v>
      </c>
      <c r="E23" s="1" t="n">
        <v>0.0104</v>
      </c>
      <c r="F23" s="1" t="n">
        <v>0.1004</v>
      </c>
    </row>
    <row r="24" customFormat="false" ht="15" hidden="false" customHeight="false" outlineLevel="0" collapsed="false">
      <c r="A24" s="1" t="s">
        <v>47</v>
      </c>
      <c r="B24" s="1" t="s">
        <v>41</v>
      </c>
      <c r="C24" s="1" t="n">
        <v>39000000</v>
      </c>
      <c r="D24" s="1" t="n">
        <v>289439.5</v>
      </c>
      <c r="E24" s="1" t="n">
        <v>0.0133</v>
      </c>
      <c r="F24" s="1" t="n">
        <v>0.0576</v>
      </c>
    </row>
    <row r="25" customFormat="false" ht="15" hidden="false" customHeight="false" outlineLevel="0" collapsed="false">
      <c r="A25" s="1" t="s">
        <v>48</v>
      </c>
      <c r="B25" s="1" t="s">
        <v>41</v>
      </c>
      <c r="C25" s="1" t="n">
        <v>50700000</v>
      </c>
      <c r="D25" s="1" t="n">
        <v>8159.6</v>
      </c>
      <c r="E25" s="1" t="n">
        <v>0.0177</v>
      </c>
      <c r="F25" s="1" t="n">
        <v>0.0937</v>
      </c>
    </row>
    <row r="26" customFormat="false" ht="15" hidden="false" customHeight="false" outlineLevel="0" collapsed="false">
      <c r="A26" s="1" t="s">
        <v>49</v>
      </c>
      <c r="B26" s="1" t="s">
        <v>50</v>
      </c>
      <c r="C26" s="1" t="n">
        <v>72400000</v>
      </c>
      <c r="D26" s="1" t="n">
        <v>1129784.9</v>
      </c>
      <c r="E26" s="1" t="n">
        <v>0.0081</v>
      </c>
      <c r="F26" s="1" t="n">
        <v>0.0584</v>
      </c>
    </row>
    <row r="27" customFormat="false" ht="15" hidden="false" customHeight="false" outlineLevel="0" collapsed="false">
      <c r="A27" s="1" t="s">
        <v>51</v>
      </c>
      <c r="B27" s="1" t="s">
        <v>32</v>
      </c>
      <c r="C27" s="1" t="n">
        <v>11600000</v>
      </c>
      <c r="D27" s="1" t="n">
        <v>10415937.7</v>
      </c>
      <c r="E27" s="1" t="n">
        <v>0.04</v>
      </c>
      <c r="F27" s="1" t="n">
        <v>0.0951</v>
      </c>
    </row>
    <row r="28" customFormat="false" ht="15" hidden="false" customHeight="false" outlineLevel="0" collapsed="false">
      <c r="A28" s="1" t="s">
        <v>52</v>
      </c>
      <c r="B28" s="1" t="s">
        <v>53</v>
      </c>
      <c r="C28" s="1" t="n">
        <v>45700000</v>
      </c>
      <c r="D28" s="1" t="n">
        <v>1240391.9</v>
      </c>
      <c r="E28" s="1" t="n">
        <v>0.0765</v>
      </c>
      <c r="F28" s="1" t="n">
        <v>0.0759</v>
      </c>
    </row>
    <row r="29" customFormat="false" ht="15" hidden="false" customHeight="false" outlineLevel="0" collapsed="false">
      <c r="A29" s="1" t="s">
        <v>54</v>
      </c>
      <c r="B29" s="1" t="s">
        <v>30</v>
      </c>
      <c r="C29" s="1" t="n">
        <v>48700000</v>
      </c>
      <c r="D29" s="1" t="n">
        <v>4920773.3</v>
      </c>
      <c r="E29" s="1" t="n">
        <v>0.029</v>
      </c>
      <c r="F29" s="1" t="n">
        <v>0.0409</v>
      </c>
    </row>
    <row r="30" customFormat="false" ht="15" hidden="false" customHeight="false" outlineLevel="0" collapsed="false">
      <c r="A30" s="1" t="s">
        <v>55</v>
      </c>
      <c r="B30" s="1" t="s">
        <v>21</v>
      </c>
      <c r="C30" s="1" t="n">
        <v>32800000</v>
      </c>
      <c r="D30" s="1" t="n">
        <v>4498904.5</v>
      </c>
      <c r="E30" s="1" t="n">
        <v>0.0467</v>
      </c>
      <c r="F30" s="1" t="n">
        <v>0.0518</v>
      </c>
    </row>
    <row r="31" customFormat="false" ht="15" hidden="false" customHeight="false" outlineLevel="0" collapsed="false">
      <c r="A31" s="1" t="s">
        <v>56</v>
      </c>
      <c r="B31" s="1" t="s">
        <v>26</v>
      </c>
      <c r="C31" s="1" t="n">
        <v>40400000</v>
      </c>
      <c r="D31" s="1" t="n">
        <v>380285.3</v>
      </c>
      <c r="E31" s="1" t="n">
        <v>0.0155</v>
      </c>
      <c r="F31" s="1" t="n">
        <v>0.0585</v>
      </c>
    </row>
    <row r="32" customFormat="false" ht="15" hidden="false" customHeight="false" outlineLevel="0" collapsed="false">
      <c r="A32" s="1" t="s">
        <v>57</v>
      </c>
      <c r="B32" s="1" t="s">
        <v>28</v>
      </c>
      <c r="C32" s="1" t="n">
        <v>98100000</v>
      </c>
      <c r="D32" s="1" t="n">
        <v>309047.2</v>
      </c>
      <c r="E32" s="1" t="n">
        <v>0.0011</v>
      </c>
      <c r="F32" s="1" t="n">
        <v>0.0654</v>
      </c>
    </row>
    <row r="33" customFormat="false" ht="15" hidden="false" customHeight="false" outlineLevel="0" collapsed="false">
      <c r="A33" s="1" t="s">
        <v>58</v>
      </c>
      <c r="B33" s="1" t="s">
        <v>30</v>
      </c>
      <c r="C33" s="1" t="n">
        <v>52700000</v>
      </c>
      <c r="D33" s="1" t="n">
        <v>5993441.9</v>
      </c>
      <c r="E33" s="1" t="n">
        <v>0.0337</v>
      </c>
      <c r="F33" s="1" t="n">
        <v>0.0409</v>
      </c>
    </row>
    <row r="34" customFormat="false" ht="15" hidden="false" customHeight="false" outlineLevel="0" collapsed="false">
      <c r="A34" s="1" t="s">
        <v>59</v>
      </c>
      <c r="B34" s="1" t="s">
        <v>53</v>
      </c>
      <c r="C34" s="1" t="n">
        <v>63100000</v>
      </c>
      <c r="D34" s="1" t="n">
        <v>921475.8</v>
      </c>
      <c r="E34" s="1" t="n">
        <v>0.0247</v>
      </c>
      <c r="F34" s="1" t="n">
        <v>0.051</v>
      </c>
    </row>
    <row r="35" customFormat="false" ht="15" hidden="false" customHeight="false" outlineLevel="0" collapsed="false">
      <c r="A35" s="1" t="s">
        <v>60</v>
      </c>
      <c r="B35" s="1" t="s">
        <v>50</v>
      </c>
      <c r="C35" s="1" t="n">
        <v>72000000</v>
      </c>
      <c r="D35" s="1" t="n">
        <v>160501.4</v>
      </c>
      <c r="E35" s="1" t="n">
        <v>0.0122</v>
      </c>
      <c r="F35" s="1" t="n">
        <v>0.0726</v>
      </c>
    </row>
    <row r="36" customFormat="false" ht="15" hidden="false" customHeight="false" outlineLevel="0" collapsed="false">
      <c r="A36" s="1" t="s">
        <v>61</v>
      </c>
      <c r="B36" s="1" t="s">
        <v>62</v>
      </c>
      <c r="C36" s="1" t="n">
        <v>5210000</v>
      </c>
      <c r="D36" s="1" t="n">
        <v>145317.1</v>
      </c>
      <c r="E36" s="1" t="n">
        <v>0.0355</v>
      </c>
      <c r="F36" s="1" t="n">
        <v>0.0951</v>
      </c>
    </row>
    <row r="37" customFormat="false" ht="15" hidden="false" customHeight="false" outlineLevel="0" collapsed="false">
      <c r="A37" s="1" t="s">
        <v>63</v>
      </c>
      <c r="B37" s="1" t="s">
        <v>32</v>
      </c>
      <c r="C37" s="1" t="n">
        <v>36600000</v>
      </c>
      <c r="D37" s="1" t="n">
        <v>2907.1</v>
      </c>
      <c r="E37" s="1" t="n">
        <v>0.0183</v>
      </c>
      <c r="F37" s="1" t="n">
        <v>0.0608</v>
      </c>
    </row>
    <row r="38" customFormat="false" ht="15" hidden="false" customHeight="false" outlineLevel="0" collapsed="false">
      <c r="A38" s="1" t="s">
        <v>64</v>
      </c>
      <c r="B38" s="1" t="s">
        <v>32</v>
      </c>
      <c r="C38" s="1" t="n">
        <v>35700000</v>
      </c>
      <c r="D38" s="1" t="n">
        <v>2703.1</v>
      </c>
      <c r="E38" s="1" t="n">
        <v>0.0125</v>
      </c>
      <c r="F38" s="1" t="n">
        <v>0.0811</v>
      </c>
    </row>
    <row r="39" customFormat="false" ht="15" hidden="false" customHeight="false" outlineLevel="0" collapsed="false">
      <c r="A39" s="1" t="s">
        <v>65</v>
      </c>
      <c r="B39" s="1" t="s">
        <v>26</v>
      </c>
      <c r="C39" s="1" t="n">
        <v>51700000</v>
      </c>
      <c r="D39" s="1" t="n">
        <v>3907393.5</v>
      </c>
      <c r="E39" s="1" t="n">
        <v>0.0627</v>
      </c>
      <c r="F39" s="1" t="n">
        <v>0.0759</v>
      </c>
    </row>
    <row r="40" customFormat="false" ht="15" hidden="false" customHeight="false" outlineLevel="0" collapsed="false">
      <c r="A40" s="1" t="s">
        <v>66</v>
      </c>
      <c r="B40" s="1" t="s">
        <v>21</v>
      </c>
      <c r="C40" s="1" t="n">
        <v>189000000</v>
      </c>
      <c r="D40" s="1" t="n">
        <v>518.5</v>
      </c>
      <c r="E40" s="1" t="n">
        <v>0.0071</v>
      </c>
      <c r="F40" s="1" t="n">
        <v>0.1013</v>
      </c>
    </row>
    <row r="41" customFormat="false" ht="15" hidden="false" customHeight="false" outlineLevel="0" collapsed="false">
      <c r="A41" s="1" t="s">
        <v>67</v>
      </c>
      <c r="B41" s="1" t="s">
        <v>41</v>
      </c>
      <c r="C41" s="1" t="n">
        <v>37400000</v>
      </c>
      <c r="D41" s="1" t="n">
        <v>387573.2</v>
      </c>
      <c r="E41" s="1" t="n">
        <v>0.0317</v>
      </c>
      <c r="F41" s="1" t="n">
        <v>0.051</v>
      </c>
    </row>
    <row r="42" customFormat="false" ht="15" hidden="false" customHeight="false" outlineLevel="0" collapsed="false">
      <c r="A42" s="1" t="s">
        <v>68</v>
      </c>
      <c r="B42" s="1" t="s">
        <v>32</v>
      </c>
      <c r="C42" s="1" t="n">
        <v>63600000</v>
      </c>
      <c r="D42" s="1" t="n">
        <v>113090.2</v>
      </c>
      <c r="E42" s="1" t="n">
        <v>0.1288</v>
      </c>
      <c r="F42" s="1" t="n">
        <v>0.6579</v>
      </c>
    </row>
    <row r="43" customFormat="false" ht="15" hidden="false" customHeight="false" outlineLevel="0" collapsed="false">
      <c r="A43" s="1" t="s">
        <v>69</v>
      </c>
      <c r="B43" s="1" t="s">
        <v>53</v>
      </c>
      <c r="C43" s="1" t="n">
        <v>17300000</v>
      </c>
      <c r="D43" s="1" t="n">
        <v>4999919.1</v>
      </c>
      <c r="E43" s="1" t="n">
        <v>0.0278</v>
      </c>
      <c r="F43" s="1" t="n">
        <v>0.0951</v>
      </c>
    </row>
    <row r="44" customFormat="false" ht="15" hidden="false" customHeight="false" outlineLevel="0" collapsed="false">
      <c r="A44" s="1" t="s">
        <v>70</v>
      </c>
      <c r="B44" s="1" t="s">
        <v>71</v>
      </c>
      <c r="C44" s="1" t="n">
        <v>47300000</v>
      </c>
      <c r="D44" s="1" t="n">
        <v>384563.1</v>
      </c>
      <c r="E44" s="1" t="n">
        <v>0.0082</v>
      </c>
      <c r="F44" s="1" t="n">
        <v>0.0811</v>
      </c>
    </row>
    <row r="45" customFormat="false" ht="15" hidden="false" customHeight="false" outlineLevel="0" collapsed="false">
      <c r="A45" s="1" t="s">
        <v>72</v>
      </c>
      <c r="B45" s="1" t="s">
        <v>21</v>
      </c>
      <c r="C45" s="1" t="n">
        <v>38500000</v>
      </c>
      <c r="D45" s="1" t="n">
        <v>5585.9</v>
      </c>
      <c r="E45" s="1" t="n">
        <v>0.0148</v>
      </c>
      <c r="F45" s="1" t="n">
        <v>0.0576</v>
      </c>
    </row>
    <row r="46" customFormat="false" ht="15" hidden="false" customHeight="false" outlineLevel="0" collapsed="false">
      <c r="A46" s="1" t="s">
        <v>73</v>
      </c>
      <c r="B46" s="1" t="s">
        <v>74</v>
      </c>
      <c r="C46" s="1" t="n">
        <v>46700000</v>
      </c>
      <c r="D46" s="1" t="n">
        <v>5728890.2</v>
      </c>
      <c r="E46" s="1" t="n">
        <v>0.0101</v>
      </c>
      <c r="F46" s="1" t="n">
        <v>0.0654</v>
      </c>
    </row>
    <row r="47" customFormat="false" ht="15" hidden="false" customHeight="false" outlineLevel="0" collapsed="false">
      <c r="A47" s="1" t="s">
        <v>75</v>
      </c>
      <c r="B47" s="1" t="s">
        <v>28</v>
      </c>
      <c r="C47" s="1" t="n">
        <v>58300000</v>
      </c>
      <c r="D47" s="1" t="n">
        <v>10886.2</v>
      </c>
      <c r="E47" s="1" t="n">
        <v>0.0084</v>
      </c>
      <c r="F47" s="1" t="n">
        <v>0.0811</v>
      </c>
    </row>
    <row r="48" customFormat="false" ht="15" hidden="false" customHeight="false" outlineLevel="0" collapsed="false">
      <c r="A48" s="1" t="s">
        <v>76</v>
      </c>
      <c r="B48" s="1" t="s">
        <v>28</v>
      </c>
      <c r="C48" s="1" t="n">
        <v>42600000</v>
      </c>
      <c r="D48" s="1" t="n">
        <v>373074.9</v>
      </c>
      <c r="E48" s="1" t="n">
        <v>0.0095</v>
      </c>
      <c r="F48" s="1" t="n">
        <v>0.0576</v>
      </c>
    </row>
    <row r="49" customFormat="false" ht="15" hidden="false" customHeight="false" outlineLevel="0" collapsed="false">
      <c r="A49" s="1" t="s">
        <v>77</v>
      </c>
      <c r="B49" s="1" t="s">
        <v>53</v>
      </c>
      <c r="C49" s="1" t="n">
        <v>41100000</v>
      </c>
      <c r="D49" s="1" t="n">
        <v>4503.7</v>
      </c>
      <c r="E49" s="1" t="n">
        <v>0.0174</v>
      </c>
      <c r="F49" s="1" t="n">
        <v>0.0576</v>
      </c>
    </row>
    <row r="50" customFormat="false" ht="15" hidden="false" customHeight="false" outlineLevel="0" collapsed="false">
      <c r="A50" s="1" t="s">
        <v>78</v>
      </c>
      <c r="B50" s="1" t="s">
        <v>50</v>
      </c>
      <c r="C50" s="1" t="n">
        <v>36000000</v>
      </c>
      <c r="D50" s="1" t="n">
        <v>844865.7</v>
      </c>
      <c r="E50" s="1" t="n">
        <v>0.0065</v>
      </c>
      <c r="F50" s="1" t="n">
        <v>0.0654</v>
      </c>
    </row>
    <row r="51" customFormat="false" ht="15" hidden="false" customHeight="false" outlineLevel="0" collapsed="false">
      <c r="A51" s="1" t="s">
        <v>79</v>
      </c>
      <c r="B51" s="1" t="s">
        <v>74</v>
      </c>
      <c r="C51" s="1" t="n">
        <v>14400000</v>
      </c>
      <c r="D51" s="1" t="n">
        <v>85673.9</v>
      </c>
      <c r="E51" s="1" t="n">
        <v>0.0077</v>
      </c>
      <c r="F51" s="1" t="n">
        <v>0.0654</v>
      </c>
    </row>
    <row r="52" customFormat="false" ht="15" hidden="false" customHeight="false" outlineLevel="0" collapsed="false">
      <c r="A52" s="1" t="s">
        <v>80</v>
      </c>
      <c r="B52" s="1" t="s">
        <v>81</v>
      </c>
      <c r="C52" s="1" t="n">
        <v>1310000</v>
      </c>
      <c r="D52" s="1" t="n">
        <v>82071.2</v>
      </c>
      <c r="E52" s="1" t="n">
        <v>0.0576</v>
      </c>
      <c r="F52" s="1" t="n">
        <v>0.0759</v>
      </c>
    </row>
    <row r="53" customFormat="false" ht="15" hidden="false" customHeight="false" outlineLevel="0" collapsed="false">
      <c r="A53" s="1" t="s">
        <v>82</v>
      </c>
      <c r="B53" s="1" t="s">
        <v>41</v>
      </c>
      <c r="C53" s="1" t="n">
        <v>50800000</v>
      </c>
      <c r="D53" s="1" t="n">
        <v>27725.4</v>
      </c>
      <c r="E53" s="1" t="n">
        <v>0.0054</v>
      </c>
      <c r="F53" s="1" t="n">
        <v>0.0811</v>
      </c>
    </row>
    <row r="54" customFormat="false" ht="15" hidden="false" customHeight="false" outlineLevel="0" collapsed="false">
      <c r="A54" s="1" t="s">
        <v>83</v>
      </c>
      <c r="B54" s="1" t="s">
        <v>21</v>
      </c>
      <c r="C54" s="1" t="n">
        <v>98100000</v>
      </c>
      <c r="D54" s="1" t="n">
        <v>1344.4</v>
      </c>
      <c r="E54" s="1" t="n">
        <v>0.0174</v>
      </c>
      <c r="F54" s="1" t="n">
        <v>0.0937</v>
      </c>
    </row>
    <row r="55" customFormat="false" ht="15" hidden="false" customHeight="false" outlineLevel="0" collapsed="false">
      <c r="A55" s="1" t="s">
        <v>84</v>
      </c>
      <c r="B55" s="1" t="s">
        <v>53</v>
      </c>
      <c r="C55" s="1" t="n">
        <v>28400000</v>
      </c>
      <c r="D55" s="1" t="n">
        <v>68562.5</v>
      </c>
      <c r="E55" s="1" t="n">
        <v>0.0298</v>
      </c>
      <c r="F55" s="1" t="n">
        <v>0.051</v>
      </c>
    </row>
    <row r="56" customFormat="false" ht="15" hidden="false" customHeight="false" outlineLevel="0" collapsed="false">
      <c r="A56" s="1" t="s">
        <v>85</v>
      </c>
      <c r="B56" s="1" t="s">
        <v>26</v>
      </c>
      <c r="C56" s="1" t="n">
        <v>18700000</v>
      </c>
      <c r="D56" s="1" t="n">
        <v>86112.3</v>
      </c>
      <c r="E56" s="1" t="n">
        <v>0.0218</v>
      </c>
      <c r="F56" s="1" t="n">
        <v>0.051</v>
      </c>
    </row>
    <row r="57" customFormat="false" ht="15" hidden="false" customHeight="false" outlineLevel="0" collapsed="false">
      <c r="A57" s="1" t="s">
        <v>86</v>
      </c>
      <c r="B57" s="1" t="s">
        <v>21</v>
      </c>
      <c r="C57" s="1" t="n">
        <v>29100000</v>
      </c>
      <c r="D57" s="1" t="n">
        <v>42682.8</v>
      </c>
      <c r="E57" s="1" t="n">
        <v>0.018</v>
      </c>
      <c r="F57" s="1" t="n">
        <v>0.0576</v>
      </c>
    </row>
    <row r="58" customFormat="false" ht="15" hidden="false" customHeight="false" outlineLevel="0" collapsed="false">
      <c r="A58" s="1" t="s">
        <v>87</v>
      </c>
      <c r="B58" s="1" t="s">
        <v>88</v>
      </c>
      <c r="C58" s="1" t="n">
        <v>25900000</v>
      </c>
      <c r="D58" s="1" t="n">
        <v>7682820.4</v>
      </c>
      <c r="E58" s="1" t="n">
        <v>0.0383</v>
      </c>
      <c r="F58" s="1" t="n">
        <v>0.0951</v>
      </c>
    </row>
    <row r="59" customFormat="false" ht="15" hidden="false" customHeight="false" outlineLevel="0" collapsed="false">
      <c r="A59" s="1" t="s">
        <v>89</v>
      </c>
      <c r="B59" s="1" t="s">
        <v>41</v>
      </c>
      <c r="C59" s="1" t="n">
        <v>17600000</v>
      </c>
      <c r="D59" s="1" t="n">
        <v>2110.7</v>
      </c>
      <c r="E59" s="1" t="n">
        <v>0.0451</v>
      </c>
      <c r="F59" s="1" t="n">
        <v>0.0938</v>
      </c>
    </row>
    <row r="60" customFormat="false" ht="15" hidden="false" customHeight="false" outlineLevel="0" collapsed="false">
      <c r="A60" s="1" t="s">
        <v>90</v>
      </c>
      <c r="B60" s="1" t="s">
        <v>26</v>
      </c>
      <c r="C60" s="1" t="n">
        <v>25300000</v>
      </c>
      <c r="D60" s="1" t="n">
        <v>693422.7</v>
      </c>
      <c r="E60" s="1" t="n">
        <v>0.01</v>
      </c>
      <c r="F60" s="1" t="n">
        <v>0.0462</v>
      </c>
    </row>
    <row r="61" customFormat="false" ht="15" hidden="false" customHeight="false" outlineLevel="0" collapsed="false">
      <c r="A61" s="1" t="s">
        <v>91</v>
      </c>
      <c r="B61" s="1" t="s">
        <v>92</v>
      </c>
      <c r="C61" s="1" t="n">
        <v>3040000</v>
      </c>
      <c r="D61" s="1" t="n">
        <v>2273.3</v>
      </c>
      <c r="E61" s="1" t="n">
        <v>0.0298</v>
      </c>
      <c r="F61" s="1" t="n">
        <v>0.0938</v>
      </c>
    </row>
    <row r="62" customFormat="false" ht="15" hidden="false" customHeight="false" outlineLevel="0" collapsed="false">
      <c r="A62" s="1" t="s">
        <v>93</v>
      </c>
      <c r="B62" s="1" t="s">
        <v>32</v>
      </c>
      <c r="C62" s="1" t="n">
        <v>71400000</v>
      </c>
      <c r="D62" s="1" t="n">
        <v>99295.3</v>
      </c>
      <c r="E62" s="1" t="n">
        <v>0.017</v>
      </c>
      <c r="F62" s="1" t="n">
        <v>0.0576</v>
      </c>
    </row>
    <row r="63" customFormat="false" ht="15" hidden="false" customHeight="false" outlineLevel="0" collapsed="false">
      <c r="A63" s="1" t="s">
        <v>94</v>
      </c>
      <c r="B63" s="1" t="s">
        <v>50</v>
      </c>
      <c r="C63" s="1" t="n">
        <v>30000000</v>
      </c>
      <c r="D63" s="1" t="n">
        <v>2519978.3</v>
      </c>
      <c r="E63" s="1" t="n">
        <v>0.0053</v>
      </c>
      <c r="F63" s="1" t="n">
        <v>0.0811</v>
      </c>
    </row>
    <row r="64" customFormat="false" ht="15" hidden="false" customHeight="false" outlineLevel="0" collapsed="false">
      <c r="A64" s="1" t="s">
        <v>95</v>
      </c>
      <c r="B64" s="1" t="s">
        <v>32</v>
      </c>
      <c r="C64" s="1" t="n">
        <v>27600000</v>
      </c>
      <c r="D64" s="1" t="n">
        <v>5799.9</v>
      </c>
      <c r="E64" s="1" t="n">
        <v>0.0101</v>
      </c>
      <c r="F64" s="1" t="n">
        <v>0.0811</v>
      </c>
    </row>
    <row r="65" customFormat="false" ht="15" hidden="false" customHeight="false" outlineLevel="0" collapsed="false">
      <c r="A65" s="1" t="s">
        <v>96</v>
      </c>
      <c r="B65" s="1" t="s">
        <v>50</v>
      </c>
      <c r="C65" s="1" t="n">
        <v>26200000</v>
      </c>
      <c r="D65" s="1" t="n">
        <v>12011475.5</v>
      </c>
      <c r="E65" s="1" t="n">
        <v>0.0326</v>
      </c>
      <c r="F65" s="1" t="n">
        <v>0.0951</v>
      </c>
    </row>
    <row r="66" customFormat="false" ht="15" hidden="false" customHeight="false" outlineLevel="0" collapsed="false">
      <c r="A66" s="1" t="s">
        <v>97</v>
      </c>
      <c r="B66" s="1" t="s">
        <v>26</v>
      </c>
      <c r="C66" s="1" t="n">
        <v>9440000</v>
      </c>
      <c r="D66" s="1" t="n">
        <v>119698.5</v>
      </c>
      <c r="E66" s="1" t="n">
        <v>0.0067</v>
      </c>
      <c r="F66" s="1" t="n">
        <v>0.1015</v>
      </c>
    </row>
    <row r="67" customFormat="false" ht="15" hidden="false" customHeight="false" outlineLevel="0" collapsed="false">
      <c r="A67" s="1" t="s">
        <v>98</v>
      </c>
      <c r="B67" s="1" t="s">
        <v>41</v>
      </c>
      <c r="C67" s="1" t="n">
        <v>42100000</v>
      </c>
      <c r="D67" s="1" t="n">
        <v>619.6</v>
      </c>
      <c r="E67" s="1" t="n">
        <v>0.0259</v>
      </c>
      <c r="F67" s="1" t="n">
        <v>0.0725</v>
      </c>
    </row>
    <row r="68" customFormat="false" ht="15" hidden="false" customHeight="false" outlineLevel="0" collapsed="false">
      <c r="A68" s="1" t="s">
        <v>99</v>
      </c>
      <c r="B68" s="1" t="s">
        <v>24</v>
      </c>
      <c r="C68" s="1" t="n">
        <v>20900000</v>
      </c>
      <c r="D68" s="1" t="n">
        <v>65635.4</v>
      </c>
      <c r="E68" s="1" t="n">
        <v>0.0111</v>
      </c>
      <c r="F68" s="1" t="n">
        <v>0.0811</v>
      </c>
    </row>
    <row r="69" customFormat="false" ht="15" hidden="false" customHeight="false" outlineLevel="0" collapsed="false">
      <c r="A69" s="1" t="s">
        <v>100</v>
      </c>
      <c r="B69" s="1" t="s">
        <v>41</v>
      </c>
      <c r="C69" s="1" t="n">
        <v>30700000</v>
      </c>
      <c r="D69" s="1" t="n">
        <v>99048.5</v>
      </c>
      <c r="E69" s="1" t="n">
        <v>0.0684</v>
      </c>
      <c r="F69" s="1" t="n">
        <v>0.0938</v>
      </c>
    </row>
    <row r="70" customFormat="false" ht="15" hidden="false" customHeight="false" outlineLevel="0" collapsed="false">
      <c r="A70" s="1" t="s">
        <v>101</v>
      </c>
      <c r="B70" s="1" t="s">
        <v>30</v>
      </c>
      <c r="C70" s="1" t="n">
        <v>26500000</v>
      </c>
      <c r="D70" s="1" t="n">
        <v>20986687.9</v>
      </c>
      <c r="E70" s="1" t="n">
        <v>0.0626</v>
      </c>
      <c r="F70" s="1" t="n">
        <v>0.0951</v>
      </c>
    </row>
    <row r="71" customFormat="false" ht="15" hidden="false" customHeight="false" outlineLevel="0" collapsed="false">
      <c r="A71" s="1" t="s">
        <v>102</v>
      </c>
      <c r="B71" s="1" t="s">
        <v>24</v>
      </c>
      <c r="C71" s="1" t="n">
        <v>19200000</v>
      </c>
      <c r="D71" s="1" t="n">
        <v>11756</v>
      </c>
      <c r="E71" s="1" t="n">
        <v>0.0161</v>
      </c>
      <c r="F71" s="1" t="n">
        <v>0.1929</v>
      </c>
    </row>
    <row r="72" customFormat="false" ht="15" hidden="false" customHeight="false" outlineLevel="0" collapsed="false">
      <c r="A72" s="1" t="s">
        <v>103</v>
      </c>
      <c r="B72" s="1" t="s">
        <v>30</v>
      </c>
      <c r="C72" s="1" t="n">
        <v>45600000</v>
      </c>
      <c r="D72" s="1" t="n">
        <v>14018274.9</v>
      </c>
      <c r="E72" s="1" t="n">
        <v>0.0649</v>
      </c>
      <c r="F72" s="1" t="n">
        <v>0.0759</v>
      </c>
    </row>
    <row r="73" customFormat="false" ht="15" hidden="false" customHeight="false" outlineLevel="0" collapsed="false">
      <c r="A73" s="1" t="s">
        <v>104</v>
      </c>
      <c r="B73" s="1" t="s">
        <v>53</v>
      </c>
      <c r="C73" s="1" t="n">
        <v>51900000</v>
      </c>
      <c r="D73" s="1" t="n">
        <v>14652127.7</v>
      </c>
      <c r="E73" s="1" t="n">
        <v>0.0463</v>
      </c>
      <c r="F73" s="1" t="n">
        <v>0.0951</v>
      </c>
    </row>
    <row r="74" customFormat="false" ht="15" hidden="false" customHeight="false" outlineLevel="0" collapsed="false">
      <c r="A74" s="1" t="s">
        <v>105</v>
      </c>
      <c r="B74" s="1" t="s">
        <v>24</v>
      </c>
      <c r="C74" s="1" t="n">
        <v>21300000</v>
      </c>
      <c r="D74" s="1" t="n">
        <v>37998.1</v>
      </c>
      <c r="E74" s="1" t="n">
        <v>0.0255</v>
      </c>
      <c r="F74" s="1" t="n">
        <v>0.0409</v>
      </c>
    </row>
    <row r="75" customFormat="false" ht="15" hidden="false" customHeight="false" outlineLevel="0" collapsed="false">
      <c r="A75" s="1" t="s">
        <v>106</v>
      </c>
      <c r="B75" s="1" t="s">
        <v>24</v>
      </c>
      <c r="C75" s="1" t="n">
        <v>24000000</v>
      </c>
      <c r="D75" s="1" t="n">
        <v>366011.2</v>
      </c>
      <c r="E75" s="1" t="n">
        <v>0.0279</v>
      </c>
      <c r="F75" s="1" t="n">
        <v>0.1226</v>
      </c>
    </row>
    <row r="76" customFormat="false" ht="15" hidden="false" customHeight="false" outlineLevel="0" collapsed="false">
      <c r="A76" s="1" t="s">
        <v>107</v>
      </c>
      <c r="B76" s="1" t="s">
        <v>30</v>
      </c>
      <c r="C76" s="1" t="n">
        <v>36400000</v>
      </c>
      <c r="D76" s="1" t="n">
        <v>83392043.5</v>
      </c>
      <c r="E76" s="1" t="n">
        <v>0.0504</v>
      </c>
      <c r="F76" s="1" t="n">
        <v>0.0951</v>
      </c>
    </row>
    <row r="77" customFormat="false" ht="15" hidden="false" customHeight="false" outlineLevel="0" collapsed="false">
      <c r="A77" s="1" t="s">
        <v>108</v>
      </c>
      <c r="B77" s="1" t="s">
        <v>41</v>
      </c>
      <c r="C77" s="1" t="n">
        <v>34800000</v>
      </c>
      <c r="D77" s="1" t="n">
        <v>6646.4</v>
      </c>
      <c r="E77" s="1" t="n">
        <v>0.032</v>
      </c>
      <c r="F77" s="1" t="n">
        <v>0.0938</v>
      </c>
    </row>
    <row r="78" customFormat="false" ht="15" hidden="false" customHeight="false" outlineLevel="0" collapsed="false">
      <c r="A78" s="1" t="s">
        <v>109</v>
      </c>
      <c r="B78" s="1" t="s">
        <v>21</v>
      </c>
      <c r="C78" s="1" t="n">
        <v>21000000</v>
      </c>
      <c r="D78" s="1" t="n">
        <v>125403.2</v>
      </c>
      <c r="E78" s="1" t="n">
        <v>0.0028</v>
      </c>
      <c r="F78" s="1" t="n">
        <v>0.0654</v>
      </c>
    </row>
    <row r="79" customFormat="false" ht="15" hidden="false" customHeight="false" outlineLevel="0" collapsed="false">
      <c r="A79" s="1" t="s">
        <v>110</v>
      </c>
      <c r="B79" s="1" t="s">
        <v>41</v>
      </c>
      <c r="C79" s="1" t="n">
        <v>23400000</v>
      </c>
      <c r="D79" s="1" t="n">
        <v>11745.9</v>
      </c>
      <c r="E79" s="1" t="n">
        <v>0.0204</v>
      </c>
      <c r="F79" s="1" t="n">
        <v>0.0576</v>
      </c>
    </row>
    <row r="80" customFormat="false" ht="15" hidden="false" customHeight="false" outlineLevel="0" collapsed="false">
      <c r="A80" s="1" t="s">
        <v>111</v>
      </c>
      <c r="B80" s="1" t="s">
        <v>26</v>
      </c>
      <c r="C80" s="1" t="n">
        <v>32400000</v>
      </c>
      <c r="D80" s="1" t="n">
        <v>379.9</v>
      </c>
      <c r="E80" s="1" t="n">
        <v>1.1237</v>
      </c>
      <c r="F80" s="1" t="n">
        <v>0.2828</v>
      </c>
    </row>
    <row r="81" customFormat="false" ht="15" hidden="false" customHeight="false" outlineLevel="0" collapsed="false">
      <c r="A81" s="1" t="s">
        <v>112</v>
      </c>
      <c r="B81" s="1" t="s">
        <v>26</v>
      </c>
      <c r="C81" s="1" t="n">
        <v>26100000</v>
      </c>
      <c r="D81" s="1" t="n">
        <v>33840.7</v>
      </c>
      <c r="E81" s="1" t="n">
        <v>0.0222</v>
      </c>
      <c r="F81" s="1" t="n">
        <v>0.0576</v>
      </c>
    </row>
    <row r="82" customFormat="false" ht="15" hidden="false" customHeight="false" outlineLevel="0" collapsed="false">
      <c r="A82" s="1" t="s">
        <v>113</v>
      </c>
      <c r="B82" s="1" t="s">
        <v>92</v>
      </c>
      <c r="C82" s="1" t="n">
        <v>15200000</v>
      </c>
      <c r="D82" s="1" t="n">
        <v>138822.9</v>
      </c>
      <c r="E82" s="1" t="n">
        <v>0.0201</v>
      </c>
      <c r="F82" s="1" t="n">
        <v>0.1053</v>
      </c>
    </row>
    <row r="83" customFormat="false" ht="15" hidden="false" customHeight="false" outlineLevel="0" collapsed="false">
      <c r="A83" s="1" t="s">
        <v>114</v>
      </c>
      <c r="B83" s="1" t="s">
        <v>28</v>
      </c>
      <c r="C83" s="1" t="n">
        <v>20600000</v>
      </c>
      <c r="D83" s="1" t="n">
        <v>3665409.7</v>
      </c>
      <c r="E83" s="1" t="n">
        <v>0.0165</v>
      </c>
      <c r="F83" s="1" t="n">
        <v>0.0854</v>
      </c>
    </row>
    <row r="84" customFormat="false" ht="15" hidden="false" customHeight="false" outlineLevel="0" collapsed="false">
      <c r="A84" s="1" t="s">
        <v>115</v>
      </c>
      <c r="B84" s="1" t="s">
        <v>41</v>
      </c>
      <c r="C84" s="1" t="n">
        <v>27000000</v>
      </c>
      <c r="D84" s="1" t="n">
        <v>5665.7</v>
      </c>
      <c r="E84" s="1" t="n">
        <v>0.0443</v>
      </c>
      <c r="F84" s="1" t="n">
        <v>0.1767</v>
      </c>
    </row>
    <row r="85" customFormat="false" ht="15" hidden="false" customHeight="false" outlineLevel="0" collapsed="false">
      <c r="A85" s="1" t="s">
        <v>116</v>
      </c>
      <c r="B85" s="1" t="s">
        <v>62</v>
      </c>
      <c r="C85" s="1" t="n">
        <v>22300000</v>
      </c>
      <c r="D85" s="1" t="n">
        <v>142460.9</v>
      </c>
      <c r="E85" s="1" t="n">
        <v>0.1376</v>
      </c>
      <c r="F85" s="1" t="n">
        <v>0.0759</v>
      </c>
    </row>
    <row r="86" customFormat="false" ht="15" hidden="false" customHeight="false" outlineLevel="0" collapsed="false">
      <c r="A86" s="1" t="s">
        <v>117</v>
      </c>
      <c r="B86" s="1" t="s">
        <v>24</v>
      </c>
      <c r="C86" s="1" t="n">
        <v>19900000</v>
      </c>
      <c r="D86" s="1" t="n">
        <v>808582.2</v>
      </c>
      <c r="E86" s="1" t="n">
        <v>0.0426</v>
      </c>
      <c r="F86" s="1" t="n">
        <v>0.0672</v>
      </c>
    </row>
    <row r="87" customFormat="false" ht="15" hidden="false" customHeight="false" outlineLevel="0" collapsed="false">
      <c r="A87" s="1" t="s">
        <v>118</v>
      </c>
      <c r="B87" s="1" t="s">
        <v>21</v>
      </c>
      <c r="C87" s="1" t="n">
        <v>27500000</v>
      </c>
      <c r="D87" s="1" t="n">
        <v>67418.8</v>
      </c>
      <c r="E87" s="1" t="n">
        <v>0.0128</v>
      </c>
      <c r="F87" s="1" t="n">
        <v>0.0584</v>
      </c>
    </row>
    <row r="88" customFormat="false" ht="15" hidden="false" customHeight="false" outlineLevel="0" collapsed="false">
      <c r="A88" s="1" t="s">
        <v>119</v>
      </c>
      <c r="B88" s="1" t="s">
        <v>50</v>
      </c>
      <c r="C88" s="1" t="n">
        <v>13200000</v>
      </c>
      <c r="D88" s="1" t="n">
        <v>6216807.4</v>
      </c>
      <c r="E88" s="1" t="n">
        <v>0.0382</v>
      </c>
      <c r="F88" s="1" t="n">
        <v>0.0951</v>
      </c>
    </row>
    <row r="89" customFormat="false" ht="15" hidden="false" customHeight="false" outlineLevel="0" collapsed="false">
      <c r="A89" s="1" t="s">
        <v>120</v>
      </c>
      <c r="B89" s="1" t="s">
        <v>41</v>
      </c>
      <c r="C89" s="1" t="n">
        <v>75200000</v>
      </c>
      <c r="D89" s="1" t="n">
        <v>12731.1</v>
      </c>
      <c r="E89" s="1" t="n">
        <v>0.0114</v>
      </c>
      <c r="F89" s="1" t="n">
        <v>0.0854</v>
      </c>
    </row>
    <row r="90" customFormat="false" ht="15" hidden="false" customHeight="false" outlineLevel="0" collapsed="false">
      <c r="A90" s="1" t="s">
        <v>121</v>
      </c>
      <c r="B90" s="1" t="s">
        <v>26</v>
      </c>
      <c r="C90" s="1" t="n">
        <v>21000000</v>
      </c>
      <c r="D90" s="1" t="n">
        <v>15642.8</v>
      </c>
      <c r="E90" s="1" t="n">
        <v>0.0443</v>
      </c>
      <c r="F90" s="1" t="n">
        <v>0.051</v>
      </c>
    </row>
    <row r="91" customFormat="false" ht="15" hidden="false" customHeight="false" outlineLevel="0" collapsed="false">
      <c r="A91" s="1" t="s">
        <v>122</v>
      </c>
      <c r="B91" s="1" t="s">
        <v>26</v>
      </c>
      <c r="C91" s="1" t="n">
        <v>20700000</v>
      </c>
      <c r="D91" s="1" t="n">
        <v>257643.6</v>
      </c>
      <c r="E91" s="1" t="n">
        <v>0.0514</v>
      </c>
      <c r="F91" s="1" t="n">
        <v>0.0938</v>
      </c>
    </row>
    <row r="92" customFormat="false" ht="15" hidden="false" customHeight="false" outlineLevel="0" collapsed="false">
      <c r="A92" s="1" t="s">
        <v>123</v>
      </c>
      <c r="B92" s="1" t="s">
        <v>21</v>
      </c>
      <c r="C92" s="1" t="n">
        <v>25600000</v>
      </c>
      <c r="D92" s="1" t="n">
        <v>2102.7</v>
      </c>
      <c r="E92" s="1" t="n">
        <v>0.0084</v>
      </c>
      <c r="F92" s="1" t="n">
        <v>0.0811</v>
      </c>
    </row>
    <row r="93" customFormat="false" ht="15" hidden="false" customHeight="false" outlineLevel="0" collapsed="false">
      <c r="A93" s="1" t="s">
        <v>124</v>
      </c>
      <c r="B93" s="1" t="s">
        <v>26</v>
      </c>
      <c r="C93" s="1" t="n">
        <v>21400000</v>
      </c>
      <c r="D93" s="1" t="n">
        <v>1860079.7</v>
      </c>
      <c r="E93" s="1" t="n">
        <v>0.059</v>
      </c>
      <c r="F93" s="1" t="n">
        <v>0.051</v>
      </c>
    </row>
    <row r="94" customFormat="false" ht="15" hidden="false" customHeight="false" outlineLevel="0" collapsed="false">
      <c r="A94" s="1" t="s">
        <v>125</v>
      </c>
      <c r="B94" s="1" t="s">
        <v>24</v>
      </c>
      <c r="C94" s="1" t="n">
        <v>29900000</v>
      </c>
      <c r="D94" s="1" t="n">
        <v>2553712.3</v>
      </c>
      <c r="E94" s="1" t="n">
        <v>0.0061</v>
      </c>
      <c r="F94" s="1" t="n">
        <v>0.0654</v>
      </c>
    </row>
    <row r="95" customFormat="false" ht="15" hidden="false" customHeight="false" outlineLevel="0" collapsed="false">
      <c r="A95" s="1" t="s">
        <v>126</v>
      </c>
      <c r="B95" s="1" t="s">
        <v>26</v>
      </c>
      <c r="C95" s="1" t="n">
        <v>23800000</v>
      </c>
      <c r="D95" s="1" t="n">
        <v>5109951</v>
      </c>
      <c r="E95" s="1" t="n">
        <v>0.0197</v>
      </c>
      <c r="F95" s="1" t="n">
        <v>0.0462</v>
      </c>
    </row>
    <row r="96" customFormat="false" ht="15" hidden="false" customHeight="false" outlineLevel="0" collapsed="false">
      <c r="A96" s="1" t="s">
        <v>127</v>
      </c>
      <c r="B96" s="1" t="s">
        <v>26</v>
      </c>
      <c r="C96" s="1" t="n">
        <v>27600000</v>
      </c>
      <c r="D96" s="1" t="n">
        <v>321902.5</v>
      </c>
      <c r="E96" s="1" t="n">
        <v>0.0534</v>
      </c>
      <c r="F96" s="1" t="n">
        <v>0.0938</v>
      </c>
    </row>
    <row r="97" customFormat="false" ht="15" hidden="false" customHeight="false" outlineLevel="0" collapsed="false">
      <c r="A97" s="1" t="s">
        <v>128</v>
      </c>
      <c r="B97" s="1" t="s">
        <v>53</v>
      </c>
      <c r="C97" s="1" t="n">
        <v>27100000</v>
      </c>
      <c r="D97" s="1" t="n">
        <v>26071.4</v>
      </c>
      <c r="E97" s="1" t="n">
        <v>0.0076</v>
      </c>
      <c r="F97" s="1" t="n">
        <v>0.1013</v>
      </c>
    </row>
    <row r="98" customFormat="false" ht="15" hidden="false" customHeight="false" outlineLevel="0" collapsed="false">
      <c r="A98" s="1" t="s">
        <v>129</v>
      </c>
      <c r="B98" s="1" t="s">
        <v>26</v>
      </c>
      <c r="C98" s="1" t="n">
        <v>42300000</v>
      </c>
      <c r="D98" s="1" t="n">
        <v>375250.1</v>
      </c>
      <c r="E98" s="1" t="n">
        <v>0.0072</v>
      </c>
      <c r="F98" s="1" t="n">
        <v>0.0811</v>
      </c>
    </row>
    <row r="99" customFormat="false" ht="15" hidden="false" customHeight="false" outlineLevel="0" collapsed="false">
      <c r="A99" s="1" t="s">
        <v>130</v>
      </c>
      <c r="B99" s="1" t="s">
        <v>71</v>
      </c>
      <c r="C99" s="1" t="n">
        <v>23700000</v>
      </c>
      <c r="D99" s="1" t="n">
        <v>41038.5</v>
      </c>
      <c r="E99" s="1" t="n">
        <v>0.0512</v>
      </c>
      <c r="F99" s="1" t="n">
        <v>0.0938</v>
      </c>
    </row>
    <row r="100" customFormat="false" ht="15" hidden="false" customHeight="false" outlineLevel="0" collapsed="false">
      <c r="A100" s="1" t="s">
        <v>131</v>
      </c>
      <c r="B100" s="1" t="s">
        <v>26</v>
      </c>
      <c r="C100" s="1" t="n">
        <v>23300000</v>
      </c>
      <c r="D100" s="1" t="n">
        <v>1562096.1</v>
      </c>
      <c r="E100" s="1" t="n">
        <v>0.0116</v>
      </c>
      <c r="F100" s="1" t="n">
        <v>0.0584</v>
      </c>
    </row>
    <row r="101" customFormat="false" ht="15" hidden="false" customHeight="false" outlineLevel="0" collapsed="false">
      <c r="A101" s="1" t="s">
        <v>132</v>
      </c>
      <c r="B101" s="1" t="s">
        <v>41</v>
      </c>
      <c r="C101" s="1" t="n">
        <v>40200000</v>
      </c>
      <c r="D101" s="1" t="n">
        <v>35743</v>
      </c>
      <c r="E101" s="1" t="n">
        <v>0.0091</v>
      </c>
      <c r="F101" s="1" t="n">
        <v>0.0811</v>
      </c>
    </row>
    <row r="102" customFormat="false" ht="15" hidden="false" customHeight="false" outlineLevel="0" collapsed="false">
      <c r="A102" s="1" t="s">
        <v>133</v>
      </c>
      <c r="B102" s="1" t="s">
        <v>53</v>
      </c>
      <c r="C102" s="1" t="n">
        <v>20800000</v>
      </c>
      <c r="D102" s="1" t="n">
        <v>261833.1</v>
      </c>
      <c r="E102" s="1" t="n">
        <v>0.0366</v>
      </c>
      <c r="F102" s="1" t="n">
        <v>0.0759</v>
      </c>
    </row>
    <row r="103" customFormat="false" ht="15" hidden="false" customHeight="false" outlineLevel="0" collapsed="false">
      <c r="A103" s="1" t="s">
        <v>134</v>
      </c>
      <c r="B103" s="1" t="s">
        <v>30</v>
      </c>
      <c r="C103" s="1" t="n">
        <v>19800000</v>
      </c>
      <c r="D103" s="1" t="n">
        <v>520701.8</v>
      </c>
      <c r="E103" s="1" t="n">
        <v>0.0024</v>
      </c>
      <c r="F103" s="1" t="n">
        <v>0.0654</v>
      </c>
    </row>
    <row r="104" customFormat="false" ht="15" hidden="false" customHeight="false" outlineLevel="0" collapsed="false">
      <c r="A104" s="1" t="s">
        <v>135</v>
      </c>
      <c r="B104" s="1" t="s">
        <v>30</v>
      </c>
      <c r="C104" s="1" t="n">
        <v>22200000</v>
      </c>
      <c r="D104" s="1" t="n">
        <v>19069</v>
      </c>
      <c r="E104" s="1" t="n">
        <v>0.0101</v>
      </c>
      <c r="F104" s="1" t="n">
        <v>0.0811</v>
      </c>
    </row>
    <row r="105" customFormat="false" ht="15" hidden="false" customHeight="false" outlineLevel="0" collapsed="false">
      <c r="A105" s="1" t="s">
        <v>136</v>
      </c>
      <c r="B105" s="1" t="s">
        <v>92</v>
      </c>
      <c r="C105" s="1" t="n">
        <v>30600000</v>
      </c>
      <c r="D105" s="1" t="n">
        <v>10769579.9</v>
      </c>
      <c r="E105" s="1" t="n">
        <v>0.0148</v>
      </c>
      <c r="F105" s="1" t="n">
        <v>0.0585</v>
      </c>
    </row>
    <row r="106" customFormat="false" ht="15" hidden="false" customHeight="false" outlineLevel="0" collapsed="false">
      <c r="A106" s="1" t="s">
        <v>137</v>
      </c>
      <c r="B106" s="1" t="s">
        <v>30</v>
      </c>
      <c r="C106" s="1" t="n">
        <v>28300000</v>
      </c>
      <c r="D106" s="1" t="n">
        <v>4715184.2</v>
      </c>
      <c r="E106" s="1" t="n">
        <v>0.0016</v>
      </c>
      <c r="F106" s="1" t="n">
        <v>0.0654</v>
      </c>
    </row>
    <row r="107" customFormat="false" ht="15" hidden="false" customHeight="false" outlineLevel="0" collapsed="false">
      <c r="A107" s="1" t="s">
        <v>138</v>
      </c>
      <c r="B107" s="1" t="s">
        <v>32</v>
      </c>
      <c r="C107" s="1" t="n">
        <v>21400000</v>
      </c>
      <c r="D107" s="1" t="n">
        <v>11750.4</v>
      </c>
      <c r="E107" s="1" t="n">
        <v>0.0315</v>
      </c>
      <c r="F107" s="1" t="n">
        <v>0.0538</v>
      </c>
    </row>
    <row r="108" customFormat="false" ht="15" hidden="false" customHeight="false" outlineLevel="0" collapsed="false">
      <c r="A108" s="1" t="s">
        <v>139</v>
      </c>
      <c r="B108" s="1" t="s">
        <v>41</v>
      </c>
      <c r="C108" s="1" t="n">
        <v>25600000</v>
      </c>
      <c r="D108" s="1" t="n">
        <v>12873.8</v>
      </c>
      <c r="E108" s="1" t="n">
        <v>0.0143</v>
      </c>
      <c r="F108" s="1" t="n">
        <v>0.1053</v>
      </c>
    </row>
    <row r="109" customFormat="false" ht="15" hidden="false" customHeight="false" outlineLevel="0" collapsed="false">
      <c r="A109" s="1" t="s">
        <v>140</v>
      </c>
      <c r="B109" s="1" t="s">
        <v>21</v>
      </c>
      <c r="C109" s="1" t="n">
        <v>38700000</v>
      </c>
      <c r="D109" s="1" t="n">
        <v>3772640.1</v>
      </c>
      <c r="E109" s="1" t="n">
        <v>0.0139</v>
      </c>
      <c r="F109" s="1" t="n">
        <v>0.0462</v>
      </c>
    </row>
    <row r="110" customFormat="false" ht="15" hidden="false" customHeight="false" outlineLevel="0" collapsed="false">
      <c r="A110" s="1" t="s">
        <v>141</v>
      </c>
      <c r="B110" s="1" t="s">
        <v>41</v>
      </c>
      <c r="C110" s="1" t="n">
        <v>23300000</v>
      </c>
      <c r="D110" s="1" t="n">
        <v>322103.1</v>
      </c>
      <c r="E110" s="1" t="n">
        <v>0.0471</v>
      </c>
      <c r="F110" s="1" t="n">
        <v>0.0938</v>
      </c>
    </row>
    <row r="111" customFormat="false" ht="15" hidden="false" customHeight="false" outlineLevel="0" collapsed="false">
      <c r="A111" s="1" t="s">
        <v>142</v>
      </c>
      <c r="B111" s="1" t="s">
        <v>26</v>
      </c>
      <c r="C111" s="1" t="n">
        <v>23000000</v>
      </c>
      <c r="D111" s="1" t="n">
        <v>8444.2</v>
      </c>
      <c r="E111" s="1" t="n">
        <v>0.0178</v>
      </c>
      <c r="F111" s="1" t="n">
        <v>0.1013</v>
      </c>
    </row>
    <row r="112" customFormat="false" ht="15" hidden="false" customHeight="false" outlineLevel="0" collapsed="false">
      <c r="A112" s="1" t="s">
        <v>143</v>
      </c>
      <c r="B112" s="1" t="s">
        <v>71</v>
      </c>
      <c r="C112" s="1" t="n">
        <v>32000000</v>
      </c>
      <c r="D112" s="1" t="n">
        <v>79568.2</v>
      </c>
      <c r="E112" s="1" t="n">
        <v>0.0109</v>
      </c>
      <c r="F112" s="1" t="n">
        <v>0.0811</v>
      </c>
    </row>
    <row r="113" customFormat="false" ht="15" hidden="false" customHeight="false" outlineLevel="0" collapsed="false">
      <c r="A113" s="1" t="s">
        <v>144</v>
      </c>
      <c r="B113" s="1" t="s">
        <v>24</v>
      </c>
      <c r="C113" s="1" t="n">
        <v>22400000</v>
      </c>
      <c r="D113" s="1" t="n">
        <v>240719.9</v>
      </c>
      <c r="E113" s="1" t="n">
        <v>0.0627</v>
      </c>
      <c r="F113" s="1" t="n">
        <v>0.0759</v>
      </c>
    </row>
    <row r="114" customFormat="false" ht="15" hidden="false" customHeight="false" outlineLevel="0" collapsed="false">
      <c r="A114" s="1" t="s">
        <v>145</v>
      </c>
      <c r="B114" s="1" t="s">
        <v>26</v>
      </c>
      <c r="C114" s="1" t="n">
        <v>10700000</v>
      </c>
      <c r="D114" s="1" t="n">
        <v>12175427.4</v>
      </c>
      <c r="E114" s="1" t="n">
        <v>0.0208</v>
      </c>
      <c r="F114" s="1" t="n">
        <v>0.0518</v>
      </c>
    </row>
    <row r="115" customFormat="false" ht="15" hidden="false" customHeight="false" outlineLevel="0" collapsed="false">
      <c r="A115" s="1" t="s">
        <v>146</v>
      </c>
      <c r="B115" s="1" t="s">
        <v>21</v>
      </c>
      <c r="C115" s="1" t="n">
        <v>36100000</v>
      </c>
      <c r="D115" s="1" t="n">
        <v>102390.8</v>
      </c>
      <c r="E115" s="1" t="n">
        <v>0.0265</v>
      </c>
      <c r="F115" s="1" t="n">
        <v>0.051</v>
      </c>
    </row>
    <row r="116" customFormat="false" ht="15" hidden="false" customHeight="false" outlineLevel="0" collapsed="false">
      <c r="A116" s="1" t="s">
        <v>147</v>
      </c>
      <c r="B116" s="1" t="s">
        <v>30</v>
      </c>
      <c r="C116" s="1" t="n">
        <v>18400000</v>
      </c>
      <c r="D116" s="1" t="n">
        <v>37951.2</v>
      </c>
      <c r="E116" s="1" t="n">
        <v>0.0085</v>
      </c>
      <c r="F116" s="1" t="n">
        <v>0.0811</v>
      </c>
    </row>
    <row r="117" customFormat="false" ht="15" hidden="false" customHeight="false" outlineLevel="0" collapsed="false">
      <c r="A117" s="1" t="s">
        <v>148</v>
      </c>
      <c r="B117" s="1" t="s">
        <v>71</v>
      </c>
      <c r="C117" s="1" t="n">
        <v>16000000</v>
      </c>
      <c r="D117" s="1" t="n">
        <v>258375.8</v>
      </c>
      <c r="E117" s="1" t="n">
        <v>0.0577</v>
      </c>
      <c r="F117" s="1" t="n">
        <v>0.0759</v>
      </c>
    </row>
    <row r="118" customFormat="false" ht="15" hidden="false" customHeight="false" outlineLevel="0" collapsed="false">
      <c r="A118" s="1" t="s">
        <v>149</v>
      </c>
      <c r="B118" s="1" t="s">
        <v>24</v>
      </c>
      <c r="C118" s="1" t="n">
        <v>19500000</v>
      </c>
      <c r="D118" s="1" t="n">
        <v>81602.9</v>
      </c>
      <c r="E118" s="1" t="n">
        <v>0.0182</v>
      </c>
      <c r="F118" s="1" t="n">
        <v>0.2064</v>
      </c>
    </row>
    <row r="119" customFormat="false" ht="15" hidden="false" customHeight="false" outlineLevel="0" collapsed="false">
      <c r="A119" s="1" t="s">
        <v>150</v>
      </c>
      <c r="B119" s="1" t="s">
        <v>88</v>
      </c>
      <c r="C119" s="1" t="n">
        <v>20400000</v>
      </c>
      <c r="D119" s="1" t="n">
        <v>6144.1</v>
      </c>
      <c r="E119" s="1" t="n">
        <v>0.0517</v>
      </c>
      <c r="F119" s="1" t="n">
        <v>0.0938</v>
      </c>
    </row>
    <row r="120" customFormat="false" ht="15" hidden="false" customHeight="false" outlineLevel="0" collapsed="false">
      <c r="A120" s="1" t="s">
        <v>151</v>
      </c>
      <c r="B120" s="1" t="s">
        <v>41</v>
      </c>
      <c r="C120" s="1" t="n">
        <v>22400000</v>
      </c>
      <c r="D120" s="1" t="n">
        <v>1107.9</v>
      </c>
      <c r="E120" s="1" t="n">
        <v>0.0292</v>
      </c>
      <c r="F120" s="1" t="n">
        <v>0.0938</v>
      </c>
    </row>
    <row r="121" customFormat="false" ht="15" hidden="false" customHeight="false" outlineLevel="0" collapsed="false">
      <c r="A121" s="1" t="s">
        <v>152</v>
      </c>
      <c r="B121" s="1" t="s">
        <v>41</v>
      </c>
      <c r="C121" s="1" t="n">
        <v>15600000</v>
      </c>
      <c r="D121" s="1" t="n">
        <v>164802.4</v>
      </c>
      <c r="E121" s="1" t="n">
        <v>0.0117</v>
      </c>
      <c r="F121" s="1" t="n">
        <v>0.0726</v>
      </c>
    </row>
    <row r="122" customFormat="false" ht="15" hidden="false" customHeight="false" outlineLevel="0" collapsed="false">
      <c r="A122" s="1" t="s">
        <v>153</v>
      </c>
      <c r="B122" s="1" t="s">
        <v>26</v>
      </c>
      <c r="C122" s="1" t="n">
        <v>16800000</v>
      </c>
      <c r="D122" s="1" t="n">
        <v>1228932.5</v>
      </c>
      <c r="E122" s="1" t="n">
        <v>0.031</v>
      </c>
      <c r="F122" s="1" t="n">
        <v>0.0409</v>
      </c>
    </row>
    <row r="123" customFormat="false" ht="15" hidden="false" customHeight="false" outlineLevel="0" collapsed="false">
      <c r="A123" s="1" t="s">
        <v>154</v>
      </c>
      <c r="B123" s="1" t="s">
        <v>26</v>
      </c>
      <c r="C123" s="1" t="n">
        <v>16900000</v>
      </c>
      <c r="D123" s="1" t="n">
        <v>58832.9</v>
      </c>
      <c r="E123" s="1" t="n">
        <v>0.0315</v>
      </c>
      <c r="F123" s="1" t="n">
        <v>0.0938</v>
      </c>
    </row>
    <row r="124" customFormat="false" ht="15" hidden="false" customHeight="false" outlineLevel="0" collapsed="false">
      <c r="A124" s="1" t="s">
        <v>155</v>
      </c>
      <c r="B124" s="1" t="s">
        <v>21</v>
      </c>
      <c r="C124" s="1" t="n">
        <v>14700000</v>
      </c>
      <c r="D124" s="1" t="n">
        <v>73956.1</v>
      </c>
      <c r="E124" s="1" t="n">
        <v>0.0116</v>
      </c>
      <c r="F124" s="1" t="n">
        <v>0.0584</v>
      </c>
    </row>
    <row r="125" customFormat="false" ht="15" hidden="false" customHeight="false" outlineLevel="0" collapsed="false">
      <c r="A125" s="1" t="s">
        <v>156</v>
      </c>
      <c r="B125" s="1" t="s">
        <v>26</v>
      </c>
      <c r="C125" s="1" t="n">
        <v>14300000</v>
      </c>
      <c r="D125" s="1" t="n">
        <v>8137.2</v>
      </c>
      <c r="E125" s="1" t="n">
        <v>0.0008</v>
      </c>
      <c r="F125" s="1" t="n">
        <v>0.0654</v>
      </c>
    </row>
    <row r="126" customFormat="false" ht="15" hidden="false" customHeight="false" outlineLevel="0" collapsed="false">
      <c r="A126" s="1" t="s">
        <v>157</v>
      </c>
      <c r="B126" s="1" t="s">
        <v>26</v>
      </c>
      <c r="C126" s="1" t="n">
        <v>14900000</v>
      </c>
      <c r="D126" s="1" t="n">
        <v>11139921</v>
      </c>
      <c r="F126" s="1" t="n">
        <v>0.0518</v>
      </c>
    </row>
    <row r="127" customFormat="false" ht="15" hidden="false" customHeight="false" outlineLevel="0" collapsed="false">
      <c r="A127" s="1" t="s">
        <v>158</v>
      </c>
      <c r="B127" s="1" t="s">
        <v>26</v>
      </c>
      <c r="C127" s="1" t="n">
        <v>17200000</v>
      </c>
      <c r="D127" s="1" t="n">
        <v>1694784.5</v>
      </c>
      <c r="E127" s="1" t="n">
        <v>0.021</v>
      </c>
      <c r="F127" s="1" t="n">
        <v>0.1053</v>
      </c>
    </row>
    <row r="128" customFormat="false" ht="15" hidden="false" customHeight="false" outlineLevel="0" collapsed="false">
      <c r="A128" s="1" t="s">
        <v>159</v>
      </c>
      <c r="B128" s="1" t="s">
        <v>92</v>
      </c>
      <c r="C128" s="1" t="n">
        <v>13500000</v>
      </c>
      <c r="D128" s="1" t="n">
        <v>186503.8</v>
      </c>
      <c r="E128" s="1" t="n">
        <v>0.0311</v>
      </c>
      <c r="F128" s="1" t="n">
        <v>0.0759</v>
      </c>
    </row>
    <row r="129" customFormat="false" ht="15" hidden="false" customHeight="false" outlineLevel="0" collapsed="false">
      <c r="A129" s="1" t="s">
        <v>160</v>
      </c>
      <c r="B129" s="1" t="s">
        <v>28</v>
      </c>
      <c r="C129" s="1" t="n">
        <v>16500000</v>
      </c>
      <c r="D129" s="1" t="n">
        <v>1972.1</v>
      </c>
      <c r="E129" s="1" t="n">
        <v>0.0051</v>
      </c>
      <c r="F129" s="1" t="n">
        <v>0.0811</v>
      </c>
    </row>
    <row r="130" customFormat="false" ht="15" hidden="false" customHeight="false" outlineLevel="0" collapsed="false">
      <c r="A130" s="1" t="s">
        <v>161</v>
      </c>
      <c r="B130" s="1" t="s">
        <v>28</v>
      </c>
      <c r="C130" s="1" t="n">
        <v>17500000</v>
      </c>
      <c r="D130" s="1" t="n">
        <v>192615.8</v>
      </c>
      <c r="E130" s="1" t="n">
        <v>0.0062</v>
      </c>
      <c r="F130" s="1" t="n">
        <v>0.0811</v>
      </c>
    </row>
    <row r="131" customFormat="false" ht="15" hidden="false" customHeight="false" outlineLevel="0" collapsed="false">
      <c r="A131" s="1" t="s">
        <v>162</v>
      </c>
      <c r="B131" s="1" t="s">
        <v>41</v>
      </c>
      <c r="C131" s="1" t="n">
        <v>25800000</v>
      </c>
      <c r="D131" s="1" t="n">
        <v>5969.9</v>
      </c>
      <c r="E131" s="1" t="n">
        <v>0.0128</v>
      </c>
      <c r="F131" s="1" t="n">
        <v>0.0726</v>
      </c>
    </row>
    <row r="132" customFormat="false" ht="15" hidden="false" customHeight="false" outlineLevel="0" collapsed="false">
      <c r="A132" s="1" t="s">
        <v>163</v>
      </c>
      <c r="B132" s="1" t="s">
        <v>24</v>
      </c>
      <c r="C132" s="1" t="n">
        <v>15900000</v>
      </c>
      <c r="D132" s="1" t="n">
        <v>2076.7</v>
      </c>
      <c r="E132" s="1" t="n">
        <v>0.0347</v>
      </c>
      <c r="F132" s="1" t="n">
        <v>0.0938</v>
      </c>
    </row>
    <row r="133" customFormat="false" ht="15" hidden="false" customHeight="false" outlineLevel="0" collapsed="false">
      <c r="A133" s="1" t="s">
        <v>164</v>
      </c>
      <c r="B133" s="1" t="s">
        <v>32</v>
      </c>
      <c r="C133" s="1" t="n">
        <v>20500000</v>
      </c>
      <c r="D133" s="1" t="n">
        <v>93616.3</v>
      </c>
      <c r="E133" s="1" t="n">
        <v>0.0072</v>
      </c>
      <c r="F133" s="1" t="n">
        <v>0.1015</v>
      </c>
    </row>
    <row r="134" customFormat="false" ht="15" hidden="false" customHeight="false" outlineLevel="0" collapsed="false">
      <c r="A134" s="1" t="s">
        <v>165</v>
      </c>
      <c r="B134" s="1" t="s">
        <v>26</v>
      </c>
      <c r="C134" s="1" t="n">
        <v>16600000</v>
      </c>
      <c r="D134" s="1" t="n">
        <v>7019176.6</v>
      </c>
      <c r="E134" s="1" t="n">
        <v>0.041</v>
      </c>
      <c r="F134" s="1" t="n">
        <v>0.0518</v>
      </c>
    </row>
    <row r="135" customFormat="false" ht="15" hidden="false" customHeight="false" outlineLevel="0" collapsed="false">
      <c r="A135" s="1" t="s">
        <v>166</v>
      </c>
      <c r="B135" s="1" t="s">
        <v>21</v>
      </c>
      <c r="C135" s="1" t="n">
        <v>21800000</v>
      </c>
      <c r="D135" s="1" t="n">
        <v>98.7</v>
      </c>
      <c r="E135" s="1" t="n">
        <v>0.0156</v>
      </c>
      <c r="F135" s="1" t="n">
        <v>0.1948</v>
      </c>
    </row>
    <row r="136" customFormat="false" ht="15" hidden="false" customHeight="false" outlineLevel="0" collapsed="false">
      <c r="A136" s="1" t="s">
        <v>167</v>
      </c>
      <c r="B136" s="1" t="s">
        <v>71</v>
      </c>
      <c r="C136" s="1" t="n">
        <v>15500000</v>
      </c>
      <c r="D136" s="1" t="n">
        <v>332799.7</v>
      </c>
      <c r="E136" s="1" t="n">
        <v>0.0423</v>
      </c>
      <c r="F136" s="1" t="n">
        <v>0.0938</v>
      </c>
    </row>
    <row r="137" customFormat="false" ht="15" hidden="false" customHeight="false" outlineLevel="0" collapsed="false">
      <c r="A137" s="1" t="s">
        <v>168</v>
      </c>
      <c r="B137" s="1" t="s">
        <v>26</v>
      </c>
      <c r="C137" s="1" t="n">
        <v>17900000</v>
      </c>
      <c r="D137" s="1" t="n">
        <v>1378523.3</v>
      </c>
      <c r="E137" s="1" t="n">
        <v>0.0424</v>
      </c>
      <c r="F137" s="1" t="n">
        <v>0.0409</v>
      </c>
    </row>
    <row r="138" customFormat="false" ht="15" hidden="false" customHeight="false" outlineLevel="0" collapsed="false">
      <c r="A138" s="1" t="s">
        <v>169</v>
      </c>
      <c r="B138" s="1" t="s">
        <v>21</v>
      </c>
      <c r="C138" s="1" t="n">
        <v>17800000</v>
      </c>
      <c r="D138" s="1" t="n">
        <v>1291.8</v>
      </c>
      <c r="E138" s="1" t="n">
        <v>0.02</v>
      </c>
      <c r="F138" s="1" t="n">
        <v>0.051</v>
      </c>
    </row>
    <row r="139" customFormat="false" ht="15" hidden="false" customHeight="false" outlineLevel="0" collapsed="false">
      <c r="A139" s="1" t="s">
        <v>170</v>
      </c>
      <c r="B139" s="1" t="s">
        <v>30</v>
      </c>
      <c r="C139" s="1" t="n">
        <v>15900000</v>
      </c>
      <c r="D139" s="1" t="n">
        <v>4371466.2</v>
      </c>
      <c r="E139" s="1" t="n">
        <v>0.0913</v>
      </c>
      <c r="F139" s="1" t="n">
        <v>0.0951</v>
      </c>
    </row>
    <row r="140" customFormat="false" ht="15" hidden="false" customHeight="false" outlineLevel="0" collapsed="false">
      <c r="A140" s="1" t="s">
        <v>171</v>
      </c>
      <c r="B140" s="1" t="s">
        <v>21</v>
      </c>
      <c r="C140" s="1" t="n">
        <v>17000000</v>
      </c>
      <c r="D140" s="1" t="n">
        <v>30003.1</v>
      </c>
      <c r="E140" s="1" t="n">
        <v>0.0655</v>
      </c>
      <c r="F140" s="1" t="n">
        <v>0.0938</v>
      </c>
    </row>
    <row r="141" customFormat="false" ht="15" hidden="false" customHeight="false" outlineLevel="0" collapsed="false">
      <c r="A141" s="1" t="s">
        <v>172</v>
      </c>
      <c r="B141" s="1" t="s">
        <v>92</v>
      </c>
      <c r="C141" s="1" t="n">
        <v>14600000</v>
      </c>
      <c r="D141" s="1" t="n">
        <v>130808.3</v>
      </c>
      <c r="E141" s="1" t="n">
        <v>0.035</v>
      </c>
      <c r="F141" s="1" t="n">
        <v>0.0938</v>
      </c>
    </row>
    <row r="142" customFormat="false" ht="15" hidden="false" customHeight="false" outlineLevel="0" collapsed="false">
      <c r="A142" s="1" t="s">
        <v>173</v>
      </c>
      <c r="B142" s="1" t="s">
        <v>21</v>
      </c>
      <c r="C142" s="1" t="n">
        <v>18000000</v>
      </c>
      <c r="D142" s="1" t="n">
        <v>901.8</v>
      </c>
      <c r="E142" s="1" t="n">
        <v>0.0056</v>
      </c>
      <c r="F142" s="1" t="n">
        <v>0.0811</v>
      </c>
    </row>
    <row r="143" customFormat="false" ht="15" hidden="false" customHeight="false" outlineLevel="0" collapsed="false">
      <c r="A143" s="1" t="s">
        <v>174</v>
      </c>
      <c r="B143" s="1" t="s">
        <v>32</v>
      </c>
      <c r="C143" s="1" t="n">
        <v>19800000</v>
      </c>
      <c r="D143" s="1" t="n">
        <v>62527.8</v>
      </c>
      <c r="E143" s="1" t="n">
        <v>0.0134</v>
      </c>
      <c r="F143" s="1" t="n">
        <v>0.0576</v>
      </c>
    </row>
    <row r="144" customFormat="false" ht="15" hidden="false" customHeight="false" outlineLevel="0" collapsed="false">
      <c r="A144" s="1" t="s">
        <v>175</v>
      </c>
      <c r="B144" s="1" t="s">
        <v>41</v>
      </c>
      <c r="C144" s="1" t="n">
        <v>20500000</v>
      </c>
      <c r="D144" s="1" t="n">
        <v>7295.6</v>
      </c>
      <c r="E144" s="1" t="n">
        <v>0.0417</v>
      </c>
      <c r="F144" s="1" t="n">
        <v>0.0643</v>
      </c>
    </row>
    <row r="145" customFormat="false" ht="15" hidden="false" customHeight="false" outlineLevel="0" collapsed="false">
      <c r="A145" s="1" t="s">
        <v>176</v>
      </c>
      <c r="B145" s="1" t="s">
        <v>88</v>
      </c>
      <c r="C145" s="1" t="n">
        <v>17700000</v>
      </c>
      <c r="D145" s="1" t="n">
        <v>256402.4</v>
      </c>
      <c r="E145" s="1" t="n">
        <v>0.0057</v>
      </c>
      <c r="F145" s="1" t="n">
        <v>0.0654</v>
      </c>
    </row>
    <row r="146" customFormat="false" ht="15" hidden="false" customHeight="false" outlineLevel="0" collapsed="false">
      <c r="A146" s="1" t="s">
        <v>177</v>
      </c>
      <c r="B146" s="1" t="s">
        <v>53</v>
      </c>
      <c r="C146" s="1" t="n">
        <v>18400000</v>
      </c>
      <c r="D146" s="1" t="n">
        <v>67556.8</v>
      </c>
      <c r="E146" s="1" t="n">
        <v>0.1021</v>
      </c>
      <c r="F146" s="1" t="n">
        <v>0.0938</v>
      </c>
    </row>
    <row r="147" customFormat="false" ht="15" hidden="false" customHeight="false" outlineLevel="0" collapsed="false">
      <c r="A147" s="1" t="s">
        <v>178</v>
      </c>
      <c r="B147" s="1" t="s">
        <v>26</v>
      </c>
      <c r="C147" s="1" t="n">
        <v>21400000</v>
      </c>
      <c r="D147" s="1" t="n">
        <v>2069</v>
      </c>
      <c r="E147" s="1" t="n">
        <v>0.0173</v>
      </c>
      <c r="F147" s="1" t="n">
        <v>0.0576</v>
      </c>
    </row>
    <row r="148" customFormat="false" ht="15" hidden="false" customHeight="false" outlineLevel="0" collapsed="false">
      <c r="A148" s="1" t="s">
        <v>179</v>
      </c>
      <c r="B148" s="1" t="s">
        <v>26</v>
      </c>
      <c r="C148" s="1" t="n">
        <v>21600000</v>
      </c>
      <c r="D148" s="1" t="n">
        <v>2515932.8</v>
      </c>
      <c r="E148" s="1" t="n">
        <v>0.0389</v>
      </c>
      <c r="F148" s="1" t="n">
        <v>0.0409</v>
      </c>
    </row>
    <row r="149" customFormat="false" ht="15" hidden="false" customHeight="false" outlineLevel="0" collapsed="false">
      <c r="A149" s="1" t="s">
        <v>180</v>
      </c>
      <c r="B149" s="1" t="s">
        <v>26</v>
      </c>
      <c r="C149" s="1" t="n">
        <v>15700000</v>
      </c>
      <c r="D149" s="1" t="n">
        <v>211949.4</v>
      </c>
      <c r="E149" s="1" t="n">
        <v>0.0376</v>
      </c>
      <c r="F149" s="1" t="n">
        <v>0.0938</v>
      </c>
    </row>
    <row r="150" customFormat="false" ht="15" hidden="false" customHeight="false" outlineLevel="0" collapsed="false">
      <c r="A150" s="1" t="s">
        <v>181</v>
      </c>
      <c r="B150" s="1" t="s">
        <v>26</v>
      </c>
      <c r="C150" s="1" t="n">
        <v>13900000</v>
      </c>
      <c r="D150" s="1" t="n">
        <v>708687.2</v>
      </c>
      <c r="E150" s="1" t="n">
        <v>0.0108</v>
      </c>
      <c r="F150" s="1" t="n">
        <v>0.0654</v>
      </c>
    </row>
    <row r="151" customFormat="false" ht="15" hidden="false" customHeight="false" outlineLevel="0" collapsed="false">
      <c r="A151" s="1" t="s">
        <v>182</v>
      </c>
      <c r="B151" s="1" t="s">
        <v>26</v>
      </c>
      <c r="C151" s="1" t="n">
        <v>22500000</v>
      </c>
      <c r="D151" s="1" t="n">
        <v>1167615.9</v>
      </c>
      <c r="E151" s="1" t="n">
        <v>0.0196</v>
      </c>
      <c r="F151" s="1" t="n">
        <v>0.0576</v>
      </c>
    </row>
    <row r="152" customFormat="false" ht="15" hidden="false" customHeight="false" outlineLevel="0" collapsed="false">
      <c r="A152" s="1" t="s">
        <v>183</v>
      </c>
      <c r="B152" s="1" t="s">
        <v>26</v>
      </c>
      <c r="C152" s="1" t="n">
        <v>17600000</v>
      </c>
      <c r="D152" s="1" t="n">
        <v>1013708.5</v>
      </c>
      <c r="E152" s="1" t="n">
        <v>0.0553</v>
      </c>
      <c r="F152" s="1" t="n">
        <v>0.0759</v>
      </c>
    </row>
    <row r="153" customFormat="false" ht="15" hidden="false" customHeight="false" outlineLevel="0" collapsed="false">
      <c r="A153" s="1" t="s">
        <v>184</v>
      </c>
      <c r="B153" s="1" t="s">
        <v>62</v>
      </c>
      <c r="C153" s="1" t="n">
        <v>2250000</v>
      </c>
      <c r="D153" s="1" t="n">
        <v>38442.2</v>
      </c>
      <c r="E153" s="1" t="n">
        <v>0.0299</v>
      </c>
      <c r="F153" s="1" t="n">
        <v>0.0759</v>
      </c>
    </row>
    <row r="154" customFormat="false" ht="15" hidden="false" customHeight="false" outlineLevel="0" collapsed="false">
      <c r="A154" s="1" t="s">
        <v>185</v>
      </c>
      <c r="B154" s="1" t="s">
        <v>24</v>
      </c>
      <c r="C154" s="1" t="n">
        <v>16400000</v>
      </c>
      <c r="D154" s="1" t="n">
        <v>60362.4</v>
      </c>
      <c r="E154" s="1" t="n">
        <v>0.0426</v>
      </c>
      <c r="F154" s="1" t="n">
        <v>0.0938</v>
      </c>
    </row>
    <row r="155" customFormat="false" ht="15" hidden="false" customHeight="false" outlineLevel="0" collapsed="false">
      <c r="A155" s="1" t="s">
        <v>186</v>
      </c>
      <c r="B155" s="1" t="s">
        <v>88</v>
      </c>
      <c r="C155" s="1" t="n">
        <v>14500000</v>
      </c>
      <c r="D155" s="1" t="n">
        <v>2127116.4</v>
      </c>
      <c r="E155" s="1" t="n">
        <v>0.0618</v>
      </c>
      <c r="F155" s="1" t="n">
        <v>0.0409</v>
      </c>
    </row>
    <row r="156" customFormat="false" ht="15" hidden="false" customHeight="false" outlineLevel="0" collapsed="false">
      <c r="A156" s="1" t="s">
        <v>187</v>
      </c>
      <c r="B156" s="1" t="s">
        <v>74</v>
      </c>
      <c r="C156" s="1" t="n">
        <v>20900000</v>
      </c>
      <c r="D156" s="1" t="n">
        <v>2995.4</v>
      </c>
      <c r="E156" s="1" t="n">
        <v>0.0083</v>
      </c>
      <c r="F156" s="1" t="n">
        <v>0.0811</v>
      </c>
    </row>
    <row r="157" customFormat="false" ht="15" hidden="false" customHeight="false" outlineLevel="0" collapsed="false">
      <c r="A157" s="1" t="s">
        <v>188</v>
      </c>
      <c r="B157" s="1" t="s">
        <v>53</v>
      </c>
      <c r="C157" s="1" t="n">
        <v>16600000</v>
      </c>
      <c r="D157" s="1" t="n">
        <v>54468.4</v>
      </c>
      <c r="E157" s="1" t="n">
        <v>0.0694</v>
      </c>
      <c r="F157" s="1" t="n">
        <v>0.0938</v>
      </c>
    </row>
    <row r="158" customFormat="false" ht="15" hidden="false" customHeight="false" outlineLevel="0" collapsed="false">
      <c r="A158" s="1" t="s">
        <v>189</v>
      </c>
      <c r="B158" s="1" t="s">
        <v>26</v>
      </c>
      <c r="C158" s="1" t="n">
        <v>29100000</v>
      </c>
      <c r="D158" s="1" t="n">
        <v>329717.6</v>
      </c>
      <c r="E158" s="1" t="n">
        <v>0.0089</v>
      </c>
      <c r="F158" s="1" t="n">
        <v>0.0811</v>
      </c>
    </row>
    <row r="159" customFormat="false" ht="15" hidden="false" customHeight="false" outlineLevel="0" collapsed="false">
      <c r="A159" s="1" t="s">
        <v>190</v>
      </c>
      <c r="B159" s="1" t="s">
        <v>26</v>
      </c>
      <c r="C159" s="1" t="n">
        <v>19400000</v>
      </c>
      <c r="D159" s="1" t="n">
        <v>1539276.5</v>
      </c>
      <c r="E159" s="1" t="n">
        <v>0.0344</v>
      </c>
      <c r="F159" s="1" t="n">
        <v>0.051</v>
      </c>
    </row>
    <row r="160" customFormat="false" ht="15" hidden="false" customHeight="false" outlineLevel="0" collapsed="false">
      <c r="A160" s="1" t="s">
        <v>191</v>
      </c>
      <c r="B160" s="1" t="s">
        <v>26</v>
      </c>
      <c r="C160" s="1" t="n">
        <v>18500000</v>
      </c>
      <c r="D160" s="1" t="n">
        <v>10754356</v>
      </c>
      <c r="E160" s="1" t="n">
        <v>0.0126</v>
      </c>
      <c r="F160" s="1" t="n">
        <v>0.0822</v>
      </c>
    </row>
    <row r="161" customFormat="false" ht="15" hidden="false" customHeight="false" outlineLevel="0" collapsed="false">
      <c r="A161" s="1" t="s">
        <v>192</v>
      </c>
      <c r="B161" s="1" t="s">
        <v>53</v>
      </c>
      <c r="C161" s="1" t="n">
        <v>19500000</v>
      </c>
      <c r="D161" s="1" t="n">
        <v>246295.8</v>
      </c>
      <c r="E161" s="1" t="n">
        <v>0.0582</v>
      </c>
      <c r="F161" s="1" t="n">
        <v>0.0432</v>
      </c>
    </row>
    <row r="162" customFormat="false" ht="15" hidden="false" customHeight="false" outlineLevel="0" collapsed="false">
      <c r="A162" s="1" t="s">
        <v>193</v>
      </c>
      <c r="B162" s="1" t="s">
        <v>32</v>
      </c>
      <c r="C162" s="1" t="n">
        <v>14600000</v>
      </c>
      <c r="D162" s="1" t="n">
        <v>54920.8</v>
      </c>
      <c r="E162" s="1" t="n">
        <v>0.0176</v>
      </c>
      <c r="F162" s="1" t="n">
        <v>0.0576</v>
      </c>
    </row>
    <row r="163" customFormat="false" ht="15" hidden="false" customHeight="false" outlineLevel="0" collapsed="false">
      <c r="A163" s="1" t="s">
        <v>194</v>
      </c>
      <c r="B163" s="1" t="s">
        <v>195</v>
      </c>
      <c r="C163" s="1" t="n">
        <v>12300000</v>
      </c>
      <c r="D163" s="1" t="n">
        <v>1367.1</v>
      </c>
      <c r="E163" s="1" t="n">
        <v>0.0202</v>
      </c>
      <c r="F163" s="1" t="n">
        <v>0.0672</v>
      </c>
    </row>
    <row r="164" customFormat="false" ht="15" hidden="false" customHeight="false" outlineLevel="0" collapsed="false">
      <c r="A164" s="1" t="s">
        <v>196</v>
      </c>
      <c r="B164" s="1" t="s">
        <v>71</v>
      </c>
      <c r="C164" s="1" t="n">
        <v>12500000</v>
      </c>
      <c r="D164" s="1" t="n">
        <v>514516.5</v>
      </c>
      <c r="E164" s="1" t="n">
        <v>0.0347</v>
      </c>
      <c r="F164" s="1" t="n">
        <v>0.0759</v>
      </c>
    </row>
    <row r="165" customFormat="false" ht="15" hidden="false" customHeight="false" outlineLevel="0" collapsed="false">
      <c r="A165" s="1" t="s">
        <v>197</v>
      </c>
      <c r="B165" s="1" t="s">
        <v>26</v>
      </c>
      <c r="C165" s="1" t="n">
        <v>5520000</v>
      </c>
      <c r="D165" s="1" t="n">
        <v>115894.1</v>
      </c>
      <c r="E165" s="1" t="n">
        <v>0.0181</v>
      </c>
      <c r="F165" s="1" t="n">
        <v>0.0462</v>
      </c>
    </row>
    <row r="166" customFormat="false" ht="15" hidden="false" customHeight="false" outlineLevel="0" collapsed="false">
      <c r="A166" s="1" t="s">
        <v>198</v>
      </c>
      <c r="B166" s="1" t="s">
        <v>41</v>
      </c>
      <c r="C166" s="1" t="n">
        <v>18000000</v>
      </c>
      <c r="D166" s="1" t="n">
        <v>631.1</v>
      </c>
      <c r="E166" s="1" t="n">
        <v>0.0092</v>
      </c>
      <c r="F166" s="1" t="n">
        <v>0.0811</v>
      </c>
    </row>
    <row r="167" customFormat="false" ht="15" hidden="false" customHeight="false" outlineLevel="0" collapsed="false">
      <c r="A167" s="1" t="s">
        <v>199</v>
      </c>
      <c r="B167" s="1" t="s">
        <v>32</v>
      </c>
      <c r="C167" s="1" t="n">
        <v>14500000</v>
      </c>
      <c r="D167" s="1" t="n">
        <v>8368.1</v>
      </c>
      <c r="E167" s="1" t="n">
        <v>0.0186</v>
      </c>
      <c r="F167" s="1" t="n">
        <v>0.0608</v>
      </c>
    </row>
    <row r="168" customFormat="false" ht="15" hidden="false" customHeight="false" outlineLevel="0" collapsed="false">
      <c r="A168" s="1" t="s">
        <v>200</v>
      </c>
      <c r="B168" s="1" t="s">
        <v>92</v>
      </c>
      <c r="C168" s="1" t="n">
        <v>14600000</v>
      </c>
      <c r="D168" s="1" t="n">
        <v>385586.6</v>
      </c>
      <c r="E168" s="1" t="n">
        <v>0.0238</v>
      </c>
      <c r="F168" s="1" t="n">
        <v>0.0409</v>
      </c>
    </row>
    <row r="169" customFormat="false" ht="15" hidden="false" customHeight="false" outlineLevel="0" collapsed="false">
      <c r="A169" s="1" t="s">
        <v>201</v>
      </c>
      <c r="B169" s="1" t="s">
        <v>24</v>
      </c>
      <c r="C169" s="1" t="n">
        <v>14500000</v>
      </c>
      <c r="D169" s="1" t="n">
        <v>2989824.9</v>
      </c>
      <c r="E169" s="1" t="n">
        <v>0.0296</v>
      </c>
      <c r="F169" s="1" t="n">
        <v>0.1243</v>
      </c>
    </row>
    <row r="170" customFormat="false" ht="15" hidden="false" customHeight="false" outlineLevel="0" collapsed="false">
      <c r="A170" s="1" t="s">
        <v>202</v>
      </c>
      <c r="B170" s="1" t="s">
        <v>26</v>
      </c>
      <c r="C170" s="1" t="n">
        <v>14500000</v>
      </c>
      <c r="D170" s="1" t="n">
        <v>827797.5</v>
      </c>
      <c r="E170" s="1" t="n">
        <v>0.0407</v>
      </c>
      <c r="F170" s="1" t="n">
        <v>0.051</v>
      </c>
    </row>
    <row r="171" customFormat="false" ht="15" hidden="false" customHeight="false" outlineLevel="0" collapsed="false">
      <c r="A171" s="1" t="s">
        <v>203</v>
      </c>
      <c r="B171" s="1" t="s">
        <v>24</v>
      </c>
      <c r="C171" s="1" t="n">
        <v>12800000</v>
      </c>
      <c r="D171" s="1" t="n">
        <v>8352</v>
      </c>
      <c r="E171" s="1" t="n">
        <v>0.0871</v>
      </c>
      <c r="F171" s="1" t="n">
        <v>0.0938</v>
      </c>
    </row>
    <row r="172" customFormat="false" ht="15" hidden="false" customHeight="false" outlineLevel="0" collapsed="false">
      <c r="A172" s="1" t="s">
        <v>204</v>
      </c>
      <c r="B172" s="1" t="s">
        <v>26</v>
      </c>
      <c r="C172" s="1" t="n">
        <v>14900000</v>
      </c>
      <c r="D172" s="1" t="n">
        <v>1400124.2</v>
      </c>
      <c r="E172" s="1" t="n">
        <v>0.0154</v>
      </c>
      <c r="F172" s="1" t="n">
        <v>0.0462</v>
      </c>
    </row>
    <row r="173" customFormat="false" ht="15" hidden="false" customHeight="false" outlineLevel="0" collapsed="false">
      <c r="A173" s="1" t="s">
        <v>205</v>
      </c>
      <c r="B173" s="1" t="s">
        <v>21</v>
      </c>
      <c r="C173" s="1" t="n">
        <v>16700000</v>
      </c>
      <c r="D173" s="1" t="n">
        <v>14294.3</v>
      </c>
      <c r="E173" s="1" t="n">
        <v>0.0117</v>
      </c>
      <c r="F173" s="1" t="n">
        <v>0.0726</v>
      </c>
    </row>
    <row r="174" customFormat="false" ht="15" hidden="false" customHeight="false" outlineLevel="0" collapsed="false">
      <c r="A174" s="1" t="s">
        <v>206</v>
      </c>
      <c r="B174" s="1" t="s">
        <v>71</v>
      </c>
      <c r="C174" s="1" t="n">
        <v>13900000</v>
      </c>
      <c r="D174" s="1" t="n">
        <v>999876.8</v>
      </c>
      <c r="E174" s="1" t="n">
        <v>0.0261</v>
      </c>
      <c r="F174" s="1" t="n">
        <v>0.0432</v>
      </c>
    </row>
    <row r="175" customFormat="false" ht="15" hidden="false" customHeight="false" outlineLevel="0" collapsed="false">
      <c r="A175" s="1" t="s">
        <v>207</v>
      </c>
      <c r="B175" s="1" t="s">
        <v>88</v>
      </c>
      <c r="C175" s="1" t="n">
        <v>14300000</v>
      </c>
      <c r="D175" s="1" t="n">
        <v>30953.2</v>
      </c>
      <c r="E175" s="1" t="n">
        <v>0.1593</v>
      </c>
      <c r="F175" s="1" t="n">
        <v>0.0938</v>
      </c>
    </row>
    <row r="176" customFormat="false" ht="15" hidden="false" customHeight="false" outlineLevel="0" collapsed="false">
      <c r="A176" s="1" t="s">
        <v>208</v>
      </c>
      <c r="B176" s="1" t="s">
        <v>21</v>
      </c>
      <c r="C176" s="1" t="n">
        <v>8340000</v>
      </c>
      <c r="D176" s="1" t="n">
        <v>6556.7</v>
      </c>
      <c r="E176" s="1" t="n">
        <v>0.0218</v>
      </c>
      <c r="F176" s="1" t="n">
        <v>0.0608</v>
      </c>
    </row>
    <row r="177" customFormat="false" ht="15" hidden="false" customHeight="false" outlineLevel="0" collapsed="false">
      <c r="A177" s="1" t="s">
        <v>209</v>
      </c>
      <c r="B177" s="1" t="s">
        <v>41</v>
      </c>
      <c r="C177" s="1" t="n">
        <v>15800000</v>
      </c>
      <c r="D177" s="1" t="n">
        <v>1171.4</v>
      </c>
      <c r="E177" s="1" t="n">
        <v>0.0172</v>
      </c>
      <c r="F177" s="1" t="n">
        <v>0.2267</v>
      </c>
    </row>
    <row r="178" customFormat="false" ht="15" hidden="false" customHeight="false" outlineLevel="0" collapsed="false">
      <c r="A178" s="1" t="s">
        <v>210</v>
      </c>
      <c r="B178" s="1" t="s">
        <v>53</v>
      </c>
      <c r="C178" s="1" t="n">
        <v>13000000</v>
      </c>
      <c r="D178" s="1" t="n">
        <v>188916</v>
      </c>
      <c r="E178" s="1" t="n">
        <v>0.0658</v>
      </c>
      <c r="F178" s="1" t="n">
        <v>0.0938</v>
      </c>
    </row>
    <row r="179" customFormat="false" ht="15" hidden="false" customHeight="false" outlineLevel="0" collapsed="false">
      <c r="A179" s="1" t="s">
        <v>211</v>
      </c>
      <c r="B179" s="1" t="s">
        <v>41</v>
      </c>
      <c r="C179" s="1" t="n">
        <v>16900000</v>
      </c>
      <c r="D179" s="1" t="n">
        <v>195591</v>
      </c>
      <c r="E179" s="1" t="n">
        <v>0.0196</v>
      </c>
      <c r="F179" s="1" t="n">
        <v>0.0672</v>
      </c>
    </row>
    <row r="180" customFormat="false" ht="15" hidden="false" customHeight="false" outlineLevel="0" collapsed="false">
      <c r="A180" s="1" t="s">
        <v>212</v>
      </c>
      <c r="B180" s="1" t="s">
        <v>30</v>
      </c>
      <c r="C180" s="1" t="n">
        <v>15000000</v>
      </c>
      <c r="D180" s="1" t="n">
        <v>44218.2</v>
      </c>
      <c r="E180" s="1" t="n">
        <v>0.0264</v>
      </c>
      <c r="F180" s="1" t="n">
        <v>0.1226</v>
      </c>
    </row>
    <row r="181" customFormat="false" ht="15" hidden="false" customHeight="false" outlineLevel="0" collapsed="false">
      <c r="A181" s="1" t="s">
        <v>213</v>
      </c>
      <c r="B181" s="1" t="s">
        <v>214</v>
      </c>
      <c r="C181" s="1" t="n">
        <v>13800000</v>
      </c>
      <c r="D181" s="1" t="n">
        <v>30466.9</v>
      </c>
      <c r="E181" s="1" t="n">
        <v>0.0072</v>
      </c>
      <c r="F181" s="1" t="n">
        <v>0.0811</v>
      </c>
    </row>
    <row r="182" customFormat="false" ht="15" hidden="false" customHeight="false" outlineLevel="0" collapsed="false">
      <c r="A182" s="1" t="s">
        <v>215</v>
      </c>
      <c r="B182" s="1" t="s">
        <v>26</v>
      </c>
      <c r="C182" s="1" t="n">
        <v>16200000</v>
      </c>
      <c r="D182" s="1" t="n">
        <v>159924.6</v>
      </c>
      <c r="E182" s="1" t="n">
        <v>0.0216</v>
      </c>
      <c r="F182" s="1" t="n">
        <v>0.0672</v>
      </c>
    </row>
    <row r="183" customFormat="false" ht="15" hidden="false" customHeight="false" outlineLevel="0" collapsed="false">
      <c r="A183" s="1" t="s">
        <v>216</v>
      </c>
      <c r="B183" s="1" t="s">
        <v>81</v>
      </c>
      <c r="C183" s="1" t="n">
        <v>13500000</v>
      </c>
      <c r="D183" s="1" t="n">
        <v>125096.7</v>
      </c>
      <c r="E183" s="1" t="n">
        <v>0.0589</v>
      </c>
      <c r="F183" s="1" t="n">
        <v>0.0518</v>
      </c>
    </row>
    <row r="184" customFormat="false" ht="15" hidden="false" customHeight="false" outlineLevel="0" collapsed="false">
      <c r="A184" s="1" t="s">
        <v>217</v>
      </c>
      <c r="B184" s="1" t="s">
        <v>26</v>
      </c>
      <c r="C184" s="1" t="n">
        <v>15000000</v>
      </c>
      <c r="D184" s="1" t="n">
        <v>1900275.6</v>
      </c>
      <c r="E184" s="1" t="n">
        <v>0.037</v>
      </c>
      <c r="F184" s="1" t="n">
        <v>0.0759</v>
      </c>
    </row>
    <row r="185" customFormat="false" ht="15" hidden="false" customHeight="false" outlineLevel="0" collapsed="false">
      <c r="A185" s="1" t="s">
        <v>218</v>
      </c>
      <c r="B185" s="1" t="s">
        <v>26</v>
      </c>
      <c r="C185" s="1" t="n">
        <v>23200000</v>
      </c>
      <c r="D185" s="1" t="n">
        <v>174795</v>
      </c>
      <c r="E185" s="1" t="n">
        <v>0.0089</v>
      </c>
      <c r="F185" s="1" t="n">
        <v>0.0654</v>
      </c>
    </row>
    <row r="186" customFormat="false" ht="15" hidden="false" customHeight="false" outlineLevel="0" collapsed="false">
      <c r="A186" s="1" t="s">
        <v>219</v>
      </c>
      <c r="B186" s="1" t="s">
        <v>21</v>
      </c>
      <c r="C186" s="1" t="n">
        <v>16900000</v>
      </c>
      <c r="D186" s="1" t="n">
        <v>607673.3</v>
      </c>
      <c r="E186" s="1" t="n">
        <v>0.0071</v>
      </c>
      <c r="F186" s="1" t="n">
        <v>0.0822</v>
      </c>
    </row>
    <row r="187" customFormat="false" ht="15" hidden="false" customHeight="false" outlineLevel="0" collapsed="false">
      <c r="A187" s="1" t="s">
        <v>220</v>
      </c>
      <c r="B187" s="1" t="s">
        <v>214</v>
      </c>
      <c r="C187" s="1" t="n">
        <v>15000000</v>
      </c>
      <c r="D187" s="1" t="n">
        <v>235101.8</v>
      </c>
      <c r="E187" s="1" t="n">
        <v>0.013</v>
      </c>
      <c r="F187" s="1" t="n">
        <v>0.0585</v>
      </c>
    </row>
    <row r="188" customFormat="false" ht="15" hidden="false" customHeight="false" outlineLevel="0" collapsed="false">
      <c r="A188" s="1" t="s">
        <v>221</v>
      </c>
      <c r="B188" s="1" t="s">
        <v>32</v>
      </c>
      <c r="C188" s="1" t="n">
        <v>13200000</v>
      </c>
      <c r="D188" s="1" t="n">
        <v>428940</v>
      </c>
      <c r="E188" s="1" t="n">
        <v>0.0051</v>
      </c>
      <c r="F188" s="1" t="n">
        <v>0.1015</v>
      </c>
    </row>
    <row r="189" customFormat="false" ht="15" hidden="false" customHeight="false" outlineLevel="0" collapsed="false">
      <c r="A189" s="1" t="s">
        <v>222</v>
      </c>
      <c r="B189" s="1" t="s">
        <v>41</v>
      </c>
      <c r="C189" s="1" t="n">
        <v>16200000</v>
      </c>
      <c r="D189" s="1" t="n">
        <v>1231.9</v>
      </c>
      <c r="E189" s="1" t="n">
        <v>0.0105</v>
      </c>
      <c r="F189" s="1" t="n">
        <v>0.2047</v>
      </c>
    </row>
    <row r="190" customFormat="false" ht="15" hidden="false" customHeight="false" outlineLevel="0" collapsed="false">
      <c r="A190" s="1" t="s">
        <v>223</v>
      </c>
      <c r="B190" s="1" t="s">
        <v>21</v>
      </c>
      <c r="C190" s="1" t="n">
        <v>12600000</v>
      </c>
      <c r="D190" s="1" t="n">
        <v>57613.1</v>
      </c>
      <c r="E190" s="1" t="n">
        <v>0.0124</v>
      </c>
      <c r="F190" s="1" t="n">
        <v>0.0735</v>
      </c>
    </row>
    <row r="191" customFormat="false" ht="15" hidden="false" customHeight="false" outlineLevel="0" collapsed="false">
      <c r="A191" s="1" t="s">
        <v>224</v>
      </c>
      <c r="B191" s="1" t="s">
        <v>32</v>
      </c>
      <c r="C191" s="1" t="n">
        <v>13800000</v>
      </c>
      <c r="D191" s="1" t="n">
        <v>250007.9</v>
      </c>
      <c r="E191" s="1" t="n">
        <v>0.019</v>
      </c>
      <c r="F191" s="1" t="n">
        <v>0.0608</v>
      </c>
    </row>
    <row r="192" customFormat="false" ht="15" hidden="false" customHeight="false" outlineLevel="0" collapsed="false">
      <c r="A192" s="1" t="s">
        <v>225</v>
      </c>
      <c r="B192" s="1" t="s">
        <v>41</v>
      </c>
      <c r="C192" s="1" t="n">
        <v>11700000</v>
      </c>
      <c r="D192" s="1" t="n">
        <v>36554</v>
      </c>
      <c r="E192" s="1" t="n">
        <v>0.0317</v>
      </c>
      <c r="F192" s="1" t="n">
        <v>0.0951</v>
      </c>
    </row>
    <row r="193" customFormat="false" ht="15" hidden="false" customHeight="false" outlineLevel="0" collapsed="false">
      <c r="A193" s="1" t="s">
        <v>226</v>
      </c>
      <c r="B193" s="1" t="s">
        <v>41</v>
      </c>
      <c r="C193" s="1" t="n">
        <v>14300000</v>
      </c>
      <c r="D193" s="1" t="n">
        <v>2653.7</v>
      </c>
      <c r="E193" s="1" t="n">
        <v>0.0171</v>
      </c>
      <c r="F193" s="1" t="n">
        <v>0.0647</v>
      </c>
    </row>
    <row r="194" customFormat="false" ht="15" hidden="false" customHeight="false" outlineLevel="0" collapsed="false">
      <c r="A194" s="1" t="s">
        <v>227</v>
      </c>
      <c r="B194" s="1" t="s">
        <v>28</v>
      </c>
      <c r="C194" s="1" t="n">
        <v>13500000</v>
      </c>
      <c r="D194" s="1" t="n">
        <v>32087.8</v>
      </c>
      <c r="E194" s="1" t="n">
        <v>0.0047</v>
      </c>
      <c r="F194" s="1" t="n">
        <v>0.0654</v>
      </c>
    </row>
    <row r="195" customFormat="false" ht="15" hidden="false" customHeight="false" outlineLevel="0" collapsed="false">
      <c r="A195" s="1" t="s">
        <v>228</v>
      </c>
      <c r="B195" s="1" t="s">
        <v>32</v>
      </c>
      <c r="C195" s="1" t="n">
        <v>13800000</v>
      </c>
      <c r="D195" s="1" t="n">
        <v>3018392.2</v>
      </c>
      <c r="E195" s="1" t="n">
        <v>0.0055</v>
      </c>
      <c r="F195" s="1" t="n">
        <v>0.0654</v>
      </c>
    </row>
    <row r="196" customFormat="false" ht="15" hidden="false" customHeight="false" outlineLevel="0" collapsed="false">
      <c r="A196" s="1" t="s">
        <v>229</v>
      </c>
      <c r="B196" s="1" t="s">
        <v>53</v>
      </c>
      <c r="C196" s="1" t="n">
        <v>12500000</v>
      </c>
      <c r="D196" s="1" t="n">
        <v>773532.6</v>
      </c>
      <c r="E196" s="1" t="n">
        <v>0.0414</v>
      </c>
      <c r="F196" s="1" t="n">
        <v>0.0409</v>
      </c>
    </row>
    <row r="197" customFormat="false" ht="15" hidden="false" customHeight="false" outlineLevel="0" collapsed="false">
      <c r="A197" s="1" t="s">
        <v>230</v>
      </c>
      <c r="B197" s="1" t="s">
        <v>50</v>
      </c>
      <c r="C197" s="1" t="n">
        <v>208000</v>
      </c>
      <c r="D197" s="1" t="n">
        <v>34947.4</v>
      </c>
      <c r="E197" s="1" t="n">
        <v>0.0245</v>
      </c>
      <c r="F197" s="1" t="n">
        <v>0.139</v>
      </c>
    </row>
    <row r="198" customFormat="false" ht="15" hidden="false" customHeight="false" outlineLevel="0" collapsed="false">
      <c r="A198" s="1" t="s">
        <v>231</v>
      </c>
      <c r="B198" s="1" t="s">
        <v>24</v>
      </c>
      <c r="C198" s="1" t="n">
        <v>19000000</v>
      </c>
      <c r="D198" s="1" t="n">
        <v>145160.5</v>
      </c>
      <c r="E198" s="1" t="n">
        <v>0.0971</v>
      </c>
      <c r="F198" s="1" t="n">
        <v>0.0938</v>
      </c>
    </row>
    <row r="199" customFormat="false" ht="15" hidden="false" customHeight="false" outlineLevel="0" collapsed="false">
      <c r="A199" s="1" t="s">
        <v>232</v>
      </c>
      <c r="B199" s="1" t="s">
        <v>214</v>
      </c>
      <c r="C199" s="1" t="n">
        <v>12800000</v>
      </c>
      <c r="D199" s="1" t="n">
        <v>39918</v>
      </c>
      <c r="E199" s="1" t="n">
        <v>0.0199</v>
      </c>
      <c r="F199" s="1" t="n">
        <v>0.1053</v>
      </c>
    </row>
    <row r="200" customFormat="false" ht="15" hidden="false" customHeight="false" outlineLevel="0" collapsed="false">
      <c r="A200" s="1" t="s">
        <v>233</v>
      </c>
      <c r="B200" s="1" t="s">
        <v>26</v>
      </c>
      <c r="C200" s="1" t="n">
        <v>13500000</v>
      </c>
      <c r="D200" s="1" t="n">
        <v>1183702.1</v>
      </c>
      <c r="E200" s="1" t="n">
        <v>0.0389</v>
      </c>
      <c r="F200" s="1" t="n">
        <v>0.0409</v>
      </c>
    </row>
    <row r="201" customFormat="false" ht="15" hidden="false" customHeight="false" outlineLevel="0" collapsed="false">
      <c r="A201" s="1" t="s">
        <v>234</v>
      </c>
      <c r="B201" s="1" t="s">
        <v>21</v>
      </c>
      <c r="C201" s="1" t="n">
        <v>13300000</v>
      </c>
      <c r="D201" s="1" t="n">
        <v>5421.3</v>
      </c>
      <c r="E201" s="1" t="n">
        <v>0.0192</v>
      </c>
      <c r="F201" s="1" t="n">
        <v>0.0576</v>
      </c>
    </row>
    <row r="202" customFormat="false" ht="15" hidden="false" customHeight="false" outlineLevel="0" collapsed="false">
      <c r="A202" s="1" t="s">
        <v>235</v>
      </c>
      <c r="B202" s="1" t="s">
        <v>26</v>
      </c>
      <c r="C202" s="1" t="n">
        <v>16600000</v>
      </c>
      <c r="D202" s="1" t="n">
        <v>2348966.5</v>
      </c>
      <c r="E202" s="1" t="n">
        <v>0.0357</v>
      </c>
      <c r="F202" s="1" t="n">
        <v>0.051</v>
      </c>
    </row>
    <row r="203" customFormat="false" ht="15" hidden="false" customHeight="false" outlineLevel="0" collapsed="false">
      <c r="A203" s="1" t="s">
        <v>236</v>
      </c>
      <c r="B203" s="1" t="s">
        <v>32</v>
      </c>
      <c r="C203" s="1" t="n">
        <v>16600000</v>
      </c>
      <c r="D203" s="1" t="n">
        <v>154678.2</v>
      </c>
      <c r="E203" s="1" t="n">
        <v>0.0152</v>
      </c>
      <c r="F203" s="1" t="n">
        <v>0.0462</v>
      </c>
    </row>
    <row r="204" customFormat="false" ht="15" hidden="false" customHeight="false" outlineLevel="0" collapsed="false">
      <c r="A204" s="1" t="s">
        <v>237</v>
      </c>
      <c r="B204" s="1" t="s">
        <v>53</v>
      </c>
      <c r="C204" s="1" t="n">
        <v>19100000</v>
      </c>
      <c r="D204" s="1" t="n">
        <v>904125.8</v>
      </c>
      <c r="E204" s="1" t="n">
        <v>0.0685</v>
      </c>
      <c r="F204" s="1" t="n">
        <v>0.0938</v>
      </c>
    </row>
    <row r="205" customFormat="false" ht="15" hidden="false" customHeight="false" outlineLevel="0" collapsed="false">
      <c r="A205" s="1" t="s">
        <v>238</v>
      </c>
      <c r="B205" s="1" t="s">
        <v>24</v>
      </c>
      <c r="C205" s="1" t="n">
        <v>16100000</v>
      </c>
      <c r="D205" s="1" t="n">
        <v>26460000.3</v>
      </c>
      <c r="E205" s="1" t="n">
        <v>0.0227</v>
      </c>
      <c r="F205" s="1" t="n">
        <v>0.0518</v>
      </c>
    </row>
    <row r="206" customFormat="false" ht="15" hidden="false" customHeight="false" outlineLevel="0" collapsed="false">
      <c r="A206" s="1" t="s">
        <v>239</v>
      </c>
      <c r="B206" s="1" t="s">
        <v>26</v>
      </c>
      <c r="C206" s="1" t="n">
        <v>24000000</v>
      </c>
      <c r="D206" s="1" t="n">
        <v>1443355.4</v>
      </c>
      <c r="E206" s="1" t="n">
        <v>0.0093</v>
      </c>
      <c r="F206" s="1" t="n">
        <v>0.0811</v>
      </c>
    </row>
    <row r="207" customFormat="false" ht="15" hidden="false" customHeight="false" outlineLevel="0" collapsed="false">
      <c r="A207" s="1" t="s">
        <v>240</v>
      </c>
      <c r="B207" s="1" t="s">
        <v>50</v>
      </c>
      <c r="C207" s="1" t="n">
        <v>13900000</v>
      </c>
      <c r="D207" s="1" t="n">
        <v>14415813.9</v>
      </c>
      <c r="E207" s="1" t="n">
        <v>0.0051</v>
      </c>
      <c r="F207" s="1" t="n">
        <v>0.0822</v>
      </c>
    </row>
    <row r="208" customFormat="false" ht="15" hidden="false" customHeight="false" outlineLevel="0" collapsed="false">
      <c r="A208" s="1" t="s">
        <v>241</v>
      </c>
      <c r="B208" s="1" t="s">
        <v>74</v>
      </c>
      <c r="C208" s="1" t="n">
        <v>15100000</v>
      </c>
      <c r="D208" s="1" t="n">
        <v>134181.3</v>
      </c>
      <c r="E208" s="1" t="n">
        <v>0.0438</v>
      </c>
      <c r="F208" s="1" t="n">
        <v>0.0938</v>
      </c>
    </row>
    <row r="209" customFormat="false" ht="15" hidden="false" customHeight="false" outlineLevel="0" collapsed="false">
      <c r="A209" s="1" t="s">
        <v>242</v>
      </c>
      <c r="B209" s="1" t="s">
        <v>24</v>
      </c>
      <c r="C209" s="1" t="n">
        <v>16100000</v>
      </c>
      <c r="D209" s="1" t="n">
        <v>184998.3</v>
      </c>
      <c r="E209" s="1" t="n">
        <v>0.0065</v>
      </c>
      <c r="F209" s="1" t="n">
        <v>0.3431</v>
      </c>
    </row>
    <row r="210" customFormat="false" ht="15" hidden="false" customHeight="false" outlineLevel="0" collapsed="false">
      <c r="A210" s="1" t="s">
        <v>243</v>
      </c>
      <c r="B210" s="1" t="s">
        <v>214</v>
      </c>
      <c r="C210" s="1" t="n">
        <v>7410000</v>
      </c>
      <c r="D210" s="1" t="n">
        <v>135003.1</v>
      </c>
      <c r="E210" s="1" t="n">
        <v>0.0166</v>
      </c>
      <c r="F210" s="1" t="n">
        <v>0.0462</v>
      </c>
    </row>
    <row r="211" customFormat="false" ht="15" hidden="false" customHeight="false" outlineLevel="0" collapsed="false">
      <c r="A211" s="1" t="s">
        <v>244</v>
      </c>
      <c r="B211" s="1" t="s">
        <v>24</v>
      </c>
      <c r="C211" s="1" t="n">
        <v>14100000</v>
      </c>
      <c r="D211" s="1" t="n">
        <v>5668.7</v>
      </c>
      <c r="E211" s="1" t="n">
        <v>0.0064</v>
      </c>
      <c r="F211" s="1" t="n">
        <v>0.0811</v>
      </c>
    </row>
    <row r="212" customFormat="false" ht="15" hidden="false" customHeight="false" outlineLevel="0" collapsed="false">
      <c r="A212" s="1" t="s">
        <v>245</v>
      </c>
      <c r="B212" s="1" t="s">
        <v>62</v>
      </c>
      <c r="C212" s="1" t="n">
        <v>12700000</v>
      </c>
      <c r="D212" s="1" t="n">
        <v>73622.9</v>
      </c>
      <c r="E212" s="1" t="n">
        <v>0.0609</v>
      </c>
      <c r="F212" s="1" t="n">
        <v>0.0938</v>
      </c>
    </row>
    <row r="213" customFormat="false" ht="15" hidden="false" customHeight="false" outlineLevel="0" collapsed="false">
      <c r="A213" s="1" t="s">
        <v>246</v>
      </c>
      <c r="B213" s="1" t="s">
        <v>26</v>
      </c>
      <c r="C213" s="1" t="n">
        <v>14600000</v>
      </c>
      <c r="D213" s="1" t="n">
        <v>2191432.3</v>
      </c>
      <c r="E213" s="1" t="n">
        <v>0.03</v>
      </c>
      <c r="F213" s="1" t="n">
        <v>0.0409</v>
      </c>
    </row>
    <row r="214" customFormat="false" ht="15" hidden="false" customHeight="false" outlineLevel="0" collapsed="false">
      <c r="A214" s="1" t="s">
        <v>247</v>
      </c>
      <c r="B214" s="1" t="s">
        <v>26</v>
      </c>
      <c r="C214" s="1" t="n">
        <v>12500000</v>
      </c>
      <c r="D214" s="1" t="n">
        <v>256058.9</v>
      </c>
      <c r="E214" s="1" t="n">
        <v>0.0049</v>
      </c>
      <c r="F214" s="1" t="n">
        <v>0.0822</v>
      </c>
    </row>
    <row r="215" customFormat="false" ht="15" hidden="false" customHeight="false" outlineLevel="0" collapsed="false">
      <c r="A215" s="1" t="s">
        <v>248</v>
      </c>
      <c r="B215" s="1" t="s">
        <v>50</v>
      </c>
      <c r="C215" s="1" t="n">
        <v>15000000</v>
      </c>
      <c r="D215" s="1" t="n">
        <v>643048.2</v>
      </c>
      <c r="E215" s="1" t="n">
        <v>0.006</v>
      </c>
      <c r="F215" s="1" t="n">
        <v>0.0654</v>
      </c>
    </row>
    <row r="216" customFormat="false" ht="15" hidden="false" customHeight="false" outlineLevel="0" collapsed="false">
      <c r="A216" s="1" t="s">
        <v>249</v>
      </c>
      <c r="B216" s="1" t="s">
        <v>62</v>
      </c>
      <c r="C216" s="1" t="n">
        <v>11800000</v>
      </c>
      <c r="D216" s="1" t="n">
        <v>14404.3</v>
      </c>
      <c r="E216" s="1" t="n">
        <v>0.0283</v>
      </c>
      <c r="F216" s="1" t="n">
        <v>0.1308</v>
      </c>
    </row>
    <row r="217" customFormat="false" ht="15" hidden="false" customHeight="false" outlineLevel="0" collapsed="false">
      <c r="A217" s="1" t="s">
        <v>250</v>
      </c>
      <c r="B217" s="1" t="s">
        <v>30</v>
      </c>
      <c r="C217" s="1" t="n">
        <v>10900000</v>
      </c>
      <c r="D217" s="1" t="n">
        <v>957.3</v>
      </c>
      <c r="E217" s="1" t="n">
        <v>0.0089</v>
      </c>
      <c r="F217" s="1" t="n">
        <v>0.0811</v>
      </c>
    </row>
    <row r="218" customFormat="false" ht="15" hidden="false" customHeight="false" outlineLevel="0" collapsed="false">
      <c r="A218" s="1" t="s">
        <v>251</v>
      </c>
      <c r="B218" s="1" t="s">
        <v>21</v>
      </c>
      <c r="C218" s="1" t="n">
        <v>13000000</v>
      </c>
      <c r="D218" s="1" t="n">
        <v>174949.7</v>
      </c>
      <c r="E218" s="1" t="n">
        <v>0.0307</v>
      </c>
      <c r="F218" s="1" t="n">
        <v>0.051</v>
      </c>
    </row>
    <row r="219" customFormat="false" ht="15" hidden="false" customHeight="false" outlineLevel="0" collapsed="false">
      <c r="A219" s="1" t="s">
        <v>252</v>
      </c>
      <c r="B219" s="1" t="s">
        <v>41</v>
      </c>
      <c r="C219" s="1" t="n">
        <v>15100000</v>
      </c>
      <c r="D219" s="1" t="n">
        <v>1935.9</v>
      </c>
      <c r="E219" s="1" t="n">
        <v>0.1114</v>
      </c>
      <c r="F219" s="1" t="n">
        <v>0.0938</v>
      </c>
    </row>
    <row r="220" customFormat="false" ht="15" hidden="false" customHeight="false" outlineLevel="0" collapsed="false">
      <c r="A220" s="1" t="s">
        <v>253</v>
      </c>
      <c r="B220" s="1" t="s">
        <v>30</v>
      </c>
      <c r="C220" s="1" t="n">
        <v>11900000</v>
      </c>
      <c r="D220" s="1" t="n">
        <v>424157.2</v>
      </c>
      <c r="E220" s="1" t="n">
        <v>0.0274</v>
      </c>
      <c r="F220" s="1" t="n">
        <v>0.0409</v>
      </c>
    </row>
    <row r="221" customFormat="false" ht="15" hidden="false" customHeight="false" outlineLevel="0" collapsed="false">
      <c r="A221" s="1" t="s">
        <v>254</v>
      </c>
      <c r="B221" s="1" t="s">
        <v>24</v>
      </c>
      <c r="C221" s="1" t="n">
        <v>9710000</v>
      </c>
      <c r="D221" s="1" t="n">
        <v>1882244.1</v>
      </c>
      <c r="E221" s="1" t="n">
        <v>0.0315</v>
      </c>
      <c r="F221" s="1" t="n">
        <v>0.0409</v>
      </c>
    </row>
    <row r="222" customFormat="false" ht="15" hidden="false" customHeight="false" outlineLevel="0" collapsed="false">
      <c r="A222" s="1" t="s">
        <v>255</v>
      </c>
      <c r="B222" s="1" t="s">
        <v>41</v>
      </c>
      <c r="C222" s="1" t="n">
        <v>12200000</v>
      </c>
      <c r="D222" s="1" t="n">
        <v>3397.5</v>
      </c>
      <c r="E222" s="1" t="n">
        <v>0.0065</v>
      </c>
      <c r="F222" s="1" t="n">
        <v>0.0811</v>
      </c>
    </row>
    <row r="223" customFormat="false" ht="15" hidden="false" customHeight="false" outlineLevel="0" collapsed="false">
      <c r="A223" s="1" t="s">
        <v>256</v>
      </c>
      <c r="B223" s="1" t="s">
        <v>30</v>
      </c>
      <c r="C223" s="1" t="n">
        <v>10900000</v>
      </c>
      <c r="D223" s="1" t="n">
        <v>21278.5</v>
      </c>
      <c r="F223" s="1" t="n">
        <v>0.0409</v>
      </c>
    </row>
    <row r="224" customFormat="false" ht="15" hidden="false" customHeight="false" outlineLevel="0" collapsed="false">
      <c r="A224" s="1" t="s">
        <v>257</v>
      </c>
      <c r="B224" s="1" t="s">
        <v>21</v>
      </c>
      <c r="C224" s="1" t="n">
        <v>12500000</v>
      </c>
      <c r="D224" s="1" t="n">
        <v>3971.1</v>
      </c>
      <c r="E224" s="1" t="n">
        <v>0.0236</v>
      </c>
      <c r="F224" s="1" t="n">
        <v>0.0938</v>
      </c>
    </row>
    <row r="225" customFormat="false" ht="15" hidden="false" customHeight="false" outlineLevel="0" collapsed="false">
      <c r="A225" s="1" t="s">
        <v>258</v>
      </c>
      <c r="B225" s="1" t="s">
        <v>26</v>
      </c>
      <c r="C225" s="1" t="n">
        <v>10300000</v>
      </c>
      <c r="D225" s="1" t="n">
        <v>636026.5</v>
      </c>
      <c r="E225" s="1" t="n">
        <v>0.0315</v>
      </c>
      <c r="F225" s="1" t="n">
        <v>0.0518</v>
      </c>
    </row>
    <row r="226" customFormat="false" ht="15" hidden="false" customHeight="false" outlineLevel="0" collapsed="false">
      <c r="A226" s="1" t="s">
        <v>259</v>
      </c>
      <c r="B226" s="1" t="s">
        <v>30</v>
      </c>
      <c r="C226" s="1" t="n">
        <v>12700000</v>
      </c>
      <c r="D226" s="1" t="n">
        <v>15830.9</v>
      </c>
      <c r="E226" s="1" t="n">
        <v>0.0074</v>
      </c>
      <c r="F226" s="1" t="n">
        <v>0.0811</v>
      </c>
    </row>
    <row r="227" customFormat="false" ht="15" hidden="false" customHeight="false" outlineLevel="0" collapsed="false">
      <c r="A227" s="1" t="s">
        <v>260</v>
      </c>
      <c r="B227" s="1" t="s">
        <v>92</v>
      </c>
      <c r="C227" s="1" t="n">
        <v>11200000</v>
      </c>
      <c r="D227" s="1" t="n">
        <v>1685724.4</v>
      </c>
      <c r="E227" s="1" t="n">
        <v>0.0094</v>
      </c>
      <c r="F227" s="1" t="n">
        <v>0.0866</v>
      </c>
    </row>
    <row r="228" customFormat="false" ht="15" hidden="false" customHeight="false" outlineLevel="0" collapsed="false">
      <c r="A228" s="1" t="s">
        <v>261</v>
      </c>
      <c r="B228" s="1" t="s">
        <v>88</v>
      </c>
      <c r="C228" s="1" t="n">
        <v>10900000</v>
      </c>
      <c r="D228" s="1" t="n">
        <v>17219.4</v>
      </c>
      <c r="E228" s="1" t="n">
        <v>0.0493</v>
      </c>
      <c r="F228" s="1" t="n">
        <v>0.0938</v>
      </c>
    </row>
    <row r="229" customFormat="false" ht="15" hidden="false" customHeight="false" outlineLevel="0" collapsed="false">
      <c r="A229" s="1" t="s">
        <v>262</v>
      </c>
      <c r="B229" s="1" t="s">
        <v>26</v>
      </c>
      <c r="C229" s="1" t="n">
        <v>10800000</v>
      </c>
      <c r="D229" s="1" t="n">
        <v>7464022.2</v>
      </c>
      <c r="E229" s="1" t="n">
        <v>0.0499</v>
      </c>
      <c r="F229" s="1" t="n">
        <v>0.0759</v>
      </c>
    </row>
    <row r="230" customFormat="false" ht="15" hidden="false" customHeight="false" outlineLevel="0" collapsed="false">
      <c r="A230" s="1" t="s">
        <v>263</v>
      </c>
      <c r="B230" s="1" t="s">
        <v>81</v>
      </c>
      <c r="C230" s="1" t="n">
        <v>9060000</v>
      </c>
      <c r="D230" s="1" t="n">
        <v>5304.8</v>
      </c>
      <c r="E230" s="1" t="n">
        <v>0.0118</v>
      </c>
      <c r="F230" s="1" t="n">
        <v>0.0654</v>
      </c>
    </row>
    <row r="231" customFormat="false" ht="15" hidden="false" customHeight="false" outlineLevel="0" collapsed="false">
      <c r="A231" s="1" t="s">
        <v>264</v>
      </c>
      <c r="B231" s="1" t="s">
        <v>28</v>
      </c>
      <c r="C231" s="1" t="n">
        <v>11800000</v>
      </c>
      <c r="D231" s="1" t="n">
        <v>261584.7</v>
      </c>
      <c r="E231" s="1" t="n">
        <v>0.0011</v>
      </c>
      <c r="F231" s="1" t="n">
        <v>0.0822</v>
      </c>
    </row>
    <row r="232" customFormat="false" ht="15" hidden="false" customHeight="false" outlineLevel="0" collapsed="false">
      <c r="A232" s="1" t="s">
        <v>265</v>
      </c>
      <c r="B232" s="1" t="s">
        <v>21</v>
      </c>
      <c r="C232" s="1" t="n">
        <v>16500000</v>
      </c>
      <c r="D232" s="1" t="n">
        <v>679.4</v>
      </c>
      <c r="E232" s="1" t="n">
        <v>0.033</v>
      </c>
      <c r="F232" s="1" t="n">
        <v>0.0938</v>
      </c>
    </row>
    <row r="233" customFormat="false" ht="15" hidden="false" customHeight="false" outlineLevel="0" collapsed="false">
      <c r="A233" s="1" t="s">
        <v>266</v>
      </c>
      <c r="B233" s="1" t="s">
        <v>26</v>
      </c>
      <c r="C233" s="1" t="n">
        <v>11700000</v>
      </c>
      <c r="D233" s="1" t="n">
        <v>16029.2</v>
      </c>
      <c r="E233" s="1" t="n">
        <v>0.0581</v>
      </c>
      <c r="F233" s="1" t="n">
        <v>0.0938</v>
      </c>
    </row>
    <row r="234" customFormat="false" ht="15" hidden="false" customHeight="false" outlineLevel="0" collapsed="false">
      <c r="A234" s="1" t="s">
        <v>267</v>
      </c>
      <c r="B234" s="1" t="s">
        <v>26</v>
      </c>
      <c r="C234" s="1" t="n">
        <v>12000000</v>
      </c>
      <c r="D234" s="1" t="n">
        <v>361811.7</v>
      </c>
      <c r="E234" s="1" t="n">
        <v>0.0951</v>
      </c>
      <c r="F234" s="1" t="n">
        <v>0.095</v>
      </c>
    </row>
    <row r="235" customFormat="false" ht="15" hidden="false" customHeight="false" outlineLevel="0" collapsed="false">
      <c r="A235" s="1" t="s">
        <v>268</v>
      </c>
      <c r="B235" s="1" t="s">
        <v>24</v>
      </c>
      <c r="C235" s="1" t="n">
        <v>11500000</v>
      </c>
      <c r="D235" s="1" t="n">
        <v>3174</v>
      </c>
      <c r="E235" s="1" t="n">
        <v>0.0316</v>
      </c>
      <c r="F235" s="1" t="n">
        <v>0.0938</v>
      </c>
    </row>
    <row r="236" customFormat="false" ht="15" hidden="false" customHeight="false" outlineLevel="0" collapsed="false">
      <c r="A236" s="1" t="s">
        <v>269</v>
      </c>
      <c r="B236" s="1" t="s">
        <v>26</v>
      </c>
      <c r="C236" s="1" t="n">
        <v>14700000</v>
      </c>
      <c r="D236" s="1" t="n">
        <v>78601.9</v>
      </c>
      <c r="E236" s="1" t="n">
        <v>0.0126</v>
      </c>
      <c r="F236" s="1" t="n">
        <v>0.0584</v>
      </c>
    </row>
    <row r="237" customFormat="false" ht="15" hidden="false" customHeight="false" outlineLevel="0" collapsed="false">
      <c r="A237" s="1" t="s">
        <v>270</v>
      </c>
      <c r="B237" s="1" t="s">
        <v>88</v>
      </c>
      <c r="C237" s="1" t="n">
        <v>18200000</v>
      </c>
      <c r="D237" s="1" t="n">
        <v>11901184.9</v>
      </c>
      <c r="E237" s="1" t="n">
        <v>0.0098</v>
      </c>
      <c r="F237" s="1" t="n">
        <v>0.0654</v>
      </c>
    </row>
    <row r="238" customFormat="false" ht="15" hidden="false" customHeight="false" outlineLevel="0" collapsed="false">
      <c r="A238" s="1" t="s">
        <v>271</v>
      </c>
      <c r="B238" s="1" t="s">
        <v>26</v>
      </c>
      <c r="C238" s="1" t="n">
        <v>11700000</v>
      </c>
      <c r="D238" s="1" t="n">
        <v>2877.4</v>
      </c>
      <c r="E238" s="1" t="n">
        <v>0.0848</v>
      </c>
      <c r="F238" s="1" t="n">
        <v>0.4076</v>
      </c>
    </row>
    <row r="239" customFormat="false" ht="15" hidden="false" customHeight="false" outlineLevel="0" collapsed="false">
      <c r="A239" s="1" t="s">
        <v>272</v>
      </c>
      <c r="B239" s="1" t="s">
        <v>214</v>
      </c>
      <c r="C239" s="1" t="n">
        <v>14900000</v>
      </c>
      <c r="D239" s="1" t="n">
        <v>2701684.5</v>
      </c>
      <c r="E239" s="1" t="n">
        <v>0.0334</v>
      </c>
      <c r="F239" s="1" t="n">
        <v>0.0759</v>
      </c>
    </row>
    <row r="240" customFormat="false" ht="15" hidden="false" customHeight="false" outlineLevel="0" collapsed="false">
      <c r="A240" s="1" t="s">
        <v>273</v>
      </c>
      <c r="B240" s="1" t="s">
        <v>88</v>
      </c>
      <c r="C240" s="1" t="n">
        <v>14400000</v>
      </c>
      <c r="D240" s="1" t="n">
        <v>1144.5</v>
      </c>
      <c r="E240" s="1" t="n">
        <v>0.0311</v>
      </c>
      <c r="F240" s="1" t="n">
        <v>0.0938</v>
      </c>
    </row>
    <row r="241" customFormat="false" ht="15" hidden="false" customHeight="false" outlineLevel="0" collapsed="false">
      <c r="A241" s="1" t="s">
        <v>274</v>
      </c>
      <c r="B241" s="1" t="s">
        <v>24</v>
      </c>
      <c r="C241" s="1" t="n">
        <v>11700000</v>
      </c>
      <c r="D241" s="1" t="n">
        <v>705360.4</v>
      </c>
      <c r="E241" s="1" t="n">
        <v>0.0167</v>
      </c>
      <c r="F241" s="1" t="n">
        <v>0.0488</v>
      </c>
    </row>
    <row r="242" customFormat="false" ht="15" hidden="false" customHeight="false" outlineLevel="0" collapsed="false">
      <c r="A242" s="1" t="s">
        <v>275</v>
      </c>
      <c r="B242" s="1" t="s">
        <v>30</v>
      </c>
      <c r="C242" s="1" t="n">
        <v>11000000</v>
      </c>
      <c r="D242" s="1" t="n">
        <v>316906</v>
      </c>
      <c r="E242" s="1" t="n">
        <v>0.0297</v>
      </c>
      <c r="F242" s="1" t="n">
        <v>0.0412</v>
      </c>
    </row>
    <row r="243" customFormat="false" ht="15" hidden="false" customHeight="false" outlineLevel="0" collapsed="false">
      <c r="A243" s="1" t="s">
        <v>276</v>
      </c>
      <c r="B243" s="1" t="s">
        <v>26</v>
      </c>
      <c r="C243" s="1" t="n">
        <v>15000000</v>
      </c>
      <c r="D243" s="1" t="n">
        <v>108804.9</v>
      </c>
      <c r="E243" s="1" t="n">
        <v>0.0175</v>
      </c>
      <c r="F243" s="1" t="n">
        <v>0.0576</v>
      </c>
    </row>
    <row r="244" customFormat="false" ht="15" hidden="false" customHeight="false" outlineLevel="0" collapsed="false">
      <c r="A244" s="1" t="s">
        <v>277</v>
      </c>
      <c r="B244" s="1" t="s">
        <v>21</v>
      </c>
      <c r="C244" s="1" t="n">
        <v>10500000</v>
      </c>
      <c r="D244" s="1" t="n">
        <v>37811</v>
      </c>
      <c r="E244" s="1" t="n">
        <v>0.0338</v>
      </c>
      <c r="F244" s="1" t="n">
        <v>0.117</v>
      </c>
    </row>
    <row r="245" customFormat="false" ht="15" hidden="false" customHeight="false" outlineLevel="0" collapsed="false">
      <c r="A245" s="1" t="s">
        <v>278</v>
      </c>
      <c r="B245" s="1" t="s">
        <v>88</v>
      </c>
      <c r="C245" s="1" t="n">
        <v>13100000</v>
      </c>
      <c r="D245" s="1" t="n">
        <v>2748.2</v>
      </c>
      <c r="E245" s="1" t="n">
        <v>0.018</v>
      </c>
      <c r="F245" s="1" t="n">
        <v>0.0576</v>
      </c>
    </row>
    <row r="246" customFormat="false" ht="15" hidden="false" customHeight="false" outlineLevel="0" collapsed="false">
      <c r="A246" s="1" t="s">
        <v>279</v>
      </c>
      <c r="B246" s="1" t="s">
        <v>26</v>
      </c>
      <c r="C246" s="1" t="n">
        <v>18600000</v>
      </c>
      <c r="D246" s="1" t="n">
        <v>5579059.6</v>
      </c>
      <c r="E246" s="1" t="n">
        <v>0.0559</v>
      </c>
      <c r="F246" s="1" t="n">
        <v>0.0409</v>
      </c>
    </row>
    <row r="247" customFormat="false" ht="15" hidden="false" customHeight="false" outlineLevel="0" collapsed="false">
      <c r="A247" s="1" t="s">
        <v>280</v>
      </c>
      <c r="B247" s="1" t="s">
        <v>21</v>
      </c>
      <c r="C247" s="1" t="n">
        <v>11400000</v>
      </c>
      <c r="D247" s="1" t="n">
        <v>1744.1</v>
      </c>
      <c r="E247" s="1" t="n">
        <v>0.0199</v>
      </c>
      <c r="F247" s="1" t="n">
        <v>0.0833</v>
      </c>
    </row>
    <row r="248" customFormat="false" ht="15" hidden="false" customHeight="false" outlineLevel="0" collapsed="false">
      <c r="A248" s="1" t="s">
        <v>281</v>
      </c>
      <c r="B248" s="1" t="s">
        <v>53</v>
      </c>
      <c r="C248" s="1" t="n">
        <v>12200000</v>
      </c>
      <c r="D248" s="1" t="n">
        <v>1610.9</v>
      </c>
      <c r="E248" s="1" t="n">
        <v>0.017</v>
      </c>
      <c r="F248" s="1" t="n">
        <v>0.0576</v>
      </c>
    </row>
    <row r="249" customFormat="false" ht="15" hidden="false" customHeight="false" outlineLevel="0" collapsed="false">
      <c r="A249" s="1" t="s">
        <v>282</v>
      </c>
      <c r="B249" s="1" t="s">
        <v>24</v>
      </c>
      <c r="C249" s="1" t="n">
        <v>13700000</v>
      </c>
      <c r="D249" s="1" t="n">
        <v>5308.9</v>
      </c>
      <c r="E249" s="1" t="n">
        <v>0.0302</v>
      </c>
      <c r="F249" s="1" t="n">
        <v>0.0938</v>
      </c>
    </row>
    <row r="250" customFormat="false" ht="15" hidden="false" customHeight="false" outlineLevel="0" collapsed="false">
      <c r="A250" s="1" t="s">
        <v>283</v>
      </c>
      <c r="B250" s="1" t="s">
        <v>21</v>
      </c>
      <c r="C250" s="1" t="n">
        <v>12000000</v>
      </c>
      <c r="D250" s="1" t="n">
        <v>14176.6</v>
      </c>
      <c r="E250" s="1" t="n">
        <v>0.0316</v>
      </c>
      <c r="F250" s="1" t="n">
        <v>0.051</v>
      </c>
    </row>
    <row r="251" customFormat="false" ht="15" hidden="false" customHeight="false" outlineLevel="0" collapsed="false">
      <c r="A251" s="1" t="s">
        <v>284</v>
      </c>
      <c r="B251" s="1" t="s">
        <v>26</v>
      </c>
      <c r="C251" s="1" t="n">
        <v>12300000</v>
      </c>
      <c r="D251" s="1" t="n">
        <v>18369.4</v>
      </c>
      <c r="E251" s="1" t="n">
        <v>0.0184</v>
      </c>
      <c r="F251" s="1" t="n">
        <v>0.1372</v>
      </c>
    </row>
    <row r="252" customFormat="false" ht="15" hidden="false" customHeight="false" outlineLevel="0" collapsed="false">
      <c r="A252" s="1" t="s">
        <v>285</v>
      </c>
      <c r="B252" s="1" t="s">
        <v>32</v>
      </c>
      <c r="C252" s="1" t="n">
        <v>11500000</v>
      </c>
      <c r="D252" s="1" t="n">
        <v>11031.2</v>
      </c>
      <c r="E252" s="1" t="n">
        <v>0.0163</v>
      </c>
      <c r="F252" s="1" t="n">
        <v>0.0608</v>
      </c>
    </row>
    <row r="253" customFormat="false" ht="15" hidden="false" customHeight="false" outlineLevel="0" collapsed="false">
      <c r="A253" s="1" t="s">
        <v>286</v>
      </c>
      <c r="B253" s="1" t="s">
        <v>287</v>
      </c>
      <c r="C253" s="1" t="n">
        <v>10100000</v>
      </c>
      <c r="D253" s="1" t="n">
        <v>709901.5</v>
      </c>
      <c r="E253" s="1" t="n">
        <v>0.0109</v>
      </c>
      <c r="F253" s="1" t="n">
        <v>0.0822</v>
      </c>
    </row>
    <row r="254" customFormat="false" ht="15" hidden="false" customHeight="false" outlineLevel="0" collapsed="false">
      <c r="A254" s="1" t="s">
        <v>288</v>
      </c>
      <c r="B254" s="1" t="s">
        <v>53</v>
      </c>
      <c r="C254" s="1" t="n">
        <v>12400000</v>
      </c>
      <c r="D254" s="1" t="n">
        <v>2438224</v>
      </c>
      <c r="E254" s="1" t="n">
        <v>0.0387</v>
      </c>
      <c r="F254" s="1" t="n">
        <v>0.0951</v>
      </c>
    </row>
    <row r="255" customFormat="false" ht="15" hidden="false" customHeight="false" outlineLevel="0" collapsed="false">
      <c r="A255" s="1" t="s">
        <v>289</v>
      </c>
      <c r="B255" s="1" t="s">
        <v>21</v>
      </c>
      <c r="C255" s="1" t="n">
        <v>12700000</v>
      </c>
      <c r="D255" s="1" t="n">
        <v>30896.5</v>
      </c>
      <c r="E255" s="1" t="n">
        <v>0.0139</v>
      </c>
      <c r="F255" s="1" t="n">
        <v>0.0811</v>
      </c>
    </row>
    <row r="256" customFormat="false" ht="15" hidden="false" customHeight="false" outlineLevel="0" collapsed="false">
      <c r="A256" s="1" t="s">
        <v>290</v>
      </c>
      <c r="B256" s="1" t="s">
        <v>41</v>
      </c>
      <c r="C256" s="1" t="n">
        <v>13000000</v>
      </c>
      <c r="D256" s="1" t="n">
        <v>45357.7</v>
      </c>
      <c r="E256" s="1" t="n">
        <v>0.0248</v>
      </c>
      <c r="F256" s="1" t="n">
        <v>0.1053</v>
      </c>
    </row>
    <row r="257" customFormat="false" ht="15" hidden="false" customHeight="false" outlineLevel="0" collapsed="false">
      <c r="A257" s="1" t="s">
        <v>291</v>
      </c>
      <c r="B257" s="1" t="s">
        <v>26</v>
      </c>
      <c r="C257" s="1" t="n">
        <v>9250000</v>
      </c>
      <c r="D257" s="1" t="n">
        <v>559705.7</v>
      </c>
      <c r="E257" s="1" t="n">
        <v>0.0299</v>
      </c>
      <c r="F257" s="1" t="n">
        <v>0.051</v>
      </c>
    </row>
    <row r="258" customFormat="false" ht="15" hidden="false" customHeight="false" outlineLevel="0" collapsed="false">
      <c r="A258" s="1" t="s">
        <v>292</v>
      </c>
      <c r="B258" s="1" t="s">
        <v>26</v>
      </c>
      <c r="C258" s="1" t="n">
        <v>10000000</v>
      </c>
      <c r="D258" s="1" t="n">
        <v>73.7</v>
      </c>
      <c r="F258" s="1" t="n">
        <v>0.0759</v>
      </c>
    </row>
    <row r="259" customFormat="false" ht="15" hidden="false" customHeight="false" outlineLevel="0" collapsed="false">
      <c r="A259" s="1" t="s">
        <v>293</v>
      </c>
      <c r="B259" s="1" t="s">
        <v>41</v>
      </c>
      <c r="C259" s="1" t="n">
        <v>11600000</v>
      </c>
      <c r="D259" s="1" t="n">
        <v>20262.5</v>
      </c>
      <c r="E259" s="1" t="n">
        <v>0.0394</v>
      </c>
      <c r="F259" s="1" t="n">
        <v>0.0938</v>
      </c>
    </row>
    <row r="260" customFormat="false" ht="15" hidden="false" customHeight="false" outlineLevel="0" collapsed="false">
      <c r="A260" s="1" t="s">
        <v>294</v>
      </c>
      <c r="B260" s="1" t="s">
        <v>21</v>
      </c>
      <c r="C260" s="1" t="n">
        <v>14100000</v>
      </c>
      <c r="D260" s="1" t="n">
        <v>2570</v>
      </c>
      <c r="F260" s="1" t="n">
        <v>0.051</v>
      </c>
    </row>
    <row r="261" customFormat="false" ht="15" hidden="false" customHeight="false" outlineLevel="0" collapsed="false">
      <c r="A261" s="1" t="s">
        <v>295</v>
      </c>
      <c r="B261" s="1" t="s">
        <v>24</v>
      </c>
      <c r="C261" s="1" t="n">
        <v>11400000</v>
      </c>
      <c r="D261" s="1" t="n">
        <v>367.8</v>
      </c>
      <c r="E261" s="1" t="n">
        <v>0.0121</v>
      </c>
      <c r="F261" s="1" t="n">
        <v>0.169</v>
      </c>
    </row>
    <row r="262" customFormat="false" ht="15" hidden="false" customHeight="false" outlineLevel="0" collapsed="false">
      <c r="A262" s="1" t="s">
        <v>296</v>
      </c>
      <c r="B262" s="1" t="s">
        <v>41</v>
      </c>
      <c r="C262" s="1" t="n">
        <v>12000000</v>
      </c>
      <c r="D262" s="1" t="n">
        <v>1219.8</v>
      </c>
      <c r="E262" s="1" t="n">
        <v>0.0204</v>
      </c>
      <c r="F262" s="1" t="n">
        <v>0.0813</v>
      </c>
    </row>
    <row r="263" customFormat="false" ht="15" hidden="false" customHeight="false" outlineLevel="0" collapsed="false">
      <c r="A263" s="1" t="s">
        <v>297</v>
      </c>
      <c r="B263" s="1" t="s">
        <v>26</v>
      </c>
      <c r="C263" s="1" t="n">
        <v>14700000</v>
      </c>
      <c r="D263" s="1" t="n">
        <v>39019.8</v>
      </c>
      <c r="E263" s="1" t="n">
        <v>0.0122</v>
      </c>
      <c r="F263" s="1" t="n">
        <v>0.0726</v>
      </c>
    </row>
    <row r="264" customFormat="false" ht="15" hidden="false" customHeight="false" outlineLevel="0" collapsed="false">
      <c r="A264" s="1" t="s">
        <v>298</v>
      </c>
      <c r="B264" s="1" t="s">
        <v>92</v>
      </c>
      <c r="C264" s="1" t="n">
        <v>16800000</v>
      </c>
      <c r="D264" s="1" t="n">
        <v>1429818.2</v>
      </c>
      <c r="E264" s="1" t="n">
        <v>0.0414</v>
      </c>
      <c r="F264" s="1" t="n">
        <v>0.0409</v>
      </c>
    </row>
    <row r="265" customFormat="false" ht="15" hidden="false" customHeight="false" outlineLevel="0" collapsed="false">
      <c r="A265" s="1" t="s">
        <v>299</v>
      </c>
      <c r="B265" s="1" t="s">
        <v>88</v>
      </c>
      <c r="C265" s="1" t="n">
        <v>15500000</v>
      </c>
      <c r="D265" s="1" t="n">
        <v>4069326.6</v>
      </c>
      <c r="E265" s="1" t="n">
        <v>0.056</v>
      </c>
      <c r="F265" s="1" t="n">
        <v>0.0759</v>
      </c>
    </row>
    <row r="266" customFormat="false" ht="15" hidden="false" customHeight="false" outlineLevel="0" collapsed="false">
      <c r="A266" s="1" t="s">
        <v>300</v>
      </c>
      <c r="B266" s="1" t="s">
        <v>26</v>
      </c>
      <c r="C266" s="1" t="n">
        <v>12200000</v>
      </c>
      <c r="D266" s="1" t="n">
        <v>263261.5</v>
      </c>
      <c r="E266" s="1" t="n">
        <v>0.0142</v>
      </c>
      <c r="F266" s="1" t="n">
        <v>0.0576</v>
      </c>
    </row>
    <row r="267" customFormat="false" ht="15" hidden="false" customHeight="false" outlineLevel="0" collapsed="false">
      <c r="A267" s="1" t="s">
        <v>301</v>
      </c>
      <c r="B267" s="1" t="s">
        <v>26</v>
      </c>
      <c r="C267" s="1" t="n">
        <v>9360000</v>
      </c>
      <c r="D267" s="1" t="n">
        <v>75541.5</v>
      </c>
      <c r="E267" s="1" t="n">
        <v>0.0611</v>
      </c>
      <c r="F267" s="1" t="n">
        <v>0.0938</v>
      </c>
    </row>
    <row r="268" customFormat="false" ht="15" hidden="false" customHeight="false" outlineLevel="0" collapsed="false">
      <c r="A268" s="1" t="s">
        <v>302</v>
      </c>
      <c r="B268" s="1" t="s">
        <v>26</v>
      </c>
      <c r="C268" s="1" t="n">
        <v>9590000</v>
      </c>
      <c r="D268" s="1" t="n">
        <v>13625.8</v>
      </c>
      <c r="E268" s="1" t="n">
        <v>0.041</v>
      </c>
      <c r="F268" s="1" t="n">
        <v>0.0938</v>
      </c>
    </row>
    <row r="269" customFormat="false" ht="15" hidden="false" customHeight="false" outlineLevel="0" collapsed="false">
      <c r="A269" s="1" t="s">
        <v>303</v>
      </c>
      <c r="B269" s="1" t="s">
        <v>41</v>
      </c>
      <c r="C269" s="1" t="n">
        <v>10500000</v>
      </c>
      <c r="D269" s="1" t="n">
        <v>222</v>
      </c>
      <c r="E269" s="1" t="n">
        <v>0.0307</v>
      </c>
      <c r="F269" s="1" t="n">
        <v>0.1688</v>
      </c>
    </row>
    <row r="270" customFormat="false" ht="15" hidden="false" customHeight="false" outlineLevel="0" collapsed="false">
      <c r="A270" s="1" t="s">
        <v>304</v>
      </c>
      <c r="B270" s="1" t="s">
        <v>21</v>
      </c>
      <c r="C270" s="1" t="n">
        <v>9140000</v>
      </c>
      <c r="D270" s="1" t="n">
        <v>495830.9</v>
      </c>
      <c r="E270" s="1" t="n">
        <v>0.0103</v>
      </c>
      <c r="F270" s="1" t="n">
        <v>0.0822</v>
      </c>
    </row>
    <row r="271" customFormat="false" ht="15" hidden="false" customHeight="false" outlineLevel="0" collapsed="false">
      <c r="A271" s="1" t="s">
        <v>305</v>
      </c>
      <c r="B271" s="1" t="s">
        <v>92</v>
      </c>
      <c r="C271" s="1" t="n">
        <v>9440000</v>
      </c>
      <c r="D271" s="1" t="n">
        <v>142433.6</v>
      </c>
      <c r="E271" s="1" t="n">
        <v>0.0238</v>
      </c>
      <c r="F271" s="1" t="n">
        <v>0.0672</v>
      </c>
    </row>
    <row r="272" customFormat="false" ht="15" hidden="false" customHeight="false" outlineLevel="0" collapsed="false">
      <c r="A272" s="1" t="s">
        <v>306</v>
      </c>
      <c r="B272" s="1" t="s">
        <v>41</v>
      </c>
      <c r="C272" s="1" t="n">
        <v>10500000</v>
      </c>
      <c r="D272" s="1" t="n">
        <v>13863.8</v>
      </c>
      <c r="E272" s="1" t="n">
        <v>0.0631</v>
      </c>
      <c r="F272" s="1" t="n">
        <v>0.051</v>
      </c>
    </row>
    <row r="273" customFormat="false" ht="15" hidden="false" customHeight="false" outlineLevel="0" collapsed="false">
      <c r="A273" s="1" t="s">
        <v>307</v>
      </c>
      <c r="B273" s="1" t="s">
        <v>28</v>
      </c>
      <c r="C273" s="1" t="n">
        <v>9280000</v>
      </c>
      <c r="D273" s="1" t="n">
        <v>602223.4</v>
      </c>
      <c r="E273" s="1" t="n">
        <v>0.0024</v>
      </c>
      <c r="F273" s="1" t="n">
        <v>0.0822</v>
      </c>
    </row>
    <row r="274" customFormat="false" ht="15" hidden="false" customHeight="false" outlineLevel="0" collapsed="false">
      <c r="A274" s="1" t="s">
        <v>308</v>
      </c>
      <c r="B274" s="1" t="s">
        <v>26</v>
      </c>
      <c r="C274" s="1" t="n">
        <v>16900000</v>
      </c>
      <c r="D274" s="1" t="n">
        <v>340065.7</v>
      </c>
      <c r="E274" s="1" t="n">
        <v>0.0223</v>
      </c>
      <c r="F274" s="1" t="n">
        <v>0.0409</v>
      </c>
    </row>
    <row r="275" customFormat="false" ht="15" hidden="false" customHeight="false" outlineLevel="0" collapsed="false">
      <c r="A275" s="1" t="s">
        <v>309</v>
      </c>
      <c r="B275" s="1" t="s">
        <v>26</v>
      </c>
      <c r="C275" s="1" t="n">
        <v>10400000</v>
      </c>
      <c r="D275" s="1" t="n">
        <v>758263</v>
      </c>
      <c r="E275" s="1" t="n">
        <v>0.0072</v>
      </c>
      <c r="F275" s="1" t="n">
        <v>0.0654</v>
      </c>
    </row>
    <row r="276" customFormat="false" ht="15" hidden="false" customHeight="false" outlineLevel="0" collapsed="false">
      <c r="A276" s="1" t="s">
        <v>310</v>
      </c>
      <c r="B276" s="1" t="s">
        <v>53</v>
      </c>
      <c r="C276" s="1" t="n">
        <v>11100000</v>
      </c>
      <c r="D276" s="1" t="n">
        <v>11707.2</v>
      </c>
      <c r="E276" s="1" t="n">
        <v>0.0391</v>
      </c>
      <c r="F276" s="1" t="n">
        <v>0.051</v>
      </c>
    </row>
    <row r="277" customFormat="false" ht="15" hidden="false" customHeight="false" outlineLevel="0" collapsed="false">
      <c r="A277" s="1" t="s">
        <v>311</v>
      </c>
      <c r="B277" s="1" t="s">
        <v>74</v>
      </c>
      <c r="C277" s="1" t="n">
        <v>9980000</v>
      </c>
      <c r="D277" s="1" t="n">
        <v>4130578</v>
      </c>
      <c r="E277" s="1" t="n">
        <v>0.0452</v>
      </c>
      <c r="F277" s="1" t="n">
        <v>0.0546</v>
      </c>
    </row>
    <row r="278" customFormat="false" ht="15" hidden="false" customHeight="false" outlineLevel="0" collapsed="false">
      <c r="A278" s="1" t="s">
        <v>312</v>
      </c>
      <c r="B278" s="1" t="s">
        <v>26</v>
      </c>
      <c r="C278" s="1" t="n">
        <v>8490000</v>
      </c>
      <c r="D278" s="1" t="n">
        <v>363768.8</v>
      </c>
      <c r="E278" s="1" t="n">
        <v>0.0685</v>
      </c>
      <c r="F278" s="1" t="n">
        <v>0.0938</v>
      </c>
    </row>
    <row r="279" customFormat="false" ht="15" hidden="false" customHeight="false" outlineLevel="0" collapsed="false">
      <c r="A279" s="1" t="s">
        <v>313</v>
      </c>
      <c r="B279" s="1" t="s">
        <v>35</v>
      </c>
      <c r="C279" s="1" t="n">
        <v>9910000</v>
      </c>
      <c r="D279" s="1" t="n">
        <v>54445.8</v>
      </c>
      <c r="E279" s="1" t="n">
        <v>0.007</v>
      </c>
      <c r="F279" s="1" t="n">
        <v>0.0811</v>
      </c>
    </row>
    <row r="280" customFormat="false" ht="15" hidden="false" customHeight="false" outlineLevel="0" collapsed="false">
      <c r="A280" s="1" t="s">
        <v>314</v>
      </c>
      <c r="B280" s="1" t="s">
        <v>41</v>
      </c>
      <c r="C280" s="1" t="n">
        <v>11800000</v>
      </c>
      <c r="D280" s="1" t="n">
        <v>57763.6</v>
      </c>
      <c r="E280" s="1" t="n">
        <v>0.0119</v>
      </c>
      <c r="F280" s="1" t="n">
        <v>0.0726</v>
      </c>
    </row>
    <row r="281" customFormat="false" ht="15" hidden="false" customHeight="false" outlineLevel="0" collapsed="false">
      <c r="A281" s="1" t="s">
        <v>315</v>
      </c>
      <c r="B281" s="1" t="s">
        <v>24</v>
      </c>
      <c r="C281" s="1" t="n">
        <v>9010000</v>
      </c>
      <c r="D281" s="1" t="n">
        <v>135748.5</v>
      </c>
      <c r="E281" s="1" t="n">
        <v>0.0112</v>
      </c>
      <c r="F281" s="1" t="n">
        <v>0.1452</v>
      </c>
    </row>
    <row r="282" customFormat="false" ht="15" hidden="false" customHeight="false" outlineLevel="0" collapsed="false">
      <c r="A282" s="1" t="s">
        <v>316</v>
      </c>
      <c r="B282" s="1" t="s">
        <v>21</v>
      </c>
      <c r="C282" s="1" t="n">
        <v>9660000</v>
      </c>
      <c r="D282" s="1" t="n">
        <v>84090.2</v>
      </c>
      <c r="E282" s="1" t="n">
        <v>0.014</v>
      </c>
      <c r="F282" s="1" t="n">
        <v>0.0576</v>
      </c>
    </row>
    <row r="283" customFormat="false" ht="15" hidden="false" customHeight="false" outlineLevel="0" collapsed="false">
      <c r="A283" s="1" t="s">
        <v>317</v>
      </c>
      <c r="B283" s="1" t="s">
        <v>214</v>
      </c>
      <c r="C283" s="1" t="n">
        <v>11100000</v>
      </c>
      <c r="D283" s="1" t="n">
        <v>128812.6</v>
      </c>
      <c r="E283" s="1" t="n">
        <v>0.002</v>
      </c>
      <c r="F283" s="1" t="n">
        <v>0.0654</v>
      </c>
    </row>
    <row r="284" customFormat="false" ht="15" hidden="false" customHeight="false" outlineLevel="0" collapsed="false">
      <c r="A284" s="1" t="s">
        <v>318</v>
      </c>
      <c r="B284" s="1" t="s">
        <v>32</v>
      </c>
      <c r="C284" s="1" t="n">
        <v>8870000</v>
      </c>
      <c r="D284" s="1" t="n">
        <v>41838.3</v>
      </c>
      <c r="E284" s="1" t="n">
        <v>0.0102</v>
      </c>
      <c r="F284" s="1" t="n">
        <v>0.1187</v>
      </c>
    </row>
    <row r="285" customFormat="false" ht="15" hidden="false" customHeight="false" outlineLevel="0" collapsed="false">
      <c r="A285" s="1" t="s">
        <v>319</v>
      </c>
      <c r="B285" s="1" t="s">
        <v>32</v>
      </c>
      <c r="C285" s="1" t="n">
        <v>16200000</v>
      </c>
      <c r="D285" s="1" t="n">
        <v>10199.6</v>
      </c>
      <c r="E285" s="1" t="n">
        <v>0.0077</v>
      </c>
      <c r="F285" s="1" t="n">
        <v>0.0654</v>
      </c>
    </row>
    <row r="286" customFormat="false" ht="15" hidden="false" customHeight="false" outlineLevel="0" collapsed="false">
      <c r="A286" s="1" t="s">
        <v>320</v>
      </c>
      <c r="B286" s="1" t="s">
        <v>24</v>
      </c>
      <c r="C286" s="1" t="n">
        <v>13100000</v>
      </c>
      <c r="D286" s="1" t="n">
        <v>977474.6</v>
      </c>
      <c r="E286" s="1" t="n">
        <v>0.0353</v>
      </c>
      <c r="F286" s="1" t="n">
        <v>0.0409</v>
      </c>
    </row>
    <row r="287" customFormat="false" ht="15" hidden="false" customHeight="false" outlineLevel="0" collapsed="false">
      <c r="A287" s="1" t="s">
        <v>321</v>
      </c>
      <c r="B287" s="1" t="s">
        <v>53</v>
      </c>
      <c r="C287" s="1" t="n">
        <v>8790000</v>
      </c>
      <c r="D287" s="1" t="n">
        <v>256516.4</v>
      </c>
      <c r="E287" s="1" t="n">
        <v>0.0385</v>
      </c>
      <c r="F287" s="1" t="n">
        <v>0.117</v>
      </c>
    </row>
    <row r="288" customFormat="false" ht="15" hidden="false" customHeight="false" outlineLevel="0" collapsed="false">
      <c r="A288" s="1" t="s">
        <v>322</v>
      </c>
      <c r="B288" s="1" t="s">
        <v>41</v>
      </c>
      <c r="C288" s="1" t="n">
        <v>24200000</v>
      </c>
      <c r="D288" s="1" t="n">
        <v>6826.5</v>
      </c>
      <c r="E288" s="1" t="n">
        <v>0.0175</v>
      </c>
      <c r="F288" s="1" t="n">
        <v>0.0608</v>
      </c>
    </row>
    <row r="289" customFormat="false" ht="15" hidden="false" customHeight="false" outlineLevel="0" collapsed="false">
      <c r="A289" s="1" t="s">
        <v>323</v>
      </c>
      <c r="B289" s="1" t="s">
        <v>53</v>
      </c>
      <c r="C289" s="1" t="n">
        <v>11800000</v>
      </c>
      <c r="D289" s="1" t="n">
        <v>112231.5</v>
      </c>
      <c r="E289" s="1" t="n">
        <v>0.0841</v>
      </c>
      <c r="F289" s="1" t="n">
        <v>0.0938</v>
      </c>
    </row>
    <row r="290" customFormat="false" ht="15" hidden="false" customHeight="false" outlineLevel="0" collapsed="false">
      <c r="A290" s="1" t="s">
        <v>324</v>
      </c>
      <c r="B290" s="1" t="s">
        <v>26</v>
      </c>
      <c r="C290" s="1" t="n">
        <v>9920000</v>
      </c>
      <c r="D290" s="1" t="n">
        <v>11323</v>
      </c>
      <c r="E290" s="1" t="n">
        <v>0.0033</v>
      </c>
      <c r="F290" s="1" t="n">
        <v>0.1015</v>
      </c>
    </row>
    <row r="291" customFormat="false" ht="15" hidden="false" customHeight="false" outlineLevel="0" collapsed="false">
      <c r="A291" s="1" t="s">
        <v>325</v>
      </c>
      <c r="B291" s="1" t="s">
        <v>41</v>
      </c>
      <c r="C291" s="1" t="n">
        <v>10600000</v>
      </c>
      <c r="D291" s="1" t="n">
        <v>1165.7</v>
      </c>
      <c r="E291" s="1" t="n">
        <v>0.0121</v>
      </c>
      <c r="F291" s="1" t="n">
        <v>0.1176</v>
      </c>
    </row>
    <row r="292" customFormat="false" ht="15" hidden="false" customHeight="false" outlineLevel="0" collapsed="false">
      <c r="A292" s="1" t="s">
        <v>326</v>
      </c>
      <c r="B292" s="1" t="s">
        <v>41</v>
      </c>
      <c r="C292" s="1" t="n">
        <v>11800000</v>
      </c>
      <c r="D292" s="1" t="n">
        <v>3171.5</v>
      </c>
      <c r="E292" s="1" t="n">
        <v>0.0126</v>
      </c>
      <c r="F292" s="1" t="n">
        <v>0.1452</v>
      </c>
    </row>
    <row r="293" customFormat="false" ht="15" hidden="false" customHeight="false" outlineLevel="0" collapsed="false">
      <c r="A293" s="1" t="s">
        <v>327</v>
      </c>
      <c r="B293" s="1" t="s">
        <v>41</v>
      </c>
      <c r="C293" s="1" t="n">
        <v>13100000</v>
      </c>
      <c r="D293" s="1" t="n">
        <v>8838.6</v>
      </c>
      <c r="E293" s="1" t="n">
        <v>0.0148</v>
      </c>
      <c r="F293" s="1" t="n">
        <v>0.1053</v>
      </c>
    </row>
    <row r="294" customFormat="false" ht="15" hidden="false" customHeight="false" outlineLevel="0" collapsed="false">
      <c r="A294" s="1" t="s">
        <v>328</v>
      </c>
      <c r="B294" s="1" t="s">
        <v>32</v>
      </c>
      <c r="C294" s="1" t="n">
        <v>9530000</v>
      </c>
      <c r="D294" s="1" t="n">
        <v>78533</v>
      </c>
      <c r="E294" s="1" t="n">
        <v>0.0224</v>
      </c>
      <c r="F294" s="1" t="n">
        <v>0.0585</v>
      </c>
    </row>
    <row r="295" customFormat="false" ht="15" hidden="false" customHeight="false" outlineLevel="0" collapsed="false">
      <c r="A295" s="1" t="s">
        <v>329</v>
      </c>
      <c r="B295" s="1" t="s">
        <v>26</v>
      </c>
      <c r="C295" s="1" t="n">
        <v>30000000</v>
      </c>
      <c r="D295" s="1" t="n">
        <v>9712857.5</v>
      </c>
      <c r="E295" s="1" t="n">
        <v>0.0225</v>
      </c>
      <c r="F295" s="1" t="n">
        <v>0.0409</v>
      </c>
    </row>
    <row r="296" customFormat="false" ht="15" hidden="false" customHeight="false" outlineLevel="0" collapsed="false">
      <c r="A296" s="1" t="s">
        <v>330</v>
      </c>
      <c r="B296" s="1" t="s">
        <v>21</v>
      </c>
      <c r="C296" s="1" t="n">
        <v>9260000</v>
      </c>
      <c r="D296" s="1" t="n">
        <v>908.8</v>
      </c>
      <c r="E296" s="1" t="n">
        <v>0.0216</v>
      </c>
      <c r="F296" s="1" t="n">
        <v>0.0833</v>
      </c>
    </row>
    <row r="297" customFormat="false" ht="15" hidden="false" customHeight="false" outlineLevel="0" collapsed="false">
      <c r="A297" s="1" t="s">
        <v>331</v>
      </c>
      <c r="B297" s="1" t="s">
        <v>88</v>
      </c>
      <c r="C297" s="1" t="n">
        <v>13100000</v>
      </c>
      <c r="D297" s="1" t="n">
        <v>2378.6</v>
      </c>
      <c r="E297" s="1" t="n">
        <v>0.117</v>
      </c>
      <c r="F297" s="1" t="n">
        <v>0.6579</v>
      </c>
    </row>
    <row r="298" customFormat="false" ht="15" hidden="false" customHeight="false" outlineLevel="0" collapsed="false">
      <c r="A298" s="1" t="s">
        <v>332</v>
      </c>
      <c r="B298" s="1" t="s">
        <v>26</v>
      </c>
      <c r="C298" s="1" t="n">
        <v>11400000</v>
      </c>
      <c r="D298" s="1" t="n">
        <v>4233858.8</v>
      </c>
      <c r="E298" s="1" t="n">
        <v>0.0207</v>
      </c>
      <c r="F298" s="1" t="n">
        <v>0.0759</v>
      </c>
    </row>
    <row r="299" customFormat="false" ht="15" hidden="false" customHeight="false" outlineLevel="0" collapsed="false">
      <c r="A299" s="1" t="s">
        <v>333</v>
      </c>
      <c r="B299" s="1" t="s">
        <v>28</v>
      </c>
      <c r="C299" s="1" t="n">
        <v>10000000</v>
      </c>
      <c r="D299" s="1" t="n">
        <v>78554.4</v>
      </c>
      <c r="E299" s="1" t="n">
        <v>0.009</v>
      </c>
      <c r="F299" s="1" t="n">
        <v>0.0811</v>
      </c>
    </row>
    <row r="300" customFormat="false" ht="15" hidden="false" customHeight="false" outlineLevel="0" collapsed="false">
      <c r="A300" s="1" t="s">
        <v>334</v>
      </c>
      <c r="B300" s="1" t="s">
        <v>50</v>
      </c>
      <c r="C300" s="1" t="n">
        <v>15300000</v>
      </c>
      <c r="D300" s="1" t="n">
        <v>132110.3</v>
      </c>
      <c r="E300" s="1" t="n">
        <v>0.0221</v>
      </c>
      <c r="F300" s="1" t="n">
        <v>0.0938</v>
      </c>
    </row>
    <row r="301" customFormat="false" ht="15" hidden="false" customHeight="false" outlineLevel="0" collapsed="false">
      <c r="A301" s="1" t="s">
        <v>335</v>
      </c>
      <c r="B301" s="1" t="s">
        <v>26</v>
      </c>
      <c r="C301" s="1" t="n">
        <v>8740000</v>
      </c>
      <c r="D301" s="1" t="n">
        <v>16364.6</v>
      </c>
      <c r="E301" s="1" t="n">
        <v>0.0066</v>
      </c>
      <c r="F301" s="1" t="n">
        <v>0.0654</v>
      </c>
    </row>
    <row r="302" customFormat="false" ht="15" hidden="false" customHeight="false" outlineLevel="0" collapsed="false">
      <c r="A302" s="1" t="s">
        <v>336</v>
      </c>
      <c r="B302" s="1" t="s">
        <v>62</v>
      </c>
      <c r="C302" s="1" t="n">
        <v>11400000</v>
      </c>
      <c r="D302" s="1" t="n">
        <v>27236</v>
      </c>
      <c r="E302" s="1" t="n">
        <v>0.0083</v>
      </c>
      <c r="F302" s="1" t="n">
        <v>0.0811</v>
      </c>
    </row>
    <row r="303" customFormat="false" ht="15" hidden="false" customHeight="false" outlineLevel="0" collapsed="false">
      <c r="A303" s="1" t="s">
        <v>337</v>
      </c>
      <c r="B303" s="1" t="s">
        <v>41</v>
      </c>
      <c r="C303" s="1" t="n">
        <v>11200000</v>
      </c>
      <c r="D303" s="1" t="n">
        <v>1652.9</v>
      </c>
      <c r="E303" s="1" t="n">
        <v>0.0105</v>
      </c>
      <c r="F303" s="1" t="n">
        <v>0.1866</v>
      </c>
    </row>
    <row r="304" customFormat="false" ht="15" hidden="false" customHeight="false" outlineLevel="0" collapsed="false">
      <c r="A304" s="1" t="s">
        <v>338</v>
      </c>
      <c r="B304" s="1" t="s">
        <v>32</v>
      </c>
      <c r="C304" s="1" t="n">
        <v>10400000</v>
      </c>
      <c r="D304" s="1" t="n">
        <v>439196.1</v>
      </c>
      <c r="E304" s="1" t="n">
        <v>0.0176</v>
      </c>
      <c r="F304" s="1" t="n">
        <v>0.0616</v>
      </c>
    </row>
    <row r="305" customFormat="false" ht="15" hidden="false" customHeight="false" outlineLevel="0" collapsed="false">
      <c r="A305" s="1" t="s">
        <v>339</v>
      </c>
      <c r="B305" s="1" t="s">
        <v>41</v>
      </c>
      <c r="C305" s="1" t="n">
        <v>13300000</v>
      </c>
      <c r="D305" s="1" t="n">
        <v>8737.5</v>
      </c>
      <c r="E305" s="1" t="n">
        <v>0.0318</v>
      </c>
      <c r="F305" s="1" t="n">
        <v>0.0938</v>
      </c>
    </row>
    <row r="306" customFormat="false" ht="15" hidden="false" customHeight="false" outlineLevel="0" collapsed="false">
      <c r="A306" s="1" t="s">
        <v>340</v>
      </c>
      <c r="B306" s="1" t="s">
        <v>24</v>
      </c>
      <c r="C306" s="1" t="n">
        <v>13600000</v>
      </c>
      <c r="D306" s="1" t="n">
        <v>77548.9</v>
      </c>
      <c r="E306" s="1" t="n">
        <v>0.0067</v>
      </c>
      <c r="F306" s="1" t="n">
        <v>0.0654</v>
      </c>
    </row>
    <row r="307" customFormat="false" ht="15" hidden="false" customHeight="false" outlineLevel="0" collapsed="false">
      <c r="A307" s="1" t="s">
        <v>341</v>
      </c>
      <c r="B307" s="1" t="s">
        <v>71</v>
      </c>
      <c r="C307" s="1" t="n">
        <v>9420000</v>
      </c>
      <c r="D307" s="1" t="n">
        <v>163437.6</v>
      </c>
      <c r="E307" s="1" t="n">
        <v>0.0364</v>
      </c>
      <c r="F307" s="1" t="n">
        <v>0.0951</v>
      </c>
    </row>
    <row r="308" customFormat="false" ht="15" hidden="false" customHeight="false" outlineLevel="0" collapsed="false">
      <c r="A308" s="1" t="s">
        <v>342</v>
      </c>
      <c r="B308" s="1" t="s">
        <v>214</v>
      </c>
      <c r="C308" s="1" t="n">
        <v>10700000</v>
      </c>
      <c r="D308" s="1" t="n">
        <v>17586.6</v>
      </c>
      <c r="E308" s="1" t="n">
        <v>0.0058</v>
      </c>
      <c r="F308" s="1" t="n">
        <v>0.0654</v>
      </c>
    </row>
    <row r="309" customFormat="false" ht="15" hidden="false" customHeight="false" outlineLevel="0" collapsed="false">
      <c r="A309" s="1" t="s">
        <v>343</v>
      </c>
      <c r="B309" s="1" t="s">
        <v>26</v>
      </c>
      <c r="C309" s="1" t="n">
        <v>14100000</v>
      </c>
      <c r="D309" s="1" t="n">
        <v>220673.6</v>
      </c>
      <c r="E309" s="1" t="n">
        <v>0.0112</v>
      </c>
      <c r="F309" s="1" t="n">
        <v>0.0654</v>
      </c>
    </row>
    <row r="310" customFormat="false" ht="15" hidden="false" customHeight="false" outlineLevel="0" collapsed="false">
      <c r="A310" s="1" t="s">
        <v>344</v>
      </c>
      <c r="B310" s="1" t="s">
        <v>24</v>
      </c>
      <c r="C310" s="1" t="n">
        <v>10700000</v>
      </c>
      <c r="D310" s="1" t="n">
        <v>97977.4</v>
      </c>
      <c r="E310" s="1" t="n">
        <v>0.0044</v>
      </c>
      <c r="F310" s="1" t="n">
        <v>0.1929</v>
      </c>
    </row>
    <row r="311" customFormat="false" ht="15" hidden="false" customHeight="false" outlineLevel="0" collapsed="false">
      <c r="A311" s="1" t="s">
        <v>345</v>
      </c>
      <c r="B311" s="1" t="s">
        <v>21</v>
      </c>
      <c r="C311" s="1" t="n">
        <v>10000000</v>
      </c>
      <c r="D311" s="1" t="n">
        <v>487724.9</v>
      </c>
      <c r="E311" s="1" t="n">
        <v>0.0181</v>
      </c>
      <c r="F311" s="1" t="n">
        <v>0.0462</v>
      </c>
    </row>
    <row r="312" customFormat="false" ht="15" hidden="false" customHeight="false" outlineLevel="0" collapsed="false">
      <c r="A312" s="1" t="s">
        <v>346</v>
      </c>
      <c r="B312" s="1" t="s">
        <v>26</v>
      </c>
      <c r="C312" s="1" t="n">
        <v>7720000</v>
      </c>
      <c r="D312" s="1" t="n">
        <v>70080.8</v>
      </c>
      <c r="F312" s="1" t="n">
        <v>0.0409</v>
      </c>
    </row>
    <row r="313" customFormat="false" ht="15" hidden="false" customHeight="false" outlineLevel="0" collapsed="false">
      <c r="A313" s="1" t="s">
        <v>347</v>
      </c>
      <c r="B313" s="1" t="s">
        <v>26</v>
      </c>
      <c r="C313" s="1" t="n">
        <v>8910000</v>
      </c>
      <c r="D313" s="1" t="n">
        <v>800331.6</v>
      </c>
      <c r="E313" s="1" t="n">
        <v>0.0577</v>
      </c>
      <c r="F313" s="1" t="n">
        <v>0.0759</v>
      </c>
    </row>
    <row r="314" customFormat="false" ht="15" hidden="false" customHeight="false" outlineLevel="0" collapsed="false">
      <c r="A314" s="1" t="s">
        <v>348</v>
      </c>
      <c r="B314" s="1" t="s">
        <v>26</v>
      </c>
      <c r="C314" s="1" t="n">
        <v>23100000</v>
      </c>
      <c r="D314" s="1" t="n">
        <v>8188391</v>
      </c>
      <c r="E314" s="1" t="n">
        <v>0.0156</v>
      </c>
      <c r="F314" s="1" t="n">
        <v>0.0462</v>
      </c>
    </row>
    <row r="315" customFormat="false" ht="15" hidden="false" customHeight="false" outlineLevel="0" collapsed="false">
      <c r="A315" s="1" t="s">
        <v>349</v>
      </c>
      <c r="B315" s="1" t="s">
        <v>41</v>
      </c>
      <c r="C315" s="1" t="n">
        <v>9560000</v>
      </c>
      <c r="D315" s="1" t="n">
        <v>1330.6</v>
      </c>
      <c r="E315" s="1" t="n">
        <v>0.0579</v>
      </c>
      <c r="F315" s="1" t="n">
        <v>0.0938</v>
      </c>
    </row>
    <row r="316" customFormat="false" ht="15" hidden="false" customHeight="false" outlineLevel="0" collapsed="false">
      <c r="A316" s="1" t="s">
        <v>350</v>
      </c>
      <c r="B316" s="1" t="s">
        <v>26</v>
      </c>
      <c r="C316" s="1" t="n">
        <v>21700000</v>
      </c>
      <c r="D316" s="1" t="n">
        <v>5035362.8</v>
      </c>
      <c r="E316" s="1" t="n">
        <v>0.0098</v>
      </c>
      <c r="F316" s="1" t="n">
        <v>0.0654</v>
      </c>
    </row>
    <row r="317" customFormat="false" ht="15" hidden="false" customHeight="false" outlineLevel="0" collapsed="false">
      <c r="A317" s="1" t="s">
        <v>351</v>
      </c>
      <c r="B317" s="1" t="s">
        <v>41</v>
      </c>
      <c r="C317" s="1" t="n">
        <v>9810000</v>
      </c>
      <c r="D317" s="1" t="n">
        <v>1135257.8</v>
      </c>
      <c r="E317" s="1" t="n">
        <v>0.0478</v>
      </c>
      <c r="F317" s="1" t="n">
        <v>0.0951</v>
      </c>
    </row>
    <row r="318" customFormat="false" ht="15" hidden="false" customHeight="false" outlineLevel="0" collapsed="false">
      <c r="A318" s="1" t="s">
        <v>352</v>
      </c>
      <c r="B318" s="1" t="s">
        <v>30</v>
      </c>
      <c r="C318" s="1" t="n">
        <v>10200000</v>
      </c>
      <c r="D318" s="1" t="n">
        <v>984013.9</v>
      </c>
      <c r="E318" s="1" t="n">
        <v>0.0232</v>
      </c>
      <c r="F318" s="1" t="n">
        <v>0.0409</v>
      </c>
    </row>
    <row r="319" customFormat="false" ht="15" hidden="false" customHeight="false" outlineLevel="0" collapsed="false">
      <c r="A319" s="1" t="s">
        <v>353</v>
      </c>
      <c r="B319" s="1" t="s">
        <v>24</v>
      </c>
      <c r="C319" s="1" t="n">
        <v>11600000</v>
      </c>
      <c r="D319" s="1" t="n">
        <v>15885.6</v>
      </c>
      <c r="E319" s="1" t="n">
        <v>0.1651</v>
      </c>
      <c r="F319" s="1" t="n">
        <v>0.0938</v>
      </c>
    </row>
    <row r="320" customFormat="false" ht="15" hidden="false" customHeight="false" outlineLevel="0" collapsed="false">
      <c r="A320" s="1" t="s">
        <v>354</v>
      </c>
      <c r="B320" s="1" t="s">
        <v>71</v>
      </c>
      <c r="C320" s="1" t="n">
        <v>13100000</v>
      </c>
      <c r="D320" s="1" t="n">
        <v>285088.1</v>
      </c>
      <c r="E320" s="1" t="n">
        <v>0.0522</v>
      </c>
      <c r="F320" s="1" t="n">
        <v>0.0938</v>
      </c>
    </row>
    <row r="321" customFormat="false" ht="15" hidden="false" customHeight="false" outlineLevel="0" collapsed="false">
      <c r="A321" s="1" t="s">
        <v>355</v>
      </c>
      <c r="B321" s="1" t="s">
        <v>21</v>
      </c>
      <c r="C321" s="1" t="n">
        <v>9990000</v>
      </c>
      <c r="D321" s="1" t="n">
        <v>121647.2</v>
      </c>
      <c r="E321" s="1" t="n">
        <v>0.0067</v>
      </c>
      <c r="F321" s="1" t="n">
        <v>0.0654</v>
      </c>
    </row>
    <row r="322" customFormat="false" ht="15" hidden="false" customHeight="false" outlineLevel="0" collapsed="false">
      <c r="A322" s="1" t="s">
        <v>356</v>
      </c>
      <c r="B322" s="1" t="s">
        <v>24</v>
      </c>
      <c r="C322" s="1" t="n">
        <v>10300000</v>
      </c>
      <c r="D322" s="1" t="n">
        <v>7274.2</v>
      </c>
      <c r="E322" s="1" t="n">
        <v>0.0055</v>
      </c>
      <c r="F322" s="1" t="n">
        <v>0.0811</v>
      </c>
    </row>
    <row r="323" customFormat="false" ht="15" hidden="false" customHeight="false" outlineLevel="0" collapsed="false">
      <c r="A323" s="1" t="s">
        <v>357</v>
      </c>
      <c r="B323" s="1" t="s">
        <v>41</v>
      </c>
      <c r="C323" s="1" t="n">
        <v>12900000</v>
      </c>
      <c r="D323" s="1" t="n">
        <v>3159.9</v>
      </c>
      <c r="E323" s="1" t="n">
        <v>0.0071</v>
      </c>
      <c r="F323" s="1" t="n">
        <v>0.0811</v>
      </c>
    </row>
    <row r="324" customFormat="false" ht="15" hidden="false" customHeight="false" outlineLevel="0" collapsed="false">
      <c r="A324" s="1" t="s">
        <v>358</v>
      </c>
      <c r="B324" s="1" t="s">
        <v>50</v>
      </c>
      <c r="C324" s="1" t="n">
        <v>8460000</v>
      </c>
      <c r="D324" s="1" t="n">
        <v>901468.5</v>
      </c>
      <c r="E324" s="1" t="n">
        <v>0.0385</v>
      </c>
      <c r="F324" s="1" t="n">
        <v>0.0409</v>
      </c>
    </row>
    <row r="325" customFormat="false" ht="15" hidden="false" customHeight="false" outlineLevel="0" collapsed="false">
      <c r="A325" s="1" t="s">
        <v>359</v>
      </c>
      <c r="B325" s="1" t="s">
        <v>35</v>
      </c>
      <c r="C325" s="1" t="n">
        <v>7550000</v>
      </c>
      <c r="D325" s="1" t="n">
        <v>10961.7</v>
      </c>
      <c r="E325" s="1" t="n">
        <v>0.039</v>
      </c>
      <c r="F325" s="1" t="n">
        <v>0.0951</v>
      </c>
    </row>
    <row r="326" customFormat="false" ht="15" hidden="false" customHeight="false" outlineLevel="0" collapsed="false">
      <c r="A326" s="1" t="s">
        <v>360</v>
      </c>
      <c r="B326" s="1" t="s">
        <v>32</v>
      </c>
      <c r="C326" s="1" t="n">
        <v>9470000</v>
      </c>
      <c r="D326" s="1" t="n">
        <v>7823.8</v>
      </c>
      <c r="E326" s="1" t="n">
        <v>0.013</v>
      </c>
      <c r="F326" s="1" t="n">
        <v>0.1784</v>
      </c>
    </row>
    <row r="327" customFormat="false" ht="15" hidden="false" customHeight="false" outlineLevel="0" collapsed="false">
      <c r="A327" s="1" t="s">
        <v>361</v>
      </c>
      <c r="B327" s="1" t="s">
        <v>26</v>
      </c>
      <c r="C327" s="1" t="n">
        <v>9420000</v>
      </c>
      <c r="D327" s="1" t="n">
        <v>261568</v>
      </c>
      <c r="E327" s="1" t="n">
        <v>0.0137</v>
      </c>
      <c r="F327" s="1" t="n">
        <v>0.0462</v>
      </c>
    </row>
    <row r="328" customFormat="false" ht="15" hidden="false" customHeight="false" outlineLevel="0" collapsed="false">
      <c r="A328" s="1" t="s">
        <v>362</v>
      </c>
      <c r="B328" s="1" t="s">
        <v>32</v>
      </c>
      <c r="C328" s="1" t="n">
        <v>8710000</v>
      </c>
      <c r="D328" s="1" t="n">
        <v>9779</v>
      </c>
      <c r="E328" s="1" t="n">
        <v>0.0088</v>
      </c>
      <c r="F328" s="1" t="n">
        <v>0.0811</v>
      </c>
    </row>
    <row r="329" customFormat="false" ht="15" hidden="false" customHeight="false" outlineLevel="0" collapsed="false">
      <c r="A329" s="1" t="s">
        <v>363</v>
      </c>
      <c r="B329" s="1" t="s">
        <v>287</v>
      </c>
      <c r="C329" s="1" t="n">
        <v>7600000</v>
      </c>
      <c r="D329" s="1" t="n">
        <v>19740.9</v>
      </c>
      <c r="E329" s="1" t="n">
        <v>0.0433</v>
      </c>
      <c r="F329" s="1" t="n">
        <v>0.051</v>
      </c>
    </row>
    <row r="330" customFormat="false" ht="15" hidden="false" customHeight="false" outlineLevel="0" collapsed="false">
      <c r="A330" s="1" t="s">
        <v>364</v>
      </c>
      <c r="B330" s="1" t="s">
        <v>92</v>
      </c>
      <c r="C330" s="1" t="n">
        <v>9160000</v>
      </c>
      <c r="D330" s="1" t="n">
        <v>565180.2</v>
      </c>
      <c r="E330" s="1" t="n">
        <v>0.0284</v>
      </c>
      <c r="F330" s="1" t="n">
        <v>0.0845</v>
      </c>
    </row>
    <row r="331" customFormat="false" ht="15" hidden="false" customHeight="false" outlineLevel="0" collapsed="false">
      <c r="A331" s="1" t="s">
        <v>365</v>
      </c>
      <c r="B331" s="1" t="s">
        <v>41</v>
      </c>
      <c r="C331" s="1" t="n">
        <v>11700000</v>
      </c>
      <c r="D331" s="1" t="n">
        <v>188.1</v>
      </c>
      <c r="E331" s="1" t="n">
        <v>0.0412</v>
      </c>
      <c r="F331" s="1" t="n">
        <v>0.1356</v>
      </c>
    </row>
    <row r="332" customFormat="false" ht="15" hidden="false" customHeight="false" outlineLevel="0" collapsed="false">
      <c r="A332" s="1" t="s">
        <v>366</v>
      </c>
      <c r="B332" s="1" t="s">
        <v>41</v>
      </c>
      <c r="C332" s="1" t="n">
        <v>9860000</v>
      </c>
      <c r="D332" s="1" t="n">
        <v>334.8</v>
      </c>
      <c r="E332" s="1" t="n">
        <v>0.0072</v>
      </c>
      <c r="F332" s="1" t="n">
        <v>0.0811</v>
      </c>
    </row>
    <row r="333" customFormat="false" ht="15" hidden="false" customHeight="false" outlineLevel="0" collapsed="false">
      <c r="A333" s="1" t="s">
        <v>367</v>
      </c>
      <c r="B333" s="1" t="s">
        <v>41</v>
      </c>
      <c r="C333" s="1" t="n">
        <v>9230000</v>
      </c>
      <c r="D333" s="1" t="n">
        <v>29673.3</v>
      </c>
      <c r="E333" s="1" t="n">
        <v>0.0165</v>
      </c>
      <c r="F333" s="1" t="n">
        <v>0.0726</v>
      </c>
    </row>
    <row r="334" customFormat="false" ht="15" hidden="false" customHeight="false" outlineLevel="0" collapsed="false">
      <c r="A334" s="1" t="s">
        <v>368</v>
      </c>
      <c r="B334" s="1" t="s">
        <v>53</v>
      </c>
      <c r="C334" s="1" t="n">
        <v>8990000</v>
      </c>
      <c r="D334" s="1" t="n">
        <v>59786.5</v>
      </c>
      <c r="E334" s="1" t="n">
        <v>0.0231</v>
      </c>
      <c r="F334" s="1" t="n">
        <v>0.0951</v>
      </c>
    </row>
    <row r="335" customFormat="false" ht="15" hidden="false" customHeight="false" outlineLevel="0" collapsed="false">
      <c r="A335" s="1" t="s">
        <v>369</v>
      </c>
      <c r="B335" s="1" t="s">
        <v>26</v>
      </c>
      <c r="C335" s="1" t="n">
        <v>12600000</v>
      </c>
      <c r="D335" s="1" t="n">
        <v>304997.3</v>
      </c>
      <c r="E335" s="1" t="n">
        <v>0.0252</v>
      </c>
      <c r="F335" s="1" t="n">
        <v>0.0409</v>
      </c>
    </row>
    <row r="336" customFormat="false" ht="15" hidden="false" customHeight="false" outlineLevel="0" collapsed="false">
      <c r="A336" s="1" t="s">
        <v>370</v>
      </c>
      <c r="B336" s="1" t="s">
        <v>26</v>
      </c>
      <c r="C336" s="1" t="n">
        <v>8100000</v>
      </c>
      <c r="D336" s="1" t="n">
        <v>19618.4</v>
      </c>
      <c r="E336" s="1" t="n">
        <v>0.0155</v>
      </c>
      <c r="F336" s="1" t="n">
        <v>0.0576</v>
      </c>
    </row>
    <row r="337" customFormat="false" ht="15" hidden="false" customHeight="false" outlineLevel="0" collapsed="false">
      <c r="A337" s="1" t="s">
        <v>371</v>
      </c>
      <c r="B337" s="1" t="s">
        <v>26</v>
      </c>
      <c r="C337" s="1" t="n">
        <v>9450000</v>
      </c>
      <c r="D337" s="1" t="n">
        <v>1099267.1</v>
      </c>
      <c r="E337" s="1" t="n">
        <v>0.0717</v>
      </c>
      <c r="F337" s="1" t="n">
        <v>0.051</v>
      </c>
    </row>
    <row r="338" customFormat="false" ht="15" hidden="false" customHeight="false" outlineLevel="0" collapsed="false">
      <c r="A338" s="1" t="s">
        <v>372</v>
      </c>
      <c r="B338" s="1" t="s">
        <v>92</v>
      </c>
      <c r="C338" s="1" t="n">
        <v>8730000</v>
      </c>
      <c r="D338" s="1" t="n">
        <v>9138.1</v>
      </c>
      <c r="E338" s="1" t="n">
        <v>0.008</v>
      </c>
      <c r="F338" s="1" t="n">
        <v>0.0811</v>
      </c>
    </row>
    <row r="339" customFormat="false" ht="15" hidden="false" customHeight="false" outlineLevel="0" collapsed="false">
      <c r="A339" s="1" t="s">
        <v>373</v>
      </c>
      <c r="B339" s="1" t="s">
        <v>41</v>
      </c>
      <c r="C339" s="1" t="n">
        <v>9820000</v>
      </c>
      <c r="D339" s="1" t="n">
        <v>1053.1</v>
      </c>
      <c r="E339" s="1" t="n">
        <v>0.066</v>
      </c>
      <c r="F339" s="1" t="n">
        <v>0.6148</v>
      </c>
    </row>
    <row r="340" customFormat="false" ht="15" hidden="false" customHeight="false" outlineLevel="0" collapsed="false">
      <c r="A340" s="1" t="s">
        <v>374</v>
      </c>
      <c r="B340" s="1" t="s">
        <v>41</v>
      </c>
      <c r="C340" s="1" t="n">
        <v>13300000</v>
      </c>
      <c r="D340" s="1" t="n">
        <v>2478.3</v>
      </c>
      <c r="E340" s="1" t="n">
        <v>0.0442</v>
      </c>
      <c r="F340" s="1" t="n">
        <v>0.0938</v>
      </c>
    </row>
    <row r="341" customFormat="false" ht="15" hidden="false" customHeight="false" outlineLevel="0" collapsed="false">
      <c r="A341" s="1" t="s">
        <v>375</v>
      </c>
      <c r="B341" s="1" t="s">
        <v>26</v>
      </c>
      <c r="C341" s="1" t="n">
        <v>9330000</v>
      </c>
      <c r="D341" s="1" t="n">
        <v>6135597.3</v>
      </c>
      <c r="E341" s="1" t="n">
        <v>0.0239</v>
      </c>
      <c r="F341" s="1" t="n">
        <v>0.0518</v>
      </c>
    </row>
    <row r="342" customFormat="false" ht="15" hidden="false" customHeight="false" outlineLevel="0" collapsed="false">
      <c r="A342" s="1" t="s">
        <v>376</v>
      </c>
      <c r="B342" s="1" t="s">
        <v>26</v>
      </c>
      <c r="C342" s="1" t="n">
        <v>4090000</v>
      </c>
      <c r="D342" s="1" t="n">
        <v>4833.1</v>
      </c>
      <c r="E342" s="1" t="n">
        <v>0.0168</v>
      </c>
      <c r="F342" s="1" t="n">
        <v>0.1053</v>
      </c>
    </row>
    <row r="343" customFormat="false" ht="15" hidden="false" customHeight="false" outlineLevel="0" collapsed="false">
      <c r="A343" s="1" t="s">
        <v>377</v>
      </c>
      <c r="B343" s="1" t="s">
        <v>214</v>
      </c>
      <c r="C343" s="1" t="n">
        <v>8610000</v>
      </c>
      <c r="D343" s="1" t="n">
        <v>10450.6</v>
      </c>
      <c r="E343" s="1" t="n">
        <v>0.0084</v>
      </c>
      <c r="F343" s="1" t="n">
        <v>0.0811</v>
      </c>
    </row>
    <row r="344" customFormat="false" ht="15" hidden="false" customHeight="false" outlineLevel="0" collapsed="false">
      <c r="A344" s="1" t="s">
        <v>378</v>
      </c>
      <c r="B344" s="1" t="s">
        <v>41</v>
      </c>
      <c r="C344" s="1" t="n">
        <v>13100000</v>
      </c>
      <c r="D344" s="1" t="n">
        <v>1156.4</v>
      </c>
      <c r="E344" s="1" t="n">
        <v>0.0168</v>
      </c>
      <c r="F344" s="1" t="n">
        <v>0.0765</v>
      </c>
    </row>
    <row r="345" customFormat="false" ht="15" hidden="false" customHeight="false" outlineLevel="0" collapsed="false">
      <c r="A345" s="1" t="s">
        <v>379</v>
      </c>
      <c r="B345" s="1" t="s">
        <v>26</v>
      </c>
      <c r="C345" s="1" t="n">
        <v>10000000</v>
      </c>
      <c r="D345" s="1" t="n">
        <v>59931.8</v>
      </c>
      <c r="F345" s="1" t="n">
        <v>0.051</v>
      </c>
    </row>
    <row r="346" customFormat="false" ht="15" hidden="false" customHeight="false" outlineLevel="0" collapsed="false">
      <c r="A346" s="1" t="s">
        <v>380</v>
      </c>
      <c r="B346" s="1" t="s">
        <v>26</v>
      </c>
      <c r="C346" s="1" t="n">
        <v>22900000</v>
      </c>
      <c r="D346" s="1" t="n">
        <v>337866.1</v>
      </c>
      <c r="F346" s="1" t="n">
        <v>0.051</v>
      </c>
    </row>
    <row r="347" customFormat="false" ht="15" hidden="false" customHeight="false" outlineLevel="0" collapsed="false">
      <c r="A347" s="1" t="s">
        <v>381</v>
      </c>
      <c r="B347" s="1" t="s">
        <v>50</v>
      </c>
      <c r="C347" s="1" t="n">
        <v>9010000</v>
      </c>
      <c r="D347" s="1" t="n">
        <v>87610.8</v>
      </c>
      <c r="E347" s="1" t="n">
        <v>0.0066</v>
      </c>
      <c r="F347" s="1" t="n">
        <v>0.0811</v>
      </c>
    </row>
    <row r="348" customFormat="false" ht="15" hidden="false" customHeight="false" outlineLevel="0" collapsed="false">
      <c r="A348" s="1" t="s">
        <v>382</v>
      </c>
      <c r="B348" s="1" t="s">
        <v>32</v>
      </c>
      <c r="C348" s="1" t="n">
        <v>8890000</v>
      </c>
      <c r="D348" s="1" t="n">
        <v>2108771.3</v>
      </c>
      <c r="E348" s="1" t="n">
        <v>0.0176</v>
      </c>
      <c r="F348" s="1" t="n">
        <v>0.0585</v>
      </c>
    </row>
    <row r="349" customFormat="false" ht="15" hidden="false" customHeight="false" outlineLevel="0" collapsed="false">
      <c r="A349" s="1" t="s">
        <v>383</v>
      </c>
      <c r="B349" s="1" t="s">
        <v>21</v>
      </c>
      <c r="C349" s="1" t="n">
        <v>9650000</v>
      </c>
      <c r="D349" s="1" t="n">
        <v>1167.3</v>
      </c>
      <c r="E349" s="1" t="n">
        <v>0.0144</v>
      </c>
      <c r="F349" s="1" t="n">
        <v>0.0726</v>
      </c>
    </row>
    <row r="350" customFormat="false" ht="15" hidden="false" customHeight="false" outlineLevel="0" collapsed="false">
      <c r="A350" s="1" t="s">
        <v>384</v>
      </c>
      <c r="B350" s="1" t="s">
        <v>35</v>
      </c>
      <c r="C350" s="1" t="n">
        <v>9450000</v>
      </c>
      <c r="D350" s="1" t="n">
        <v>48774.8</v>
      </c>
      <c r="E350" s="1" t="n">
        <v>0.0248</v>
      </c>
      <c r="F350" s="1" t="n">
        <v>0.051</v>
      </c>
    </row>
    <row r="351" customFormat="false" ht="15" hidden="false" customHeight="false" outlineLevel="0" collapsed="false">
      <c r="A351" s="1" t="s">
        <v>385</v>
      </c>
      <c r="B351" s="1" t="s">
        <v>21</v>
      </c>
      <c r="C351" s="1" t="n">
        <v>8470000</v>
      </c>
      <c r="D351" s="1" t="n">
        <v>2438374.8</v>
      </c>
      <c r="E351" s="1" t="n">
        <v>0.0338</v>
      </c>
      <c r="F351" s="1" t="n">
        <v>0.0518</v>
      </c>
    </row>
    <row r="352" customFormat="false" ht="15" hidden="false" customHeight="false" outlineLevel="0" collapsed="false">
      <c r="A352" s="1" t="s">
        <v>386</v>
      </c>
      <c r="B352" s="1" t="s">
        <v>26</v>
      </c>
      <c r="C352" s="1" t="n">
        <v>8450000</v>
      </c>
      <c r="D352" s="1" t="n">
        <v>7633.4</v>
      </c>
      <c r="E352" s="1" t="n">
        <v>0.014</v>
      </c>
      <c r="F352" s="1" t="n">
        <v>0.073</v>
      </c>
    </row>
    <row r="353" customFormat="false" ht="15" hidden="false" customHeight="false" outlineLevel="0" collapsed="false">
      <c r="A353" s="1" t="s">
        <v>387</v>
      </c>
      <c r="B353" s="1" t="s">
        <v>88</v>
      </c>
      <c r="C353" s="1" t="n">
        <v>9290000</v>
      </c>
      <c r="D353" s="1" t="n">
        <v>3509.1</v>
      </c>
      <c r="E353" s="1" t="n">
        <v>0.1129</v>
      </c>
      <c r="F353" s="1" t="n">
        <v>0.0938</v>
      </c>
    </row>
    <row r="354" customFormat="false" ht="15" hidden="false" customHeight="false" outlineLevel="0" collapsed="false">
      <c r="A354" s="1" t="s">
        <v>388</v>
      </c>
      <c r="B354" s="1" t="s">
        <v>26</v>
      </c>
      <c r="C354" s="1" t="n">
        <v>7770000</v>
      </c>
      <c r="D354" s="1" t="n">
        <v>10852</v>
      </c>
      <c r="E354" s="1" t="n">
        <v>0.0474</v>
      </c>
      <c r="F354" s="1" t="n">
        <v>0.0938</v>
      </c>
    </row>
    <row r="355" customFormat="false" ht="15" hidden="false" customHeight="false" outlineLevel="0" collapsed="false">
      <c r="A355" s="1" t="s">
        <v>389</v>
      </c>
      <c r="B355" s="1" t="s">
        <v>26</v>
      </c>
      <c r="C355" s="1" t="n">
        <v>9470000</v>
      </c>
      <c r="D355" s="1" t="n">
        <v>1128489.4</v>
      </c>
      <c r="E355" s="1" t="n">
        <v>0.0812</v>
      </c>
      <c r="F355" s="1" t="n">
        <v>0.0672</v>
      </c>
    </row>
    <row r="356" customFormat="false" ht="15" hidden="false" customHeight="false" outlineLevel="0" collapsed="false">
      <c r="A356" s="1" t="s">
        <v>390</v>
      </c>
      <c r="B356" s="1" t="s">
        <v>21</v>
      </c>
      <c r="C356" s="1" t="n">
        <v>9020000</v>
      </c>
      <c r="D356" s="1" t="n">
        <v>1986648</v>
      </c>
      <c r="E356" s="1" t="n">
        <v>0.0356</v>
      </c>
      <c r="F356" s="1" t="n">
        <v>0.0845</v>
      </c>
    </row>
    <row r="357" customFormat="false" ht="15" hidden="false" customHeight="false" outlineLevel="0" collapsed="false">
      <c r="A357" s="1" t="s">
        <v>391</v>
      </c>
      <c r="B357" s="1" t="s">
        <v>26</v>
      </c>
      <c r="C357" s="1" t="n">
        <v>16500000</v>
      </c>
      <c r="D357" s="1" t="n">
        <v>3278843.4</v>
      </c>
      <c r="E357" s="1" t="n">
        <v>0.0402</v>
      </c>
      <c r="F357" s="1" t="n">
        <v>0.0409</v>
      </c>
    </row>
    <row r="358" customFormat="false" ht="15" hidden="false" customHeight="false" outlineLevel="0" collapsed="false">
      <c r="A358" s="1" t="s">
        <v>392</v>
      </c>
      <c r="B358" s="1" t="s">
        <v>62</v>
      </c>
      <c r="C358" s="1" t="n">
        <v>8230000</v>
      </c>
      <c r="D358" s="1" t="n">
        <v>313220.4</v>
      </c>
      <c r="E358" s="1" t="n">
        <v>0.0362</v>
      </c>
      <c r="F358" s="1" t="n">
        <v>0.0759</v>
      </c>
    </row>
    <row r="359" customFormat="false" ht="15" hidden="false" customHeight="false" outlineLevel="0" collapsed="false">
      <c r="A359" s="1" t="s">
        <v>393</v>
      </c>
      <c r="B359" s="1" t="s">
        <v>50</v>
      </c>
      <c r="C359" s="1" t="n">
        <v>18500000</v>
      </c>
      <c r="D359" s="1" t="n">
        <v>2361826.9</v>
      </c>
      <c r="E359" s="1" t="n">
        <v>0.0374</v>
      </c>
      <c r="F359" s="1" t="n">
        <v>0.0938</v>
      </c>
    </row>
    <row r="360" customFormat="false" ht="15" hidden="false" customHeight="false" outlineLevel="0" collapsed="false">
      <c r="A360" s="1" t="s">
        <v>394</v>
      </c>
      <c r="B360" s="1" t="s">
        <v>88</v>
      </c>
      <c r="C360" s="1" t="n">
        <v>11100000</v>
      </c>
      <c r="D360" s="1" t="n">
        <v>915.2</v>
      </c>
      <c r="E360" s="1" t="n">
        <v>0.6983</v>
      </c>
      <c r="F360" s="1" t="n">
        <v>0.6284</v>
      </c>
    </row>
    <row r="361" customFormat="false" ht="15" hidden="false" customHeight="false" outlineLevel="0" collapsed="false">
      <c r="A361" s="1" t="s">
        <v>395</v>
      </c>
      <c r="B361" s="1" t="s">
        <v>50</v>
      </c>
      <c r="C361" s="1" t="n">
        <v>7970000</v>
      </c>
      <c r="D361" s="1" t="n">
        <v>43619.3</v>
      </c>
      <c r="E361" s="1" t="n">
        <v>0.0033</v>
      </c>
      <c r="F361" s="1" t="n">
        <v>0.0654</v>
      </c>
    </row>
    <row r="362" customFormat="false" ht="15" hidden="false" customHeight="false" outlineLevel="0" collapsed="false">
      <c r="A362" s="1" t="s">
        <v>396</v>
      </c>
      <c r="B362" s="1" t="s">
        <v>26</v>
      </c>
      <c r="C362" s="1" t="n">
        <v>8840000</v>
      </c>
      <c r="D362" s="1" t="n">
        <v>831.5</v>
      </c>
      <c r="E362" s="1" t="n">
        <v>0.0067</v>
      </c>
      <c r="F362" s="1" t="n">
        <v>0.0811</v>
      </c>
    </row>
    <row r="363" customFormat="false" ht="15" hidden="false" customHeight="false" outlineLevel="0" collapsed="false">
      <c r="A363" s="1" t="s">
        <v>397</v>
      </c>
      <c r="B363" s="1" t="s">
        <v>26</v>
      </c>
      <c r="C363" s="1" t="n">
        <v>7670000</v>
      </c>
      <c r="D363" s="1" t="n">
        <v>2856428.7</v>
      </c>
      <c r="E363" s="1" t="n">
        <v>0.0557</v>
      </c>
      <c r="F363" s="1" t="n">
        <v>0.0951</v>
      </c>
    </row>
    <row r="364" customFormat="false" ht="15" hidden="false" customHeight="false" outlineLevel="0" collapsed="false">
      <c r="A364" s="1" t="s">
        <v>398</v>
      </c>
      <c r="B364" s="1" t="s">
        <v>26</v>
      </c>
      <c r="C364" s="1" t="n">
        <v>3360000</v>
      </c>
      <c r="D364" s="1" t="n">
        <v>393413.9</v>
      </c>
      <c r="E364" s="1" t="n">
        <v>0.0531</v>
      </c>
      <c r="F364" s="1" t="n">
        <v>0.0759</v>
      </c>
    </row>
    <row r="365" customFormat="false" ht="15" hidden="false" customHeight="false" outlineLevel="0" collapsed="false">
      <c r="A365" s="1" t="s">
        <v>399</v>
      </c>
      <c r="B365" s="1" t="s">
        <v>88</v>
      </c>
      <c r="C365" s="1" t="n">
        <v>8140000</v>
      </c>
      <c r="D365" s="1" t="n">
        <v>18677.5</v>
      </c>
      <c r="E365" s="1" t="n">
        <v>0.0564</v>
      </c>
      <c r="F365" s="1" t="n">
        <v>0.0759</v>
      </c>
    </row>
    <row r="366" customFormat="false" ht="15" hidden="false" customHeight="false" outlineLevel="0" collapsed="false">
      <c r="A366" s="1" t="s">
        <v>400</v>
      </c>
      <c r="B366" s="1" t="s">
        <v>32</v>
      </c>
      <c r="C366" s="1" t="n">
        <v>8390000</v>
      </c>
      <c r="D366" s="1" t="n">
        <v>3176005.7</v>
      </c>
      <c r="E366" s="1" t="n">
        <v>0.0713</v>
      </c>
      <c r="F366" s="1" t="n">
        <v>0.0951</v>
      </c>
    </row>
    <row r="367" customFormat="false" ht="15" hidden="false" customHeight="false" outlineLevel="0" collapsed="false">
      <c r="A367" s="1" t="s">
        <v>401</v>
      </c>
      <c r="B367" s="1" t="s">
        <v>26</v>
      </c>
      <c r="C367" s="1" t="n">
        <v>8050000</v>
      </c>
      <c r="D367" s="1" t="n">
        <v>7077.9</v>
      </c>
      <c r="F367" s="1" t="n">
        <v>0.0518</v>
      </c>
    </row>
    <row r="368" customFormat="false" ht="15" hidden="false" customHeight="false" outlineLevel="0" collapsed="false">
      <c r="A368" s="1" t="s">
        <v>402</v>
      </c>
      <c r="B368" s="1" t="s">
        <v>41</v>
      </c>
      <c r="C368" s="1" t="n">
        <v>10900000</v>
      </c>
      <c r="D368" s="1" t="n">
        <v>1587.7</v>
      </c>
      <c r="E368" s="1" t="n">
        <v>0.0172</v>
      </c>
      <c r="F368" s="1" t="n">
        <v>0.1053</v>
      </c>
    </row>
    <row r="369" customFormat="false" ht="15" hidden="false" customHeight="false" outlineLevel="0" collapsed="false">
      <c r="A369" s="1" t="s">
        <v>403</v>
      </c>
      <c r="B369" s="1" t="s">
        <v>24</v>
      </c>
      <c r="C369" s="1" t="n">
        <v>7790000</v>
      </c>
      <c r="D369" s="1" t="n">
        <v>1684303.8</v>
      </c>
      <c r="E369" s="1" t="n">
        <v>0.0338</v>
      </c>
      <c r="F369" s="1" t="n">
        <v>0.0951</v>
      </c>
    </row>
    <row r="370" customFormat="false" ht="15" hidden="false" customHeight="false" outlineLevel="0" collapsed="false">
      <c r="A370" s="1" t="s">
        <v>404</v>
      </c>
      <c r="B370" s="1" t="s">
        <v>26</v>
      </c>
      <c r="C370" s="1" t="n">
        <v>12600000</v>
      </c>
      <c r="D370" s="1" t="n">
        <v>801149.3</v>
      </c>
      <c r="E370" s="1" t="n">
        <v>0.0123</v>
      </c>
      <c r="F370" s="1" t="n">
        <v>0.0647</v>
      </c>
    </row>
    <row r="371" customFormat="false" ht="15" hidden="false" customHeight="false" outlineLevel="0" collapsed="false">
      <c r="A371" s="1" t="s">
        <v>405</v>
      </c>
      <c r="B371" s="1" t="s">
        <v>53</v>
      </c>
      <c r="C371" s="1" t="n">
        <v>6960000</v>
      </c>
      <c r="D371" s="1" t="n">
        <v>58412.3</v>
      </c>
      <c r="E371" s="1" t="n">
        <v>0.0734</v>
      </c>
      <c r="F371" s="1" t="n">
        <v>0.051</v>
      </c>
    </row>
    <row r="372" customFormat="false" ht="15" hidden="false" customHeight="false" outlineLevel="0" collapsed="false">
      <c r="A372" s="1" t="s">
        <v>406</v>
      </c>
      <c r="B372" s="1" t="s">
        <v>92</v>
      </c>
      <c r="C372" s="1" t="n">
        <v>7960000</v>
      </c>
      <c r="D372" s="1" t="n">
        <v>22489.7</v>
      </c>
      <c r="E372" s="1" t="n">
        <v>0.0364</v>
      </c>
      <c r="F372" s="1" t="n">
        <v>0.0938</v>
      </c>
    </row>
    <row r="373" customFormat="false" ht="15" hidden="false" customHeight="false" outlineLevel="0" collapsed="false">
      <c r="A373" s="1" t="s">
        <v>407</v>
      </c>
      <c r="B373" s="1" t="s">
        <v>26</v>
      </c>
      <c r="C373" s="1" t="n">
        <v>7340000</v>
      </c>
      <c r="D373" s="1" t="n">
        <v>4542.4</v>
      </c>
      <c r="E373" s="1" t="n">
        <v>0.0478</v>
      </c>
      <c r="F373" s="1" t="n">
        <v>0.0951</v>
      </c>
    </row>
    <row r="374" customFormat="false" ht="15" hidden="false" customHeight="false" outlineLevel="0" collapsed="false">
      <c r="A374" s="1" t="s">
        <v>408</v>
      </c>
      <c r="B374" s="1" t="s">
        <v>26</v>
      </c>
      <c r="C374" s="1" t="n">
        <v>7940000</v>
      </c>
      <c r="D374" s="1" t="n">
        <v>391.4</v>
      </c>
      <c r="E374" s="1" t="n">
        <v>0.0938</v>
      </c>
      <c r="F374" s="1" t="n">
        <v>0.0759</v>
      </c>
    </row>
    <row r="375" customFormat="false" ht="15" hidden="false" customHeight="false" outlineLevel="0" collapsed="false">
      <c r="A375" s="1" t="s">
        <v>409</v>
      </c>
      <c r="B375" s="1" t="s">
        <v>53</v>
      </c>
      <c r="C375" s="1" t="n">
        <v>1610000</v>
      </c>
      <c r="D375" s="1" t="n">
        <v>120921.8</v>
      </c>
      <c r="E375" s="1" t="n">
        <v>0.063</v>
      </c>
      <c r="F375" s="1" t="n">
        <v>0.0518</v>
      </c>
    </row>
    <row r="376" customFormat="false" ht="15" hidden="false" customHeight="false" outlineLevel="0" collapsed="false">
      <c r="A376" s="1" t="s">
        <v>410</v>
      </c>
      <c r="B376" s="1" t="s">
        <v>26</v>
      </c>
      <c r="C376" s="1" t="n">
        <v>11200000</v>
      </c>
      <c r="D376" s="1" t="n">
        <v>81431.2</v>
      </c>
      <c r="E376" s="1" t="n">
        <v>0.036</v>
      </c>
      <c r="F376" s="1" t="n">
        <v>0.0938</v>
      </c>
    </row>
    <row r="377" customFormat="false" ht="15" hidden="false" customHeight="false" outlineLevel="0" collapsed="false">
      <c r="A377" s="1" t="s">
        <v>411</v>
      </c>
      <c r="B377" s="1" t="s">
        <v>71</v>
      </c>
      <c r="C377" s="1" t="n">
        <v>8340000</v>
      </c>
      <c r="D377" s="1" t="n">
        <v>208546.9</v>
      </c>
      <c r="E377" s="1" t="n">
        <v>0.0378</v>
      </c>
      <c r="F377" s="1" t="n">
        <v>0.0409</v>
      </c>
    </row>
    <row r="378" customFormat="false" ht="15" hidden="false" customHeight="false" outlineLevel="0" collapsed="false">
      <c r="A378" s="1" t="s">
        <v>412</v>
      </c>
      <c r="B378" s="1" t="s">
        <v>32</v>
      </c>
      <c r="C378" s="1" t="n">
        <v>7990000</v>
      </c>
      <c r="D378" s="1" t="n">
        <v>11276927</v>
      </c>
      <c r="E378" s="1" t="n">
        <v>0.0149</v>
      </c>
      <c r="F378" s="1" t="n">
        <v>0.2294</v>
      </c>
    </row>
    <row r="379" customFormat="false" ht="15" hidden="false" customHeight="false" outlineLevel="0" collapsed="false">
      <c r="A379" s="1" t="s">
        <v>413</v>
      </c>
      <c r="B379" s="1" t="s">
        <v>24</v>
      </c>
      <c r="C379" s="1" t="n">
        <v>8420000</v>
      </c>
      <c r="D379" s="1" t="n">
        <v>3905.2</v>
      </c>
      <c r="E379" s="1" t="n">
        <v>0.0115</v>
      </c>
      <c r="F379" s="1" t="n">
        <v>0.0726</v>
      </c>
    </row>
    <row r="380" customFormat="false" ht="15" hidden="false" customHeight="false" outlineLevel="0" collapsed="false">
      <c r="A380" s="1" t="s">
        <v>414</v>
      </c>
      <c r="B380" s="1" t="s">
        <v>92</v>
      </c>
      <c r="C380" s="1" t="n">
        <v>8860000</v>
      </c>
      <c r="D380" s="1" t="n">
        <v>111246.1</v>
      </c>
      <c r="E380" s="1" t="n">
        <v>0.0207</v>
      </c>
      <c r="F380" s="1" t="n">
        <v>0.0938</v>
      </c>
    </row>
    <row r="381" customFormat="false" ht="15" hidden="false" customHeight="false" outlineLevel="0" collapsed="false">
      <c r="A381" s="1" t="s">
        <v>415</v>
      </c>
      <c r="B381" s="1" t="s">
        <v>41</v>
      </c>
      <c r="C381" s="1" t="n">
        <v>7780000</v>
      </c>
      <c r="D381" s="1" t="n">
        <v>870</v>
      </c>
      <c r="E381" s="1" t="n">
        <v>0.0321</v>
      </c>
      <c r="F381" s="1" t="n">
        <v>0.051</v>
      </c>
    </row>
    <row r="382" customFormat="false" ht="15" hidden="false" customHeight="false" outlineLevel="0" collapsed="false">
      <c r="A382" s="1" t="s">
        <v>416</v>
      </c>
      <c r="B382" s="1" t="s">
        <v>92</v>
      </c>
      <c r="C382" s="1" t="n">
        <v>8960000</v>
      </c>
      <c r="D382" s="1" t="n">
        <v>133859.6</v>
      </c>
      <c r="F382" s="1" t="n">
        <v>0.0833</v>
      </c>
    </row>
    <row r="383" customFormat="false" ht="15" hidden="false" customHeight="false" outlineLevel="0" collapsed="false">
      <c r="A383" s="1" t="s">
        <v>417</v>
      </c>
      <c r="B383" s="1" t="s">
        <v>53</v>
      </c>
      <c r="C383" s="1" t="n">
        <v>7690000</v>
      </c>
      <c r="D383" s="1" t="n">
        <v>145415.9</v>
      </c>
      <c r="E383" s="1" t="n">
        <v>0.0287</v>
      </c>
      <c r="F383" s="1" t="n">
        <v>0.0584</v>
      </c>
    </row>
    <row r="384" customFormat="false" ht="15" hidden="false" customHeight="false" outlineLevel="0" collapsed="false">
      <c r="A384" s="1" t="s">
        <v>418</v>
      </c>
      <c r="B384" s="1" t="s">
        <v>26</v>
      </c>
      <c r="C384" s="1" t="n">
        <v>8460000</v>
      </c>
      <c r="D384" s="1" t="n">
        <v>680725.5</v>
      </c>
      <c r="E384" s="1" t="n">
        <v>0.0303</v>
      </c>
      <c r="F384" s="1" t="n">
        <v>0.0759</v>
      </c>
    </row>
    <row r="385" customFormat="false" ht="15" hidden="false" customHeight="false" outlineLevel="0" collapsed="false">
      <c r="A385" s="1" t="s">
        <v>419</v>
      </c>
      <c r="B385" s="1" t="s">
        <v>26</v>
      </c>
      <c r="C385" s="1" t="n">
        <v>10600000</v>
      </c>
      <c r="D385" s="1" t="n">
        <v>5389009.3</v>
      </c>
      <c r="E385" s="1" t="n">
        <v>0.001</v>
      </c>
      <c r="F385" s="1" t="n">
        <v>0.0822</v>
      </c>
    </row>
    <row r="386" customFormat="false" ht="15" hidden="false" customHeight="false" outlineLevel="0" collapsed="false">
      <c r="A386" s="1" t="s">
        <v>420</v>
      </c>
      <c r="B386" s="1" t="s">
        <v>24</v>
      </c>
      <c r="C386" s="1" t="n">
        <v>8340000</v>
      </c>
      <c r="D386" s="1" t="n">
        <v>66645.9</v>
      </c>
      <c r="E386" s="1" t="n">
        <v>0.018</v>
      </c>
      <c r="F386" s="1" t="n">
        <v>0.1053</v>
      </c>
    </row>
    <row r="387" customFormat="false" ht="15" hidden="false" customHeight="false" outlineLevel="0" collapsed="false">
      <c r="A387" s="1" t="s">
        <v>421</v>
      </c>
      <c r="B387" s="1" t="s">
        <v>195</v>
      </c>
      <c r="C387" s="1" t="n">
        <v>7160000</v>
      </c>
      <c r="D387" s="1" t="n">
        <v>155674.9</v>
      </c>
      <c r="E387" s="1" t="n">
        <v>0.0467</v>
      </c>
      <c r="F387" s="1" t="n">
        <v>0.0951</v>
      </c>
    </row>
    <row r="388" customFormat="false" ht="15" hidden="false" customHeight="false" outlineLevel="0" collapsed="false">
      <c r="A388" s="1" t="s">
        <v>422</v>
      </c>
      <c r="B388" s="1" t="s">
        <v>195</v>
      </c>
      <c r="C388" s="1" t="n">
        <v>6890000</v>
      </c>
      <c r="D388" s="1" t="n">
        <v>10341.2</v>
      </c>
      <c r="E388" s="1" t="n">
        <v>0.0201</v>
      </c>
      <c r="F388" s="1" t="n">
        <v>0.0546</v>
      </c>
    </row>
    <row r="389" customFormat="false" ht="15" hidden="false" customHeight="false" outlineLevel="0" collapsed="false">
      <c r="A389" s="1" t="s">
        <v>423</v>
      </c>
      <c r="B389" s="1" t="s">
        <v>195</v>
      </c>
      <c r="C389" s="1" t="n">
        <v>8240000</v>
      </c>
      <c r="D389" s="1" t="n">
        <v>19608.2</v>
      </c>
      <c r="E389" s="1" t="n">
        <v>0.0237</v>
      </c>
      <c r="F389" s="1" t="n">
        <v>0.0643</v>
      </c>
    </row>
    <row r="390" customFormat="false" ht="15" hidden="false" customHeight="false" outlineLevel="0" collapsed="false">
      <c r="A390" s="1" t="s">
        <v>424</v>
      </c>
      <c r="B390" s="1" t="s">
        <v>26</v>
      </c>
      <c r="C390" s="1" t="n">
        <v>13200000</v>
      </c>
      <c r="D390" s="1" t="n">
        <v>306799.2</v>
      </c>
      <c r="E390" s="1" t="n">
        <v>0.0244</v>
      </c>
      <c r="F390" s="1" t="n">
        <v>0.051</v>
      </c>
    </row>
    <row r="391" customFormat="false" ht="15" hidden="false" customHeight="false" outlineLevel="0" collapsed="false">
      <c r="A391" s="1" t="s">
        <v>425</v>
      </c>
      <c r="B391" s="1" t="s">
        <v>26</v>
      </c>
      <c r="C391" s="1" t="n">
        <v>21600000</v>
      </c>
      <c r="D391" s="1" t="n">
        <v>1444324.2</v>
      </c>
      <c r="E391" s="1" t="n">
        <v>0.0076</v>
      </c>
      <c r="F391" s="1" t="n">
        <v>0.0811</v>
      </c>
    </row>
    <row r="392" customFormat="false" ht="15" hidden="false" customHeight="false" outlineLevel="0" collapsed="false">
      <c r="A392" s="1" t="s">
        <v>426</v>
      </c>
      <c r="B392" s="1" t="s">
        <v>24</v>
      </c>
      <c r="C392" s="1" t="n">
        <v>8110000</v>
      </c>
      <c r="D392" s="1" t="n">
        <v>1153.2</v>
      </c>
      <c r="E392" s="1" t="n">
        <v>0.0199</v>
      </c>
      <c r="F392" s="1" t="n">
        <v>0.0856</v>
      </c>
    </row>
    <row r="393" customFormat="false" ht="15" hidden="false" customHeight="false" outlineLevel="0" collapsed="false">
      <c r="A393" s="1" t="s">
        <v>427</v>
      </c>
      <c r="B393" s="1" t="s">
        <v>21</v>
      </c>
      <c r="C393" s="1" t="n">
        <v>33100000</v>
      </c>
      <c r="D393" s="1" t="n">
        <v>25825250.8</v>
      </c>
      <c r="E393" s="1" t="n">
        <v>0.0451</v>
      </c>
      <c r="F393" s="1" t="n">
        <v>0.0409</v>
      </c>
    </row>
    <row r="394" customFormat="false" ht="15" hidden="false" customHeight="false" outlineLevel="0" collapsed="false">
      <c r="A394" s="1" t="s">
        <v>428</v>
      </c>
      <c r="B394" s="1" t="s">
        <v>53</v>
      </c>
      <c r="C394" s="1" t="n">
        <v>7580000</v>
      </c>
      <c r="D394" s="1" t="n">
        <v>315420.7</v>
      </c>
      <c r="E394" s="1" t="n">
        <v>0.0299</v>
      </c>
      <c r="F394" s="1" t="n">
        <v>0.0538</v>
      </c>
    </row>
    <row r="395" customFormat="false" ht="15" hidden="false" customHeight="false" outlineLevel="0" collapsed="false">
      <c r="A395" s="1" t="s">
        <v>429</v>
      </c>
      <c r="B395" s="1" t="s">
        <v>195</v>
      </c>
      <c r="C395" s="1" t="n">
        <v>9850000</v>
      </c>
      <c r="D395" s="1" t="n">
        <v>21407.7</v>
      </c>
      <c r="E395" s="1" t="n">
        <v>0.0091</v>
      </c>
      <c r="F395" s="1" t="n">
        <v>0.0822</v>
      </c>
    </row>
    <row r="396" customFormat="false" ht="15" hidden="false" customHeight="false" outlineLevel="0" collapsed="false">
      <c r="A396" s="1" t="s">
        <v>430</v>
      </c>
      <c r="B396" s="1" t="s">
        <v>41</v>
      </c>
      <c r="C396" s="1" t="n">
        <v>8830000</v>
      </c>
      <c r="D396" s="1" t="n">
        <v>227270.9</v>
      </c>
      <c r="E396" s="1" t="n">
        <v>0.0323</v>
      </c>
      <c r="F396" s="1" t="n">
        <v>0.0938</v>
      </c>
    </row>
    <row r="397" customFormat="false" ht="15" hidden="false" customHeight="false" outlineLevel="0" collapsed="false">
      <c r="A397" s="1" t="s">
        <v>431</v>
      </c>
      <c r="B397" s="1" t="s">
        <v>26</v>
      </c>
      <c r="C397" s="1" t="n">
        <v>8660000</v>
      </c>
      <c r="D397" s="1" t="n">
        <v>6347749.6</v>
      </c>
      <c r="E397" s="1" t="n">
        <v>0.025</v>
      </c>
      <c r="F397" s="1" t="n">
        <v>0.0518</v>
      </c>
    </row>
    <row r="398" customFormat="false" ht="15" hidden="false" customHeight="false" outlineLevel="0" collapsed="false">
      <c r="A398" s="1" t="s">
        <v>432</v>
      </c>
      <c r="B398" s="1" t="s">
        <v>50</v>
      </c>
      <c r="C398" s="1" t="n">
        <v>8920000</v>
      </c>
      <c r="D398" s="1" t="n">
        <v>6503.2</v>
      </c>
      <c r="E398" s="1" t="n">
        <v>0.0106</v>
      </c>
      <c r="F398" s="1" t="n">
        <v>0.0811</v>
      </c>
    </row>
    <row r="399" customFormat="false" ht="15" hidden="false" customHeight="false" outlineLevel="0" collapsed="false">
      <c r="A399" s="1" t="s">
        <v>433</v>
      </c>
      <c r="B399" s="1" t="s">
        <v>26</v>
      </c>
      <c r="C399" s="1" t="n">
        <v>7440000</v>
      </c>
      <c r="D399" s="1" t="n">
        <v>37181.2</v>
      </c>
      <c r="E399" s="1" t="n">
        <v>0.0084</v>
      </c>
      <c r="F399" s="1" t="n">
        <v>0.0811</v>
      </c>
    </row>
    <row r="400" customFormat="false" ht="15" hidden="false" customHeight="false" outlineLevel="0" collapsed="false">
      <c r="A400" s="1" t="s">
        <v>434</v>
      </c>
      <c r="B400" s="1" t="s">
        <v>26</v>
      </c>
      <c r="C400" s="1" t="n">
        <v>7650000</v>
      </c>
      <c r="D400" s="1" t="n">
        <v>1817.2</v>
      </c>
      <c r="E400" s="1" t="n">
        <v>0.0225</v>
      </c>
      <c r="F400" s="1" t="n">
        <v>0.0725</v>
      </c>
    </row>
    <row r="401" customFormat="false" ht="15" hidden="false" customHeight="false" outlineLevel="0" collapsed="false">
      <c r="A401" s="1" t="s">
        <v>435</v>
      </c>
      <c r="B401" s="1" t="s">
        <v>21</v>
      </c>
      <c r="C401" s="1" t="n">
        <v>8350000</v>
      </c>
      <c r="D401" s="1" t="n">
        <v>94247.3</v>
      </c>
      <c r="E401" s="1" t="n">
        <v>0.0068</v>
      </c>
      <c r="F401" s="1" t="n">
        <v>0.0654</v>
      </c>
    </row>
    <row r="402" customFormat="false" ht="15" hidden="false" customHeight="false" outlineLevel="0" collapsed="false">
      <c r="A402" s="1" t="s">
        <v>436</v>
      </c>
      <c r="B402" s="1" t="s">
        <v>30</v>
      </c>
      <c r="C402" s="1" t="n">
        <v>10300000</v>
      </c>
      <c r="D402" s="1" t="n">
        <v>12768.8</v>
      </c>
      <c r="E402" s="1" t="n">
        <v>0.0077</v>
      </c>
      <c r="F402" s="1" t="n">
        <v>0.0811</v>
      </c>
    </row>
    <row r="403" customFormat="false" ht="15" hidden="false" customHeight="false" outlineLevel="0" collapsed="false">
      <c r="A403" s="1" t="s">
        <v>437</v>
      </c>
      <c r="B403" s="1" t="s">
        <v>26</v>
      </c>
      <c r="C403" s="1" t="n">
        <v>7130000</v>
      </c>
      <c r="D403" s="1" t="n">
        <v>1711.3</v>
      </c>
      <c r="E403" s="1" t="n">
        <v>0.9231</v>
      </c>
      <c r="F403" s="1" t="n">
        <v>0.0951</v>
      </c>
    </row>
    <row r="404" customFormat="false" ht="15" hidden="false" customHeight="false" outlineLevel="0" collapsed="false">
      <c r="A404" s="1" t="s">
        <v>438</v>
      </c>
      <c r="B404" s="1" t="s">
        <v>88</v>
      </c>
      <c r="C404" s="1" t="n">
        <v>8350000</v>
      </c>
      <c r="D404" s="1" t="n">
        <v>38213</v>
      </c>
      <c r="E404" s="1" t="n">
        <v>0.0429</v>
      </c>
      <c r="F404" s="1" t="n">
        <v>0.0938</v>
      </c>
    </row>
    <row r="405" customFormat="false" ht="15" hidden="false" customHeight="false" outlineLevel="0" collapsed="false">
      <c r="A405" s="1" t="s">
        <v>439</v>
      </c>
      <c r="B405" s="1" t="s">
        <v>24</v>
      </c>
      <c r="C405" s="1" t="n">
        <v>9840000</v>
      </c>
      <c r="D405" s="1" t="n">
        <v>1289140</v>
      </c>
      <c r="E405" s="1" t="n">
        <v>0.0052</v>
      </c>
      <c r="F405" s="1" t="n">
        <v>0.0822</v>
      </c>
    </row>
    <row r="406" customFormat="false" ht="15" hidden="false" customHeight="false" outlineLevel="0" collapsed="false">
      <c r="A406" s="1" t="s">
        <v>440</v>
      </c>
      <c r="B406" s="1" t="s">
        <v>26</v>
      </c>
      <c r="C406" s="1" t="n">
        <v>19800000</v>
      </c>
      <c r="D406" s="1" t="n">
        <v>19197686.5</v>
      </c>
      <c r="E406" s="1" t="n">
        <v>0.034</v>
      </c>
      <c r="F406" s="1" t="n">
        <v>0.0409</v>
      </c>
    </row>
    <row r="407" customFormat="false" ht="15" hidden="false" customHeight="false" outlineLevel="0" collapsed="false">
      <c r="A407" s="1" t="s">
        <v>441</v>
      </c>
      <c r="B407" s="1" t="s">
        <v>21</v>
      </c>
      <c r="C407" s="1" t="n">
        <v>9270000</v>
      </c>
      <c r="D407" s="1" t="n">
        <v>13129.6</v>
      </c>
      <c r="E407" s="1" t="n">
        <v>0.0099</v>
      </c>
      <c r="F407" s="1" t="n">
        <v>0.0811</v>
      </c>
    </row>
    <row r="408" customFormat="false" ht="15" hidden="false" customHeight="false" outlineLevel="0" collapsed="false">
      <c r="A408" s="1" t="s">
        <v>442</v>
      </c>
      <c r="B408" s="1" t="s">
        <v>195</v>
      </c>
      <c r="C408" s="1" t="n">
        <v>8560000</v>
      </c>
      <c r="D408" s="1" t="n">
        <v>401196.7</v>
      </c>
      <c r="E408" s="1" t="n">
        <v>0.0397</v>
      </c>
      <c r="F408" s="1" t="n">
        <v>0.0938</v>
      </c>
    </row>
    <row r="409" customFormat="false" ht="15" hidden="false" customHeight="false" outlineLevel="0" collapsed="false">
      <c r="A409" s="1" t="s">
        <v>443</v>
      </c>
      <c r="B409" s="1" t="s">
        <v>26</v>
      </c>
      <c r="C409" s="1" t="n">
        <v>7300000</v>
      </c>
      <c r="D409" s="1" t="n">
        <v>340631.2</v>
      </c>
      <c r="E409" s="1" t="n">
        <v>0.0061</v>
      </c>
      <c r="F409" s="1" t="n">
        <v>0.0822</v>
      </c>
    </row>
    <row r="410" customFormat="false" ht="15" hidden="false" customHeight="false" outlineLevel="0" collapsed="false">
      <c r="A410" s="1" t="s">
        <v>444</v>
      </c>
      <c r="B410" s="1" t="s">
        <v>28</v>
      </c>
      <c r="C410" s="1" t="n">
        <v>12100000</v>
      </c>
      <c r="D410" s="1" t="n">
        <v>138155.2</v>
      </c>
      <c r="E410" s="1" t="n">
        <v>0.0079</v>
      </c>
      <c r="F410" s="1" t="n">
        <v>0.0811</v>
      </c>
    </row>
    <row r="411" customFormat="false" ht="15" hidden="false" customHeight="false" outlineLevel="0" collapsed="false">
      <c r="A411" s="1" t="s">
        <v>445</v>
      </c>
      <c r="B411" s="1" t="s">
        <v>26</v>
      </c>
      <c r="C411" s="1" t="n">
        <v>7880000</v>
      </c>
      <c r="D411" s="1" t="n">
        <v>752695.2</v>
      </c>
      <c r="E411" s="1" t="n">
        <v>0.0227</v>
      </c>
      <c r="F411" s="1" t="n">
        <v>0.095</v>
      </c>
    </row>
    <row r="412" customFormat="false" ht="15" hidden="false" customHeight="false" outlineLevel="0" collapsed="false">
      <c r="A412" s="1" t="s">
        <v>446</v>
      </c>
      <c r="B412" s="1" t="s">
        <v>26</v>
      </c>
      <c r="C412" s="1" t="n">
        <v>17500000</v>
      </c>
      <c r="D412" s="1" t="n">
        <v>305475.4</v>
      </c>
      <c r="E412" s="1" t="n">
        <v>0.01</v>
      </c>
      <c r="F412" s="1" t="n">
        <v>0.0811</v>
      </c>
    </row>
    <row r="413" customFormat="false" ht="15" hidden="false" customHeight="false" outlineLevel="0" collapsed="false">
      <c r="A413" s="1" t="s">
        <v>447</v>
      </c>
      <c r="B413" s="1" t="s">
        <v>21</v>
      </c>
      <c r="C413" s="1" t="n">
        <v>9910000</v>
      </c>
      <c r="D413" s="1" t="n">
        <v>80221.2</v>
      </c>
      <c r="E413" s="1" t="n">
        <v>0.0428</v>
      </c>
      <c r="F413" s="1" t="n">
        <v>0.051</v>
      </c>
    </row>
    <row r="414" customFormat="false" ht="15" hidden="false" customHeight="false" outlineLevel="0" collapsed="false">
      <c r="A414" s="1" t="s">
        <v>448</v>
      </c>
      <c r="B414" s="1" t="s">
        <v>26</v>
      </c>
      <c r="C414" s="1" t="n">
        <v>8280000</v>
      </c>
      <c r="D414" s="1" t="n">
        <v>183558.4</v>
      </c>
      <c r="E414" s="1" t="n">
        <v>0.0302</v>
      </c>
      <c r="F414" s="1" t="n">
        <v>0.0759</v>
      </c>
    </row>
    <row r="415" customFormat="false" ht="15" hidden="false" customHeight="false" outlineLevel="0" collapsed="false">
      <c r="A415" s="1" t="s">
        <v>449</v>
      </c>
      <c r="B415" s="1" t="s">
        <v>41</v>
      </c>
      <c r="C415" s="1" t="n">
        <v>7640000</v>
      </c>
      <c r="D415" s="1" t="n">
        <v>4141.4</v>
      </c>
      <c r="E415" s="1" t="n">
        <v>0.0201</v>
      </c>
      <c r="F415" s="1" t="n">
        <v>0.1053</v>
      </c>
    </row>
    <row r="416" customFormat="false" ht="15" hidden="false" customHeight="false" outlineLevel="0" collapsed="false">
      <c r="A416" s="1" t="s">
        <v>450</v>
      </c>
      <c r="B416" s="1" t="s">
        <v>24</v>
      </c>
      <c r="C416" s="1" t="n">
        <v>8620000</v>
      </c>
      <c r="D416" s="1" t="n">
        <v>183997.6</v>
      </c>
      <c r="E416" s="1" t="n">
        <v>0.0503</v>
      </c>
      <c r="F416" s="1" t="n">
        <v>0.0759</v>
      </c>
    </row>
    <row r="417" customFormat="false" ht="15" hidden="false" customHeight="false" outlineLevel="0" collapsed="false">
      <c r="A417" s="1" t="s">
        <v>451</v>
      </c>
      <c r="B417" s="1" t="s">
        <v>26</v>
      </c>
      <c r="C417" s="1" t="n">
        <v>8470000</v>
      </c>
      <c r="D417" s="1" t="n">
        <v>4110674.1</v>
      </c>
      <c r="E417" s="1" t="n">
        <v>0.0259</v>
      </c>
      <c r="F417" s="1" t="n">
        <v>0.0409</v>
      </c>
    </row>
    <row r="418" customFormat="false" ht="15" hidden="false" customHeight="false" outlineLevel="0" collapsed="false">
      <c r="A418" s="1" t="s">
        <v>452</v>
      </c>
      <c r="B418" s="1" t="s">
        <v>26</v>
      </c>
      <c r="C418" s="1" t="n">
        <v>13100000</v>
      </c>
      <c r="D418" s="1" t="n">
        <v>247770</v>
      </c>
      <c r="F418" s="1" t="n">
        <v>0.0409</v>
      </c>
    </row>
    <row r="419" customFormat="false" ht="15" hidden="false" customHeight="false" outlineLevel="0" collapsed="false">
      <c r="A419" s="1" t="s">
        <v>453</v>
      </c>
      <c r="B419" s="1" t="s">
        <v>24</v>
      </c>
      <c r="C419" s="1" t="n">
        <v>7180000</v>
      </c>
      <c r="D419" s="1" t="n">
        <v>30779.8</v>
      </c>
      <c r="E419" s="1" t="n">
        <v>0.0185</v>
      </c>
      <c r="F419" s="1" t="n">
        <v>0.1053</v>
      </c>
    </row>
    <row r="420" customFormat="false" ht="15" hidden="false" customHeight="false" outlineLevel="0" collapsed="false">
      <c r="A420" s="1" t="s">
        <v>454</v>
      </c>
      <c r="B420" s="1" t="s">
        <v>21</v>
      </c>
      <c r="C420" s="1" t="n">
        <v>7810000</v>
      </c>
      <c r="D420" s="1" t="n">
        <v>9404.3</v>
      </c>
      <c r="E420" s="1" t="n">
        <v>0.0069</v>
      </c>
      <c r="F420" s="1" t="n">
        <v>0.0811</v>
      </c>
    </row>
    <row r="421" customFormat="false" ht="15" hidden="false" customHeight="false" outlineLevel="0" collapsed="false">
      <c r="A421" s="1" t="s">
        <v>455</v>
      </c>
      <c r="B421" s="1" t="s">
        <v>53</v>
      </c>
      <c r="C421" s="1" t="n">
        <v>7050000</v>
      </c>
      <c r="D421" s="1" t="n">
        <v>2453581.6</v>
      </c>
      <c r="E421" s="1" t="n">
        <v>0.0244</v>
      </c>
      <c r="F421" s="1" t="n">
        <v>0.0518</v>
      </c>
    </row>
    <row r="422" customFormat="false" ht="15" hidden="false" customHeight="false" outlineLevel="0" collapsed="false">
      <c r="A422" s="1" t="s">
        <v>456</v>
      </c>
      <c r="B422" s="1" t="s">
        <v>92</v>
      </c>
      <c r="C422" s="1" t="n">
        <v>6500000</v>
      </c>
      <c r="D422" s="1" t="n">
        <v>69528.6</v>
      </c>
      <c r="E422" s="1" t="n">
        <v>0.0144</v>
      </c>
      <c r="F422" s="1" t="n">
        <v>0.0585</v>
      </c>
    </row>
    <row r="423" customFormat="false" ht="15" hidden="false" customHeight="false" outlineLevel="0" collapsed="false">
      <c r="A423" s="1" t="s">
        <v>457</v>
      </c>
      <c r="B423" s="1" t="s">
        <v>26</v>
      </c>
      <c r="C423" s="1" t="n">
        <v>10800000</v>
      </c>
      <c r="D423" s="1" t="n">
        <v>314474</v>
      </c>
      <c r="E423" s="1" t="n">
        <v>0.0695</v>
      </c>
      <c r="F423" s="1" t="n">
        <v>0.051</v>
      </c>
    </row>
    <row r="424" customFormat="false" ht="15" hidden="false" customHeight="false" outlineLevel="0" collapsed="false">
      <c r="A424" s="1" t="s">
        <v>458</v>
      </c>
      <c r="B424" s="1" t="s">
        <v>26</v>
      </c>
      <c r="C424" s="1" t="n">
        <v>6860000</v>
      </c>
      <c r="D424" s="1" t="n">
        <v>219253.9</v>
      </c>
      <c r="E424" s="1" t="n">
        <v>0.0391</v>
      </c>
      <c r="F424" s="1" t="n">
        <v>0.0759</v>
      </c>
    </row>
    <row r="425" customFormat="false" ht="15" hidden="false" customHeight="false" outlineLevel="0" collapsed="false">
      <c r="A425" s="1" t="s">
        <v>459</v>
      </c>
      <c r="B425" s="1" t="s">
        <v>41</v>
      </c>
      <c r="C425" s="1" t="n">
        <v>10700000</v>
      </c>
      <c r="D425" s="1" t="n">
        <v>500</v>
      </c>
      <c r="E425" s="1" t="n">
        <v>0.0177</v>
      </c>
      <c r="F425" s="1" t="n">
        <v>0.0576</v>
      </c>
    </row>
    <row r="426" customFormat="false" ht="15" hidden="false" customHeight="false" outlineLevel="0" collapsed="false">
      <c r="A426" s="1" t="s">
        <v>460</v>
      </c>
      <c r="B426" s="1" t="s">
        <v>26</v>
      </c>
      <c r="C426" s="1" t="n">
        <v>6630000</v>
      </c>
      <c r="D426" s="1" t="n">
        <v>161603</v>
      </c>
      <c r="E426" s="1" t="n">
        <v>0.0747</v>
      </c>
      <c r="F426" s="1" t="n">
        <v>0.0759</v>
      </c>
    </row>
    <row r="427" customFormat="false" ht="15" hidden="false" customHeight="false" outlineLevel="0" collapsed="false">
      <c r="A427" s="1" t="s">
        <v>461</v>
      </c>
      <c r="B427" s="1" t="s">
        <v>26</v>
      </c>
      <c r="C427" s="1" t="n">
        <v>7230000</v>
      </c>
      <c r="D427" s="1" t="n">
        <v>279790.2</v>
      </c>
      <c r="E427" s="1" t="n">
        <v>0.0221</v>
      </c>
      <c r="F427" s="1" t="n">
        <v>0.0409</v>
      </c>
    </row>
    <row r="428" customFormat="false" ht="15" hidden="false" customHeight="false" outlineLevel="0" collapsed="false">
      <c r="A428" s="1" t="s">
        <v>462</v>
      </c>
      <c r="B428" s="1" t="s">
        <v>26</v>
      </c>
      <c r="C428" s="1" t="n">
        <v>27200000</v>
      </c>
      <c r="D428" s="1" t="n">
        <v>10461.4</v>
      </c>
      <c r="E428" s="1" t="n">
        <v>0.0056</v>
      </c>
      <c r="F428" s="1" t="n">
        <v>0.0811</v>
      </c>
    </row>
    <row r="429" customFormat="false" ht="15" hidden="false" customHeight="false" outlineLevel="0" collapsed="false">
      <c r="A429" s="1" t="s">
        <v>463</v>
      </c>
      <c r="B429" s="1" t="s">
        <v>41</v>
      </c>
      <c r="C429" s="1" t="n">
        <v>8690000</v>
      </c>
      <c r="D429" s="1" t="n">
        <v>1695.4</v>
      </c>
      <c r="E429" s="1" t="n">
        <v>0.0678</v>
      </c>
      <c r="F429" s="1" t="n">
        <v>0.4482</v>
      </c>
    </row>
    <row r="430" customFormat="false" ht="15" hidden="false" customHeight="false" outlineLevel="0" collapsed="false">
      <c r="A430" s="1" t="s">
        <v>464</v>
      </c>
      <c r="B430" s="1" t="s">
        <v>26</v>
      </c>
      <c r="C430" s="1" t="n">
        <v>21600000</v>
      </c>
      <c r="D430" s="1" t="n">
        <v>346529.1</v>
      </c>
      <c r="E430" s="1" t="n">
        <v>0.0058</v>
      </c>
      <c r="F430" s="1" t="n">
        <v>0.0811</v>
      </c>
    </row>
    <row r="431" customFormat="false" ht="15" hidden="false" customHeight="false" outlineLevel="0" collapsed="false">
      <c r="A431" s="1" t="s">
        <v>465</v>
      </c>
      <c r="B431" s="1" t="s">
        <v>21</v>
      </c>
      <c r="C431" s="1" t="n">
        <v>6530000</v>
      </c>
      <c r="D431" s="1" t="n">
        <v>75855</v>
      </c>
      <c r="E431" s="1" t="n">
        <v>0.0133</v>
      </c>
      <c r="F431" s="1" t="n">
        <v>0.0462</v>
      </c>
    </row>
    <row r="432" customFormat="false" ht="15" hidden="false" customHeight="false" outlineLevel="0" collapsed="false">
      <c r="A432" s="1" t="s">
        <v>466</v>
      </c>
      <c r="B432" s="1" t="s">
        <v>74</v>
      </c>
      <c r="C432" s="1" t="n">
        <v>7990000</v>
      </c>
      <c r="D432" s="1" t="n">
        <v>4492</v>
      </c>
      <c r="E432" s="1" t="n">
        <v>0.0215</v>
      </c>
      <c r="F432" s="1" t="n">
        <v>0.0643</v>
      </c>
    </row>
    <row r="433" customFormat="false" ht="15" hidden="false" customHeight="false" outlineLevel="0" collapsed="false">
      <c r="A433" s="1" t="s">
        <v>467</v>
      </c>
      <c r="B433" s="1" t="s">
        <v>41</v>
      </c>
      <c r="C433" s="1" t="n">
        <v>6390000</v>
      </c>
      <c r="D433" s="1" t="n">
        <v>422.9</v>
      </c>
      <c r="E433" s="1" t="n">
        <v>0.0032</v>
      </c>
      <c r="F433" s="1" t="n">
        <v>0.2371</v>
      </c>
    </row>
    <row r="434" customFormat="false" ht="15" hidden="false" customHeight="false" outlineLevel="0" collapsed="false">
      <c r="A434" s="1" t="s">
        <v>468</v>
      </c>
      <c r="B434" s="1" t="s">
        <v>26</v>
      </c>
      <c r="C434" s="1" t="n">
        <v>6150000</v>
      </c>
      <c r="D434" s="1" t="n">
        <v>3785.9</v>
      </c>
      <c r="E434" s="1" t="n">
        <v>0.0044</v>
      </c>
      <c r="F434" s="1" t="n">
        <v>0.0822</v>
      </c>
    </row>
    <row r="435" customFormat="false" ht="15" hidden="false" customHeight="false" outlineLevel="0" collapsed="false">
      <c r="A435" s="1" t="s">
        <v>469</v>
      </c>
      <c r="B435" s="1" t="s">
        <v>26</v>
      </c>
      <c r="C435" s="1" t="n">
        <v>9610000</v>
      </c>
      <c r="D435" s="1" t="n">
        <v>26558</v>
      </c>
      <c r="E435" s="1" t="n">
        <v>0.0152</v>
      </c>
      <c r="F435" s="1" t="n">
        <v>0.0726</v>
      </c>
    </row>
    <row r="436" customFormat="false" ht="15" hidden="false" customHeight="false" outlineLevel="0" collapsed="false">
      <c r="A436" s="1" t="s">
        <v>470</v>
      </c>
      <c r="B436" s="1" t="s">
        <v>24</v>
      </c>
      <c r="C436" s="1" t="n">
        <v>7050000</v>
      </c>
      <c r="D436" s="1" t="n">
        <v>5843.9</v>
      </c>
      <c r="E436" s="1" t="n">
        <v>0.0315</v>
      </c>
      <c r="F436" s="1" t="n">
        <v>0.0725</v>
      </c>
    </row>
    <row r="437" customFormat="false" ht="15" hidden="false" customHeight="false" outlineLevel="0" collapsed="false">
      <c r="A437" s="1" t="s">
        <v>471</v>
      </c>
      <c r="B437" s="1" t="s">
        <v>53</v>
      </c>
      <c r="C437" s="1" t="n">
        <v>8500000</v>
      </c>
      <c r="D437" s="1" t="n">
        <v>46691.7</v>
      </c>
      <c r="F437" s="1" t="n">
        <v>0.0409</v>
      </c>
    </row>
    <row r="438" customFormat="false" ht="15" hidden="false" customHeight="false" outlineLevel="0" collapsed="false">
      <c r="A438" s="1" t="s">
        <v>472</v>
      </c>
      <c r="B438" s="1" t="s">
        <v>24</v>
      </c>
      <c r="C438" s="1" t="n">
        <v>8160000</v>
      </c>
      <c r="D438" s="1" t="n">
        <v>9487.2</v>
      </c>
      <c r="E438" s="1" t="n">
        <v>0.0146</v>
      </c>
      <c r="F438" s="1" t="n">
        <v>0.0726</v>
      </c>
    </row>
    <row r="439" customFormat="false" ht="15" hidden="false" customHeight="false" outlineLevel="0" collapsed="false">
      <c r="A439" s="1" t="s">
        <v>473</v>
      </c>
      <c r="B439" s="1" t="s">
        <v>32</v>
      </c>
      <c r="C439" s="1" t="n">
        <v>7080000</v>
      </c>
      <c r="D439" s="1" t="n">
        <v>1420104.8</v>
      </c>
      <c r="E439" s="1" t="n">
        <v>0.0339</v>
      </c>
      <c r="F439" s="1" t="n">
        <v>0.0518</v>
      </c>
    </row>
    <row r="440" customFormat="false" ht="15" hidden="false" customHeight="false" outlineLevel="0" collapsed="false">
      <c r="A440" s="1" t="s">
        <v>474</v>
      </c>
      <c r="B440" s="1" t="s">
        <v>81</v>
      </c>
      <c r="C440" s="1" t="n">
        <v>10200000</v>
      </c>
      <c r="D440" s="1" t="n">
        <v>877954</v>
      </c>
      <c r="E440" s="1" t="n">
        <v>0.0094</v>
      </c>
      <c r="F440" s="1" t="n">
        <v>0.0817</v>
      </c>
    </row>
    <row r="441" customFormat="false" ht="15" hidden="false" customHeight="false" outlineLevel="0" collapsed="false">
      <c r="A441" s="1" t="s">
        <v>475</v>
      </c>
      <c r="B441" s="1" t="s">
        <v>53</v>
      </c>
      <c r="C441" s="1" t="n">
        <v>6500000</v>
      </c>
      <c r="D441" s="1" t="n">
        <v>8684507.2</v>
      </c>
      <c r="E441" s="1" t="n">
        <v>0.0825</v>
      </c>
      <c r="F441" s="1" t="n">
        <v>0.0951</v>
      </c>
    </row>
    <row r="442" customFormat="false" ht="15" hidden="false" customHeight="false" outlineLevel="0" collapsed="false">
      <c r="A442" s="1" t="s">
        <v>476</v>
      </c>
      <c r="B442" s="1" t="s">
        <v>24</v>
      </c>
      <c r="C442" s="1" t="n">
        <v>8700000</v>
      </c>
      <c r="D442" s="1" t="n">
        <v>280503.6</v>
      </c>
      <c r="E442" s="1" t="n">
        <v>0.0316</v>
      </c>
      <c r="F442" s="1" t="n">
        <v>0.051</v>
      </c>
    </row>
    <row r="443" customFormat="false" ht="15" hidden="false" customHeight="false" outlineLevel="0" collapsed="false">
      <c r="A443" s="1" t="s">
        <v>477</v>
      </c>
      <c r="B443" s="1" t="s">
        <v>26</v>
      </c>
      <c r="C443" s="1" t="n">
        <v>6760000</v>
      </c>
      <c r="D443" s="1" t="n">
        <v>465188</v>
      </c>
      <c r="F443" s="1" t="n">
        <v>0.0759</v>
      </c>
    </row>
    <row r="444" customFormat="false" ht="15" hidden="false" customHeight="false" outlineLevel="0" collapsed="false">
      <c r="A444" s="1" t="s">
        <v>478</v>
      </c>
      <c r="B444" s="1" t="s">
        <v>92</v>
      </c>
      <c r="C444" s="1" t="n">
        <v>8250000</v>
      </c>
      <c r="D444" s="1" t="n">
        <v>71636.4</v>
      </c>
      <c r="E444" s="1" t="n">
        <v>0.0256</v>
      </c>
      <c r="F444" s="1" t="n">
        <v>0.0833</v>
      </c>
    </row>
    <row r="445" customFormat="false" ht="15" hidden="false" customHeight="false" outlineLevel="0" collapsed="false">
      <c r="A445" s="1" t="s">
        <v>479</v>
      </c>
      <c r="B445" s="1" t="s">
        <v>26</v>
      </c>
      <c r="C445" s="1" t="n">
        <v>7330000</v>
      </c>
      <c r="D445" s="1" t="n">
        <v>28938.9</v>
      </c>
      <c r="E445" s="1" t="n">
        <v>0.0738</v>
      </c>
      <c r="F445" s="1" t="n">
        <v>0.0938</v>
      </c>
    </row>
    <row r="446" customFormat="false" ht="15" hidden="false" customHeight="false" outlineLevel="0" collapsed="false">
      <c r="A446" s="1" t="s">
        <v>480</v>
      </c>
      <c r="B446" s="1" t="s">
        <v>50</v>
      </c>
      <c r="C446" s="1" t="n">
        <v>7090000</v>
      </c>
      <c r="D446" s="1" t="n">
        <v>16481.2</v>
      </c>
      <c r="E446" s="1" t="n">
        <v>0.0068</v>
      </c>
      <c r="F446" s="1" t="n">
        <v>0.0654</v>
      </c>
    </row>
    <row r="447" customFormat="false" ht="15" hidden="false" customHeight="false" outlineLevel="0" collapsed="false">
      <c r="A447" s="1" t="s">
        <v>481</v>
      </c>
      <c r="B447" s="1" t="s">
        <v>41</v>
      </c>
      <c r="C447" s="1" t="n">
        <v>7310000</v>
      </c>
      <c r="D447" s="1" t="n">
        <v>1080.5</v>
      </c>
      <c r="E447" s="1" t="n">
        <v>0.0286</v>
      </c>
      <c r="F447" s="1" t="n">
        <v>0.0938</v>
      </c>
    </row>
    <row r="448" customFormat="false" ht="15" hidden="false" customHeight="false" outlineLevel="0" collapsed="false">
      <c r="A448" s="1" t="s">
        <v>482</v>
      </c>
      <c r="B448" s="1" t="s">
        <v>24</v>
      </c>
      <c r="C448" s="1" t="n">
        <v>8760000</v>
      </c>
      <c r="D448" s="1" t="n">
        <v>3691170.5</v>
      </c>
      <c r="E448" s="1" t="n">
        <v>0.0377</v>
      </c>
      <c r="F448" s="1" t="n">
        <v>0.0409</v>
      </c>
    </row>
    <row r="449" customFormat="false" ht="15" hidden="false" customHeight="false" outlineLevel="0" collapsed="false">
      <c r="A449" s="1" t="s">
        <v>483</v>
      </c>
      <c r="B449" s="1" t="s">
        <v>287</v>
      </c>
      <c r="C449" s="1" t="n">
        <v>7170000</v>
      </c>
      <c r="D449" s="1" t="n">
        <v>33478.7</v>
      </c>
      <c r="E449" s="1" t="n">
        <v>0.0114</v>
      </c>
      <c r="F449" s="1" t="n">
        <v>0.052</v>
      </c>
    </row>
    <row r="450" customFormat="false" ht="15" hidden="false" customHeight="false" outlineLevel="0" collapsed="false">
      <c r="A450" s="1" t="s">
        <v>484</v>
      </c>
      <c r="B450" s="1" t="s">
        <v>26</v>
      </c>
      <c r="C450" s="1" t="n">
        <v>8490000</v>
      </c>
      <c r="D450" s="1" t="n">
        <v>208677.4</v>
      </c>
      <c r="E450" s="1" t="n">
        <v>0.0109</v>
      </c>
      <c r="F450" s="1" t="n">
        <v>0.0584</v>
      </c>
    </row>
    <row r="451" customFormat="false" ht="15" hidden="false" customHeight="false" outlineLevel="0" collapsed="false">
      <c r="A451" s="1" t="s">
        <v>485</v>
      </c>
      <c r="B451" s="1" t="s">
        <v>26</v>
      </c>
      <c r="C451" s="1" t="n">
        <v>6790000</v>
      </c>
      <c r="D451" s="1" t="n">
        <v>17599.8</v>
      </c>
      <c r="E451" s="1" t="n">
        <v>0.0697</v>
      </c>
      <c r="F451" s="1" t="n">
        <v>0.0759</v>
      </c>
    </row>
    <row r="452" customFormat="false" ht="15" hidden="false" customHeight="false" outlineLevel="0" collapsed="false">
      <c r="A452" s="1" t="s">
        <v>486</v>
      </c>
      <c r="B452" s="1" t="s">
        <v>26</v>
      </c>
      <c r="C452" s="1" t="n">
        <v>5760000</v>
      </c>
      <c r="D452" s="1" t="n">
        <v>1696852</v>
      </c>
      <c r="E452" s="1" t="n">
        <v>0.028</v>
      </c>
      <c r="F452" s="1" t="n">
        <v>0.0759</v>
      </c>
    </row>
    <row r="453" customFormat="false" ht="15" hidden="false" customHeight="false" outlineLevel="0" collapsed="false">
      <c r="A453" s="1" t="s">
        <v>487</v>
      </c>
      <c r="B453" s="1" t="s">
        <v>30</v>
      </c>
      <c r="C453" s="1" t="n">
        <v>9400000</v>
      </c>
      <c r="D453" s="1" t="n">
        <v>76834.5</v>
      </c>
      <c r="E453" s="1" t="n">
        <v>0.013</v>
      </c>
      <c r="F453" s="1" t="n">
        <v>0.0585</v>
      </c>
    </row>
    <row r="454" customFormat="false" ht="15" hidden="false" customHeight="false" outlineLevel="0" collapsed="false">
      <c r="A454" s="1" t="s">
        <v>488</v>
      </c>
      <c r="B454" s="1" t="s">
        <v>53</v>
      </c>
      <c r="C454" s="1" t="n">
        <v>8770000</v>
      </c>
      <c r="D454" s="1" t="n">
        <v>638009.7</v>
      </c>
      <c r="E454" s="1" t="n">
        <v>0.0177</v>
      </c>
      <c r="F454" s="1" t="n">
        <v>0.0854</v>
      </c>
    </row>
    <row r="455" customFormat="false" ht="15" hidden="false" customHeight="false" outlineLevel="0" collapsed="false">
      <c r="A455" s="1" t="s">
        <v>489</v>
      </c>
      <c r="B455" s="1" t="s">
        <v>490</v>
      </c>
      <c r="C455" s="1" t="n">
        <v>7460000</v>
      </c>
      <c r="D455" s="1" t="n">
        <v>182910.7</v>
      </c>
      <c r="E455" s="1" t="n">
        <v>0.0166</v>
      </c>
      <c r="F455" s="1" t="n">
        <v>0.0462</v>
      </c>
    </row>
    <row r="456" customFormat="false" ht="15" hidden="false" customHeight="false" outlineLevel="0" collapsed="false">
      <c r="A456" s="1" t="s">
        <v>491</v>
      </c>
      <c r="B456" s="1" t="s">
        <v>62</v>
      </c>
      <c r="C456" s="1" t="n">
        <v>8760000</v>
      </c>
      <c r="D456" s="1" t="n">
        <v>5719578.7</v>
      </c>
      <c r="E456" s="1" t="n">
        <v>0.0339</v>
      </c>
      <c r="F456" s="1" t="n">
        <v>0.0672</v>
      </c>
    </row>
    <row r="457" customFormat="false" ht="15" hidden="false" customHeight="false" outlineLevel="0" collapsed="false">
      <c r="A457" s="1" t="s">
        <v>492</v>
      </c>
      <c r="B457" s="1" t="s">
        <v>30</v>
      </c>
      <c r="C457" s="1" t="n">
        <v>13400000</v>
      </c>
      <c r="D457" s="1" t="n">
        <v>719846.6</v>
      </c>
      <c r="F457" s="1" t="n">
        <v>0.051</v>
      </c>
    </row>
    <row r="458" customFormat="false" ht="15" hidden="false" customHeight="false" outlineLevel="0" collapsed="false">
      <c r="A458" s="1" t="s">
        <v>493</v>
      </c>
      <c r="B458" s="1" t="s">
        <v>26</v>
      </c>
      <c r="C458" s="1" t="n">
        <v>6390000</v>
      </c>
      <c r="D458" s="1" t="n">
        <v>4895.3</v>
      </c>
      <c r="E458" s="1" t="n">
        <v>0.0477</v>
      </c>
      <c r="F458" s="1" t="n">
        <v>0.0951</v>
      </c>
    </row>
    <row r="459" customFormat="false" ht="15" hidden="false" customHeight="false" outlineLevel="0" collapsed="false">
      <c r="A459" s="1" t="s">
        <v>494</v>
      </c>
      <c r="B459" s="1" t="s">
        <v>62</v>
      </c>
      <c r="C459" s="1" t="n">
        <v>10400000</v>
      </c>
      <c r="D459" s="1" t="n">
        <v>114946.9</v>
      </c>
      <c r="E459" s="1" t="n">
        <v>0.0283</v>
      </c>
      <c r="F459" s="1" t="n">
        <v>0.0938</v>
      </c>
    </row>
    <row r="460" customFormat="false" ht="15" hidden="false" customHeight="false" outlineLevel="0" collapsed="false">
      <c r="A460" s="1" t="s">
        <v>495</v>
      </c>
      <c r="B460" s="1" t="s">
        <v>74</v>
      </c>
      <c r="C460" s="1" t="n">
        <v>6880000</v>
      </c>
      <c r="D460" s="1" t="n">
        <v>250272.1</v>
      </c>
      <c r="E460" s="1" t="n">
        <v>0.0222</v>
      </c>
      <c r="F460" s="1" t="n">
        <v>0.0854</v>
      </c>
    </row>
    <row r="461" customFormat="false" ht="15" hidden="false" customHeight="false" outlineLevel="0" collapsed="false">
      <c r="A461" s="1" t="s">
        <v>496</v>
      </c>
      <c r="B461" s="1" t="s">
        <v>195</v>
      </c>
      <c r="C461" s="1" t="n">
        <v>7350000</v>
      </c>
      <c r="D461" s="1" t="n">
        <v>8745.8</v>
      </c>
      <c r="E461" s="1" t="n">
        <v>0.0142</v>
      </c>
      <c r="F461" s="1" t="n">
        <v>0.0726</v>
      </c>
    </row>
    <row r="462" customFormat="false" ht="15" hidden="false" customHeight="false" outlineLevel="0" collapsed="false">
      <c r="A462" s="1" t="s">
        <v>497</v>
      </c>
      <c r="B462" s="1" t="s">
        <v>41</v>
      </c>
      <c r="C462" s="1" t="n">
        <v>7970000</v>
      </c>
      <c r="D462" s="1" t="n">
        <v>38534.1</v>
      </c>
      <c r="F462" s="1" t="n">
        <v>0.0409</v>
      </c>
    </row>
    <row r="463" customFormat="false" ht="15" hidden="false" customHeight="false" outlineLevel="0" collapsed="false">
      <c r="A463" s="1" t="s">
        <v>498</v>
      </c>
      <c r="B463" s="1" t="s">
        <v>24</v>
      </c>
      <c r="C463" s="1" t="n">
        <v>6390000</v>
      </c>
      <c r="D463" s="1" t="n">
        <v>46425.1</v>
      </c>
      <c r="E463" s="1" t="n">
        <v>0.0528</v>
      </c>
      <c r="F463" s="1" t="n">
        <v>0.0938</v>
      </c>
    </row>
    <row r="464" customFormat="false" ht="15" hidden="false" customHeight="false" outlineLevel="0" collapsed="false">
      <c r="A464" s="1" t="s">
        <v>499</v>
      </c>
      <c r="B464" s="1" t="s">
        <v>62</v>
      </c>
      <c r="C464" s="1" t="n">
        <v>7150000</v>
      </c>
      <c r="D464" s="1" t="n">
        <v>27733.4</v>
      </c>
      <c r="E464" s="1" t="n">
        <v>0.0441</v>
      </c>
      <c r="F464" s="1" t="n">
        <v>0.0432</v>
      </c>
    </row>
    <row r="465" customFormat="false" ht="15" hidden="false" customHeight="false" outlineLevel="0" collapsed="false">
      <c r="A465" s="1" t="s">
        <v>500</v>
      </c>
      <c r="B465" s="1" t="s">
        <v>62</v>
      </c>
      <c r="C465" s="1" t="n">
        <v>7230000</v>
      </c>
      <c r="D465" s="1" t="n">
        <v>1353776.3</v>
      </c>
      <c r="E465" s="1" t="n">
        <v>0.0259</v>
      </c>
      <c r="F465" s="1" t="n">
        <v>0.051</v>
      </c>
    </row>
    <row r="466" customFormat="false" ht="15" hidden="false" customHeight="false" outlineLevel="0" collapsed="false">
      <c r="A466" s="1" t="s">
        <v>501</v>
      </c>
      <c r="B466" s="1" t="s">
        <v>21</v>
      </c>
      <c r="C466" s="1" t="n">
        <v>9310000</v>
      </c>
      <c r="D466" s="1" t="n">
        <v>5610.4</v>
      </c>
      <c r="E466" s="1" t="n">
        <v>0.006</v>
      </c>
      <c r="F466" s="1" t="n">
        <v>0.0811</v>
      </c>
    </row>
    <row r="467" customFormat="false" ht="15" hidden="false" customHeight="false" outlineLevel="0" collapsed="false">
      <c r="A467" s="1" t="s">
        <v>502</v>
      </c>
      <c r="B467" s="1" t="s">
        <v>53</v>
      </c>
      <c r="C467" s="1" t="n">
        <v>6560000</v>
      </c>
      <c r="D467" s="1" t="n">
        <v>375001.1</v>
      </c>
      <c r="E467" s="1" t="n">
        <v>0.0391</v>
      </c>
      <c r="F467" s="1" t="n">
        <v>0.0409</v>
      </c>
    </row>
    <row r="468" customFormat="false" ht="15" hidden="false" customHeight="false" outlineLevel="0" collapsed="false">
      <c r="A468" s="1" t="s">
        <v>503</v>
      </c>
      <c r="B468" s="1" t="s">
        <v>26</v>
      </c>
      <c r="C468" s="1" t="n">
        <v>15400000</v>
      </c>
      <c r="D468" s="1" t="n">
        <v>3939054.6</v>
      </c>
      <c r="E468" s="1" t="n">
        <v>0.0289</v>
      </c>
      <c r="F468" s="1" t="n">
        <v>0.0409</v>
      </c>
    </row>
    <row r="469" customFormat="false" ht="15" hidden="false" customHeight="false" outlineLevel="0" collapsed="false">
      <c r="A469" s="1" t="s">
        <v>504</v>
      </c>
      <c r="B469" s="1" t="s">
        <v>21</v>
      </c>
      <c r="C469" s="1" t="n">
        <v>8560000</v>
      </c>
      <c r="D469" s="1" t="n">
        <v>340593</v>
      </c>
      <c r="E469" s="1" t="n">
        <v>0.0175</v>
      </c>
      <c r="F469" s="1" t="n">
        <v>0.0576</v>
      </c>
    </row>
    <row r="470" customFormat="false" ht="15" hidden="false" customHeight="false" outlineLevel="0" collapsed="false">
      <c r="A470" s="1" t="s">
        <v>505</v>
      </c>
      <c r="B470" s="1" t="s">
        <v>53</v>
      </c>
      <c r="C470" s="1" t="n">
        <v>6800000</v>
      </c>
      <c r="D470" s="1" t="n">
        <v>75078.8</v>
      </c>
      <c r="E470" s="1" t="n">
        <v>0.0185</v>
      </c>
      <c r="F470" s="1" t="n">
        <v>0.1053</v>
      </c>
    </row>
    <row r="471" customFormat="false" ht="15" hidden="false" customHeight="false" outlineLevel="0" collapsed="false">
      <c r="A471" s="1" t="s">
        <v>506</v>
      </c>
      <c r="B471" s="1" t="s">
        <v>26</v>
      </c>
      <c r="C471" s="1" t="n">
        <v>6230000</v>
      </c>
      <c r="D471" s="1" t="n">
        <v>51464.9</v>
      </c>
      <c r="E471" s="1" t="n">
        <v>0.0586</v>
      </c>
      <c r="F471" s="1" t="n">
        <v>0.0759</v>
      </c>
    </row>
    <row r="472" customFormat="false" ht="15" hidden="false" customHeight="false" outlineLevel="0" collapsed="false">
      <c r="A472" s="1" t="s">
        <v>507</v>
      </c>
      <c r="B472" s="1" t="s">
        <v>21</v>
      </c>
      <c r="C472" s="1" t="n">
        <v>6760000</v>
      </c>
      <c r="D472" s="1" t="n">
        <v>107834.4</v>
      </c>
      <c r="E472" s="1" t="n">
        <v>0.0435</v>
      </c>
      <c r="F472" s="1" t="n">
        <v>0.0759</v>
      </c>
    </row>
    <row r="473" customFormat="false" ht="15" hidden="false" customHeight="false" outlineLevel="0" collapsed="false">
      <c r="A473" s="1" t="s">
        <v>508</v>
      </c>
      <c r="B473" s="1" t="s">
        <v>41</v>
      </c>
      <c r="C473" s="1" t="n">
        <v>6050000</v>
      </c>
      <c r="D473" s="1" t="n">
        <v>1480.1</v>
      </c>
      <c r="E473" s="1" t="n">
        <v>0.0364</v>
      </c>
      <c r="F473" s="1" t="n">
        <v>0.0938</v>
      </c>
    </row>
    <row r="474" customFormat="false" ht="15" hidden="false" customHeight="false" outlineLevel="0" collapsed="false">
      <c r="A474" s="1" t="s">
        <v>509</v>
      </c>
      <c r="B474" s="1" t="s">
        <v>26</v>
      </c>
      <c r="C474" s="1" t="n">
        <v>6280000</v>
      </c>
      <c r="D474" s="1" t="n">
        <v>53720.7</v>
      </c>
      <c r="E474" s="1" t="n">
        <v>0.0093</v>
      </c>
      <c r="F474" s="1" t="n">
        <v>0.0654</v>
      </c>
    </row>
    <row r="475" customFormat="false" ht="15" hidden="false" customHeight="false" outlineLevel="0" collapsed="false">
      <c r="A475" s="1" t="s">
        <v>510</v>
      </c>
      <c r="B475" s="1" t="s">
        <v>35</v>
      </c>
      <c r="C475" s="1" t="n">
        <v>7690000</v>
      </c>
      <c r="D475" s="1" t="n">
        <v>771.5</v>
      </c>
      <c r="E475" s="1" t="n">
        <v>0.0211</v>
      </c>
      <c r="F475" s="1" t="n">
        <v>0.051</v>
      </c>
    </row>
    <row r="476" customFormat="false" ht="15" hidden="false" customHeight="false" outlineLevel="0" collapsed="false">
      <c r="A476" s="1" t="s">
        <v>511</v>
      </c>
      <c r="B476" s="1" t="s">
        <v>26</v>
      </c>
      <c r="C476" s="1" t="n">
        <v>5140000</v>
      </c>
      <c r="D476" s="1" t="n">
        <v>11174.4</v>
      </c>
      <c r="E476" s="1" t="n">
        <v>0.0863</v>
      </c>
      <c r="F476" s="1" t="n">
        <v>0.0938</v>
      </c>
    </row>
    <row r="477" customFormat="false" ht="15" hidden="false" customHeight="false" outlineLevel="0" collapsed="false">
      <c r="A477" s="1" t="s">
        <v>512</v>
      </c>
      <c r="B477" s="1" t="s">
        <v>26</v>
      </c>
      <c r="C477" s="1" t="n">
        <v>7370000</v>
      </c>
      <c r="D477" s="1" t="n">
        <v>2053909.6</v>
      </c>
      <c r="E477" s="1" t="n">
        <v>0.0258</v>
      </c>
      <c r="F477" s="1" t="n">
        <v>0.0951</v>
      </c>
    </row>
    <row r="478" customFormat="false" ht="15" hidden="false" customHeight="false" outlineLevel="0" collapsed="false">
      <c r="A478" s="1" t="s">
        <v>513</v>
      </c>
      <c r="B478" s="1" t="s">
        <v>74</v>
      </c>
      <c r="C478" s="1" t="n">
        <v>6490000</v>
      </c>
      <c r="D478" s="1" t="n">
        <v>79872.2</v>
      </c>
      <c r="E478" s="1" t="n">
        <v>0.0374</v>
      </c>
      <c r="F478" s="1" t="n">
        <v>0.0759</v>
      </c>
    </row>
    <row r="479" customFormat="false" ht="15" hidden="false" customHeight="false" outlineLevel="0" collapsed="false">
      <c r="A479" s="1" t="s">
        <v>514</v>
      </c>
      <c r="B479" s="1" t="s">
        <v>26</v>
      </c>
      <c r="C479" s="1" t="n">
        <v>7130000</v>
      </c>
      <c r="D479" s="1" t="n">
        <v>287.2</v>
      </c>
      <c r="E479" s="1" t="n">
        <v>0.0167</v>
      </c>
      <c r="F479" s="1" t="n">
        <v>0.0809</v>
      </c>
    </row>
    <row r="480" customFormat="false" ht="15" hidden="false" customHeight="false" outlineLevel="0" collapsed="false">
      <c r="A480" s="1" t="s">
        <v>515</v>
      </c>
      <c r="B480" s="1" t="s">
        <v>26</v>
      </c>
      <c r="C480" s="1" t="n">
        <v>6530000</v>
      </c>
      <c r="D480" s="1" t="n">
        <v>2982.7</v>
      </c>
      <c r="E480" s="1" t="n">
        <v>0.0571</v>
      </c>
      <c r="F480" s="1" t="n">
        <v>0.0759</v>
      </c>
    </row>
    <row r="481" customFormat="false" ht="15" hidden="false" customHeight="false" outlineLevel="0" collapsed="false">
      <c r="A481" s="1" t="s">
        <v>516</v>
      </c>
      <c r="B481" s="1" t="s">
        <v>41</v>
      </c>
      <c r="C481" s="1" t="n">
        <v>6310000</v>
      </c>
      <c r="D481" s="1" t="n">
        <v>4577</v>
      </c>
      <c r="E481" s="1" t="n">
        <v>0.0144</v>
      </c>
      <c r="F481" s="1" t="n">
        <v>0.1053</v>
      </c>
    </row>
    <row r="482" customFormat="false" ht="15" hidden="false" customHeight="false" outlineLevel="0" collapsed="false">
      <c r="A482" s="1" t="s">
        <v>517</v>
      </c>
      <c r="B482" s="1" t="s">
        <v>41</v>
      </c>
      <c r="C482" s="1" t="n">
        <v>7690000</v>
      </c>
      <c r="D482" s="1" t="n">
        <v>726154</v>
      </c>
      <c r="E482" s="1" t="n">
        <v>0.0253</v>
      </c>
      <c r="F482" s="1" t="n">
        <v>0.0409</v>
      </c>
    </row>
    <row r="483" customFormat="false" ht="15" hidden="false" customHeight="false" outlineLevel="0" collapsed="false">
      <c r="A483" s="1" t="s">
        <v>518</v>
      </c>
      <c r="B483" s="1" t="s">
        <v>41</v>
      </c>
      <c r="C483" s="1" t="n">
        <v>7990000</v>
      </c>
      <c r="D483" s="1" t="n">
        <v>3364.9</v>
      </c>
      <c r="E483" s="1" t="n">
        <v>0.0309</v>
      </c>
      <c r="F483" s="1" t="n">
        <v>0.0938</v>
      </c>
    </row>
    <row r="484" customFormat="false" ht="15" hidden="false" customHeight="false" outlineLevel="0" collapsed="false">
      <c r="A484" s="1" t="s">
        <v>519</v>
      </c>
      <c r="B484" s="1" t="s">
        <v>41</v>
      </c>
      <c r="C484" s="1" t="n">
        <v>7490000</v>
      </c>
      <c r="D484" s="1" t="n">
        <v>1034.2</v>
      </c>
      <c r="E484" s="1" t="n">
        <v>0.014</v>
      </c>
      <c r="F484" s="1" t="n">
        <v>0.0576</v>
      </c>
    </row>
    <row r="485" customFormat="false" ht="15" hidden="false" customHeight="false" outlineLevel="0" collapsed="false">
      <c r="A485" s="1" t="s">
        <v>520</v>
      </c>
      <c r="B485" s="1" t="s">
        <v>92</v>
      </c>
      <c r="C485" s="1" t="n">
        <v>6640000</v>
      </c>
      <c r="D485" s="1" t="n">
        <v>13289.7</v>
      </c>
      <c r="E485" s="1" t="n">
        <v>0.0204</v>
      </c>
      <c r="F485" s="1" t="n">
        <v>0.0854</v>
      </c>
    </row>
    <row r="486" customFormat="false" ht="15" hidden="false" customHeight="false" outlineLevel="0" collapsed="false">
      <c r="A486" s="1" t="s">
        <v>521</v>
      </c>
      <c r="B486" s="1" t="s">
        <v>26</v>
      </c>
      <c r="C486" s="1" t="n">
        <v>6810000</v>
      </c>
      <c r="D486" s="1" t="n">
        <v>521577.1</v>
      </c>
      <c r="E486" s="1" t="n">
        <v>0.0646</v>
      </c>
      <c r="F486" s="1" t="n">
        <v>0.0759</v>
      </c>
    </row>
    <row r="487" customFormat="false" ht="15" hidden="false" customHeight="false" outlineLevel="0" collapsed="false">
      <c r="A487" s="1" t="s">
        <v>522</v>
      </c>
      <c r="B487" s="1" t="s">
        <v>41</v>
      </c>
      <c r="C487" s="1" t="n">
        <v>6160000</v>
      </c>
      <c r="D487" s="1" t="n">
        <v>35655.2</v>
      </c>
      <c r="E487" s="1" t="n">
        <v>0.0276</v>
      </c>
      <c r="F487" s="1" t="n">
        <v>0.0759</v>
      </c>
    </row>
    <row r="488" customFormat="false" ht="15" hidden="false" customHeight="false" outlineLevel="0" collapsed="false">
      <c r="A488" s="1" t="s">
        <v>523</v>
      </c>
      <c r="B488" s="1" t="s">
        <v>26</v>
      </c>
      <c r="C488" s="1" t="n">
        <v>11800000</v>
      </c>
      <c r="D488" s="1" t="n">
        <v>2906138</v>
      </c>
      <c r="E488" s="1" t="n">
        <v>0.0222</v>
      </c>
      <c r="F488" s="1" t="n">
        <v>0.0462</v>
      </c>
    </row>
    <row r="489" customFormat="false" ht="15" hidden="false" customHeight="false" outlineLevel="0" collapsed="false">
      <c r="A489" s="1" t="s">
        <v>524</v>
      </c>
      <c r="B489" s="1" t="s">
        <v>26</v>
      </c>
      <c r="C489" s="1" t="n">
        <v>6130000</v>
      </c>
      <c r="D489" s="1" t="n">
        <v>576972.9</v>
      </c>
      <c r="E489" s="1" t="n">
        <v>0.0385</v>
      </c>
      <c r="F489" s="1" t="n">
        <v>0.0951</v>
      </c>
    </row>
    <row r="490" customFormat="false" ht="15" hidden="false" customHeight="false" outlineLevel="0" collapsed="false">
      <c r="A490" s="1" t="s">
        <v>525</v>
      </c>
      <c r="B490" s="1" t="s">
        <v>26</v>
      </c>
      <c r="C490" s="1" t="n">
        <v>5970000</v>
      </c>
      <c r="D490" s="1" t="n">
        <v>611982.1</v>
      </c>
      <c r="E490" s="1" t="n">
        <v>0.017</v>
      </c>
      <c r="F490" s="1" t="n">
        <v>0.0854</v>
      </c>
    </row>
    <row r="491" customFormat="false" ht="15" hidden="false" customHeight="false" outlineLevel="0" collapsed="false">
      <c r="A491" s="1" t="s">
        <v>526</v>
      </c>
      <c r="B491" s="1" t="s">
        <v>92</v>
      </c>
      <c r="C491" s="1" t="n">
        <v>8170000</v>
      </c>
      <c r="D491" s="1" t="n">
        <v>174930.8</v>
      </c>
      <c r="E491" s="1" t="n">
        <v>0.0176</v>
      </c>
      <c r="F491" s="1" t="n">
        <v>0.0462</v>
      </c>
    </row>
    <row r="492" customFormat="false" ht="15" hidden="false" customHeight="false" outlineLevel="0" collapsed="false">
      <c r="A492" s="1" t="s">
        <v>527</v>
      </c>
      <c r="B492" s="1" t="s">
        <v>92</v>
      </c>
      <c r="C492" s="1" t="n">
        <v>7130000</v>
      </c>
      <c r="D492" s="1" t="n">
        <v>48770.5</v>
      </c>
      <c r="E492" s="1" t="n">
        <v>0.0215</v>
      </c>
      <c r="F492" s="1" t="n">
        <v>0.1053</v>
      </c>
    </row>
    <row r="493" customFormat="false" ht="15" hidden="false" customHeight="false" outlineLevel="0" collapsed="false">
      <c r="A493" s="1" t="s">
        <v>528</v>
      </c>
      <c r="B493" s="1" t="s">
        <v>26</v>
      </c>
      <c r="C493" s="1" t="n">
        <v>7030000</v>
      </c>
      <c r="D493" s="1" t="n">
        <v>20233.8</v>
      </c>
      <c r="E493" s="1" t="n">
        <v>0.0836</v>
      </c>
      <c r="F493" s="1" t="n">
        <v>0.0759</v>
      </c>
    </row>
    <row r="494" customFormat="false" ht="15" hidden="false" customHeight="false" outlineLevel="0" collapsed="false">
      <c r="A494" s="1" t="s">
        <v>529</v>
      </c>
      <c r="B494" s="1" t="s">
        <v>195</v>
      </c>
      <c r="C494" s="1" t="n">
        <v>6110000</v>
      </c>
      <c r="D494" s="1" t="n">
        <v>4771.6</v>
      </c>
      <c r="E494" s="1" t="n">
        <v>0.0323</v>
      </c>
      <c r="F494" s="1" t="n">
        <v>0.051</v>
      </c>
    </row>
    <row r="495" customFormat="false" ht="15" hidden="false" customHeight="false" outlineLevel="0" collapsed="false">
      <c r="A495" s="1" t="s">
        <v>530</v>
      </c>
      <c r="B495" s="1" t="s">
        <v>28</v>
      </c>
      <c r="C495" s="1" t="n">
        <v>10500000</v>
      </c>
      <c r="D495" s="1" t="n">
        <v>29286.5</v>
      </c>
      <c r="E495" s="1" t="n">
        <v>0.006</v>
      </c>
      <c r="F495" s="1" t="n">
        <v>0.0811</v>
      </c>
    </row>
    <row r="496" customFormat="false" ht="15" hidden="false" customHeight="false" outlineLevel="0" collapsed="false">
      <c r="A496" s="1" t="s">
        <v>531</v>
      </c>
      <c r="B496" s="1" t="s">
        <v>53</v>
      </c>
      <c r="C496" s="1" t="n">
        <v>1380000</v>
      </c>
      <c r="D496" s="1" t="n">
        <v>146381.4</v>
      </c>
      <c r="E496" s="1" t="n">
        <v>0.0559</v>
      </c>
      <c r="F496" s="1" t="n">
        <v>0.117</v>
      </c>
    </row>
    <row r="497" customFormat="false" ht="15" hidden="false" customHeight="false" outlineLevel="0" collapsed="false">
      <c r="A497" s="1" t="s">
        <v>532</v>
      </c>
      <c r="B497" s="1" t="s">
        <v>41</v>
      </c>
      <c r="C497" s="1" t="n">
        <v>7760000</v>
      </c>
      <c r="D497" s="1" t="n">
        <v>2840.3</v>
      </c>
      <c r="E497" s="1" t="n">
        <v>0.027</v>
      </c>
      <c r="F497" s="1" t="n">
        <v>0.0938</v>
      </c>
    </row>
    <row r="498" customFormat="false" ht="15" hidden="false" customHeight="false" outlineLevel="0" collapsed="false">
      <c r="A498" s="1" t="s">
        <v>533</v>
      </c>
      <c r="B498" s="1" t="s">
        <v>21</v>
      </c>
      <c r="C498" s="1" t="n">
        <v>6140000</v>
      </c>
      <c r="D498" s="1" t="n">
        <v>217.1</v>
      </c>
      <c r="E498" s="1" t="n">
        <v>0.0116</v>
      </c>
      <c r="F498" s="1" t="n">
        <v>0.0726</v>
      </c>
    </row>
    <row r="499" customFormat="false" ht="15" hidden="false" customHeight="false" outlineLevel="0" collapsed="false">
      <c r="A499" s="1" t="s">
        <v>534</v>
      </c>
      <c r="B499" s="1" t="s">
        <v>21</v>
      </c>
      <c r="C499" s="1" t="n">
        <v>6340000</v>
      </c>
      <c r="D499" s="1" t="n">
        <v>5044.3</v>
      </c>
      <c r="E499" s="1" t="n">
        <v>0.0114</v>
      </c>
      <c r="F499" s="1" t="n">
        <v>0.0811</v>
      </c>
    </row>
    <row r="500" customFormat="false" ht="15" hidden="false" customHeight="false" outlineLevel="0" collapsed="false">
      <c r="A500" s="1" t="s">
        <v>535</v>
      </c>
      <c r="B500" s="1" t="s">
        <v>50</v>
      </c>
      <c r="C500" s="1" t="n">
        <v>11000000</v>
      </c>
      <c r="D500" s="1" t="n">
        <v>4733526.5</v>
      </c>
      <c r="E500" s="1" t="n">
        <v>0.0251</v>
      </c>
      <c r="F500" s="1" t="n">
        <v>0.0759</v>
      </c>
    </row>
    <row r="501" customFormat="false" ht="15" hidden="false" customHeight="false" outlineLevel="0" collapsed="false">
      <c r="A501" s="1" t="s">
        <v>536</v>
      </c>
      <c r="B501" s="1" t="s">
        <v>24</v>
      </c>
      <c r="C501" s="1" t="n">
        <v>6620000</v>
      </c>
      <c r="D501" s="1" t="n">
        <v>88800</v>
      </c>
      <c r="E501" s="1" t="n">
        <v>0.024</v>
      </c>
      <c r="F501" s="1" t="n">
        <v>0.0538</v>
      </c>
    </row>
    <row r="502" customFormat="false" ht="15" hidden="false" customHeight="false" outlineLevel="0" collapsed="false">
      <c r="A502" s="1" t="s">
        <v>537</v>
      </c>
      <c r="B502" s="1" t="s">
        <v>92</v>
      </c>
      <c r="C502" s="1" t="n">
        <v>6180000</v>
      </c>
      <c r="D502" s="1" t="n">
        <v>600732.4</v>
      </c>
      <c r="E502" s="1" t="n">
        <v>0.0113</v>
      </c>
      <c r="F502" s="1" t="n">
        <v>0.0584</v>
      </c>
    </row>
    <row r="503" customFormat="false" ht="15" hidden="false" customHeight="false" outlineLevel="0" collapsed="false">
      <c r="A503" s="1" t="s">
        <v>538</v>
      </c>
      <c r="B503" s="1" t="s">
        <v>62</v>
      </c>
      <c r="C503" s="1" t="n">
        <v>6630000</v>
      </c>
      <c r="D503" s="1" t="n">
        <v>26002.3</v>
      </c>
      <c r="E503" s="1" t="n">
        <v>0.0181</v>
      </c>
      <c r="F503" s="1" t="n">
        <v>0.0462</v>
      </c>
    </row>
    <row r="504" customFormat="false" ht="15" hidden="false" customHeight="false" outlineLevel="0" collapsed="false">
      <c r="A504" s="1" t="s">
        <v>539</v>
      </c>
      <c r="B504" s="1" t="s">
        <v>26</v>
      </c>
      <c r="C504" s="1" t="n">
        <v>13200000</v>
      </c>
      <c r="D504" s="1" t="n">
        <v>13766885.1</v>
      </c>
      <c r="E504" s="1" t="n">
        <v>0.0085</v>
      </c>
      <c r="F504" s="1" t="n">
        <v>0.0654</v>
      </c>
    </row>
    <row r="505" customFormat="false" ht="15" hidden="false" customHeight="false" outlineLevel="0" collapsed="false">
      <c r="A505" s="1" t="s">
        <v>540</v>
      </c>
      <c r="B505" s="1" t="s">
        <v>30</v>
      </c>
      <c r="C505" s="1" t="n">
        <v>9780000</v>
      </c>
      <c r="D505" s="1" t="n">
        <v>2291999.3</v>
      </c>
      <c r="E505" s="1" t="n">
        <v>0.035</v>
      </c>
      <c r="F505" s="1" t="n">
        <v>0.0409</v>
      </c>
    </row>
    <row r="506" customFormat="false" ht="15" hidden="false" customHeight="false" outlineLevel="0" collapsed="false">
      <c r="A506" s="1" t="s">
        <v>541</v>
      </c>
      <c r="B506" s="1" t="s">
        <v>26</v>
      </c>
      <c r="C506" s="1" t="n">
        <v>9000000</v>
      </c>
      <c r="D506" s="1" t="n">
        <v>633278.5</v>
      </c>
      <c r="E506" s="1" t="n">
        <v>0.0111</v>
      </c>
      <c r="F506" s="1" t="n">
        <v>0.0462</v>
      </c>
    </row>
    <row r="507" customFormat="false" ht="15" hidden="false" customHeight="false" outlineLevel="0" collapsed="false">
      <c r="A507" s="1" t="s">
        <v>542</v>
      </c>
      <c r="B507" s="1" t="s">
        <v>24</v>
      </c>
      <c r="C507" s="1" t="n">
        <v>8280000</v>
      </c>
      <c r="D507" s="1" t="n">
        <v>299685.5</v>
      </c>
      <c r="E507" s="1" t="n">
        <v>0.0461</v>
      </c>
      <c r="F507" s="1" t="n">
        <v>0.0759</v>
      </c>
    </row>
    <row r="508" customFormat="false" ht="15" hidden="false" customHeight="false" outlineLevel="0" collapsed="false">
      <c r="A508" s="1" t="s">
        <v>543</v>
      </c>
      <c r="B508" s="1" t="s">
        <v>214</v>
      </c>
      <c r="C508" s="1" t="n">
        <v>9540000</v>
      </c>
      <c r="D508" s="1" t="n">
        <v>4426410.4</v>
      </c>
      <c r="E508" s="1" t="n">
        <v>0.0356</v>
      </c>
      <c r="F508" s="1" t="n">
        <v>0.0759</v>
      </c>
    </row>
    <row r="509" customFormat="false" ht="15" hidden="false" customHeight="false" outlineLevel="0" collapsed="false">
      <c r="A509" s="1" t="s">
        <v>544</v>
      </c>
      <c r="B509" s="1" t="s">
        <v>26</v>
      </c>
      <c r="C509" s="1" t="n">
        <v>5660000</v>
      </c>
      <c r="D509" s="1" t="n">
        <v>14994.6</v>
      </c>
      <c r="E509" s="1" t="n">
        <v>0.0113</v>
      </c>
      <c r="F509" s="1" t="n">
        <v>0.0654</v>
      </c>
    </row>
    <row r="510" customFormat="false" ht="15" hidden="false" customHeight="false" outlineLevel="0" collapsed="false">
      <c r="A510" s="1" t="s">
        <v>545</v>
      </c>
      <c r="B510" s="1" t="s">
        <v>214</v>
      </c>
      <c r="C510" s="1" t="n">
        <v>6390000</v>
      </c>
      <c r="D510" s="1" t="n">
        <v>4667.1</v>
      </c>
      <c r="E510" s="1" t="n">
        <v>0.0089</v>
      </c>
      <c r="F510" s="1" t="n">
        <v>0.0811</v>
      </c>
    </row>
    <row r="511" customFormat="false" ht="15" hidden="false" customHeight="false" outlineLevel="0" collapsed="false">
      <c r="A511" s="1" t="s">
        <v>546</v>
      </c>
      <c r="B511" s="1" t="s">
        <v>32</v>
      </c>
      <c r="C511" s="1" t="n">
        <v>6740000</v>
      </c>
      <c r="D511" s="1" t="n">
        <v>2556.8</v>
      </c>
      <c r="E511" s="1" t="n">
        <v>0.0087</v>
      </c>
      <c r="F511" s="1" t="n">
        <v>0.0811</v>
      </c>
    </row>
    <row r="512" customFormat="false" ht="15" hidden="false" customHeight="false" outlineLevel="0" collapsed="false">
      <c r="A512" s="1" t="s">
        <v>547</v>
      </c>
      <c r="B512" s="1" t="s">
        <v>26</v>
      </c>
      <c r="C512" s="1" t="n">
        <v>7470000</v>
      </c>
      <c r="D512" s="1" t="n">
        <v>390245.9</v>
      </c>
      <c r="E512" s="1" t="n">
        <v>0.0585</v>
      </c>
      <c r="F512" s="1" t="n">
        <v>0.0938</v>
      </c>
    </row>
    <row r="513" customFormat="false" ht="15" hidden="false" customHeight="false" outlineLevel="0" collapsed="false">
      <c r="A513" s="1" t="s">
        <v>548</v>
      </c>
      <c r="B513" s="1" t="s">
        <v>26</v>
      </c>
      <c r="C513" s="1" t="n">
        <v>15400000</v>
      </c>
      <c r="D513" s="1" t="n">
        <v>74052.1</v>
      </c>
      <c r="E513" s="1" t="n">
        <v>0.0689</v>
      </c>
      <c r="F513" s="1" t="n">
        <v>0.1226</v>
      </c>
    </row>
    <row r="514" customFormat="false" ht="15" hidden="false" customHeight="false" outlineLevel="0" collapsed="false">
      <c r="A514" s="1" t="s">
        <v>549</v>
      </c>
      <c r="B514" s="1" t="s">
        <v>35</v>
      </c>
      <c r="C514" s="1" t="n">
        <v>7680000</v>
      </c>
      <c r="D514" s="1" t="n">
        <v>8610.9</v>
      </c>
      <c r="E514" s="1" t="n">
        <v>0.0105</v>
      </c>
      <c r="F514" s="1" t="n">
        <v>0.0654</v>
      </c>
    </row>
    <row r="515" customFormat="false" ht="15" hidden="false" customHeight="false" outlineLevel="0" collapsed="false">
      <c r="A515" s="1" t="s">
        <v>550</v>
      </c>
      <c r="B515" s="1" t="s">
        <v>24</v>
      </c>
      <c r="C515" s="1" t="n">
        <v>6060000</v>
      </c>
      <c r="D515" s="1" t="n">
        <v>26999.2</v>
      </c>
      <c r="E515" s="1" t="n">
        <v>0.0457</v>
      </c>
      <c r="F515" s="1" t="n">
        <v>0.0938</v>
      </c>
    </row>
    <row r="516" customFormat="false" ht="15" hidden="false" customHeight="false" outlineLevel="0" collapsed="false">
      <c r="A516" s="1" t="s">
        <v>551</v>
      </c>
      <c r="B516" s="1" t="s">
        <v>21</v>
      </c>
      <c r="C516" s="1" t="n">
        <v>6490000</v>
      </c>
      <c r="D516" s="1" t="n">
        <v>1858.1</v>
      </c>
      <c r="E516" s="1" t="n">
        <v>0.0198</v>
      </c>
      <c r="F516" s="1" t="n">
        <v>0.1308</v>
      </c>
    </row>
    <row r="517" customFormat="false" ht="15" hidden="false" customHeight="false" outlineLevel="0" collapsed="false">
      <c r="A517" s="1" t="s">
        <v>552</v>
      </c>
      <c r="B517" s="1" t="s">
        <v>26</v>
      </c>
      <c r="C517" s="1" t="n">
        <v>5830000</v>
      </c>
      <c r="D517" s="1" t="n">
        <v>4682.1</v>
      </c>
      <c r="E517" s="1" t="n">
        <v>0.0166</v>
      </c>
      <c r="F517" s="1" t="n">
        <v>0.0576</v>
      </c>
    </row>
    <row r="518" customFormat="false" ht="15" hidden="false" customHeight="false" outlineLevel="0" collapsed="false">
      <c r="A518" s="1" t="s">
        <v>553</v>
      </c>
      <c r="B518" s="1" t="s">
        <v>21</v>
      </c>
      <c r="C518" s="1" t="n">
        <v>9200000</v>
      </c>
      <c r="D518" s="1" t="n">
        <v>21333.9</v>
      </c>
      <c r="E518" s="1" t="n">
        <v>0.007</v>
      </c>
      <c r="F518" s="1" t="n">
        <v>0.0811</v>
      </c>
    </row>
    <row r="519" customFormat="false" ht="15" hidden="false" customHeight="false" outlineLevel="0" collapsed="false">
      <c r="A519" s="1" t="s">
        <v>554</v>
      </c>
      <c r="B519" s="1" t="s">
        <v>30</v>
      </c>
      <c r="C519" s="1" t="n">
        <v>5450000</v>
      </c>
      <c r="D519" s="1" t="n">
        <v>45787.9</v>
      </c>
      <c r="E519" s="1" t="n">
        <v>0.0232</v>
      </c>
      <c r="F519" s="1" t="n">
        <v>0.0585</v>
      </c>
    </row>
    <row r="520" customFormat="false" ht="15" hidden="false" customHeight="false" outlineLevel="0" collapsed="false">
      <c r="A520" s="1" t="s">
        <v>555</v>
      </c>
      <c r="B520" s="1" t="s">
        <v>92</v>
      </c>
      <c r="C520" s="1" t="n">
        <v>6720000</v>
      </c>
      <c r="D520" s="1" t="n">
        <v>134950.1</v>
      </c>
      <c r="E520" s="1" t="n">
        <v>0.0211</v>
      </c>
      <c r="F520" s="1" t="n">
        <v>0.0759</v>
      </c>
    </row>
    <row r="521" customFormat="false" ht="15" hidden="false" customHeight="false" outlineLevel="0" collapsed="false">
      <c r="A521" s="1" t="s">
        <v>556</v>
      </c>
      <c r="B521" s="1" t="s">
        <v>26</v>
      </c>
      <c r="C521" s="1" t="n">
        <v>6390000</v>
      </c>
      <c r="D521" s="1" t="n">
        <v>129177.7</v>
      </c>
      <c r="E521" s="1" t="n">
        <v>0.0654</v>
      </c>
      <c r="F521" s="1" t="n">
        <v>0.0432</v>
      </c>
    </row>
    <row r="522" customFormat="false" ht="15" hidden="false" customHeight="false" outlineLevel="0" collapsed="false">
      <c r="A522" s="1" t="s">
        <v>557</v>
      </c>
      <c r="B522" s="1" t="s">
        <v>287</v>
      </c>
      <c r="C522" s="1" t="n">
        <v>6270000</v>
      </c>
      <c r="D522" s="1" t="n">
        <v>324882.6</v>
      </c>
      <c r="E522" s="1" t="n">
        <v>0.055</v>
      </c>
      <c r="F522" s="1" t="n">
        <v>0.0759</v>
      </c>
    </row>
    <row r="523" customFormat="false" ht="15" hidden="false" customHeight="false" outlineLevel="0" collapsed="false">
      <c r="A523" s="1" t="s">
        <v>558</v>
      </c>
      <c r="B523" s="1" t="s">
        <v>92</v>
      </c>
      <c r="C523" s="1" t="n">
        <v>7740000</v>
      </c>
      <c r="D523" s="1" t="n">
        <v>722932.7</v>
      </c>
      <c r="E523" s="1" t="n">
        <v>0.0191</v>
      </c>
      <c r="F523" s="1" t="n">
        <v>0.0462</v>
      </c>
    </row>
    <row r="524" customFormat="false" ht="15" hidden="false" customHeight="false" outlineLevel="0" collapsed="false">
      <c r="A524" s="1" t="s">
        <v>559</v>
      </c>
      <c r="B524" s="1" t="s">
        <v>26</v>
      </c>
      <c r="C524" s="1" t="n">
        <v>6170000</v>
      </c>
      <c r="D524" s="1" t="n">
        <v>1511</v>
      </c>
      <c r="E524" s="1" t="n">
        <v>0.0232</v>
      </c>
      <c r="F524" s="1" t="n">
        <v>0.0938</v>
      </c>
    </row>
    <row r="525" customFormat="false" ht="15" hidden="false" customHeight="false" outlineLevel="0" collapsed="false">
      <c r="A525" s="1" t="s">
        <v>560</v>
      </c>
      <c r="B525" s="1" t="s">
        <v>41</v>
      </c>
      <c r="C525" s="1" t="n">
        <v>6940000</v>
      </c>
      <c r="D525" s="1" t="n">
        <v>1468.2</v>
      </c>
      <c r="E525" s="1" t="n">
        <v>0.016</v>
      </c>
      <c r="F525" s="1" t="n">
        <v>0.1053</v>
      </c>
    </row>
    <row r="526" customFormat="false" ht="15" hidden="false" customHeight="false" outlineLevel="0" collapsed="false">
      <c r="A526" s="1" t="s">
        <v>561</v>
      </c>
      <c r="B526" s="1" t="s">
        <v>26</v>
      </c>
      <c r="C526" s="1" t="n">
        <v>8870000</v>
      </c>
      <c r="D526" s="1" t="n">
        <v>40531.1</v>
      </c>
      <c r="E526" s="1" t="n">
        <v>0.0347</v>
      </c>
      <c r="F526" s="1" t="n">
        <v>0.0538</v>
      </c>
    </row>
    <row r="527" customFormat="false" ht="15" hidden="false" customHeight="false" outlineLevel="0" collapsed="false">
      <c r="A527" s="1" t="s">
        <v>562</v>
      </c>
      <c r="B527" s="1" t="s">
        <v>41</v>
      </c>
      <c r="C527" s="1" t="n">
        <v>6190000</v>
      </c>
      <c r="D527" s="1" t="n">
        <v>802055.8</v>
      </c>
      <c r="E527" s="1" t="n">
        <v>0.0421</v>
      </c>
      <c r="F527" s="1" t="n">
        <v>0.0409</v>
      </c>
    </row>
    <row r="528" customFormat="false" ht="15" hidden="false" customHeight="false" outlineLevel="0" collapsed="false">
      <c r="A528" s="1" t="s">
        <v>563</v>
      </c>
      <c r="B528" s="1" t="s">
        <v>62</v>
      </c>
      <c r="C528" s="1" t="n">
        <v>5510000</v>
      </c>
      <c r="D528" s="1" t="n">
        <v>2508.6</v>
      </c>
      <c r="E528" s="1" t="n">
        <v>0.0268</v>
      </c>
      <c r="F528" s="1" t="n">
        <v>0.0759</v>
      </c>
    </row>
    <row r="529" customFormat="false" ht="15" hidden="false" customHeight="false" outlineLevel="0" collapsed="false">
      <c r="A529" s="1" t="s">
        <v>564</v>
      </c>
      <c r="B529" s="1" t="s">
        <v>92</v>
      </c>
      <c r="C529" s="1" t="n">
        <v>6260000</v>
      </c>
      <c r="D529" s="1" t="n">
        <v>45468.4</v>
      </c>
      <c r="E529" s="1" t="n">
        <v>0.0197</v>
      </c>
      <c r="F529" s="1" t="n">
        <v>0.0409</v>
      </c>
    </row>
    <row r="530" customFormat="false" ht="15" hidden="false" customHeight="false" outlineLevel="0" collapsed="false">
      <c r="A530" s="1" t="s">
        <v>565</v>
      </c>
      <c r="B530" s="1" t="s">
        <v>26</v>
      </c>
      <c r="C530" s="1" t="n">
        <v>10000000</v>
      </c>
      <c r="D530" s="1" t="n">
        <v>120795.5</v>
      </c>
      <c r="E530" s="1" t="n">
        <v>0.0105</v>
      </c>
      <c r="F530" s="1" t="n">
        <v>0.0811</v>
      </c>
    </row>
    <row r="531" customFormat="false" ht="15" hidden="false" customHeight="false" outlineLevel="0" collapsed="false">
      <c r="A531" s="1" t="s">
        <v>566</v>
      </c>
      <c r="B531" s="1" t="s">
        <v>24</v>
      </c>
      <c r="C531" s="1" t="n">
        <v>6540000</v>
      </c>
      <c r="D531" s="1" t="n">
        <v>6041.1</v>
      </c>
      <c r="E531" s="1" t="n">
        <v>0.0131</v>
      </c>
      <c r="F531" s="1" t="n">
        <v>0.1452</v>
      </c>
    </row>
    <row r="532" customFormat="false" ht="15" hidden="false" customHeight="false" outlineLevel="0" collapsed="false">
      <c r="A532" s="1" t="s">
        <v>567</v>
      </c>
      <c r="B532" s="1" t="s">
        <v>41</v>
      </c>
      <c r="C532" s="1" t="n">
        <v>5760000</v>
      </c>
      <c r="D532" s="1" t="n">
        <v>8938.5</v>
      </c>
      <c r="E532" s="1" t="n">
        <v>0.0083</v>
      </c>
      <c r="F532" s="1" t="n">
        <v>0.0811</v>
      </c>
    </row>
    <row r="533" customFormat="false" ht="15" hidden="false" customHeight="false" outlineLevel="0" collapsed="false">
      <c r="A533" s="1" t="s">
        <v>568</v>
      </c>
      <c r="B533" s="1" t="s">
        <v>26</v>
      </c>
      <c r="C533" s="1" t="n">
        <v>7900000</v>
      </c>
      <c r="D533" s="1" t="n">
        <v>2124704.3</v>
      </c>
      <c r="E533" s="1" t="n">
        <v>0.0493</v>
      </c>
      <c r="F533" s="1" t="n">
        <v>0.0759</v>
      </c>
    </row>
    <row r="534" customFormat="false" ht="15" hidden="false" customHeight="false" outlineLevel="0" collapsed="false">
      <c r="A534" s="1" t="s">
        <v>569</v>
      </c>
      <c r="B534" s="1" t="s">
        <v>50</v>
      </c>
      <c r="C534" s="1" t="n">
        <v>6180000</v>
      </c>
      <c r="D534" s="1" t="n">
        <v>80742.8</v>
      </c>
      <c r="E534" s="1" t="n">
        <v>0.0203</v>
      </c>
      <c r="F534" s="1" t="n">
        <v>0.1053</v>
      </c>
    </row>
    <row r="535" customFormat="false" ht="15" hidden="false" customHeight="false" outlineLevel="0" collapsed="false">
      <c r="A535" s="1" t="s">
        <v>570</v>
      </c>
      <c r="B535" s="1" t="s">
        <v>41</v>
      </c>
      <c r="C535" s="1" t="n">
        <v>6130000</v>
      </c>
      <c r="D535" s="1" t="n">
        <v>549.2</v>
      </c>
      <c r="E535" s="1" t="n">
        <v>0.0205</v>
      </c>
      <c r="F535" s="1" t="n">
        <v>0.0576</v>
      </c>
    </row>
    <row r="536" customFormat="false" ht="15" hidden="false" customHeight="false" outlineLevel="0" collapsed="false">
      <c r="A536" s="1" t="s">
        <v>571</v>
      </c>
      <c r="B536" s="1" t="s">
        <v>21</v>
      </c>
      <c r="C536" s="1" t="n">
        <v>7520000</v>
      </c>
      <c r="D536" s="1" t="n">
        <v>11831.9</v>
      </c>
      <c r="E536" s="1" t="n">
        <v>0.0188</v>
      </c>
      <c r="F536" s="1" t="n">
        <v>0.131</v>
      </c>
    </row>
    <row r="537" customFormat="false" ht="15" hidden="false" customHeight="false" outlineLevel="0" collapsed="false">
      <c r="A537" s="1" t="s">
        <v>572</v>
      </c>
      <c r="B537" s="1" t="s">
        <v>88</v>
      </c>
      <c r="C537" s="1" t="n">
        <v>5510000</v>
      </c>
      <c r="D537" s="1" t="n">
        <v>4136.4</v>
      </c>
      <c r="E537" s="1" t="n">
        <v>0.0277</v>
      </c>
      <c r="F537" s="1" t="n">
        <v>0.117</v>
      </c>
    </row>
    <row r="538" customFormat="false" ht="15" hidden="false" customHeight="false" outlineLevel="0" collapsed="false">
      <c r="A538" s="1" t="s">
        <v>573</v>
      </c>
      <c r="B538" s="1" t="s">
        <v>287</v>
      </c>
      <c r="C538" s="1" t="n">
        <v>5650000</v>
      </c>
      <c r="D538" s="1" t="n">
        <v>2283.2</v>
      </c>
      <c r="E538" s="1" t="n">
        <v>0.0259</v>
      </c>
      <c r="F538" s="1" t="n">
        <v>0.117</v>
      </c>
    </row>
    <row r="539" customFormat="false" ht="15" hidden="false" customHeight="false" outlineLevel="0" collapsed="false">
      <c r="A539" s="1" t="s">
        <v>574</v>
      </c>
      <c r="B539" s="1" t="s">
        <v>26</v>
      </c>
      <c r="C539" s="1" t="n">
        <v>17600000</v>
      </c>
      <c r="D539" s="1" t="n">
        <v>38574.8</v>
      </c>
      <c r="F539" s="1" t="n">
        <v>0.051</v>
      </c>
    </row>
    <row r="540" customFormat="false" ht="15" hidden="false" customHeight="false" outlineLevel="0" collapsed="false">
      <c r="A540" s="1" t="s">
        <v>575</v>
      </c>
      <c r="B540" s="1" t="s">
        <v>26</v>
      </c>
      <c r="C540" s="1" t="n">
        <v>6160000</v>
      </c>
      <c r="D540" s="1" t="n">
        <v>82076.3</v>
      </c>
      <c r="E540" s="1" t="n">
        <v>0.0305</v>
      </c>
      <c r="F540" s="1" t="n">
        <v>0.0759</v>
      </c>
    </row>
    <row r="541" customFormat="false" ht="15" hidden="false" customHeight="false" outlineLevel="0" collapsed="false">
      <c r="A541" s="1" t="s">
        <v>576</v>
      </c>
      <c r="B541" s="1" t="s">
        <v>30</v>
      </c>
      <c r="C541" s="1" t="n">
        <v>7000000</v>
      </c>
      <c r="D541" s="1" t="n">
        <v>80257.2</v>
      </c>
      <c r="E541" s="1" t="n">
        <v>0.015</v>
      </c>
      <c r="F541" s="1" t="n">
        <v>0.1469</v>
      </c>
    </row>
    <row r="542" customFormat="false" ht="15" hidden="false" customHeight="false" outlineLevel="0" collapsed="false">
      <c r="A542" s="1" t="s">
        <v>577</v>
      </c>
      <c r="B542" s="1" t="s">
        <v>50</v>
      </c>
      <c r="C542" s="1" t="n">
        <v>6630000</v>
      </c>
      <c r="D542" s="1" t="n">
        <v>1342391.4</v>
      </c>
      <c r="E542" s="1" t="n">
        <v>0.0463</v>
      </c>
      <c r="F542" s="1" t="n">
        <v>0.0759</v>
      </c>
    </row>
    <row r="543" customFormat="false" ht="15" hidden="false" customHeight="false" outlineLevel="0" collapsed="false">
      <c r="A543" s="1" t="s">
        <v>578</v>
      </c>
      <c r="B543" s="1" t="s">
        <v>53</v>
      </c>
      <c r="C543" s="1" t="n">
        <v>6010000</v>
      </c>
      <c r="D543" s="1" t="n">
        <v>12311.2</v>
      </c>
      <c r="E543" s="1" t="n">
        <v>0.0109</v>
      </c>
      <c r="F543" s="1" t="n">
        <v>0.0736</v>
      </c>
    </row>
    <row r="544" customFormat="false" ht="15" hidden="false" customHeight="false" outlineLevel="0" collapsed="false">
      <c r="A544" s="1" t="s">
        <v>579</v>
      </c>
      <c r="B544" s="1" t="s">
        <v>26</v>
      </c>
      <c r="C544" s="1" t="n">
        <v>7890000</v>
      </c>
      <c r="D544" s="1" t="n">
        <v>29579.5</v>
      </c>
      <c r="E544" s="1" t="n">
        <v>0.0188</v>
      </c>
      <c r="F544" s="1" t="n">
        <v>0.1053</v>
      </c>
    </row>
    <row r="545" customFormat="false" ht="15" hidden="false" customHeight="false" outlineLevel="0" collapsed="false">
      <c r="A545" s="1" t="s">
        <v>580</v>
      </c>
      <c r="B545" s="1" t="s">
        <v>26</v>
      </c>
      <c r="C545" s="1" t="n">
        <v>7660000</v>
      </c>
      <c r="D545" s="1" t="n">
        <v>139596.1</v>
      </c>
      <c r="E545" s="1" t="n">
        <v>0.5692</v>
      </c>
      <c r="F545" s="1" t="n">
        <v>0.6284</v>
      </c>
    </row>
    <row r="546" customFormat="false" ht="15" hidden="false" customHeight="false" outlineLevel="0" collapsed="false">
      <c r="A546" s="1" t="s">
        <v>581</v>
      </c>
      <c r="B546" s="1" t="s">
        <v>26</v>
      </c>
      <c r="C546" s="1" t="n">
        <v>10400000</v>
      </c>
      <c r="D546" s="1" t="n">
        <v>5866900.7</v>
      </c>
      <c r="E546" s="1" t="n">
        <v>0.0221</v>
      </c>
      <c r="F546" s="1" t="n">
        <v>0.0462</v>
      </c>
    </row>
    <row r="547" customFormat="false" ht="15" hidden="false" customHeight="false" outlineLevel="0" collapsed="false">
      <c r="A547" s="1" t="s">
        <v>582</v>
      </c>
      <c r="B547" s="1" t="s">
        <v>30</v>
      </c>
      <c r="C547" s="1" t="n">
        <v>6690000</v>
      </c>
      <c r="D547" s="1" t="n">
        <v>368619</v>
      </c>
      <c r="E547" s="1" t="n">
        <v>0.0412</v>
      </c>
      <c r="F547" s="1" t="n">
        <v>0.0409</v>
      </c>
    </row>
    <row r="548" customFormat="false" ht="15" hidden="false" customHeight="false" outlineLevel="0" collapsed="false">
      <c r="A548" s="1" t="s">
        <v>583</v>
      </c>
      <c r="B548" s="1" t="s">
        <v>24</v>
      </c>
      <c r="C548" s="1" t="n">
        <v>6660000</v>
      </c>
      <c r="D548" s="1" t="n">
        <v>6668.4</v>
      </c>
      <c r="E548" s="1" t="n">
        <v>0.006</v>
      </c>
      <c r="F548" s="1" t="n">
        <v>0.0811</v>
      </c>
    </row>
    <row r="549" customFormat="false" ht="15" hidden="false" customHeight="false" outlineLevel="0" collapsed="false">
      <c r="A549" s="1" t="s">
        <v>584</v>
      </c>
      <c r="B549" s="1" t="s">
        <v>26</v>
      </c>
      <c r="C549" s="1" t="n">
        <v>11600000</v>
      </c>
      <c r="D549" s="1" t="n">
        <v>15021.2</v>
      </c>
      <c r="E549" s="1" t="n">
        <v>0.0402</v>
      </c>
      <c r="F549" s="1" t="n">
        <v>0.0938</v>
      </c>
    </row>
    <row r="550" customFormat="false" ht="15" hidden="false" customHeight="false" outlineLevel="0" collapsed="false">
      <c r="A550" s="1" t="s">
        <v>585</v>
      </c>
      <c r="B550" s="1" t="s">
        <v>24</v>
      </c>
      <c r="C550" s="1" t="n">
        <v>6060000</v>
      </c>
      <c r="D550" s="1" t="n">
        <v>305.7</v>
      </c>
      <c r="E550" s="1" t="n">
        <v>0.0166</v>
      </c>
      <c r="F550" s="1" t="n">
        <v>0.1053</v>
      </c>
    </row>
    <row r="551" customFormat="false" ht="15" hidden="false" customHeight="false" outlineLevel="0" collapsed="false">
      <c r="A551" s="1" t="s">
        <v>586</v>
      </c>
      <c r="B551" s="1" t="s">
        <v>92</v>
      </c>
      <c r="C551" s="1" t="n">
        <v>6210000</v>
      </c>
      <c r="D551" s="1" t="n">
        <v>139490.2</v>
      </c>
      <c r="E551" s="1" t="n">
        <v>0.0259</v>
      </c>
      <c r="F551" s="1" t="n">
        <v>0.0759</v>
      </c>
    </row>
    <row r="552" customFormat="false" ht="15" hidden="false" customHeight="false" outlineLevel="0" collapsed="false">
      <c r="A552" s="1" t="s">
        <v>587</v>
      </c>
      <c r="B552" s="1" t="s">
        <v>26</v>
      </c>
      <c r="C552" s="1" t="n">
        <v>10100000</v>
      </c>
      <c r="D552" s="1" t="n">
        <v>2381091.1</v>
      </c>
      <c r="E552" s="1" t="n">
        <v>0.0076</v>
      </c>
      <c r="F552" s="1" t="n">
        <v>0.0811</v>
      </c>
    </row>
    <row r="553" customFormat="false" ht="15" hidden="false" customHeight="false" outlineLevel="0" collapsed="false">
      <c r="A553" s="1" t="s">
        <v>588</v>
      </c>
      <c r="B553" s="1" t="s">
        <v>92</v>
      </c>
      <c r="C553" s="1" t="n">
        <v>7210000</v>
      </c>
      <c r="D553" s="1" t="n">
        <v>253524.5</v>
      </c>
      <c r="E553" s="1" t="n">
        <v>0.032</v>
      </c>
      <c r="F553" s="1" t="n">
        <v>0.0938</v>
      </c>
    </row>
    <row r="554" customFormat="false" ht="15" hidden="false" customHeight="false" outlineLevel="0" collapsed="false">
      <c r="A554" s="1" t="s">
        <v>589</v>
      </c>
      <c r="B554" s="1" t="s">
        <v>41</v>
      </c>
      <c r="C554" s="1" t="n">
        <v>8330000</v>
      </c>
      <c r="D554" s="1" t="n">
        <v>141.2</v>
      </c>
      <c r="E554" s="1" t="n">
        <v>0.0165</v>
      </c>
      <c r="F554" s="1" t="n">
        <v>0.3832</v>
      </c>
    </row>
    <row r="555" customFormat="false" ht="15" hidden="false" customHeight="false" outlineLevel="0" collapsed="false">
      <c r="A555" s="1" t="s">
        <v>590</v>
      </c>
      <c r="B555" s="1" t="s">
        <v>287</v>
      </c>
      <c r="C555" s="1" t="n">
        <v>6020000</v>
      </c>
      <c r="D555" s="1" t="n">
        <v>507813</v>
      </c>
      <c r="E555" s="1" t="n">
        <v>0.0213</v>
      </c>
      <c r="F555" s="1" t="n">
        <v>0.0584</v>
      </c>
    </row>
    <row r="556" customFormat="false" ht="15" hidden="false" customHeight="false" outlineLevel="0" collapsed="false">
      <c r="A556" s="1" t="s">
        <v>591</v>
      </c>
      <c r="B556" s="1" t="s">
        <v>53</v>
      </c>
      <c r="C556" s="1" t="n">
        <v>7730000</v>
      </c>
      <c r="D556" s="1" t="n">
        <v>1789760.6</v>
      </c>
      <c r="E556" s="1" t="n">
        <v>0.104</v>
      </c>
      <c r="F556" s="1" t="n">
        <v>0.0759</v>
      </c>
    </row>
    <row r="557" customFormat="false" ht="15" hidden="false" customHeight="false" outlineLevel="0" collapsed="false">
      <c r="A557" s="1" t="s">
        <v>592</v>
      </c>
      <c r="B557" s="1" t="s">
        <v>62</v>
      </c>
      <c r="C557" s="1" t="n">
        <v>10100000</v>
      </c>
      <c r="D557" s="1" t="n">
        <v>428166.3</v>
      </c>
      <c r="E557" s="1" t="n">
        <v>0.0374</v>
      </c>
      <c r="F557" s="1" t="n">
        <v>0.0759</v>
      </c>
    </row>
    <row r="558" customFormat="false" ht="15" hidden="false" customHeight="false" outlineLevel="0" collapsed="false">
      <c r="A558" s="1" t="s">
        <v>593</v>
      </c>
      <c r="B558" s="1" t="s">
        <v>32</v>
      </c>
      <c r="C558" s="1" t="n">
        <v>6660000</v>
      </c>
      <c r="D558" s="1" t="n">
        <v>31643.6</v>
      </c>
      <c r="E558" s="1" t="n">
        <v>0.0146</v>
      </c>
      <c r="F558" s="1" t="n">
        <v>0.0576</v>
      </c>
    </row>
    <row r="559" customFormat="false" ht="15" hidden="false" customHeight="false" outlineLevel="0" collapsed="false">
      <c r="A559" s="1" t="s">
        <v>594</v>
      </c>
      <c r="B559" s="1" t="s">
        <v>26</v>
      </c>
      <c r="C559" s="1" t="n">
        <v>5670000</v>
      </c>
      <c r="D559" s="1" t="n">
        <v>119755.1</v>
      </c>
      <c r="E559" s="1" t="n">
        <v>0.0211</v>
      </c>
      <c r="F559" s="1" t="n">
        <v>0.1067</v>
      </c>
    </row>
    <row r="560" customFormat="false" ht="15" hidden="false" customHeight="false" outlineLevel="0" collapsed="false">
      <c r="A560" s="1" t="s">
        <v>595</v>
      </c>
      <c r="B560" s="1" t="s">
        <v>30</v>
      </c>
      <c r="C560" s="1" t="n">
        <v>5690000</v>
      </c>
      <c r="D560" s="1" t="n">
        <v>208140.4</v>
      </c>
      <c r="E560" s="1" t="n">
        <v>0.0073</v>
      </c>
      <c r="F560" s="1" t="n">
        <v>0.0654</v>
      </c>
    </row>
    <row r="561" customFormat="false" ht="15" hidden="false" customHeight="false" outlineLevel="0" collapsed="false">
      <c r="A561" s="1" t="s">
        <v>596</v>
      </c>
      <c r="B561" s="1" t="s">
        <v>62</v>
      </c>
      <c r="C561" s="1" t="n">
        <v>6720000</v>
      </c>
      <c r="D561" s="1" t="n">
        <v>268527.1</v>
      </c>
      <c r="E561" s="1" t="n">
        <v>0.0531</v>
      </c>
      <c r="F561" s="1" t="n">
        <v>0.0759</v>
      </c>
    </row>
    <row r="562" customFormat="false" ht="15" hidden="false" customHeight="false" outlineLevel="0" collapsed="false">
      <c r="A562" s="1" t="s">
        <v>597</v>
      </c>
      <c r="B562" s="1" t="s">
        <v>92</v>
      </c>
      <c r="C562" s="1" t="n">
        <v>2300000</v>
      </c>
      <c r="D562" s="1" t="n">
        <v>66360.8</v>
      </c>
      <c r="E562" s="1" t="n">
        <v>0.0236</v>
      </c>
      <c r="F562" s="1" t="n">
        <v>0.0854</v>
      </c>
    </row>
    <row r="563" customFormat="false" ht="15" hidden="false" customHeight="false" outlineLevel="0" collapsed="false">
      <c r="A563" s="1" t="s">
        <v>598</v>
      </c>
      <c r="B563" s="1" t="s">
        <v>35</v>
      </c>
      <c r="C563" s="1" t="n">
        <v>6340000</v>
      </c>
      <c r="D563" s="1" t="n">
        <v>2517.5</v>
      </c>
      <c r="E563" s="1" t="n">
        <v>0.0079</v>
      </c>
      <c r="F563" s="1" t="n">
        <v>0.0811</v>
      </c>
    </row>
    <row r="564" customFormat="false" ht="15" hidden="false" customHeight="false" outlineLevel="0" collapsed="false">
      <c r="A564" s="1" t="s">
        <v>599</v>
      </c>
      <c r="B564" s="1" t="s">
        <v>92</v>
      </c>
      <c r="C564" s="1" t="n">
        <v>6640000</v>
      </c>
      <c r="D564" s="1" t="n">
        <v>277373.6</v>
      </c>
      <c r="E564" s="1" t="n">
        <v>0.0156</v>
      </c>
      <c r="F564" s="1" t="n">
        <v>0.0462</v>
      </c>
    </row>
    <row r="565" customFormat="false" ht="15" hidden="false" customHeight="false" outlineLevel="0" collapsed="false">
      <c r="A565" s="1" t="s">
        <v>600</v>
      </c>
      <c r="B565" s="1" t="s">
        <v>26</v>
      </c>
      <c r="C565" s="1" t="n">
        <v>7390000</v>
      </c>
      <c r="D565" s="1" t="n">
        <v>492502.2</v>
      </c>
      <c r="E565" s="1" t="n">
        <v>0.0322</v>
      </c>
      <c r="F565" s="1" t="n">
        <v>0.0759</v>
      </c>
    </row>
    <row r="566" customFormat="false" ht="15" hidden="false" customHeight="false" outlineLevel="0" collapsed="false">
      <c r="A566" s="1" t="s">
        <v>601</v>
      </c>
      <c r="B566" s="1" t="s">
        <v>32</v>
      </c>
      <c r="C566" s="1" t="n">
        <v>5780000</v>
      </c>
      <c r="D566" s="1" t="n">
        <v>153429</v>
      </c>
      <c r="E566" s="1" t="n">
        <v>0.0075</v>
      </c>
      <c r="F566" s="1" t="n">
        <v>0.0821</v>
      </c>
    </row>
    <row r="567" customFormat="false" ht="15" hidden="false" customHeight="false" outlineLevel="0" collapsed="false">
      <c r="A567" s="1" t="s">
        <v>602</v>
      </c>
      <c r="B567" s="1" t="s">
        <v>26</v>
      </c>
      <c r="C567" s="1" t="n">
        <v>5170000</v>
      </c>
      <c r="D567" s="1" t="n">
        <v>20949.2</v>
      </c>
      <c r="E567" s="1" t="n">
        <v>0.0107</v>
      </c>
      <c r="F567" s="1" t="n">
        <v>0.0654</v>
      </c>
    </row>
    <row r="568" customFormat="false" ht="15" hidden="false" customHeight="false" outlineLevel="0" collapsed="false">
      <c r="A568" s="1" t="s">
        <v>603</v>
      </c>
      <c r="B568" s="1" t="s">
        <v>26</v>
      </c>
      <c r="C568" s="1" t="n">
        <v>5620000</v>
      </c>
      <c r="D568" s="1" t="n">
        <v>998.8</v>
      </c>
      <c r="E568" s="1" t="n">
        <v>0.0539</v>
      </c>
      <c r="F568" s="1" t="n">
        <v>0.0938</v>
      </c>
    </row>
    <row r="569" customFormat="false" ht="15" hidden="false" customHeight="false" outlineLevel="0" collapsed="false">
      <c r="A569" s="1" t="s">
        <v>604</v>
      </c>
      <c r="B569" s="1" t="s">
        <v>32</v>
      </c>
      <c r="C569" s="1" t="n">
        <v>8280000</v>
      </c>
      <c r="D569" s="1" t="n">
        <v>48418.4</v>
      </c>
      <c r="E569" s="1" t="n">
        <v>0.0149</v>
      </c>
      <c r="F569" s="1" t="n">
        <v>0.0576</v>
      </c>
    </row>
    <row r="570" customFormat="false" ht="15" hidden="false" customHeight="false" outlineLevel="0" collapsed="false">
      <c r="A570" s="1" t="s">
        <v>605</v>
      </c>
      <c r="B570" s="1" t="s">
        <v>26</v>
      </c>
      <c r="C570" s="1" t="n">
        <v>6060000</v>
      </c>
      <c r="D570" s="1" t="n">
        <v>19480970.8</v>
      </c>
      <c r="E570" s="1" t="n">
        <v>0.0335</v>
      </c>
      <c r="F570" s="1" t="n">
        <v>0.0951</v>
      </c>
    </row>
    <row r="571" customFormat="false" ht="15" hidden="false" customHeight="false" outlineLevel="0" collapsed="false">
      <c r="A571" s="1" t="s">
        <v>606</v>
      </c>
      <c r="B571" s="1" t="s">
        <v>50</v>
      </c>
      <c r="C571" s="1" t="n">
        <v>5450000</v>
      </c>
      <c r="D571" s="1" t="n">
        <v>626.9</v>
      </c>
      <c r="E571" s="1" t="n">
        <v>0.0153</v>
      </c>
      <c r="F571" s="1" t="n">
        <v>0.1372</v>
      </c>
    </row>
    <row r="572" customFormat="false" ht="15" hidden="false" customHeight="false" outlineLevel="0" collapsed="false">
      <c r="A572" s="1" t="s">
        <v>607</v>
      </c>
      <c r="B572" s="1" t="s">
        <v>26</v>
      </c>
      <c r="C572" s="1" t="n">
        <v>6010000</v>
      </c>
      <c r="D572" s="1" t="n">
        <v>70264.5</v>
      </c>
      <c r="E572" s="1" t="n">
        <v>0.013</v>
      </c>
      <c r="F572" s="1" t="n">
        <v>0.0584</v>
      </c>
    </row>
    <row r="573" customFormat="false" ht="15" hidden="false" customHeight="false" outlineLevel="0" collapsed="false">
      <c r="A573" s="1" t="s">
        <v>608</v>
      </c>
      <c r="B573" s="1" t="s">
        <v>41</v>
      </c>
      <c r="C573" s="1" t="n">
        <v>5950000</v>
      </c>
      <c r="D573" s="1" t="n">
        <v>2335.1</v>
      </c>
      <c r="E573" s="1" t="n">
        <v>0.1132</v>
      </c>
      <c r="F573" s="1" t="n">
        <v>0.0938</v>
      </c>
    </row>
    <row r="574" customFormat="false" ht="15" hidden="false" customHeight="false" outlineLevel="0" collapsed="false">
      <c r="A574" s="1" t="s">
        <v>609</v>
      </c>
      <c r="B574" s="1" t="s">
        <v>26</v>
      </c>
      <c r="C574" s="1" t="n">
        <v>5170000</v>
      </c>
      <c r="D574" s="1" t="n">
        <v>76790.4</v>
      </c>
      <c r="E574" s="1" t="n">
        <v>0.0443</v>
      </c>
      <c r="F574" s="1" t="n">
        <v>0.0672</v>
      </c>
    </row>
    <row r="575" customFormat="false" ht="15" hidden="false" customHeight="false" outlineLevel="0" collapsed="false">
      <c r="A575" s="1" t="s">
        <v>610</v>
      </c>
      <c r="B575" s="1" t="s">
        <v>74</v>
      </c>
      <c r="C575" s="1" t="n">
        <v>1140000</v>
      </c>
      <c r="D575" s="1" t="n">
        <v>589974</v>
      </c>
      <c r="E575" s="1" t="n">
        <v>0.021</v>
      </c>
      <c r="F575" s="1" t="n">
        <v>0.5715</v>
      </c>
    </row>
    <row r="576" customFormat="false" ht="15" hidden="false" customHeight="false" outlineLevel="0" collapsed="false">
      <c r="A576" s="1" t="s">
        <v>611</v>
      </c>
      <c r="B576" s="1" t="s">
        <v>26</v>
      </c>
      <c r="C576" s="1" t="n">
        <v>4950000</v>
      </c>
      <c r="D576" s="1" t="n">
        <v>308775.2</v>
      </c>
      <c r="E576" s="1" t="n">
        <v>0.0301</v>
      </c>
      <c r="F576" s="1" t="n">
        <v>0.0845</v>
      </c>
    </row>
    <row r="577" customFormat="false" ht="15" hidden="false" customHeight="false" outlineLevel="0" collapsed="false">
      <c r="A577" s="1" t="s">
        <v>612</v>
      </c>
      <c r="B577" s="1" t="s">
        <v>41</v>
      </c>
      <c r="C577" s="1" t="n">
        <v>5320000</v>
      </c>
      <c r="D577" s="1" t="n">
        <v>10366.5</v>
      </c>
      <c r="E577" s="1" t="n">
        <v>0.0216</v>
      </c>
      <c r="F577" s="1" t="n">
        <v>0.1053</v>
      </c>
    </row>
    <row r="578" customFormat="false" ht="15" hidden="false" customHeight="false" outlineLevel="0" collapsed="false">
      <c r="A578" s="1" t="s">
        <v>613</v>
      </c>
      <c r="B578" s="1" t="s">
        <v>41</v>
      </c>
      <c r="C578" s="1" t="n">
        <v>6640000</v>
      </c>
      <c r="D578" s="1" t="n">
        <v>818.3</v>
      </c>
      <c r="E578" s="1" t="n">
        <v>0.0381</v>
      </c>
      <c r="F578" s="1" t="n">
        <v>0.1226</v>
      </c>
    </row>
    <row r="579" customFormat="false" ht="15" hidden="false" customHeight="false" outlineLevel="0" collapsed="false">
      <c r="A579" s="1" t="s">
        <v>614</v>
      </c>
      <c r="B579" s="1" t="s">
        <v>26</v>
      </c>
      <c r="C579" s="1" t="n">
        <v>5080000</v>
      </c>
      <c r="D579" s="1" t="n">
        <v>719614.4</v>
      </c>
      <c r="F579" s="1" t="n">
        <v>0.0409</v>
      </c>
    </row>
    <row r="580" customFormat="false" ht="15" hidden="false" customHeight="false" outlineLevel="0" collapsed="false">
      <c r="A580" s="1" t="s">
        <v>615</v>
      </c>
      <c r="B580" s="1" t="s">
        <v>24</v>
      </c>
      <c r="C580" s="1" t="n">
        <v>6830000</v>
      </c>
      <c r="D580" s="1" t="n">
        <v>13409.7</v>
      </c>
      <c r="E580" s="1" t="n">
        <v>0.0204</v>
      </c>
      <c r="F580" s="1" t="n">
        <v>0.1053</v>
      </c>
    </row>
    <row r="581" customFormat="false" ht="15" hidden="false" customHeight="false" outlineLevel="0" collapsed="false">
      <c r="A581" s="1" t="s">
        <v>616</v>
      </c>
      <c r="B581" s="1" t="s">
        <v>214</v>
      </c>
      <c r="C581" s="1" t="n">
        <v>6130000</v>
      </c>
      <c r="D581" s="1" t="n">
        <v>224419.1</v>
      </c>
      <c r="E581" s="1" t="n">
        <v>0.0669</v>
      </c>
      <c r="F581" s="1" t="n">
        <v>0.0759</v>
      </c>
    </row>
    <row r="582" customFormat="false" ht="15" hidden="false" customHeight="false" outlineLevel="0" collapsed="false">
      <c r="A582" s="1" t="s">
        <v>617</v>
      </c>
      <c r="B582" s="1" t="s">
        <v>26</v>
      </c>
      <c r="C582" s="1" t="n">
        <v>4760000</v>
      </c>
      <c r="D582" s="1" t="n">
        <v>8947.6</v>
      </c>
      <c r="E582" s="1" t="n">
        <v>0.03</v>
      </c>
      <c r="F582" s="1" t="n">
        <v>0.0518</v>
      </c>
    </row>
    <row r="583" customFormat="false" ht="15" hidden="false" customHeight="false" outlineLevel="0" collapsed="false">
      <c r="A583" s="1" t="s">
        <v>618</v>
      </c>
      <c r="B583" s="1" t="s">
        <v>24</v>
      </c>
      <c r="C583" s="1" t="n">
        <v>10300000</v>
      </c>
      <c r="D583" s="1" t="n">
        <v>131786.7</v>
      </c>
      <c r="E583" s="1" t="n">
        <v>0.0066</v>
      </c>
      <c r="F583" s="1" t="n">
        <v>0.0811</v>
      </c>
    </row>
    <row r="584" customFormat="false" ht="15" hidden="false" customHeight="false" outlineLevel="0" collapsed="false">
      <c r="A584" s="1" t="s">
        <v>619</v>
      </c>
      <c r="B584" s="1" t="s">
        <v>88</v>
      </c>
      <c r="C584" s="1" t="n">
        <v>5240000</v>
      </c>
      <c r="D584" s="1" t="n">
        <v>8953.6</v>
      </c>
      <c r="E584" s="1" t="n">
        <v>0.0288</v>
      </c>
      <c r="F584" s="1" t="n">
        <v>0.0938</v>
      </c>
    </row>
    <row r="585" customFormat="false" ht="15" hidden="false" customHeight="false" outlineLevel="0" collapsed="false">
      <c r="A585" s="1" t="s">
        <v>620</v>
      </c>
      <c r="B585" s="1" t="s">
        <v>21</v>
      </c>
      <c r="C585" s="1" t="n">
        <v>6110000</v>
      </c>
      <c r="D585" s="1" t="n">
        <v>72732.2</v>
      </c>
      <c r="E585" s="1" t="n">
        <v>0.0079</v>
      </c>
      <c r="F585" s="1" t="n">
        <v>0.0654</v>
      </c>
    </row>
    <row r="586" customFormat="false" ht="15" hidden="false" customHeight="false" outlineLevel="0" collapsed="false">
      <c r="A586" s="1" t="s">
        <v>621</v>
      </c>
      <c r="B586" s="1" t="s">
        <v>21</v>
      </c>
      <c r="C586" s="1" t="n">
        <v>6990000</v>
      </c>
      <c r="D586" s="1" t="n">
        <v>13391.8</v>
      </c>
      <c r="E586" s="1" t="n">
        <v>0.0223</v>
      </c>
      <c r="F586" s="1" t="n">
        <v>0.0576</v>
      </c>
    </row>
    <row r="587" customFormat="false" ht="15" hidden="false" customHeight="false" outlineLevel="0" collapsed="false">
      <c r="A587" s="1" t="s">
        <v>622</v>
      </c>
      <c r="B587" s="1" t="s">
        <v>28</v>
      </c>
      <c r="C587" s="1" t="n">
        <v>6850000</v>
      </c>
      <c r="D587" s="1" t="n">
        <v>82155.3</v>
      </c>
      <c r="E587" s="1" t="n">
        <v>0.0022</v>
      </c>
      <c r="F587" s="1" t="n">
        <v>0.0821</v>
      </c>
    </row>
    <row r="588" customFormat="false" ht="15" hidden="false" customHeight="false" outlineLevel="0" collapsed="false">
      <c r="A588" s="1" t="s">
        <v>623</v>
      </c>
      <c r="B588" s="1" t="s">
        <v>32</v>
      </c>
      <c r="C588" s="1" t="n">
        <v>5330000</v>
      </c>
      <c r="D588" s="1" t="n">
        <v>1736.3</v>
      </c>
      <c r="E588" s="1" t="n">
        <v>0.0204</v>
      </c>
      <c r="F588" s="1" t="n">
        <v>0.051</v>
      </c>
    </row>
    <row r="589" customFormat="false" ht="15" hidden="false" customHeight="false" outlineLevel="0" collapsed="false">
      <c r="A589" s="1" t="s">
        <v>624</v>
      </c>
      <c r="B589" s="1" t="s">
        <v>26</v>
      </c>
      <c r="C589" s="1" t="n">
        <v>7130000</v>
      </c>
      <c r="D589" s="1" t="n">
        <v>4646952.2</v>
      </c>
      <c r="E589" s="1" t="n">
        <v>0.0303</v>
      </c>
      <c r="F589" s="1" t="n">
        <v>0.0409</v>
      </c>
    </row>
    <row r="590" customFormat="false" ht="15" hidden="false" customHeight="false" outlineLevel="0" collapsed="false">
      <c r="A590" s="1" t="s">
        <v>625</v>
      </c>
      <c r="B590" s="1" t="s">
        <v>26</v>
      </c>
      <c r="C590" s="1" t="n">
        <v>7500000</v>
      </c>
      <c r="D590" s="1" t="n">
        <v>332918.8</v>
      </c>
      <c r="E590" s="1" t="n">
        <v>0.0137</v>
      </c>
      <c r="F590" s="1" t="n">
        <v>0.0462</v>
      </c>
    </row>
    <row r="591" customFormat="false" ht="15" hidden="false" customHeight="false" outlineLevel="0" collapsed="false">
      <c r="A591" s="1" t="s">
        <v>626</v>
      </c>
      <c r="B591" s="1" t="s">
        <v>26</v>
      </c>
      <c r="C591" s="1" t="n">
        <v>5220000</v>
      </c>
      <c r="D591" s="1" t="n">
        <v>190943</v>
      </c>
      <c r="E591" s="1" t="n">
        <v>0.0269</v>
      </c>
      <c r="F591" s="1" t="n">
        <v>0.0409</v>
      </c>
    </row>
    <row r="592" customFormat="false" ht="15" hidden="false" customHeight="false" outlineLevel="0" collapsed="false">
      <c r="A592" s="1" t="s">
        <v>627</v>
      </c>
      <c r="B592" s="1" t="s">
        <v>41</v>
      </c>
      <c r="C592" s="1" t="n">
        <v>6410000</v>
      </c>
      <c r="D592" s="1" t="n">
        <v>748.4</v>
      </c>
      <c r="E592" s="1" t="n">
        <v>0.0227</v>
      </c>
      <c r="F592" s="1" t="n">
        <v>0.1053</v>
      </c>
    </row>
    <row r="593" customFormat="false" ht="15" hidden="false" customHeight="false" outlineLevel="0" collapsed="false">
      <c r="A593" s="1" t="s">
        <v>628</v>
      </c>
      <c r="B593" s="1" t="s">
        <v>88</v>
      </c>
      <c r="C593" s="1" t="n">
        <v>5800000</v>
      </c>
      <c r="D593" s="1" t="n">
        <v>42660.5</v>
      </c>
      <c r="E593" s="1" t="n">
        <v>0.0564</v>
      </c>
      <c r="F593" s="1" t="n">
        <v>0.0938</v>
      </c>
    </row>
    <row r="594" customFormat="false" ht="15" hidden="false" customHeight="false" outlineLevel="0" collapsed="false">
      <c r="A594" s="1" t="s">
        <v>629</v>
      </c>
      <c r="B594" s="1" t="s">
        <v>41</v>
      </c>
      <c r="C594" s="1" t="n">
        <v>8310000</v>
      </c>
      <c r="D594" s="1" t="n">
        <v>644.6</v>
      </c>
      <c r="E594" s="1" t="n">
        <v>0.0143</v>
      </c>
      <c r="F594" s="1" t="n">
        <v>0.1866</v>
      </c>
    </row>
    <row r="595" customFormat="false" ht="15" hidden="false" customHeight="false" outlineLevel="0" collapsed="false">
      <c r="A595" s="1" t="s">
        <v>630</v>
      </c>
      <c r="B595" s="1" t="s">
        <v>24</v>
      </c>
      <c r="C595" s="1" t="n">
        <v>6230000</v>
      </c>
      <c r="D595" s="1" t="n">
        <v>1224371.4</v>
      </c>
      <c r="E595" s="1" t="n">
        <v>0.0265</v>
      </c>
      <c r="F595" s="1" t="n">
        <v>0.0409</v>
      </c>
    </row>
    <row r="596" customFormat="false" ht="15" hidden="false" customHeight="false" outlineLevel="0" collapsed="false">
      <c r="A596" s="1" t="s">
        <v>631</v>
      </c>
      <c r="B596" s="1" t="s">
        <v>26</v>
      </c>
      <c r="C596" s="1" t="n">
        <v>7980000</v>
      </c>
      <c r="D596" s="1" t="n">
        <v>291194</v>
      </c>
      <c r="E596" s="1" t="n">
        <v>0.0368</v>
      </c>
      <c r="F596" s="1" t="n">
        <v>0.0759</v>
      </c>
    </row>
    <row r="597" customFormat="false" ht="15" hidden="false" customHeight="false" outlineLevel="0" collapsed="false">
      <c r="A597" s="1" t="s">
        <v>632</v>
      </c>
      <c r="B597" s="1" t="s">
        <v>30</v>
      </c>
      <c r="C597" s="1" t="n">
        <v>5240000</v>
      </c>
      <c r="D597" s="1" t="n">
        <v>64004.5</v>
      </c>
      <c r="E597" s="1" t="n">
        <v>0.0052</v>
      </c>
      <c r="F597" s="1" t="n">
        <v>0.0654</v>
      </c>
    </row>
    <row r="598" customFormat="false" ht="15" hidden="false" customHeight="false" outlineLevel="0" collapsed="false">
      <c r="A598" s="1" t="s">
        <v>633</v>
      </c>
      <c r="B598" s="1" t="s">
        <v>50</v>
      </c>
      <c r="C598" s="1" t="n">
        <v>8630000</v>
      </c>
      <c r="D598" s="1" t="n">
        <v>246237</v>
      </c>
      <c r="E598" s="1" t="n">
        <v>0.006</v>
      </c>
      <c r="F598" s="1" t="n">
        <v>0.0654</v>
      </c>
    </row>
    <row r="599" customFormat="false" ht="15" hidden="false" customHeight="false" outlineLevel="0" collapsed="false">
      <c r="A599" s="1" t="s">
        <v>634</v>
      </c>
      <c r="B599" s="1" t="s">
        <v>26</v>
      </c>
      <c r="C599" s="1" t="n">
        <v>6070000</v>
      </c>
      <c r="D599" s="1" t="n">
        <v>2767.8</v>
      </c>
      <c r="E599" s="1" t="n">
        <v>0.0094</v>
      </c>
      <c r="F599" s="1" t="n">
        <v>0.0811</v>
      </c>
    </row>
    <row r="600" customFormat="false" ht="15" hidden="false" customHeight="false" outlineLevel="0" collapsed="false">
      <c r="A600" s="1" t="s">
        <v>635</v>
      </c>
      <c r="B600" s="1" t="s">
        <v>21</v>
      </c>
      <c r="C600" s="1" t="n">
        <v>6080000</v>
      </c>
      <c r="D600" s="1" t="n">
        <v>1091.5</v>
      </c>
      <c r="E600" s="1" t="n">
        <v>0.0166</v>
      </c>
      <c r="F600" s="1" t="n">
        <v>0.1053</v>
      </c>
    </row>
    <row r="601" customFormat="false" ht="15" hidden="false" customHeight="false" outlineLevel="0" collapsed="false">
      <c r="A601" s="1" t="s">
        <v>636</v>
      </c>
      <c r="B601" s="1" t="s">
        <v>41</v>
      </c>
      <c r="C601" s="1" t="n">
        <v>5800000</v>
      </c>
      <c r="D601" s="1" t="n">
        <v>40156.5</v>
      </c>
      <c r="E601" s="1" t="n">
        <v>0.0324</v>
      </c>
      <c r="F601" s="1" t="n">
        <v>0.0409</v>
      </c>
    </row>
    <row r="602" customFormat="false" ht="15" hidden="false" customHeight="false" outlineLevel="0" collapsed="false">
      <c r="A602" s="1" t="s">
        <v>637</v>
      </c>
      <c r="B602" s="1" t="s">
        <v>41</v>
      </c>
      <c r="C602" s="1" t="n">
        <v>9530000</v>
      </c>
      <c r="D602" s="1" t="n">
        <v>1202.8</v>
      </c>
      <c r="E602" s="1" t="n">
        <v>0.0305</v>
      </c>
      <c r="F602" s="1" t="n">
        <v>0.0938</v>
      </c>
    </row>
    <row r="603" customFormat="false" ht="15" hidden="false" customHeight="false" outlineLevel="0" collapsed="false">
      <c r="A603" s="1" t="s">
        <v>638</v>
      </c>
      <c r="B603" s="1" t="s">
        <v>41</v>
      </c>
      <c r="C603" s="1" t="n">
        <v>6790000</v>
      </c>
      <c r="D603" s="1" t="n">
        <v>528.9</v>
      </c>
      <c r="F603" s="1" t="n">
        <v>0.051</v>
      </c>
    </row>
    <row r="604" customFormat="false" ht="15" hidden="false" customHeight="false" outlineLevel="0" collapsed="false">
      <c r="A604" s="1" t="s">
        <v>639</v>
      </c>
      <c r="B604" s="1" t="s">
        <v>214</v>
      </c>
      <c r="C604" s="1" t="n">
        <v>6710000</v>
      </c>
      <c r="D604" s="1" t="n">
        <v>1515913.4</v>
      </c>
      <c r="E604" s="1" t="n">
        <v>0.0349</v>
      </c>
      <c r="F604" s="1" t="n">
        <v>0.0951</v>
      </c>
    </row>
    <row r="605" customFormat="false" ht="15" hidden="false" customHeight="false" outlineLevel="0" collapsed="false">
      <c r="A605" s="1" t="s">
        <v>640</v>
      </c>
      <c r="B605" s="1" t="s">
        <v>26</v>
      </c>
      <c r="C605" s="1" t="n">
        <v>6670000</v>
      </c>
      <c r="D605" s="1" t="n">
        <v>183662.9</v>
      </c>
      <c r="E605" s="1" t="n">
        <v>0.0293</v>
      </c>
      <c r="F605" s="1" t="n">
        <v>0.051</v>
      </c>
    </row>
    <row r="606" customFormat="false" ht="15" hidden="false" customHeight="false" outlineLevel="0" collapsed="false">
      <c r="A606" s="1" t="s">
        <v>641</v>
      </c>
      <c r="B606" s="1" t="s">
        <v>81</v>
      </c>
      <c r="C606" s="1" t="n">
        <v>5360000</v>
      </c>
      <c r="D606" s="1" t="n">
        <v>42933.9</v>
      </c>
      <c r="E606" s="1" t="n">
        <v>0.0276</v>
      </c>
      <c r="F606" s="1" t="n">
        <v>0.0938</v>
      </c>
    </row>
    <row r="607" customFormat="false" ht="15" hidden="false" customHeight="false" outlineLevel="0" collapsed="false">
      <c r="A607" s="1" t="s">
        <v>642</v>
      </c>
      <c r="B607" s="1" t="s">
        <v>26</v>
      </c>
      <c r="C607" s="1" t="n">
        <v>6940000</v>
      </c>
      <c r="D607" s="1" t="n">
        <v>894406.6</v>
      </c>
      <c r="E607" s="1" t="n">
        <v>0.0358</v>
      </c>
      <c r="F607" s="1" t="n">
        <v>0.0409</v>
      </c>
    </row>
    <row r="608" customFormat="false" ht="15" hidden="false" customHeight="false" outlineLevel="0" collapsed="false">
      <c r="A608" s="1" t="s">
        <v>643</v>
      </c>
      <c r="B608" s="1" t="s">
        <v>41</v>
      </c>
      <c r="C608" s="1" t="n">
        <v>5450000</v>
      </c>
      <c r="D608" s="1" t="n">
        <v>40.6</v>
      </c>
      <c r="E608" s="1" t="n">
        <v>0.0028</v>
      </c>
      <c r="F608" s="1" t="n">
        <v>0.2657</v>
      </c>
    </row>
    <row r="609" customFormat="false" ht="15" hidden="false" customHeight="false" outlineLevel="0" collapsed="false">
      <c r="A609" s="1" t="s">
        <v>644</v>
      </c>
      <c r="B609" s="1" t="s">
        <v>41</v>
      </c>
      <c r="C609" s="1" t="n">
        <v>5830000</v>
      </c>
      <c r="D609" s="1" t="n">
        <v>1131.1</v>
      </c>
      <c r="E609" s="1" t="n">
        <v>0.0406</v>
      </c>
      <c r="F609" s="1" t="n">
        <v>0.0643</v>
      </c>
    </row>
    <row r="610" customFormat="false" ht="15" hidden="false" customHeight="false" outlineLevel="0" collapsed="false">
      <c r="A610" s="1" t="s">
        <v>645</v>
      </c>
      <c r="B610" s="1" t="s">
        <v>24</v>
      </c>
      <c r="C610" s="1" t="n">
        <v>5680000</v>
      </c>
      <c r="D610" s="1" t="n">
        <v>93371.3</v>
      </c>
      <c r="E610" s="1" t="n">
        <v>0.0243</v>
      </c>
      <c r="F610" s="1" t="n">
        <v>0.1615</v>
      </c>
    </row>
    <row r="611" customFormat="false" ht="15" hidden="false" customHeight="false" outlineLevel="0" collapsed="false">
      <c r="A611" s="1" t="s">
        <v>646</v>
      </c>
      <c r="B611" s="1" t="s">
        <v>41</v>
      </c>
      <c r="C611" s="1" t="n">
        <v>7340000</v>
      </c>
      <c r="D611" s="1" t="n">
        <v>2546</v>
      </c>
      <c r="E611" s="1" t="n">
        <v>0.0142</v>
      </c>
      <c r="F611" s="1" t="n">
        <v>0.1053</v>
      </c>
    </row>
    <row r="612" customFormat="false" ht="15" hidden="false" customHeight="false" outlineLevel="0" collapsed="false">
      <c r="A612" s="1" t="s">
        <v>647</v>
      </c>
      <c r="B612" s="1" t="s">
        <v>26</v>
      </c>
      <c r="C612" s="1" t="n">
        <v>5420000</v>
      </c>
      <c r="D612" s="1" t="n">
        <v>19970.2</v>
      </c>
      <c r="E612" s="1" t="n">
        <v>0.035</v>
      </c>
      <c r="F612" s="1" t="n">
        <v>0.0938</v>
      </c>
    </row>
    <row r="613" customFormat="false" ht="15" hidden="false" customHeight="false" outlineLevel="0" collapsed="false">
      <c r="A613" s="1" t="s">
        <v>648</v>
      </c>
      <c r="B613" s="1" t="s">
        <v>24</v>
      </c>
      <c r="C613" s="1" t="n">
        <v>8660000</v>
      </c>
      <c r="D613" s="1" t="n">
        <v>4792435.1</v>
      </c>
      <c r="E613" s="1" t="n">
        <v>0.0046</v>
      </c>
      <c r="F613" s="1" t="n">
        <v>0.0822</v>
      </c>
    </row>
    <row r="614" customFormat="false" ht="15" hidden="false" customHeight="false" outlineLevel="0" collapsed="false">
      <c r="A614" s="1" t="s">
        <v>649</v>
      </c>
      <c r="B614" s="1" t="s">
        <v>26</v>
      </c>
      <c r="C614" s="1" t="n">
        <v>5870000</v>
      </c>
      <c r="D614" s="1" t="n">
        <v>145472.8</v>
      </c>
      <c r="E614" s="1" t="n">
        <v>0.0355</v>
      </c>
      <c r="F614" s="1" t="n">
        <v>0.0759</v>
      </c>
    </row>
    <row r="615" customFormat="false" ht="15" hidden="false" customHeight="false" outlineLevel="0" collapsed="false">
      <c r="A615" s="1" t="s">
        <v>650</v>
      </c>
      <c r="B615" s="1" t="s">
        <v>287</v>
      </c>
      <c r="C615" s="1" t="n">
        <v>5460000</v>
      </c>
      <c r="D615" s="1" t="n">
        <v>61999.5</v>
      </c>
      <c r="E615" s="1" t="n">
        <v>0.058</v>
      </c>
      <c r="F615" s="1" t="n">
        <v>0.0759</v>
      </c>
    </row>
    <row r="616" customFormat="false" ht="15" hidden="false" customHeight="false" outlineLevel="0" collapsed="false">
      <c r="A616" s="1" t="s">
        <v>651</v>
      </c>
      <c r="B616" s="1" t="s">
        <v>21</v>
      </c>
      <c r="C616" s="1" t="n">
        <v>5360000</v>
      </c>
      <c r="D616" s="1" t="n">
        <v>727047.3</v>
      </c>
      <c r="E616" s="1" t="n">
        <v>0.0291</v>
      </c>
      <c r="F616" s="1" t="n">
        <v>0.051</v>
      </c>
    </row>
    <row r="617" customFormat="false" ht="15" hidden="false" customHeight="false" outlineLevel="0" collapsed="false">
      <c r="A617" s="1" t="s">
        <v>652</v>
      </c>
      <c r="B617" s="1" t="s">
        <v>88</v>
      </c>
      <c r="C617" s="1" t="n">
        <v>6060000</v>
      </c>
      <c r="D617" s="1" t="n">
        <v>64411.1</v>
      </c>
      <c r="E617" s="1" t="n">
        <v>0.0885</v>
      </c>
      <c r="F617" s="1" t="n">
        <v>0.0938</v>
      </c>
    </row>
    <row r="618" customFormat="false" ht="15" hidden="false" customHeight="false" outlineLevel="0" collapsed="false">
      <c r="A618" s="1" t="s">
        <v>653</v>
      </c>
      <c r="B618" s="1" t="s">
        <v>24</v>
      </c>
      <c r="C618" s="1" t="n">
        <v>5820000</v>
      </c>
      <c r="D618" s="1" t="n">
        <v>8090.4</v>
      </c>
      <c r="E618" s="1" t="n">
        <v>0.0065</v>
      </c>
      <c r="F618" s="1" t="n">
        <v>0.0811</v>
      </c>
    </row>
    <row r="619" customFormat="false" ht="15" hidden="false" customHeight="false" outlineLevel="0" collapsed="false">
      <c r="A619" s="1" t="s">
        <v>654</v>
      </c>
      <c r="B619" s="1" t="s">
        <v>32</v>
      </c>
      <c r="C619" s="1" t="n">
        <v>5560000</v>
      </c>
      <c r="D619" s="1" t="n">
        <v>13869.3</v>
      </c>
      <c r="E619" s="1" t="n">
        <v>0.0098</v>
      </c>
      <c r="F619" s="1" t="n">
        <v>0.0811</v>
      </c>
    </row>
    <row r="620" customFormat="false" ht="15" hidden="false" customHeight="false" outlineLevel="0" collapsed="false">
      <c r="A620" s="1" t="s">
        <v>655</v>
      </c>
      <c r="B620" s="1" t="s">
        <v>32</v>
      </c>
      <c r="C620" s="1" t="n">
        <v>5660000</v>
      </c>
      <c r="D620" s="1" t="n">
        <v>8971.9</v>
      </c>
      <c r="E620" s="1" t="n">
        <v>0.0088</v>
      </c>
      <c r="F620" s="1" t="n">
        <v>0.0654</v>
      </c>
    </row>
    <row r="621" customFormat="false" ht="15" hidden="false" customHeight="false" outlineLevel="0" collapsed="false">
      <c r="A621" s="1" t="s">
        <v>656</v>
      </c>
      <c r="B621" s="1" t="s">
        <v>92</v>
      </c>
      <c r="C621" s="1" t="n">
        <v>5410000</v>
      </c>
      <c r="D621" s="1" t="n">
        <v>97253.3</v>
      </c>
      <c r="E621" s="1" t="n">
        <v>0.0464</v>
      </c>
      <c r="F621" s="1" t="n">
        <v>0.0759</v>
      </c>
    </row>
    <row r="622" customFormat="false" ht="15" hidden="false" customHeight="false" outlineLevel="0" collapsed="false">
      <c r="A622" s="1" t="s">
        <v>657</v>
      </c>
      <c r="B622" s="1" t="s">
        <v>287</v>
      </c>
      <c r="C622" s="1" t="n">
        <v>4970000</v>
      </c>
      <c r="D622" s="1" t="n">
        <v>34668.3</v>
      </c>
      <c r="E622" s="1" t="n">
        <v>0.0539</v>
      </c>
      <c r="F622" s="1" t="n">
        <v>0.095</v>
      </c>
    </row>
    <row r="623" customFormat="false" ht="15" hidden="false" customHeight="false" outlineLevel="0" collapsed="false">
      <c r="A623" s="1" t="s">
        <v>658</v>
      </c>
      <c r="B623" s="1" t="s">
        <v>30</v>
      </c>
      <c r="C623" s="1" t="n">
        <v>8060000</v>
      </c>
      <c r="D623" s="1" t="n">
        <v>193290.5</v>
      </c>
      <c r="E623" s="1" t="n">
        <v>0.0235</v>
      </c>
      <c r="F623" s="1" t="n">
        <v>0.0409</v>
      </c>
    </row>
    <row r="624" customFormat="false" ht="15" hidden="false" customHeight="false" outlineLevel="0" collapsed="false">
      <c r="A624" s="1" t="s">
        <v>659</v>
      </c>
      <c r="B624" s="1" t="s">
        <v>41</v>
      </c>
      <c r="C624" s="1" t="n">
        <v>6540000</v>
      </c>
      <c r="D624" s="1" t="n">
        <v>187520.8</v>
      </c>
      <c r="E624" s="1" t="n">
        <v>0.0171</v>
      </c>
      <c r="F624" s="1" t="n">
        <v>0.0576</v>
      </c>
    </row>
    <row r="625" customFormat="false" ht="15" hidden="false" customHeight="false" outlineLevel="0" collapsed="false">
      <c r="A625" s="1" t="s">
        <v>660</v>
      </c>
      <c r="B625" s="1" t="s">
        <v>21</v>
      </c>
      <c r="C625" s="1" t="n">
        <v>5300000</v>
      </c>
      <c r="D625" s="1" t="n">
        <v>187097.7</v>
      </c>
      <c r="E625" s="1" t="n">
        <v>0.0421</v>
      </c>
      <c r="F625" s="1" t="n">
        <v>0.0951</v>
      </c>
    </row>
    <row r="626" customFormat="false" ht="15" hidden="false" customHeight="false" outlineLevel="0" collapsed="false">
      <c r="A626" s="1" t="s">
        <v>661</v>
      </c>
      <c r="B626" s="1" t="s">
        <v>41</v>
      </c>
      <c r="C626" s="1" t="n">
        <v>7490000</v>
      </c>
      <c r="D626" s="1" t="n">
        <v>13437.6</v>
      </c>
      <c r="E626" s="1" t="n">
        <v>0.0404</v>
      </c>
      <c r="F626" s="1" t="n">
        <v>0.0938</v>
      </c>
    </row>
    <row r="627" customFormat="false" ht="15" hidden="false" customHeight="false" outlineLevel="0" collapsed="false">
      <c r="A627" s="1" t="s">
        <v>662</v>
      </c>
      <c r="B627" s="1" t="s">
        <v>92</v>
      </c>
      <c r="C627" s="1" t="n">
        <v>5200000</v>
      </c>
      <c r="D627" s="1" t="n">
        <v>20504.2</v>
      </c>
      <c r="E627" s="1" t="n">
        <v>0.0139</v>
      </c>
      <c r="F627" s="1" t="n">
        <v>0.058</v>
      </c>
    </row>
    <row r="628" customFormat="false" ht="15" hidden="false" customHeight="false" outlineLevel="0" collapsed="false">
      <c r="A628" s="1" t="s">
        <v>663</v>
      </c>
      <c r="B628" s="1" t="s">
        <v>26</v>
      </c>
      <c r="C628" s="1" t="n">
        <v>5230000</v>
      </c>
      <c r="D628" s="1" t="n">
        <v>2927123.2</v>
      </c>
      <c r="E628" s="1" t="n">
        <v>0.0353</v>
      </c>
      <c r="F628" s="1" t="n">
        <v>0.0518</v>
      </c>
    </row>
    <row r="629" customFormat="false" ht="15" hidden="false" customHeight="false" outlineLevel="0" collapsed="false">
      <c r="A629" s="1" t="s">
        <v>664</v>
      </c>
      <c r="B629" s="1" t="s">
        <v>71</v>
      </c>
      <c r="C629" s="1" t="n">
        <v>5730000</v>
      </c>
      <c r="D629" s="1" t="n">
        <v>174934.9</v>
      </c>
      <c r="E629" s="1" t="n">
        <v>0.0365</v>
      </c>
      <c r="F629" s="1" t="n">
        <v>0.0938</v>
      </c>
    </row>
    <row r="630" customFormat="false" ht="15" hidden="false" customHeight="false" outlineLevel="0" collapsed="false">
      <c r="A630" s="1" t="s">
        <v>665</v>
      </c>
      <c r="B630" s="1" t="s">
        <v>50</v>
      </c>
      <c r="C630" s="1" t="n">
        <v>5130000</v>
      </c>
      <c r="D630" s="1" t="n">
        <v>1687.3</v>
      </c>
      <c r="E630" s="1" t="n">
        <v>0.0087</v>
      </c>
      <c r="F630" s="1" t="n">
        <v>0.0811</v>
      </c>
    </row>
    <row r="631" customFormat="false" ht="15" hidden="false" customHeight="false" outlineLevel="0" collapsed="false">
      <c r="A631" s="1" t="s">
        <v>666</v>
      </c>
      <c r="B631" s="1" t="s">
        <v>28</v>
      </c>
      <c r="C631" s="1" t="n">
        <v>5910000</v>
      </c>
      <c r="D631" s="1" t="n">
        <v>6963.1</v>
      </c>
      <c r="E631" s="1" t="n">
        <v>0.0061</v>
      </c>
      <c r="F631" s="1" t="n">
        <v>0.0654</v>
      </c>
    </row>
    <row r="632" customFormat="false" ht="15" hidden="false" customHeight="false" outlineLevel="0" collapsed="false">
      <c r="A632" s="1" t="s">
        <v>667</v>
      </c>
      <c r="B632" s="1" t="s">
        <v>41</v>
      </c>
      <c r="C632" s="1" t="n">
        <v>7490000</v>
      </c>
      <c r="D632" s="1" t="n">
        <v>3568.5</v>
      </c>
      <c r="E632" s="1" t="n">
        <v>0.0284</v>
      </c>
      <c r="F632" s="1" t="n">
        <v>0.0938</v>
      </c>
    </row>
    <row r="633" customFormat="false" ht="15" hidden="false" customHeight="false" outlineLevel="0" collapsed="false">
      <c r="A633" s="1" t="s">
        <v>668</v>
      </c>
      <c r="B633" s="1" t="s">
        <v>287</v>
      </c>
      <c r="C633" s="1" t="n">
        <v>6500000</v>
      </c>
      <c r="D633" s="1" t="n">
        <v>639201.6</v>
      </c>
      <c r="E633" s="1" t="n">
        <v>0.0275</v>
      </c>
      <c r="F633" s="1" t="n">
        <v>0.0951</v>
      </c>
    </row>
    <row r="634" customFormat="false" ht="15" hidden="false" customHeight="false" outlineLevel="0" collapsed="false">
      <c r="A634" s="1" t="s">
        <v>669</v>
      </c>
      <c r="B634" s="1" t="s">
        <v>53</v>
      </c>
      <c r="C634" s="1" t="n">
        <v>6120000</v>
      </c>
      <c r="D634" s="1" t="n">
        <v>290945.6</v>
      </c>
      <c r="F634" s="1" t="n">
        <v>0.0518</v>
      </c>
    </row>
    <row r="635" customFormat="false" ht="15" hidden="false" customHeight="false" outlineLevel="0" collapsed="false">
      <c r="A635" s="1" t="s">
        <v>670</v>
      </c>
      <c r="B635" s="1" t="s">
        <v>26</v>
      </c>
      <c r="C635" s="1" t="n">
        <v>8930000</v>
      </c>
      <c r="D635" s="1" t="n">
        <v>194079.1</v>
      </c>
      <c r="E635" s="1" t="n">
        <v>0.0415</v>
      </c>
      <c r="F635" s="1" t="n">
        <v>0.0938</v>
      </c>
    </row>
    <row r="636" customFormat="false" ht="15" hidden="false" customHeight="false" outlineLevel="0" collapsed="false">
      <c r="A636" s="1" t="s">
        <v>671</v>
      </c>
      <c r="B636" s="1" t="s">
        <v>24</v>
      </c>
      <c r="C636" s="1" t="n">
        <v>6260000</v>
      </c>
      <c r="D636" s="1" t="n">
        <v>1778828.5</v>
      </c>
      <c r="E636" s="1" t="n">
        <v>0.0124</v>
      </c>
      <c r="F636" s="1" t="n">
        <v>0.1889</v>
      </c>
    </row>
    <row r="637" customFormat="false" ht="15" hidden="false" customHeight="false" outlineLevel="0" collapsed="false">
      <c r="A637" s="1" t="s">
        <v>672</v>
      </c>
      <c r="B637" s="1" t="s">
        <v>24</v>
      </c>
      <c r="C637" s="1" t="n">
        <v>6330000</v>
      </c>
      <c r="D637" s="1" t="n">
        <v>770324.6</v>
      </c>
      <c r="E637" s="1" t="n">
        <v>0.0242</v>
      </c>
      <c r="F637" s="1" t="n">
        <v>0.0518</v>
      </c>
    </row>
    <row r="638" customFormat="false" ht="15" hidden="false" customHeight="false" outlineLevel="0" collapsed="false">
      <c r="A638" s="1" t="s">
        <v>673</v>
      </c>
      <c r="B638" s="1" t="s">
        <v>26</v>
      </c>
      <c r="C638" s="1" t="n">
        <v>6300000</v>
      </c>
      <c r="D638" s="1" t="n">
        <v>422472.8</v>
      </c>
      <c r="E638" s="1" t="n">
        <v>0.0146</v>
      </c>
      <c r="F638" s="1" t="n">
        <v>0.0488</v>
      </c>
    </row>
    <row r="639" customFormat="false" ht="15" hidden="false" customHeight="false" outlineLevel="0" collapsed="false">
      <c r="A639" s="1" t="s">
        <v>674</v>
      </c>
      <c r="B639" s="1" t="s">
        <v>26</v>
      </c>
      <c r="C639" s="1" t="n">
        <v>5420000</v>
      </c>
      <c r="D639" s="1" t="n">
        <v>82206</v>
      </c>
      <c r="E639" s="1" t="n">
        <v>0.0456</v>
      </c>
      <c r="F639" s="1" t="n">
        <v>0.0759</v>
      </c>
    </row>
    <row r="640" customFormat="false" ht="15" hidden="false" customHeight="false" outlineLevel="0" collapsed="false">
      <c r="A640" s="1" t="s">
        <v>675</v>
      </c>
      <c r="B640" s="1" t="s">
        <v>41</v>
      </c>
      <c r="C640" s="1" t="n">
        <v>9750000</v>
      </c>
      <c r="D640" s="1" t="n">
        <v>16930.9</v>
      </c>
      <c r="E640" s="1" t="n">
        <v>0.0106</v>
      </c>
      <c r="F640" s="1" t="n">
        <v>0.0765</v>
      </c>
    </row>
    <row r="641" customFormat="false" ht="15" hidden="false" customHeight="false" outlineLevel="0" collapsed="false">
      <c r="A641" s="1" t="s">
        <v>676</v>
      </c>
      <c r="B641" s="1" t="s">
        <v>26</v>
      </c>
      <c r="C641" s="1" t="n">
        <v>5130000</v>
      </c>
      <c r="D641" s="1" t="n">
        <v>1076725.2</v>
      </c>
      <c r="E641" s="1" t="n">
        <v>0.0335</v>
      </c>
      <c r="F641" s="1" t="n">
        <v>0.0409</v>
      </c>
    </row>
    <row r="642" customFormat="false" ht="15" hidden="false" customHeight="false" outlineLevel="0" collapsed="false">
      <c r="A642" s="1" t="s">
        <v>677</v>
      </c>
      <c r="B642" s="1" t="s">
        <v>26</v>
      </c>
      <c r="C642" s="1" t="n">
        <v>5330000</v>
      </c>
      <c r="D642" s="1" t="n">
        <v>106045.3</v>
      </c>
      <c r="E642" s="1" t="n">
        <v>0.0525</v>
      </c>
      <c r="F642" s="1" t="n">
        <v>0.0759</v>
      </c>
    </row>
    <row r="643" customFormat="false" ht="15" hidden="false" customHeight="false" outlineLevel="0" collapsed="false">
      <c r="A643" s="1" t="s">
        <v>678</v>
      </c>
      <c r="B643" s="1" t="s">
        <v>26</v>
      </c>
      <c r="C643" s="1" t="n">
        <v>5560000</v>
      </c>
      <c r="D643" s="1" t="n">
        <v>2949950</v>
      </c>
      <c r="E643" s="1" t="n">
        <v>0.0139</v>
      </c>
      <c r="F643" s="1" t="n">
        <v>0.0585</v>
      </c>
    </row>
    <row r="644" customFormat="false" ht="15" hidden="false" customHeight="false" outlineLevel="0" collapsed="false">
      <c r="A644" s="1" t="s">
        <v>679</v>
      </c>
      <c r="B644" s="1" t="s">
        <v>41</v>
      </c>
      <c r="C644" s="1" t="n">
        <v>4630000</v>
      </c>
      <c r="D644" s="1" t="n">
        <v>8101.8</v>
      </c>
      <c r="E644" s="1" t="n">
        <v>0.0187</v>
      </c>
      <c r="F644" s="1" t="n">
        <v>0.1067</v>
      </c>
    </row>
    <row r="645" customFormat="false" ht="15" hidden="false" customHeight="false" outlineLevel="0" collapsed="false">
      <c r="A645" s="1" t="s">
        <v>680</v>
      </c>
      <c r="B645" s="1" t="s">
        <v>26</v>
      </c>
      <c r="C645" s="1" t="n">
        <v>7610000</v>
      </c>
      <c r="D645" s="1" t="n">
        <v>487902.8</v>
      </c>
      <c r="E645" s="1" t="n">
        <v>0.024</v>
      </c>
      <c r="F645" s="1" t="n">
        <v>0.0409</v>
      </c>
    </row>
    <row r="646" customFormat="false" ht="15" hidden="false" customHeight="false" outlineLevel="0" collapsed="false">
      <c r="A646" s="1" t="s">
        <v>681</v>
      </c>
      <c r="B646" s="1" t="s">
        <v>35</v>
      </c>
      <c r="C646" s="1" t="n">
        <v>4670000</v>
      </c>
      <c r="D646" s="1" t="n">
        <v>32570.4</v>
      </c>
      <c r="E646" s="1" t="n">
        <v>0.0182</v>
      </c>
      <c r="F646" s="1" t="n">
        <v>0.0585</v>
      </c>
    </row>
    <row r="647" customFormat="false" ht="15" hidden="false" customHeight="false" outlineLevel="0" collapsed="false">
      <c r="A647" s="1" t="s">
        <v>682</v>
      </c>
      <c r="B647" s="1" t="s">
        <v>24</v>
      </c>
      <c r="C647" s="1" t="n">
        <v>5590000</v>
      </c>
      <c r="D647" s="1" t="n">
        <v>21698.6</v>
      </c>
      <c r="E647" s="1" t="n">
        <v>0.0056</v>
      </c>
      <c r="F647" s="1" t="n">
        <v>0.0811</v>
      </c>
    </row>
    <row r="648" customFormat="false" ht="15" hidden="false" customHeight="false" outlineLevel="0" collapsed="false">
      <c r="A648" s="1" t="s">
        <v>683</v>
      </c>
      <c r="B648" s="1" t="s">
        <v>92</v>
      </c>
      <c r="C648" s="1" t="n">
        <v>5910000</v>
      </c>
      <c r="D648" s="1" t="n">
        <v>51593.4</v>
      </c>
      <c r="E648" s="1" t="n">
        <v>0.0225</v>
      </c>
      <c r="F648" s="1" t="n">
        <v>0.0938</v>
      </c>
    </row>
    <row r="649" customFormat="false" ht="15" hidden="false" customHeight="false" outlineLevel="0" collapsed="false">
      <c r="A649" s="1" t="s">
        <v>684</v>
      </c>
      <c r="B649" s="1" t="s">
        <v>21</v>
      </c>
      <c r="C649" s="1" t="n">
        <v>10400000</v>
      </c>
      <c r="D649" s="1" t="n">
        <v>13931</v>
      </c>
      <c r="E649" s="1" t="n">
        <v>0.0141</v>
      </c>
      <c r="F649" s="1" t="n">
        <v>0.0608</v>
      </c>
    </row>
    <row r="650" customFormat="false" ht="15" hidden="false" customHeight="false" outlineLevel="0" collapsed="false">
      <c r="A650" s="1" t="s">
        <v>685</v>
      </c>
      <c r="B650" s="1" t="s">
        <v>26</v>
      </c>
      <c r="C650" s="1" t="n">
        <v>9070000</v>
      </c>
      <c r="D650" s="1" t="n">
        <v>689508.9</v>
      </c>
      <c r="E650" s="1" t="n">
        <v>0.0377</v>
      </c>
      <c r="F650" s="1" t="n">
        <v>0.051</v>
      </c>
    </row>
    <row r="651" customFormat="false" ht="15" hidden="false" customHeight="false" outlineLevel="0" collapsed="false">
      <c r="A651" s="1" t="s">
        <v>686</v>
      </c>
      <c r="B651" s="1" t="s">
        <v>50</v>
      </c>
      <c r="C651" s="1" t="n">
        <v>6830000</v>
      </c>
      <c r="D651" s="1" t="n">
        <v>30155.2</v>
      </c>
      <c r="F651" s="1" t="n">
        <v>0.051</v>
      </c>
    </row>
    <row r="652" customFormat="false" ht="15" hidden="false" customHeight="false" outlineLevel="0" collapsed="false">
      <c r="A652" s="1" t="s">
        <v>687</v>
      </c>
      <c r="B652" s="1" t="s">
        <v>26</v>
      </c>
      <c r="C652" s="1" t="n">
        <v>5770000</v>
      </c>
      <c r="D652" s="1" t="n">
        <v>434234.1</v>
      </c>
      <c r="E652" s="1" t="n">
        <v>0.0157</v>
      </c>
      <c r="F652" s="1" t="n">
        <v>0.0576</v>
      </c>
    </row>
    <row r="653" customFormat="false" ht="15" hidden="false" customHeight="false" outlineLevel="0" collapsed="false">
      <c r="A653" s="1" t="s">
        <v>688</v>
      </c>
      <c r="B653" s="1" t="s">
        <v>41</v>
      </c>
      <c r="C653" s="1" t="n">
        <v>6500000</v>
      </c>
      <c r="D653" s="1" t="n">
        <v>2850.7</v>
      </c>
      <c r="E653" s="1" t="n">
        <v>0.0273</v>
      </c>
      <c r="F653" s="1" t="n">
        <v>0.1514</v>
      </c>
    </row>
    <row r="654" customFormat="false" ht="15" hidden="false" customHeight="false" outlineLevel="0" collapsed="false">
      <c r="A654" s="1" t="s">
        <v>689</v>
      </c>
      <c r="B654" s="1" t="s">
        <v>32</v>
      </c>
      <c r="C654" s="1" t="n">
        <v>5280000</v>
      </c>
      <c r="D654" s="1" t="n">
        <v>609293.6</v>
      </c>
      <c r="E654" s="1" t="n">
        <v>0.0171</v>
      </c>
      <c r="F654" s="1" t="n">
        <v>0.0585</v>
      </c>
    </row>
    <row r="655" customFormat="false" ht="15" hidden="false" customHeight="false" outlineLevel="0" collapsed="false">
      <c r="A655" s="1" t="s">
        <v>690</v>
      </c>
      <c r="B655" s="1" t="s">
        <v>26</v>
      </c>
      <c r="C655" s="1" t="n">
        <v>4970000</v>
      </c>
      <c r="D655" s="1" t="n">
        <v>4479.9</v>
      </c>
      <c r="E655" s="1" t="n">
        <v>0.0469</v>
      </c>
      <c r="F655" s="1" t="n">
        <v>0.0759</v>
      </c>
    </row>
    <row r="656" customFormat="false" ht="15" hidden="false" customHeight="false" outlineLevel="0" collapsed="false">
      <c r="A656" s="1" t="s">
        <v>691</v>
      </c>
      <c r="B656" s="1" t="s">
        <v>32</v>
      </c>
      <c r="C656" s="1" t="n">
        <v>5140000</v>
      </c>
      <c r="D656" s="1" t="n">
        <v>919.9</v>
      </c>
      <c r="E656" s="1" t="n">
        <v>0.0119</v>
      </c>
      <c r="F656" s="1" t="n">
        <v>0.1452</v>
      </c>
    </row>
    <row r="657" customFormat="false" ht="15" hidden="false" customHeight="false" outlineLevel="0" collapsed="false">
      <c r="A657" s="1" t="s">
        <v>692</v>
      </c>
      <c r="B657" s="1" t="s">
        <v>62</v>
      </c>
      <c r="C657" s="1" t="n">
        <v>5140000</v>
      </c>
      <c r="D657" s="1" t="n">
        <v>14285.4</v>
      </c>
      <c r="E657" s="1" t="n">
        <v>0.0174</v>
      </c>
      <c r="F657" s="1" t="n">
        <v>0.0462</v>
      </c>
    </row>
    <row r="658" customFormat="false" ht="15" hidden="false" customHeight="false" outlineLevel="0" collapsed="false">
      <c r="A658" s="1" t="s">
        <v>693</v>
      </c>
      <c r="B658" s="1" t="s">
        <v>71</v>
      </c>
      <c r="C658" s="1" t="n">
        <v>4880000</v>
      </c>
      <c r="D658" s="1" t="n">
        <v>18832.8</v>
      </c>
      <c r="E658" s="1" t="n">
        <v>0.0182</v>
      </c>
      <c r="F658" s="1" t="n">
        <v>0.1067</v>
      </c>
    </row>
    <row r="659" customFormat="false" ht="15" hidden="false" customHeight="false" outlineLevel="0" collapsed="false">
      <c r="A659" s="1" t="s">
        <v>694</v>
      </c>
      <c r="B659" s="1" t="s">
        <v>24</v>
      </c>
      <c r="C659" s="1" t="n">
        <v>4860000</v>
      </c>
      <c r="D659" s="1" t="n">
        <v>853216.9</v>
      </c>
      <c r="E659" s="1" t="n">
        <v>0.0243</v>
      </c>
      <c r="F659" s="1" t="n">
        <v>0.0409</v>
      </c>
    </row>
    <row r="660" customFormat="false" ht="15" hidden="false" customHeight="false" outlineLevel="0" collapsed="false">
      <c r="A660" s="1" t="s">
        <v>695</v>
      </c>
      <c r="B660" s="1" t="s">
        <v>26</v>
      </c>
      <c r="C660" s="1" t="n">
        <v>7330000</v>
      </c>
      <c r="D660" s="1" t="n">
        <v>37110.2</v>
      </c>
      <c r="E660" s="1" t="n">
        <v>0.0058</v>
      </c>
      <c r="F660" s="1" t="n">
        <v>0.1015</v>
      </c>
    </row>
    <row r="661" customFormat="false" ht="15" hidden="false" customHeight="false" outlineLevel="0" collapsed="false">
      <c r="A661" s="1" t="s">
        <v>696</v>
      </c>
      <c r="B661" s="1" t="s">
        <v>92</v>
      </c>
      <c r="C661" s="1" t="n">
        <v>4730000</v>
      </c>
      <c r="D661" s="1" t="n">
        <v>55337.2</v>
      </c>
      <c r="E661" s="1" t="n">
        <v>0.025</v>
      </c>
      <c r="F661" s="1" t="n">
        <v>0.0951</v>
      </c>
    </row>
    <row r="662" customFormat="false" ht="15" hidden="false" customHeight="false" outlineLevel="0" collapsed="false">
      <c r="A662" s="1" t="s">
        <v>697</v>
      </c>
      <c r="B662" s="1" t="s">
        <v>92</v>
      </c>
      <c r="C662" s="1" t="n">
        <v>5580000</v>
      </c>
      <c r="D662" s="1" t="n">
        <v>120648.6</v>
      </c>
      <c r="E662" s="1" t="n">
        <v>0.0218</v>
      </c>
      <c r="F662" s="1" t="n">
        <v>0.0576</v>
      </c>
    </row>
    <row r="663" customFormat="false" ht="15" hidden="false" customHeight="false" outlineLevel="0" collapsed="false">
      <c r="A663" s="1" t="s">
        <v>698</v>
      </c>
      <c r="B663" s="1" t="s">
        <v>41</v>
      </c>
      <c r="C663" s="1" t="n">
        <v>5430000</v>
      </c>
      <c r="D663" s="1" t="n">
        <v>22317.4</v>
      </c>
      <c r="E663" s="1" t="n">
        <v>0.0161</v>
      </c>
      <c r="F663" s="1" t="n">
        <v>0.1013</v>
      </c>
    </row>
    <row r="664" customFormat="false" ht="15" hidden="false" customHeight="false" outlineLevel="0" collapsed="false">
      <c r="A664" s="1" t="s">
        <v>699</v>
      </c>
      <c r="B664" s="1" t="s">
        <v>21</v>
      </c>
      <c r="C664" s="1" t="n">
        <v>4790000</v>
      </c>
      <c r="D664" s="1" t="n">
        <v>3527</v>
      </c>
      <c r="E664" s="1" t="n">
        <v>0.0558</v>
      </c>
      <c r="F664" s="1" t="n">
        <v>0.4482</v>
      </c>
    </row>
    <row r="665" customFormat="false" ht="15" hidden="false" customHeight="false" outlineLevel="0" collapsed="false">
      <c r="A665" s="1" t="s">
        <v>700</v>
      </c>
      <c r="B665" s="1" t="s">
        <v>26</v>
      </c>
      <c r="C665" s="1" t="n">
        <v>4410000</v>
      </c>
      <c r="D665" s="1" t="n">
        <v>20113</v>
      </c>
      <c r="E665" s="1" t="n">
        <v>0.0181</v>
      </c>
      <c r="F665" s="1" t="n">
        <v>0.0854</v>
      </c>
    </row>
    <row r="666" customFormat="false" ht="15" hidden="false" customHeight="false" outlineLevel="0" collapsed="false">
      <c r="A666" s="1" t="s">
        <v>701</v>
      </c>
      <c r="B666" s="1" t="s">
        <v>26</v>
      </c>
      <c r="C666" s="1" t="n">
        <v>5610000</v>
      </c>
      <c r="D666" s="1" t="n">
        <v>12710.3</v>
      </c>
      <c r="E666" s="1" t="n">
        <v>0.0195</v>
      </c>
      <c r="F666" s="1" t="n">
        <v>0.0409</v>
      </c>
    </row>
    <row r="667" customFormat="false" ht="15" hidden="false" customHeight="false" outlineLevel="0" collapsed="false">
      <c r="A667" s="1" t="s">
        <v>702</v>
      </c>
      <c r="B667" s="1" t="s">
        <v>21</v>
      </c>
      <c r="C667" s="1" t="n">
        <v>8280000</v>
      </c>
      <c r="D667" s="1" t="n">
        <v>120600.9</v>
      </c>
      <c r="E667" s="1" t="n">
        <v>0.0461</v>
      </c>
      <c r="F667" s="1" t="n">
        <v>0.051</v>
      </c>
    </row>
    <row r="668" customFormat="false" ht="15" hidden="false" customHeight="false" outlineLevel="0" collapsed="false">
      <c r="A668" s="1" t="s">
        <v>703</v>
      </c>
      <c r="B668" s="1" t="s">
        <v>92</v>
      </c>
      <c r="C668" s="1" t="n">
        <v>4400000</v>
      </c>
      <c r="D668" s="1" t="n">
        <v>2011850.3</v>
      </c>
      <c r="E668" s="1" t="n">
        <v>0.0244</v>
      </c>
      <c r="F668" s="1" t="n">
        <v>0.1067</v>
      </c>
    </row>
    <row r="669" customFormat="false" ht="15" hidden="false" customHeight="false" outlineLevel="0" collapsed="false">
      <c r="A669" s="1" t="s">
        <v>704</v>
      </c>
      <c r="B669" s="1" t="s">
        <v>41</v>
      </c>
      <c r="C669" s="1" t="n">
        <v>7600000</v>
      </c>
      <c r="D669" s="1" t="n">
        <v>7135.7</v>
      </c>
      <c r="E669" s="1" t="n">
        <v>0.0132</v>
      </c>
      <c r="F669" s="1" t="n">
        <v>0.1309</v>
      </c>
    </row>
    <row r="670" customFormat="false" ht="15" hidden="false" customHeight="false" outlineLevel="0" collapsed="false">
      <c r="A670" s="1" t="s">
        <v>705</v>
      </c>
      <c r="B670" s="1" t="s">
        <v>35</v>
      </c>
      <c r="C670" s="1" t="n">
        <v>4850000</v>
      </c>
      <c r="D670" s="1" t="n">
        <v>401.4</v>
      </c>
      <c r="E670" s="1" t="n">
        <v>0.0219</v>
      </c>
      <c r="F670" s="1" t="n">
        <v>0.0725</v>
      </c>
    </row>
    <row r="671" customFormat="false" ht="15" hidden="false" customHeight="false" outlineLevel="0" collapsed="false">
      <c r="A671" s="1" t="s">
        <v>706</v>
      </c>
      <c r="B671" s="1" t="s">
        <v>21</v>
      </c>
      <c r="C671" s="1" t="n">
        <v>4760000</v>
      </c>
      <c r="D671" s="1" t="n">
        <v>506.8</v>
      </c>
      <c r="E671" s="1" t="n">
        <v>0.0177</v>
      </c>
      <c r="F671" s="1" t="n">
        <v>0.0576</v>
      </c>
    </row>
    <row r="672" customFormat="false" ht="15" hidden="false" customHeight="false" outlineLevel="0" collapsed="false">
      <c r="A672" s="1" t="s">
        <v>707</v>
      </c>
      <c r="B672" s="1" t="s">
        <v>21</v>
      </c>
      <c r="C672" s="1" t="n">
        <v>4960000</v>
      </c>
      <c r="D672" s="1" t="n">
        <v>4229.5</v>
      </c>
      <c r="E672" s="1" t="n">
        <v>0.0195</v>
      </c>
      <c r="F672" s="1" t="n">
        <v>0.1053</v>
      </c>
    </row>
    <row r="673" customFormat="false" ht="15" hidden="false" customHeight="false" outlineLevel="0" collapsed="false">
      <c r="A673" s="1" t="s">
        <v>708</v>
      </c>
      <c r="B673" s="1" t="s">
        <v>26</v>
      </c>
      <c r="C673" s="1" t="n">
        <v>4490000</v>
      </c>
      <c r="D673" s="1" t="n">
        <v>181009.8</v>
      </c>
      <c r="E673" s="1" t="n">
        <v>0.0443</v>
      </c>
      <c r="F673" s="1" t="n">
        <v>0.0759</v>
      </c>
    </row>
    <row r="674" customFormat="false" ht="15" hidden="false" customHeight="false" outlineLevel="0" collapsed="false">
      <c r="A674" s="1" t="s">
        <v>709</v>
      </c>
      <c r="B674" s="1" t="s">
        <v>30</v>
      </c>
      <c r="C674" s="1" t="n">
        <v>4640000</v>
      </c>
      <c r="D674" s="1" t="n">
        <v>33663.8</v>
      </c>
      <c r="E674" s="1" t="n">
        <v>0.0361</v>
      </c>
      <c r="F674" s="1" t="n">
        <v>0.0938</v>
      </c>
    </row>
    <row r="675" customFormat="false" ht="15" hidden="false" customHeight="false" outlineLevel="0" collapsed="false">
      <c r="A675" s="1" t="s">
        <v>710</v>
      </c>
      <c r="B675" s="1" t="s">
        <v>26</v>
      </c>
      <c r="C675" s="1" t="n">
        <v>4120000</v>
      </c>
      <c r="D675" s="1" t="n">
        <v>166759.1</v>
      </c>
      <c r="E675" s="1" t="n">
        <v>0.0254</v>
      </c>
      <c r="F675" s="1" t="n">
        <v>0.0432</v>
      </c>
    </row>
    <row r="676" customFormat="false" ht="15" hidden="false" customHeight="false" outlineLevel="0" collapsed="false">
      <c r="A676" s="1" t="s">
        <v>711</v>
      </c>
      <c r="B676" s="1" t="s">
        <v>26</v>
      </c>
      <c r="C676" s="1" t="n">
        <v>6760000</v>
      </c>
      <c r="D676" s="1" t="n">
        <v>1609150.6</v>
      </c>
      <c r="E676" s="1" t="n">
        <v>0.0371</v>
      </c>
      <c r="F676" s="1" t="n">
        <v>0.0409</v>
      </c>
    </row>
    <row r="677" customFormat="false" ht="15" hidden="false" customHeight="false" outlineLevel="0" collapsed="false">
      <c r="A677" s="1" t="s">
        <v>712</v>
      </c>
      <c r="B677" s="1" t="s">
        <v>28</v>
      </c>
      <c r="C677" s="1" t="n">
        <v>10100000</v>
      </c>
      <c r="D677" s="1" t="n">
        <v>47669.3</v>
      </c>
      <c r="E677" s="1" t="n">
        <v>0.0059</v>
      </c>
      <c r="F677" s="1" t="n">
        <v>0.0654</v>
      </c>
    </row>
    <row r="678" customFormat="false" ht="15" hidden="false" customHeight="false" outlineLevel="0" collapsed="false">
      <c r="A678" s="1" t="s">
        <v>713</v>
      </c>
      <c r="B678" s="1" t="s">
        <v>26</v>
      </c>
      <c r="C678" s="1" t="n">
        <v>5400000</v>
      </c>
      <c r="D678" s="1" t="n">
        <v>307054.1</v>
      </c>
      <c r="E678" s="1" t="n">
        <v>0.0073</v>
      </c>
      <c r="F678" s="1" t="n">
        <v>0.0654</v>
      </c>
    </row>
    <row r="679" customFormat="false" ht="15" hidden="false" customHeight="false" outlineLevel="0" collapsed="false">
      <c r="A679" s="1" t="s">
        <v>714</v>
      </c>
      <c r="B679" s="1" t="s">
        <v>41</v>
      </c>
      <c r="C679" s="1" t="n">
        <v>4630000</v>
      </c>
      <c r="D679" s="1" t="n">
        <v>1196.8</v>
      </c>
      <c r="E679" s="1" t="n">
        <v>0.0105</v>
      </c>
      <c r="F679" s="1" t="n">
        <v>0.0903</v>
      </c>
    </row>
    <row r="680" customFormat="false" ht="15" hidden="false" customHeight="false" outlineLevel="0" collapsed="false">
      <c r="A680" s="1" t="s">
        <v>715</v>
      </c>
      <c r="B680" s="1" t="s">
        <v>71</v>
      </c>
      <c r="C680" s="1" t="n">
        <v>4730000</v>
      </c>
      <c r="D680" s="1" t="n">
        <v>7951</v>
      </c>
      <c r="E680" s="1" t="n">
        <v>0.0271</v>
      </c>
      <c r="F680" s="1" t="n">
        <v>0.0759</v>
      </c>
    </row>
    <row r="681" customFormat="false" ht="15" hidden="false" customHeight="false" outlineLevel="0" collapsed="false">
      <c r="A681" s="1" t="s">
        <v>716</v>
      </c>
      <c r="B681" s="1" t="s">
        <v>53</v>
      </c>
      <c r="C681" s="1" t="n">
        <v>8660000</v>
      </c>
      <c r="D681" s="1" t="n">
        <v>5469688.4</v>
      </c>
      <c r="E681" s="1" t="n">
        <v>0.0166</v>
      </c>
      <c r="F681" s="1" t="n">
        <v>0.0854</v>
      </c>
    </row>
    <row r="682" customFormat="false" ht="15" hidden="false" customHeight="false" outlineLevel="0" collapsed="false">
      <c r="A682" s="1" t="s">
        <v>717</v>
      </c>
      <c r="B682" s="1" t="s">
        <v>214</v>
      </c>
      <c r="C682" s="1" t="n">
        <v>5180000</v>
      </c>
      <c r="D682" s="1" t="n">
        <v>2619235.6</v>
      </c>
      <c r="E682" s="1" t="n">
        <v>0.0504</v>
      </c>
      <c r="F682" s="1" t="n">
        <v>0.0951</v>
      </c>
    </row>
    <row r="683" customFormat="false" ht="15" hidden="false" customHeight="false" outlineLevel="0" collapsed="false">
      <c r="A683" s="1" t="s">
        <v>718</v>
      </c>
      <c r="B683" s="1" t="s">
        <v>21</v>
      </c>
      <c r="C683" s="1" t="n">
        <v>5270000</v>
      </c>
      <c r="D683" s="1" t="n">
        <v>831216.9</v>
      </c>
      <c r="E683" s="1" t="n">
        <v>0.0327</v>
      </c>
      <c r="F683" s="1" t="n">
        <v>0.0518</v>
      </c>
    </row>
    <row r="684" customFormat="false" ht="15" hidden="false" customHeight="false" outlineLevel="0" collapsed="false">
      <c r="A684" s="1" t="s">
        <v>719</v>
      </c>
      <c r="B684" s="1" t="s">
        <v>53</v>
      </c>
      <c r="C684" s="1" t="n">
        <v>5470000</v>
      </c>
      <c r="D684" s="1" t="n">
        <v>611048.7</v>
      </c>
      <c r="E684" s="1" t="n">
        <v>0.0345</v>
      </c>
      <c r="F684" s="1" t="n">
        <v>0.0951</v>
      </c>
    </row>
    <row r="685" customFormat="false" ht="15" hidden="false" customHeight="false" outlineLevel="0" collapsed="false">
      <c r="A685" s="1" t="s">
        <v>720</v>
      </c>
      <c r="B685" s="1" t="s">
        <v>88</v>
      </c>
      <c r="C685" s="1" t="n">
        <v>4380000</v>
      </c>
      <c r="D685" s="1" t="n">
        <v>2857.1</v>
      </c>
      <c r="E685" s="1" t="n">
        <v>0.0242</v>
      </c>
      <c r="F685" s="1" t="n">
        <v>0.1168</v>
      </c>
    </row>
    <row r="686" customFormat="false" ht="15" hidden="false" customHeight="false" outlineLevel="0" collapsed="false">
      <c r="A686" s="1" t="s">
        <v>721</v>
      </c>
      <c r="B686" s="1" t="s">
        <v>88</v>
      </c>
      <c r="C686" s="1" t="n">
        <v>6170000</v>
      </c>
      <c r="D686" s="1" t="n">
        <v>34194.2</v>
      </c>
      <c r="E686" s="1" t="n">
        <v>0.0331</v>
      </c>
      <c r="F686" s="1" t="n">
        <v>0.0672</v>
      </c>
    </row>
    <row r="687" customFormat="false" ht="15" hidden="false" customHeight="false" outlineLevel="0" collapsed="false">
      <c r="A687" s="1" t="s">
        <v>722</v>
      </c>
      <c r="B687" s="1" t="s">
        <v>26</v>
      </c>
      <c r="C687" s="1" t="n">
        <v>5880000</v>
      </c>
      <c r="D687" s="1" t="n">
        <v>969364.5</v>
      </c>
      <c r="E687" s="1" t="n">
        <v>0.0209</v>
      </c>
      <c r="F687" s="1" t="n">
        <v>0.0938</v>
      </c>
    </row>
    <row r="688" customFormat="false" ht="15" hidden="false" customHeight="false" outlineLevel="0" collapsed="false">
      <c r="A688" s="1" t="s">
        <v>723</v>
      </c>
      <c r="B688" s="1" t="s">
        <v>30</v>
      </c>
      <c r="C688" s="1" t="n">
        <v>6010000</v>
      </c>
      <c r="D688" s="1" t="n">
        <v>1865411.5</v>
      </c>
      <c r="E688" s="1" t="n">
        <v>0.0556</v>
      </c>
      <c r="F688" s="1" t="n">
        <v>0.0759</v>
      </c>
    </row>
    <row r="689" customFormat="false" ht="15" hidden="false" customHeight="false" outlineLevel="0" collapsed="false">
      <c r="A689" s="1" t="s">
        <v>724</v>
      </c>
      <c r="B689" s="1" t="s">
        <v>50</v>
      </c>
      <c r="C689" s="1" t="n">
        <v>4740000</v>
      </c>
      <c r="D689" s="1" t="n">
        <v>3744155.1</v>
      </c>
      <c r="F689" s="1" t="n">
        <v>0.0409</v>
      </c>
    </row>
    <row r="690" customFormat="false" ht="15" hidden="false" customHeight="false" outlineLevel="0" collapsed="false">
      <c r="A690" s="1" t="s">
        <v>725</v>
      </c>
      <c r="B690" s="1" t="s">
        <v>26</v>
      </c>
      <c r="C690" s="1" t="n">
        <v>5180000</v>
      </c>
      <c r="D690" s="1" t="n">
        <v>27924.6</v>
      </c>
      <c r="E690" s="1" t="n">
        <v>0.0246</v>
      </c>
      <c r="F690" s="1" t="n">
        <v>0.051</v>
      </c>
    </row>
    <row r="691" customFormat="false" ht="15" hidden="false" customHeight="false" outlineLevel="0" collapsed="false">
      <c r="A691" s="1" t="s">
        <v>726</v>
      </c>
      <c r="B691" s="1" t="s">
        <v>32</v>
      </c>
      <c r="C691" s="1" t="n">
        <v>7180000</v>
      </c>
      <c r="D691" s="1" t="n">
        <v>103508.4</v>
      </c>
      <c r="E691" s="1" t="n">
        <v>0.0233</v>
      </c>
      <c r="F691" s="1" t="n">
        <v>0.0948</v>
      </c>
    </row>
    <row r="692" customFormat="false" ht="15" hidden="false" customHeight="false" outlineLevel="0" collapsed="false">
      <c r="A692" s="1" t="s">
        <v>727</v>
      </c>
      <c r="B692" s="1" t="s">
        <v>53</v>
      </c>
      <c r="C692" s="1" t="n">
        <v>4800000</v>
      </c>
      <c r="D692" s="1" t="n">
        <v>72830.5</v>
      </c>
      <c r="E692" s="1" t="n">
        <v>0.1135</v>
      </c>
      <c r="F692" s="1" t="n">
        <v>0.0938</v>
      </c>
    </row>
    <row r="693" customFormat="false" ht="15" hidden="false" customHeight="false" outlineLevel="0" collapsed="false">
      <c r="A693" s="1" t="s">
        <v>728</v>
      </c>
      <c r="B693" s="1" t="s">
        <v>35</v>
      </c>
      <c r="C693" s="1" t="n">
        <v>5570000</v>
      </c>
      <c r="D693" s="1" t="n">
        <v>78254.7</v>
      </c>
      <c r="E693" s="1" t="n">
        <v>0.0012</v>
      </c>
      <c r="F693" s="1" t="n">
        <v>0.0822</v>
      </c>
    </row>
    <row r="694" customFormat="false" ht="15" hidden="false" customHeight="false" outlineLevel="0" collapsed="false">
      <c r="A694" s="1" t="s">
        <v>729</v>
      </c>
      <c r="B694" s="1" t="s">
        <v>26</v>
      </c>
      <c r="C694" s="1" t="n">
        <v>5190000</v>
      </c>
      <c r="D694" s="1" t="n">
        <v>184409.7</v>
      </c>
      <c r="E694" s="1" t="n">
        <v>0.0424</v>
      </c>
      <c r="F694" s="1" t="n">
        <v>0.051</v>
      </c>
    </row>
    <row r="695" customFormat="false" ht="15" hidden="false" customHeight="false" outlineLevel="0" collapsed="false">
      <c r="A695" s="1" t="s">
        <v>730</v>
      </c>
      <c r="B695" s="1" t="s">
        <v>88</v>
      </c>
      <c r="C695" s="1" t="n">
        <v>6720000</v>
      </c>
      <c r="D695" s="1" t="n">
        <v>181909</v>
      </c>
      <c r="E695" s="1" t="n">
        <v>0.0611</v>
      </c>
      <c r="F695" s="1" t="n">
        <v>0.0759</v>
      </c>
    </row>
    <row r="696" customFormat="false" ht="15" hidden="false" customHeight="false" outlineLevel="0" collapsed="false">
      <c r="A696" s="1" t="s">
        <v>731</v>
      </c>
      <c r="B696" s="1" t="s">
        <v>88</v>
      </c>
      <c r="C696" s="1" t="n">
        <v>11900000</v>
      </c>
      <c r="D696" s="1" t="n">
        <v>1221333.4</v>
      </c>
      <c r="E696" s="1" t="n">
        <v>0.0591</v>
      </c>
      <c r="F696" s="1" t="n">
        <v>0.0951</v>
      </c>
    </row>
    <row r="697" customFormat="false" ht="15" hidden="false" customHeight="false" outlineLevel="0" collapsed="false">
      <c r="A697" s="1" t="s">
        <v>732</v>
      </c>
      <c r="B697" s="1" t="s">
        <v>26</v>
      </c>
      <c r="C697" s="1" t="n">
        <v>4690000</v>
      </c>
      <c r="D697" s="1" t="n">
        <v>82985.8</v>
      </c>
      <c r="E697" s="1" t="n">
        <v>0.0476</v>
      </c>
      <c r="F697" s="1" t="n">
        <v>0.0759</v>
      </c>
    </row>
    <row r="698" customFormat="false" ht="15" hidden="false" customHeight="false" outlineLevel="0" collapsed="false">
      <c r="A698" s="1" t="s">
        <v>733</v>
      </c>
      <c r="B698" s="1" t="s">
        <v>26</v>
      </c>
      <c r="C698" s="1" t="n">
        <v>4580000</v>
      </c>
      <c r="D698" s="1" t="n">
        <v>21480.6</v>
      </c>
      <c r="E698" s="1" t="n">
        <v>0.1134</v>
      </c>
      <c r="F698" s="1" t="n">
        <v>0.0538</v>
      </c>
    </row>
    <row r="699" customFormat="false" ht="15" hidden="false" customHeight="false" outlineLevel="0" collapsed="false">
      <c r="A699" s="1" t="s">
        <v>734</v>
      </c>
      <c r="B699" s="1" t="s">
        <v>21</v>
      </c>
      <c r="C699" s="1" t="n">
        <v>4610000</v>
      </c>
      <c r="D699" s="1" t="n">
        <v>6983.5</v>
      </c>
      <c r="E699" s="1" t="n">
        <v>0.0247</v>
      </c>
      <c r="F699" s="1" t="n">
        <v>0.0938</v>
      </c>
    </row>
    <row r="700" customFormat="false" ht="15" hidden="false" customHeight="false" outlineLevel="0" collapsed="false">
      <c r="A700" s="1" t="s">
        <v>735</v>
      </c>
      <c r="B700" s="1" t="s">
        <v>53</v>
      </c>
      <c r="C700" s="1" t="n">
        <v>4950000</v>
      </c>
      <c r="D700" s="1" t="n">
        <v>960888</v>
      </c>
      <c r="F700" s="1" t="n">
        <v>0.0951</v>
      </c>
    </row>
    <row r="701" customFormat="false" ht="15" hidden="false" customHeight="false" outlineLevel="0" collapsed="false">
      <c r="A701" s="1" t="s">
        <v>736</v>
      </c>
      <c r="B701" s="1" t="s">
        <v>41</v>
      </c>
      <c r="C701" s="1" t="n">
        <v>5320000</v>
      </c>
      <c r="D701" s="1" t="n">
        <v>888.7</v>
      </c>
      <c r="E701" s="1" t="n">
        <v>0.0168</v>
      </c>
      <c r="F701" s="1" t="n">
        <v>0.1862</v>
      </c>
    </row>
    <row r="702" customFormat="false" ht="15" hidden="false" customHeight="false" outlineLevel="0" collapsed="false">
      <c r="A702" s="1" t="s">
        <v>737</v>
      </c>
      <c r="B702" s="1" t="s">
        <v>26</v>
      </c>
      <c r="C702" s="1" t="n">
        <v>4770000</v>
      </c>
      <c r="D702" s="1" t="n">
        <v>98664.5</v>
      </c>
      <c r="E702" s="1" t="n">
        <v>0.0537</v>
      </c>
      <c r="F702" s="1" t="n">
        <v>0.0951</v>
      </c>
    </row>
    <row r="703" customFormat="false" ht="15" hidden="false" customHeight="false" outlineLevel="0" collapsed="false">
      <c r="A703" s="1" t="s">
        <v>738</v>
      </c>
      <c r="B703" s="1" t="s">
        <v>32</v>
      </c>
      <c r="C703" s="1" t="n">
        <v>5290000</v>
      </c>
      <c r="D703" s="1" t="n">
        <v>87844.7</v>
      </c>
      <c r="E703" s="1" t="n">
        <v>0.0216</v>
      </c>
      <c r="F703" s="1" t="n">
        <v>0.117</v>
      </c>
    </row>
    <row r="704" customFormat="false" ht="15" hidden="false" customHeight="false" outlineLevel="0" collapsed="false">
      <c r="A704" s="1" t="s">
        <v>739</v>
      </c>
      <c r="B704" s="1" t="s">
        <v>71</v>
      </c>
      <c r="C704" s="1" t="n">
        <v>5100000</v>
      </c>
      <c r="D704" s="1" t="n">
        <v>308768.9</v>
      </c>
      <c r="E704" s="1" t="n">
        <v>0.063</v>
      </c>
      <c r="F704" s="1" t="n">
        <v>0.0938</v>
      </c>
    </row>
    <row r="705" customFormat="false" ht="15" hidden="false" customHeight="false" outlineLevel="0" collapsed="false">
      <c r="A705" s="1" t="s">
        <v>740</v>
      </c>
      <c r="B705" s="1" t="s">
        <v>26</v>
      </c>
      <c r="C705" s="1" t="n">
        <v>6990000</v>
      </c>
      <c r="D705" s="1" t="n">
        <v>751935.8</v>
      </c>
      <c r="E705" s="1" t="n">
        <v>0.0507</v>
      </c>
      <c r="F705" s="1" t="n">
        <v>0.0759</v>
      </c>
    </row>
    <row r="706" customFormat="false" ht="15" hidden="false" customHeight="false" outlineLevel="0" collapsed="false">
      <c r="A706" s="1" t="s">
        <v>741</v>
      </c>
      <c r="B706" s="1" t="s">
        <v>26</v>
      </c>
      <c r="C706" s="1" t="n">
        <v>4600000</v>
      </c>
      <c r="D706" s="1" t="n">
        <v>296210.4</v>
      </c>
      <c r="E706" s="1" t="n">
        <v>0.021</v>
      </c>
      <c r="F706" s="1" t="n">
        <v>0.0462</v>
      </c>
    </row>
    <row r="707" customFormat="false" ht="15" hidden="false" customHeight="false" outlineLevel="0" collapsed="false">
      <c r="A707" s="1" t="s">
        <v>742</v>
      </c>
      <c r="B707" s="1" t="s">
        <v>92</v>
      </c>
      <c r="C707" s="1" t="n">
        <v>5420000</v>
      </c>
      <c r="D707" s="1" t="n">
        <v>356448.8</v>
      </c>
      <c r="E707" s="1" t="n">
        <v>0.0194</v>
      </c>
      <c r="F707" s="1" t="n">
        <v>0.0759</v>
      </c>
    </row>
    <row r="708" customFormat="false" ht="15" hidden="false" customHeight="false" outlineLevel="0" collapsed="false">
      <c r="A708" s="1" t="s">
        <v>743</v>
      </c>
      <c r="B708" s="1" t="s">
        <v>71</v>
      </c>
      <c r="C708" s="1" t="n">
        <v>6210000</v>
      </c>
      <c r="D708" s="1" t="n">
        <v>22830.3</v>
      </c>
      <c r="E708" s="1" t="n">
        <v>0.0084</v>
      </c>
      <c r="F708" s="1" t="n">
        <v>0.0654</v>
      </c>
    </row>
    <row r="709" customFormat="false" ht="15" hidden="false" customHeight="false" outlineLevel="0" collapsed="false">
      <c r="A709" s="1" t="s">
        <v>744</v>
      </c>
      <c r="B709" s="1" t="s">
        <v>24</v>
      </c>
      <c r="C709" s="1" t="n">
        <v>5270000</v>
      </c>
      <c r="D709" s="1" t="n">
        <v>285743</v>
      </c>
      <c r="E709" s="1" t="n">
        <v>0.0235</v>
      </c>
      <c r="F709" s="1" t="n">
        <v>0.0951</v>
      </c>
    </row>
    <row r="710" customFormat="false" ht="15" hidden="false" customHeight="false" outlineLevel="0" collapsed="false">
      <c r="A710" s="1" t="s">
        <v>745</v>
      </c>
      <c r="B710" s="1" t="s">
        <v>26</v>
      </c>
      <c r="C710" s="1" t="n">
        <v>7840000</v>
      </c>
      <c r="D710" s="1" t="n">
        <v>2807599.1</v>
      </c>
      <c r="E710" s="1" t="n">
        <v>0.0289</v>
      </c>
      <c r="F710" s="1" t="n">
        <v>0.0409</v>
      </c>
    </row>
    <row r="711" customFormat="false" ht="15" hidden="false" customHeight="false" outlineLevel="0" collapsed="false">
      <c r="A711" s="1" t="s">
        <v>746</v>
      </c>
      <c r="B711" s="1" t="s">
        <v>30</v>
      </c>
      <c r="C711" s="1" t="n">
        <v>2810000</v>
      </c>
      <c r="D711" s="1" t="n">
        <v>611659.9</v>
      </c>
      <c r="F711" s="1" t="n">
        <v>0.0759</v>
      </c>
    </row>
    <row r="712" customFormat="false" ht="15" hidden="false" customHeight="false" outlineLevel="0" collapsed="false">
      <c r="A712" s="1" t="s">
        <v>747</v>
      </c>
      <c r="B712" s="1" t="s">
        <v>26</v>
      </c>
      <c r="C712" s="1" t="n">
        <v>5080000</v>
      </c>
      <c r="D712" s="1" t="n">
        <v>306125.6</v>
      </c>
      <c r="E712" s="1" t="n">
        <v>0.0141</v>
      </c>
      <c r="F712" s="1" t="n">
        <v>0.0585</v>
      </c>
    </row>
    <row r="713" customFormat="false" ht="15" hidden="false" customHeight="false" outlineLevel="0" collapsed="false">
      <c r="A713" s="1" t="s">
        <v>748</v>
      </c>
      <c r="B713" s="1" t="s">
        <v>88</v>
      </c>
      <c r="C713" s="1" t="n">
        <v>5400000</v>
      </c>
      <c r="D713" s="1" t="n">
        <v>169164.1</v>
      </c>
      <c r="E713" s="1" t="n">
        <v>0.0454</v>
      </c>
      <c r="F713" s="1" t="n">
        <v>0.0938</v>
      </c>
    </row>
    <row r="714" customFormat="false" ht="15" hidden="false" customHeight="false" outlineLevel="0" collapsed="false">
      <c r="A714" s="1" t="s">
        <v>749</v>
      </c>
      <c r="B714" s="1" t="s">
        <v>88</v>
      </c>
      <c r="C714" s="1" t="n">
        <v>4400000</v>
      </c>
      <c r="D714" s="1" t="n">
        <v>57310.6</v>
      </c>
      <c r="E714" s="1" t="n">
        <v>0.0422</v>
      </c>
      <c r="F714" s="1" t="n">
        <v>0.0951</v>
      </c>
    </row>
    <row r="715" customFormat="false" ht="15" hidden="false" customHeight="false" outlineLevel="0" collapsed="false">
      <c r="A715" s="1" t="s">
        <v>750</v>
      </c>
      <c r="B715" s="1" t="s">
        <v>50</v>
      </c>
      <c r="C715" s="1" t="n">
        <v>4740000</v>
      </c>
      <c r="D715" s="1" t="n">
        <v>13001.6</v>
      </c>
      <c r="F715" s="1" t="n">
        <v>0.0409</v>
      </c>
    </row>
    <row r="716" customFormat="false" ht="15" hidden="false" customHeight="false" outlineLevel="0" collapsed="false">
      <c r="A716" s="1" t="s">
        <v>751</v>
      </c>
      <c r="B716" s="1" t="s">
        <v>26</v>
      </c>
      <c r="C716" s="1" t="n">
        <v>5430000</v>
      </c>
      <c r="D716" s="1" t="n">
        <v>176413.2</v>
      </c>
      <c r="E716" s="1" t="n">
        <v>0.0135</v>
      </c>
      <c r="F716" s="1" t="n">
        <v>0.0654</v>
      </c>
    </row>
    <row r="717" customFormat="false" ht="15" hidden="false" customHeight="false" outlineLevel="0" collapsed="false">
      <c r="A717" s="1" t="s">
        <v>752</v>
      </c>
      <c r="B717" s="1" t="s">
        <v>74</v>
      </c>
      <c r="C717" s="1" t="n">
        <v>6280000</v>
      </c>
      <c r="D717" s="1" t="n">
        <v>745.4</v>
      </c>
      <c r="E717" s="1" t="n">
        <v>0.0171</v>
      </c>
      <c r="F717" s="1" t="n">
        <v>0.0576</v>
      </c>
    </row>
    <row r="718" customFormat="false" ht="15" hidden="false" customHeight="false" outlineLevel="0" collapsed="false">
      <c r="A718" s="1" t="s">
        <v>753</v>
      </c>
      <c r="B718" s="1" t="s">
        <v>26</v>
      </c>
      <c r="C718" s="1" t="n">
        <v>5190000</v>
      </c>
      <c r="D718" s="1" t="n">
        <v>8630.1</v>
      </c>
      <c r="E718" s="1" t="n">
        <v>0.0905</v>
      </c>
      <c r="F718" s="1" t="n">
        <v>0.0759</v>
      </c>
    </row>
    <row r="719" customFormat="false" ht="15" hidden="false" customHeight="false" outlineLevel="0" collapsed="false">
      <c r="A719" s="1" t="s">
        <v>754</v>
      </c>
      <c r="B719" s="1" t="s">
        <v>41</v>
      </c>
      <c r="C719" s="1" t="n">
        <v>5850000</v>
      </c>
      <c r="D719" s="1" t="n">
        <v>2910540</v>
      </c>
      <c r="E719" s="1" t="n">
        <v>0.0155</v>
      </c>
      <c r="F719" s="1" t="n">
        <v>0.0462</v>
      </c>
    </row>
    <row r="720" customFormat="false" ht="15" hidden="false" customHeight="false" outlineLevel="0" collapsed="false">
      <c r="A720" s="1" t="s">
        <v>755</v>
      </c>
      <c r="B720" s="1" t="s">
        <v>21</v>
      </c>
      <c r="C720" s="1" t="n">
        <v>5370000</v>
      </c>
      <c r="D720" s="1" t="n">
        <v>62130.4</v>
      </c>
      <c r="E720" s="1" t="n">
        <v>0.0096</v>
      </c>
      <c r="F720" s="1" t="n">
        <v>0.0654</v>
      </c>
    </row>
    <row r="721" customFormat="false" ht="15" hidden="false" customHeight="false" outlineLevel="0" collapsed="false">
      <c r="A721" s="1" t="s">
        <v>756</v>
      </c>
      <c r="B721" s="1" t="s">
        <v>92</v>
      </c>
      <c r="C721" s="1" t="n">
        <v>5180000</v>
      </c>
      <c r="D721" s="1" t="n">
        <v>86889.6</v>
      </c>
      <c r="E721" s="1" t="n">
        <v>0.0158</v>
      </c>
      <c r="F721" s="1" t="n">
        <v>0.0576</v>
      </c>
    </row>
    <row r="722" customFormat="false" ht="15" hidden="false" customHeight="false" outlineLevel="0" collapsed="false">
      <c r="A722" s="1" t="s">
        <v>757</v>
      </c>
      <c r="B722" s="1" t="s">
        <v>30</v>
      </c>
      <c r="C722" s="1" t="n">
        <v>6160000</v>
      </c>
      <c r="D722" s="1" t="n">
        <v>2779357.9</v>
      </c>
      <c r="E722" s="1" t="n">
        <v>0.0228</v>
      </c>
      <c r="F722" s="1" t="n">
        <v>0.0432</v>
      </c>
    </row>
    <row r="723" customFormat="false" ht="15" hidden="false" customHeight="false" outlineLevel="0" collapsed="false">
      <c r="A723" s="1" t="s">
        <v>758</v>
      </c>
      <c r="B723" s="1" t="s">
        <v>41</v>
      </c>
      <c r="C723" s="1" t="n">
        <v>4240000</v>
      </c>
      <c r="D723" s="1" t="n">
        <v>45385.8</v>
      </c>
      <c r="E723" s="1" t="n">
        <v>0.031</v>
      </c>
      <c r="F723" s="1" t="n">
        <v>0.0584</v>
      </c>
    </row>
    <row r="724" customFormat="false" ht="15" hidden="false" customHeight="false" outlineLevel="0" collapsed="false">
      <c r="A724" s="1" t="s">
        <v>759</v>
      </c>
      <c r="B724" s="1" t="s">
        <v>30</v>
      </c>
      <c r="C724" s="1" t="n">
        <v>7530000</v>
      </c>
      <c r="D724" s="1" t="n">
        <v>712519.4</v>
      </c>
      <c r="E724" s="1" t="n">
        <v>0.0053</v>
      </c>
      <c r="F724" s="1" t="n">
        <v>0.0654</v>
      </c>
    </row>
    <row r="725" customFormat="false" ht="15" hidden="false" customHeight="false" outlineLevel="0" collapsed="false">
      <c r="A725" s="1" t="s">
        <v>760</v>
      </c>
      <c r="B725" s="1" t="s">
        <v>88</v>
      </c>
      <c r="C725" s="1" t="n">
        <v>4010000</v>
      </c>
      <c r="D725" s="1" t="n">
        <v>586.9</v>
      </c>
      <c r="E725" s="1" t="n">
        <v>0.0539</v>
      </c>
      <c r="F725" s="1" t="n">
        <v>0.0938</v>
      </c>
    </row>
    <row r="726" customFormat="false" ht="15" hidden="false" customHeight="false" outlineLevel="0" collapsed="false">
      <c r="A726" s="1" t="s">
        <v>761</v>
      </c>
      <c r="B726" s="1" t="s">
        <v>24</v>
      </c>
      <c r="C726" s="1" t="n">
        <v>4520000</v>
      </c>
      <c r="D726" s="1" t="n">
        <v>15693.4</v>
      </c>
      <c r="E726" s="1" t="n">
        <v>0.0269</v>
      </c>
      <c r="F726" s="1" t="n">
        <v>0.0759</v>
      </c>
    </row>
    <row r="727" customFormat="false" ht="15" hidden="false" customHeight="false" outlineLevel="0" collapsed="false">
      <c r="A727" s="1" t="s">
        <v>762</v>
      </c>
      <c r="B727" s="1" t="s">
        <v>81</v>
      </c>
      <c r="C727" s="1" t="n">
        <v>4950000</v>
      </c>
      <c r="D727" s="1" t="n">
        <v>156917.3</v>
      </c>
      <c r="E727" s="1" t="n">
        <v>0.0784</v>
      </c>
      <c r="F727" s="1" t="n">
        <v>0.0759</v>
      </c>
    </row>
    <row r="728" customFormat="false" ht="15" hidden="false" customHeight="false" outlineLevel="0" collapsed="false">
      <c r="A728" s="1" t="s">
        <v>763</v>
      </c>
      <c r="B728" s="1" t="s">
        <v>41</v>
      </c>
      <c r="C728" s="1" t="n">
        <v>4940000</v>
      </c>
      <c r="D728" s="1" t="n">
        <v>535.7</v>
      </c>
      <c r="F728" s="1" t="n">
        <v>0.051</v>
      </c>
    </row>
    <row r="729" customFormat="false" ht="15" hidden="false" customHeight="false" outlineLevel="0" collapsed="false">
      <c r="A729" s="1" t="s">
        <v>764</v>
      </c>
      <c r="B729" s="1" t="s">
        <v>26</v>
      </c>
      <c r="C729" s="1" t="n">
        <v>4200000</v>
      </c>
      <c r="D729" s="1" t="n">
        <v>603077.6</v>
      </c>
      <c r="E729" s="1" t="n">
        <v>0.0473</v>
      </c>
      <c r="F729" s="1" t="n">
        <v>0.0951</v>
      </c>
    </row>
    <row r="730" customFormat="false" ht="15" hidden="false" customHeight="false" outlineLevel="0" collapsed="false">
      <c r="A730" s="1" t="s">
        <v>765</v>
      </c>
      <c r="B730" s="1" t="s">
        <v>32</v>
      </c>
      <c r="C730" s="1" t="n">
        <v>1980000</v>
      </c>
      <c r="D730" s="1" t="n">
        <v>36649.4</v>
      </c>
      <c r="E730" s="1" t="n">
        <v>0.032</v>
      </c>
      <c r="F730" s="1" t="n">
        <v>0.0938</v>
      </c>
    </row>
    <row r="731" customFormat="false" ht="15" hidden="false" customHeight="false" outlineLevel="0" collapsed="false">
      <c r="A731" s="1" t="s">
        <v>766</v>
      </c>
      <c r="B731" s="1" t="s">
        <v>24</v>
      </c>
      <c r="C731" s="1" t="n">
        <v>4270000</v>
      </c>
      <c r="D731" s="1" t="n">
        <v>3344.1</v>
      </c>
      <c r="E731" s="1" t="n">
        <v>0.0244</v>
      </c>
      <c r="F731" s="1" t="n">
        <v>0.0938</v>
      </c>
    </row>
    <row r="732" customFormat="false" ht="15" hidden="false" customHeight="false" outlineLevel="0" collapsed="false">
      <c r="A732" s="1" t="s">
        <v>767</v>
      </c>
      <c r="B732" s="1" t="s">
        <v>32</v>
      </c>
      <c r="C732" s="1" t="n">
        <v>5200000</v>
      </c>
      <c r="D732" s="1" t="n">
        <v>305343.9</v>
      </c>
      <c r="E732" s="1" t="n">
        <v>0.0084</v>
      </c>
      <c r="F732" s="1" t="n">
        <v>0.0822</v>
      </c>
    </row>
    <row r="733" customFormat="false" ht="15" hidden="false" customHeight="false" outlineLevel="0" collapsed="false">
      <c r="A733" s="1" t="s">
        <v>768</v>
      </c>
      <c r="B733" s="1" t="s">
        <v>26</v>
      </c>
      <c r="C733" s="1" t="n">
        <v>4600000</v>
      </c>
      <c r="D733" s="1" t="n">
        <v>2831.7</v>
      </c>
      <c r="E733" s="1" t="n">
        <v>0.0638</v>
      </c>
      <c r="F733" s="1" t="n">
        <v>0.0759</v>
      </c>
    </row>
    <row r="734" customFormat="false" ht="15" hidden="false" customHeight="false" outlineLevel="0" collapsed="false">
      <c r="A734" s="1" t="s">
        <v>769</v>
      </c>
      <c r="B734" s="1" t="s">
        <v>35</v>
      </c>
      <c r="C734" s="1" t="n">
        <v>5240000</v>
      </c>
      <c r="D734" s="1" t="n">
        <v>532</v>
      </c>
      <c r="E734" s="1" t="n">
        <v>0.0064</v>
      </c>
      <c r="F734" s="1" t="n">
        <v>0.0811</v>
      </c>
    </row>
    <row r="735" customFormat="false" ht="15" hidden="false" customHeight="false" outlineLevel="0" collapsed="false">
      <c r="A735" s="1" t="s">
        <v>770</v>
      </c>
      <c r="B735" s="1" t="s">
        <v>50</v>
      </c>
      <c r="C735" s="1" t="n">
        <v>4570000</v>
      </c>
      <c r="D735" s="1" t="n">
        <v>178575</v>
      </c>
      <c r="E735" s="1" t="n">
        <v>0.0692</v>
      </c>
      <c r="F735" s="1" t="n">
        <v>0.0759</v>
      </c>
    </row>
    <row r="736" customFormat="false" ht="15" hidden="false" customHeight="false" outlineLevel="0" collapsed="false">
      <c r="A736" s="1" t="s">
        <v>771</v>
      </c>
      <c r="B736" s="1" t="s">
        <v>62</v>
      </c>
      <c r="C736" s="1" t="n">
        <v>4860000</v>
      </c>
      <c r="D736" s="1" t="n">
        <v>56892.8</v>
      </c>
      <c r="E736" s="1" t="n">
        <v>0.0629</v>
      </c>
      <c r="F736" s="1" t="n">
        <v>0.0759</v>
      </c>
    </row>
    <row r="737" customFormat="false" ht="15" hidden="false" customHeight="false" outlineLevel="0" collapsed="false">
      <c r="A737" s="1" t="s">
        <v>772</v>
      </c>
      <c r="B737" s="1" t="s">
        <v>26</v>
      </c>
      <c r="C737" s="1" t="n">
        <v>4630000</v>
      </c>
      <c r="D737" s="1" t="n">
        <v>554958.4</v>
      </c>
      <c r="E737" s="1" t="n">
        <v>0.056</v>
      </c>
      <c r="F737" s="1" t="n">
        <v>0.0938</v>
      </c>
    </row>
    <row r="738" customFormat="false" ht="15" hidden="false" customHeight="false" outlineLevel="0" collapsed="false">
      <c r="A738" s="1" t="s">
        <v>773</v>
      </c>
      <c r="B738" s="1" t="s">
        <v>214</v>
      </c>
      <c r="C738" s="1" t="n">
        <v>5380000</v>
      </c>
      <c r="D738" s="1" t="n">
        <v>25317.2</v>
      </c>
      <c r="E738" s="1" t="n">
        <v>0.0304</v>
      </c>
      <c r="F738" s="1" t="n">
        <v>0.0938</v>
      </c>
    </row>
    <row r="739" customFormat="false" ht="15" hidden="false" customHeight="false" outlineLevel="0" collapsed="false">
      <c r="A739" s="1" t="s">
        <v>774</v>
      </c>
      <c r="B739" s="1" t="s">
        <v>24</v>
      </c>
      <c r="C739" s="1" t="n">
        <v>5170000</v>
      </c>
      <c r="D739" s="1" t="n">
        <v>1940.6</v>
      </c>
      <c r="E739" s="1" t="n">
        <v>0.0132</v>
      </c>
      <c r="F739" s="1" t="n">
        <v>0.0608</v>
      </c>
    </row>
    <row r="740" customFormat="false" ht="15" hidden="false" customHeight="false" outlineLevel="0" collapsed="false">
      <c r="A740" s="1" t="s">
        <v>775</v>
      </c>
      <c r="B740" s="1" t="s">
        <v>41</v>
      </c>
      <c r="C740" s="1" t="n">
        <v>5610000</v>
      </c>
      <c r="D740" s="1" t="n">
        <v>1131.2</v>
      </c>
      <c r="E740" s="1" t="n">
        <v>0.0153</v>
      </c>
      <c r="F740" s="1" t="n">
        <v>0.1053</v>
      </c>
    </row>
    <row r="741" customFormat="false" ht="15" hidden="false" customHeight="false" outlineLevel="0" collapsed="false">
      <c r="A741" s="1" t="s">
        <v>776</v>
      </c>
      <c r="B741" s="1" t="s">
        <v>26</v>
      </c>
      <c r="C741" s="1" t="n">
        <v>4160000</v>
      </c>
      <c r="D741" s="1" t="n">
        <v>369.3</v>
      </c>
      <c r="E741" s="1" t="n">
        <v>0.0057</v>
      </c>
      <c r="F741" s="1" t="n">
        <v>0.0811</v>
      </c>
    </row>
    <row r="742" customFormat="false" ht="15" hidden="false" customHeight="false" outlineLevel="0" collapsed="false">
      <c r="A742" s="1" t="s">
        <v>777</v>
      </c>
      <c r="B742" s="1" t="s">
        <v>41</v>
      </c>
      <c r="C742" s="1" t="n">
        <v>4540000</v>
      </c>
      <c r="D742" s="1" t="n">
        <v>410.5</v>
      </c>
      <c r="F742" s="1" t="n">
        <v>0.0759</v>
      </c>
    </row>
    <row r="743" customFormat="false" ht="15" hidden="false" customHeight="false" outlineLevel="0" collapsed="false">
      <c r="A743" s="1" t="s">
        <v>778</v>
      </c>
      <c r="B743" s="1" t="s">
        <v>26</v>
      </c>
      <c r="C743" s="1" t="n">
        <v>4120000</v>
      </c>
      <c r="D743" s="1" t="n">
        <v>65.8</v>
      </c>
      <c r="E743" s="1" t="n">
        <v>0.0036</v>
      </c>
      <c r="F743" s="1" t="n">
        <v>0.223</v>
      </c>
    </row>
    <row r="744" customFormat="false" ht="15" hidden="false" customHeight="false" outlineLevel="0" collapsed="false">
      <c r="A744" s="1" t="s">
        <v>779</v>
      </c>
      <c r="B744" s="1" t="s">
        <v>24</v>
      </c>
      <c r="C744" s="1" t="n">
        <v>5140000</v>
      </c>
      <c r="D744" s="1" t="n">
        <v>427603.4</v>
      </c>
      <c r="E744" s="1" t="n">
        <v>0.0199</v>
      </c>
      <c r="F744" s="1" t="n">
        <v>0.0462</v>
      </c>
    </row>
    <row r="745" customFormat="false" ht="15" hidden="false" customHeight="false" outlineLevel="0" collapsed="false">
      <c r="A745" s="1" t="s">
        <v>780</v>
      </c>
      <c r="B745" s="1" t="s">
        <v>26</v>
      </c>
      <c r="C745" s="1" t="n">
        <v>4500000</v>
      </c>
      <c r="D745" s="1" t="n">
        <v>150008.7</v>
      </c>
      <c r="F745" s="1" t="n">
        <v>0.0409</v>
      </c>
    </row>
    <row r="746" customFormat="false" ht="15" hidden="false" customHeight="false" outlineLevel="0" collapsed="false">
      <c r="A746" s="1" t="s">
        <v>781</v>
      </c>
      <c r="B746" s="1" t="s">
        <v>53</v>
      </c>
      <c r="C746" s="1" t="n">
        <v>6360000</v>
      </c>
      <c r="D746" s="1" t="n">
        <v>988239.1</v>
      </c>
      <c r="E746" s="1" t="n">
        <v>0.0311</v>
      </c>
      <c r="F746" s="1" t="n">
        <v>0.0759</v>
      </c>
    </row>
    <row r="747" customFormat="false" ht="15" hidden="false" customHeight="false" outlineLevel="0" collapsed="false">
      <c r="A747" s="1" t="s">
        <v>782</v>
      </c>
      <c r="B747" s="1" t="s">
        <v>26</v>
      </c>
      <c r="C747" s="1" t="n">
        <v>4940000</v>
      </c>
      <c r="D747" s="1" t="n">
        <v>1089436.5</v>
      </c>
      <c r="E747" s="1" t="n">
        <v>0.0357</v>
      </c>
      <c r="F747" s="1" t="n">
        <v>0.0518</v>
      </c>
    </row>
    <row r="748" customFormat="false" ht="15" hidden="false" customHeight="false" outlineLevel="0" collapsed="false">
      <c r="A748" s="1" t="s">
        <v>783</v>
      </c>
      <c r="B748" s="1" t="s">
        <v>26</v>
      </c>
      <c r="C748" s="1" t="n">
        <v>4350000</v>
      </c>
      <c r="D748" s="1" t="n">
        <v>20134.2</v>
      </c>
      <c r="E748" s="1" t="n">
        <v>0.0252</v>
      </c>
      <c r="F748" s="1" t="n">
        <v>0.0951</v>
      </c>
    </row>
    <row r="749" customFormat="false" ht="15" hidden="false" customHeight="false" outlineLevel="0" collapsed="false">
      <c r="A749" s="1" t="s">
        <v>784</v>
      </c>
      <c r="B749" s="1" t="s">
        <v>26</v>
      </c>
      <c r="C749" s="1" t="n">
        <v>4540000</v>
      </c>
      <c r="D749" s="1" t="n">
        <v>399000.5</v>
      </c>
      <c r="E749" s="1" t="n">
        <v>0.0377</v>
      </c>
      <c r="F749" s="1" t="n">
        <v>0.0759</v>
      </c>
    </row>
    <row r="750" customFormat="false" ht="15" hidden="false" customHeight="false" outlineLevel="0" collapsed="false">
      <c r="A750" s="1" t="s">
        <v>785</v>
      </c>
      <c r="B750" s="1" t="s">
        <v>41</v>
      </c>
      <c r="C750" s="1" t="n">
        <v>4680000</v>
      </c>
      <c r="D750" s="1" t="n">
        <v>5807.2</v>
      </c>
      <c r="E750" s="1" t="n">
        <v>0.0316</v>
      </c>
      <c r="F750" s="1" t="n">
        <v>0.0938</v>
      </c>
    </row>
    <row r="751" customFormat="false" ht="15" hidden="false" customHeight="false" outlineLevel="0" collapsed="false">
      <c r="A751" s="1" t="s">
        <v>786</v>
      </c>
      <c r="B751" s="1" t="s">
        <v>24</v>
      </c>
      <c r="C751" s="1" t="n">
        <v>4160000</v>
      </c>
      <c r="D751" s="1" t="n">
        <v>20274.7</v>
      </c>
      <c r="E751" s="1" t="n">
        <v>0.0098</v>
      </c>
      <c r="F751" s="1" t="n">
        <v>0.0689</v>
      </c>
    </row>
    <row r="752" customFormat="false" ht="15" hidden="false" customHeight="false" outlineLevel="0" collapsed="false">
      <c r="A752" s="1" t="s">
        <v>787</v>
      </c>
      <c r="B752" s="1" t="s">
        <v>21</v>
      </c>
      <c r="C752" s="1" t="n">
        <v>4990000</v>
      </c>
      <c r="D752" s="1" t="n">
        <v>11581.1</v>
      </c>
      <c r="E752" s="1" t="n">
        <v>0.0111</v>
      </c>
      <c r="F752" s="1" t="n">
        <v>0.0726</v>
      </c>
    </row>
    <row r="753" customFormat="false" ht="15" hidden="false" customHeight="false" outlineLevel="0" collapsed="false">
      <c r="A753" s="1" t="s">
        <v>788</v>
      </c>
      <c r="B753" s="1" t="s">
        <v>24</v>
      </c>
      <c r="C753" s="1" t="n">
        <v>5140000</v>
      </c>
      <c r="D753" s="1" t="n">
        <v>9601.5</v>
      </c>
      <c r="E753" s="1" t="n">
        <v>0.0643</v>
      </c>
      <c r="F753" s="1" t="n">
        <v>0.0938</v>
      </c>
    </row>
    <row r="754" customFormat="false" ht="15" hidden="false" customHeight="false" outlineLevel="0" collapsed="false">
      <c r="A754" s="1" t="s">
        <v>789</v>
      </c>
      <c r="B754" s="1" t="s">
        <v>32</v>
      </c>
      <c r="C754" s="1" t="n">
        <v>5510000</v>
      </c>
      <c r="D754" s="1" t="n">
        <v>25768.5</v>
      </c>
      <c r="E754" s="1" t="n">
        <v>0.0124</v>
      </c>
      <c r="F754" s="1" t="n">
        <v>0.0576</v>
      </c>
    </row>
    <row r="755" customFormat="false" ht="15" hidden="false" customHeight="false" outlineLevel="0" collapsed="false">
      <c r="A755" s="1" t="s">
        <v>790</v>
      </c>
      <c r="B755" s="1" t="s">
        <v>92</v>
      </c>
      <c r="C755" s="1" t="n">
        <v>4240000</v>
      </c>
      <c r="D755" s="1" t="n">
        <v>605317.1</v>
      </c>
      <c r="E755" s="1" t="n">
        <v>0.0078</v>
      </c>
      <c r="F755" s="1" t="n">
        <v>0.0654</v>
      </c>
    </row>
    <row r="756" customFormat="false" ht="15" hidden="false" customHeight="false" outlineLevel="0" collapsed="false">
      <c r="A756" s="1" t="s">
        <v>791</v>
      </c>
      <c r="B756" s="1" t="s">
        <v>62</v>
      </c>
      <c r="C756" s="1" t="n">
        <v>4560000</v>
      </c>
      <c r="D756" s="1" t="n">
        <v>186420</v>
      </c>
      <c r="E756" s="1" t="n">
        <v>0.046</v>
      </c>
      <c r="F756" s="1" t="n">
        <v>0.0759</v>
      </c>
    </row>
    <row r="757" customFormat="false" ht="15" hidden="false" customHeight="false" outlineLevel="0" collapsed="false">
      <c r="A757" s="1" t="s">
        <v>792</v>
      </c>
      <c r="B757" s="1" t="s">
        <v>88</v>
      </c>
      <c r="C757" s="1" t="n">
        <v>5880000</v>
      </c>
      <c r="D757" s="1" t="n">
        <v>170716.6</v>
      </c>
      <c r="E757" s="1" t="n">
        <v>0.0553</v>
      </c>
      <c r="F757" s="1" t="n">
        <v>0.0759</v>
      </c>
    </row>
    <row r="758" customFormat="false" ht="15" hidden="false" customHeight="false" outlineLevel="0" collapsed="false">
      <c r="A758" s="1" t="s">
        <v>793</v>
      </c>
      <c r="B758" s="1" t="s">
        <v>26</v>
      </c>
      <c r="C758" s="1" t="n">
        <v>4500000</v>
      </c>
      <c r="D758" s="1" t="n">
        <v>522.8</v>
      </c>
      <c r="E758" s="1" t="n">
        <v>0.0203</v>
      </c>
      <c r="F758" s="1" t="n">
        <v>0.1169</v>
      </c>
    </row>
    <row r="759" customFormat="false" ht="15" hidden="false" customHeight="false" outlineLevel="0" collapsed="false">
      <c r="A759" s="1" t="s">
        <v>794</v>
      </c>
      <c r="B759" s="1" t="s">
        <v>41</v>
      </c>
      <c r="C759" s="1" t="n">
        <v>4950000</v>
      </c>
      <c r="D759" s="1" t="n">
        <v>37785.3</v>
      </c>
      <c r="E759" s="1" t="n">
        <v>0.0731</v>
      </c>
      <c r="F759" s="1" t="n">
        <v>0.0938</v>
      </c>
    </row>
    <row r="760" customFormat="false" ht="15" hidden="false" customHeight="false" outlineLevel="0" collapsed="false">
      <c r="A760" s="1" t="s">
        <v>795</v>
      </c>
      <c r="B760" s="1" t="s">
        <v>41</v>
      </c>
      <c r="C760" s="1" t="n">
        <v>6330000</v>
      </c>
      <c r="D760" s="1" t="n">
        <v>989.5</v>
      </c>
      <c r="E760" s="1" t="n">
        <v>0.0151</v>
      </c>
      <c r="F760" s="1" t="n">
        <v>0.3832</v>
      </c>
    </row>
    <row r="761" customFormat="false" ht="15" hidden="false" customHeight="false" outlineLevel="0" collapsed="false">
      <c r="A761" s="1" t="s">
        <v>796</v>
      </c>
      <c r="B761" s="1" t="s">
        <v>41</v>
      </c>
      <c r="C761" s="1" t="n">
        <v>6480000</v>
      </c>
      <c r="D761" s="1" t="n">
        <v>1200010.4</v>
      </c>
      <c r="E761" s="1" t="n">
        <v>0.0324</v>
      </c>
      <c r="F761" s="1" t="n">
        <v>0.0951</v>
      </c>
    </row>
    <row r="762" customFormat="false" ht="15" hidden="false" customHeight="false" outlineLevel="0" collapsed="false">
      <c r="A762" s="1" t="s">
        <v>797</v>
      </c>
      <c r="B762" s="1" t="s">
        <v>53</v>
      </c>
      <c r="C762" s="1" t="n">
        <v>5380000</v>
      </c>
      <c r="D762" s="1" t="n">
        <v>172332.7</v>
      </c>
      <c r="E762" s="1" t="n">
        <v>0.0426</v>
      </c>
      <c r="F762" s="1" t="n">
        <v>0.0951</v>
      </c>
    </row>
    <row r="763" customFormat="false" ht="15" hidden="false" customHeight="false" outlineLevel="0" collapsed="false">
      <c r="A763" s="1" t="s">
        <v>798</v>
      </c>
      <c r="B763" s="1" t="s">
        <v>26</v>
      </c>
      <c r="C763" s="1" t="n">
        <v>6430000</v>
      </c>
      <c r="D763" s="1" t="n">
        <v>151184.2</v>
      </c>
      <c r="E763" s="1" t="n">
        <v>0.0334</v>
      </c>
      <c r="F763" s="1" t="n">
        <v>0.0759</v>
      </c>
    </row>
    <row r="764" customFormat="false" ht="15" hidden="false" customHeight="false" outlineLevel="0" collapsed="false">
      <c r="A764" s="1" t="s">
        <v>799</v>
      </c>
      <c r="B764" s="1" t="s">
        <v>26</v>
      </c>
      <c r="C764" s="1" t="n">
        <v>10600000</v>
      </c>
      <c r="D764" s="1" t="n">
        <v>21930.7</v>
      </c>
      <c r="E764" s="1" t="n">
        <v>0.0073</v>
      </c>
      <c r="F764" s="1" t="n">
        <v>0.0811</v>
      </c>
    </row>
    <row r="765" customFormat="false" ht="15" hidden="false" customHeight="false" outlineLevel="0" collapsed="false">
      <c r="A765" s="1" t="s">
        <v>800</v>
      </c>
      <c r="B765" s="1" t="s">
        <v>62</v>
      </c>
      <c r="C765" s="1" t="n">
        <v>5020000</v>
      </c>
      <c r="D765" s="1" t="n">
        <v>16998</v>
      </c>
      <c r="E765" s="1" t="n">
        <v>0.0415</v>
      </c>
      <c r="F765" s="1" t="n">
        <v>0.0938</v>
      </c>
    </row>
    <row r="766" customFormat="false" ht="15" hidden="false" customHeight="false" outlineLevel="0" collapsed="false">
      <c r="A766" s="1" t="s">
        <v>801</v>
      </c>
      <c r="B766" s="1" t="s">
        <v>26</v>
      </c>
      <c r="C766" s="1" t="n">
        <v>5570000</v>
      </c>
      <c r="D766" s="1" t="n">
        <v>30582.7</v>
      </c>
      <c r="E766" s="1" t="n">
        <v>0.0129</v>
      </c>
      <c r="F766" s="1" t="n">
        <v>0.1013</v>
      </c>
    </row>
    <row r="767" customFormat="false" ht="15" hidden="false" customHeight="false" outlineLevel="0" collapsed="false">
      <c r="A767" s="1" t="s">
        <v>802</v>
      </c>
      <c r="B767" s="1" t="s">
        <v>26</v>
      </c>
      <c r="C767" s="1" t="n">
        <v>6050000</v>
      </c>
      <c r="D767" s="1" t="n">
        <v>84344.9</v>
      </c>
      <c r="E767" s="1" t="n">
        <v>0.0454</v>
      </c>
      <c r="F767" s="1" t="n">
        <v>0.0759</v>
      </c>
    </row>
    <row r="768" customFormat="false" ht="15" hidden="false" customHeight="false" outlineLevel="0" collapsed="false">
      <c r="A768" s="1" t="s">
        <v>803</v>
      </c>
      <c r="B768" s="1" t="s">
        <v>53</v>
      </c>
      <c r="C768" s="1" t="n">
        <v>6280000</v>
      </c>
      <c r="D768" s="1" t="n">
        <v>11956.9</v>
      </c>
      <c r="E768" s="1" t="n">
        <v>0.0351</v>
      </c>
      <c r="F768" s="1" t="n">
        <v>0.0938</v>
      </c>
    </row>
    <row r="769" customFormat="false" ht="15" hidden="false" customHeight="false" outlineLevel="0" collapsed="false">
      <c r="A769" s="1" t="s">
        <v>804</v>
      </c>
      <c r="B769" s="1" t="s">
        <v>88</v>
      </c>
      <c r="C769" s="1" t="n">
        <v>4080000</v>
      </c>
      <c r="D769" s="1" t="n">
        <v>112788.9</v>
      </c>
      <c r="E769" s="1" t="n">
        <v>0.0061</v>
      </c>
      <c r="F769" s="1" t="n">
        <v>0.0654</v>
      </c>
    </row>
    <row r="770" customFormat="false" ht="15" hidden="false" customHeight="false" outlineLevel="0" collapsed="false">
      <c r="A770" s="1" t="s">
        <v>805</v>
      </c>
      <c r="B770" s="1" t="s">
        <v>81</v>
      </c>
      <c r="C770" s="1" t="n">
        <v>5230000</v>
      </c>
      <c r="D770" s="1" t="n">
        <v>166714.7</v>
      </c>
      <c r="E770" s="1" t="n">
        <v>0.0343</v>
      </c>
      <c r="F770" s="1" t="n">
        <v>0.0938</v>
      </c>
    </row>
    <row r="771" customFormat="false" ht="15" hidden="false" customHeight="false" outlineLevel="0" collapsed="false">
      <c r="A771" s="1" t="s">
        <v>806</v>
      </c>
      <c r="B771" s="1" t="s">
        <v>50</v>
      </c>
      <c r="C771" s="1" t="n">
        <v>4720000</v>
      </c>
      <c r="D771" s="1" t="n">
        <v>256343.2</v>
      </c>
      <c r="E771" s="1" t="n">
        <v>0.0161</v>
      </c>
      <c r="F771" s="1" t="n">
        <v>0.0757</v>
      </c>
    </row>
    <row r="772" customFormat="false" ht="15" hidden="false" customHeight="false" outlineLevel="0" collapsed="false">
      <c r="A772" s="1" t="s">
        <v>807</v>
      </c>
      <c r="B772" s="1" t="s">
        <v>32</v>
      </c>
      <c r="C772" s="1" t="n">
        <v>6030000</v>
      </c>
      <c r="D772" s="1" t="n">
        <v>75276.8</v>
      </c>
      <c r="E772" s="1" t="n">
        <v>0.0051</v>
      </c>
      <c r="F772" s="1" t="n">
        <v>0.0654</v>
      </c>
    </row>
    <row r="773" customFormat="false" ht="15" hidden="false" customHeight="false" outlineLevel="0" collapsed="false">
      <c r="A773" s="1" t="s">
        <v>808</v>
      </c>
      <c r="B773" s="1" t="s">
        <v>41</v>
      </c>
      <c r="C773" s="1" t="n">
        <v>4220000</v>
      </c>
      <c r="D773" s="1" t="n">
        <v>4583.6</v>
      </c>
      <c r="E773" s="1" t="n">
        <v>0.0593</v>
      </c>
      <c r="F773" s="1" t="n">
        <v>0.0833</v>
      </c>
    </row>
    <row r="774" customFormat="false" ht="15" hidden="false" customHeight="false" outlineLevel="0" collapsed="false">
      <c r="A774" s="1" t="s">
        <v>809</v>
      </c>
      <c r="B774" s="1" t="s">
        <v>41</v>
      </c>
      <c r="C774" s="1" t="n">
        <v>18000000</v>
      </c>
      <c r="D774" s="1" t="n">
        <v>1248251.8</v>
      </c>
      <c r="E774" s="1" t="n">
        <v>0.0075</v>
      </c>
      <c r="F774" s="1" t="n">
        <v>0.0811</v>
      </c>
    </row>
    <row r="775" customFormat="false" ht="15" hidden="false" customHeight="false" outlineLevel="0" collapsed="false">
      <c r="A775" s="1" t="s">
        <v>810</v>
      </c>
      <c r="B775" s="1" t="s">
        <v>26</v>
      </c>
      <c r="C775" s="1" t="n">
        <v>5510000</v>
      </c>
      <c r="D775" s="1" t="n">
        <v>2096907.8</v>
      </c>
      <c r="E775" s="1" t="n">
        <v>0.0242</v>
      </c>
      <c r="F775" s="1" t="n">
        <v>0.0518</v>
      </c>
    </row>
    <row r="776" customFormat="false" ht="15" hidden="false" customHeight="false" outlineLevel="0" collapsed="false">
      <c r="A776" s="1" t="s">
        <v>811</v>
      </c>
      <c r="B776" s="1" t="s">
        <v>41</v>
      </c>
      <c r="C776" s="1" t="n">
        <v>6390000</v>
      </c>
      <c r="D776" s="1" t="n">
        <v>17773.2</v>
      </c>
      <c r="F776" s="1" t="n">
        <v>0.0409</v>
      </c>
    </row>
    <row r="777" customFormat="false" ht="15" hidden="false" customHeight="false" outlineLevel="0" collapsed="false">
      <c r="A777" s="1" t="s">
        <v>812</v>
      </c>
      <c r="B777" s="1" t="s">
        <v>41</v>
      </c>
      <c r="C777" s="1" t="n">
        <v>4120000</v>
      </c>
      <c r="D777" s="1" t="n">
        <v>22990.4</v>
      </c>
      <c r="E777" s="1" t="n">
        <v>0.0514</v>
      </c>
      <c r="F777" s="1" t="n">
        <v>0.0938</v>
      </c>
    </row>
    <row r="778" customFormat="false" ht="15" hidden="false" customHeight="false" outlineLevel="0" collapsed="false">
      <c r="A778" s="1" t="s">
        <v>813</v>
      </c>
      <c r="B778" s="1" t="s">
        <v>71</v>
      </c>
      <c r="C778" s="1" t="n">
        <v>4420000</v>
      </c>
      <c r="D778" s="1" t="n">
        <v>138253</v>
      </c>
      <c r="E778" s="1" t="n">
        <v>0.0586</v>
      </c>
      <c r="F778" s="1" t="n">
        <v>0.0938</v>
      </c>
    </row>
    <row r="779" customFormat="false" ht="15" hidden="false" customHeight="false" outlineLevel="0" collapsed="false">
      <c r="A779" s="1" t="s">
        <v>814</v>
      </c>
      <c r="B779" s="1" t="s">
        <v>92</v>
      </c>
      <c r="C779" s="1" t="n">
        <v>1660000</v>
      </c>
      <c r="D779" s="1" t="n">
        <v>5514.7</v>
      </c>
      <c r="E779" s="1" t="n">
        <v>0.0154</v>
      </c>
      <c r="F779" s="1" t="n">
        <v>0.0585</v>
      </c>
    </row>
    <row r="780" customFormat="false" ht="15" hidden="false" customHeight="false" outlineLevel="0" collapsed="false">
      <c r="A780" s="1" t="s">
        <v>815</v>
      </c>
      <c r="B780" s="1" t="s">
        <v>92</v>
      </c>
      <c r="C780" s="1" t="n">
        <v>4440000</v>
      </c>
      <c r="D780" s="1" t="n">
        <v>28813.2</v>
      </c>
      <c r="E780" s="1" t="n">
        <v>0.0218</v>
      </c>
      <c r="F780" s="1" t="n">
        <v>0.0759</v>
      </c>
    </row>
    <row r="781" customFormat="false" ht="15" hidden="false" customHeight="false" outlineLevel="0" collapsed="false">
      <c r="A781" s="1" t="s">
        <v>816</v>
      </c>
      <c r="B781" s="1" t="s">
        <v>26</v>
      </c>
      <c r="C781" s="1" t="n">
        <v>4780000</v>
      </c>
      <c r="D781" s="1" t="n">
        <v>52470.3</v>
      </c>
      <c r="E781" s="1" t="n">
        <v>0.0074</v>
      </c>
      <c r="F781" s="1" t="n">
        <v>0.0811</v>
      </c>
    </row>
    <row r="782" customFormat="false" ht="15" hidden="false" customHeight="false" outlineLevel="0" collapsed="false">
      <c r="A782" s="1" t="s">
        <v>817</v>
      </c>
      <c r="B782" s="1" t="s">
        <v>26</v>
      </c>
      <c r="C782" s="1" t="n">
        <v>4650000</v>
      </c>
      <c r="D782" s="1" t="n">
        <v>441083.6</v>
      </c>
      <c r="E782" s="1" t="n">
        <v>0.0438</v>
      </c>
      <c r="F782" s="1" t="n">
        <v>0.0759</v>
      </c>
    </row>
    <row r="783" customFormat="false" ht="15" hidden="false" customHeight="false" outlineLevel="0" collapsed="false">
      <c r="A783" s="1" t="s">
        <v>818</v>
      </c>
      <c r="B783" s="1" t="s">
        <v>26</v>
      </c>
      <c r="C783" s="1" t="n">
        <v>4390000</v>
      </c>
      <c r="D783" s="1" t="n">
        <v>151943</v>
      </c>
      <c r="E783" s="1" t="n">
        <v>0.0308</v>
      </c>
      <c r="F783" s="1" t="n">
        <v>0.0759</v>
      </c>
    </row>
    <row r="784" customFormat="false" ht="15" hidden="false" customHeight="false" outlineLevel="0" collapsed="false">
      <c r="A784" s="1" t="s">
        <v>819</v>
      </c>
      <c r="B784" s="1" t="s">
        <v>214</v>
      </c>
      <c r="C784" s="1" t="n">
        <v>3960000</v>
      </c>
      <c r="D784" s="1" t="n">
        <v>19636.3</v>
      </c>
      <c r="E784" s="1" t="n">
        <v>0.0175</v>
      </c>
      <c r="F784" s="1" t="n">
        <v>0.131</v>
      </c>
    </row>
    <row r="785" customFormat="false" ht="15" hidden="false" customHeight="false" outlineLevel="0" collapsed="false">
      <c r="A785" s="1" t="s">
        <v>820</v>
      </c>
      <c r="B785" s="1" t="s">
        <v>26</v>
      </c>
      <c r="C785" s="1" t="n">
        <v>4040000</v>
      </c>
      <c r="D785" s="1" t="n">
        <v>291765</v>
      </c>
      <c r="E785" s="1" t="n">
        <v>0.0622</v>
      </c>
      <c r="F785" s="1" t="n">
        <v>0.0759</v>
      </c>
    </row>
    <row r="786" customFormat="false" ht="15" hidden="false" customHeight="false" outlineLevel="0" collapsed="false">
      <c r="A786" s="1" t="s">
        <v>821</v>
      </c>
      <c r="B786" s="1" t="s">
        <v>88</v>
      </c>
      <c r="C786" s="1" t="n">
        <v>4190000</v>
      </c>
      <c r="D786" s="1" t="n">
        <v>774.2</v>
      </c>
      <c r="E786" s="1" t="n">
        <v>0.0645</v>
      </c>
      <c r="F786" s="1" t="n">
        <v>0.0938</v>
      </c>
    </row>
    <row r="787" customFormat="false" ht="15" hidden="false" customHeight="false" outlineLevel="0" collapsed="false">
      <c r="A787" s="1" t="s">
        <v>822</v>
      </c>
      <c r="B787" s="1" t="s">
        <v>26</v>
      </c>
      <c r="C787" s="1" t="n">
        <v>8050000</v>
      </c>
      <c r="D787" s="1" t="n">
        <v>373259.5</v>
      </c>
      <c r="E787" s="1" t="n">
        <v>0.0625</v>
      </c>
      <c r="F787" s="1" t="n">
        <v>0.0759</v>
      </c>
    </row>
    <row r="788" customFormat="false" ht="15" hidden="false" customHeight="false" outlineLevel="0" collapsed="false">
      <c r="A788" s="1" t="s">
        <v>823</v>
      </c>
      <c r="B788" s="1" t="s">
        <v>30</v>
      </c>
      <c r="C788" s="1" t="n">
        <v>4700000</v>
      </c>
      <c r="D788" s="1" t="n">
        <v>6127846.4</v>
      </c>
      <c r="E788" s="1" t="n">
        <v>0.0476</v>
      </c>
      <c r="F788" s="1" t="n">
        <v>0.0518</v>
      </c>
    </row>
    <row r="789" customFormat="false" ht="15" hidden="false" customHeight="false" outlineLevel="0" collapsed="false">
      <c r="A789" s="1" t="s">
        <v>824</v>
      </c>
      <c r="B789" s="1" t="s">
        <v>21</v>
      </c>
      <c r="C789" s="1" t="n">
        <v>5010000</v>
      </c>
      <c r="D789" s="1" t="n">
        <v>68574.8</v>
      </c>
      <c r="E789" s="1" t="n">
        <v>0.0101</v>
      </c>
      <c r="F789" s="1" t="n">
        <v>0.0654</v>
      </c>
    </row>
    <row r="790" customFormat="false" ht="15" hidden="false" customHeight="false" outlineLevel="0" collapsed="false">
      <c r="A790" s="1" t="s">
        <v>825</v>
      </c>
      <c r="B790" s="1" t="s">
        <v>53</v>
      </c>
      <c r="C790" s="1" t="n">
        <v>3730000</v>
      </c>
      <c r="D790" s="1" t="n">
        <v>45393.7</v>
      </c>
      <c r="E790" s="1" t="n">
        <v>0.0623</v>
      </c>
      <c r="F790" s="1" t="n">
        <v>0.0951</v>
      </c>
    </row>
    <row r="791" customFormat="false" ht="15" hidden="false" customHeight="false" outlineLevel="0" collapsed="false">
      <c r="A791" s="1" t="s">
        <v>826</v>
      </c>
      <c r="B791" s="1" t="s">
        <v>32</v>
      </c>
      <c r="C791" s="1" t="n">
        <v>4180000</v>
      </c>
      <c r="D791" s="1" t="n">
        <v>11067.3</v>
      </c>
      <c r="E791" s="1" t="n">
        <v>0.0201</v>
      </c>
      <c r="F791" s="1" t="n">
        <v>0.1053</v>
      </c>
    </row>
    <row r="792" customFormat="false" ht="15" hidden="false" customHeight="false" outlineLevel="0" collapsed="false">
      <c r="A792" s="1" t="s">
        <v>827</v>
      </c>
      <c r="B792" s="1" t="s">
        <v>26</v>
      </c>
      <c r="C792" s="1" t="n">
        <v>4010000</v>
      </c>
      <c r="D792" s="1" t="n">
        <v>118249.9</v>
      </c>
      <c r="E792" s="1" t="n">
        <v>0.0568</v>
      </c>
      <c r="F792" s="1" t="n">
        <v>0.0938</v>
      </c>
    </row>
    <row r="793" customFormat="false" ht="15" hidden="false" customHeight="false" outlineLevel="0" collapsed="false">
      <c r="A793" s="1" t="s">
        <v>828</v>
      </c>
      <c r="B793" s="1" t="s">
        <v>53</v>
      </c>
      <c r="C793" s="1" t="n">
        <v>4440000</v>
      </c>
      <c r="D793" s="1" t="n">
        <v>1143.8</v>
      </c>
      <c r="E793" s="1" t="n">
        <v>0.034</v>
      </c>
      <c r="F793" s="1" t="n">
        <v>0.051</v>
      </c>
    </row>
    <row r="794" customFormat="false" ht="15" hidden="false" customHeight="false" outlineLevel="0" collapsed="false">
      <c r="A794" s="1" t="s">
        <v>829</v>
      </c>
      <c r="B794" s="1" t="s">
        <v>50</v>
      </c>
      <c r="C794" s="1" t="n">
        <v>4110000</v>
      </c>
      <c r="D794" s="1" t="n">
        <v>14343.2</v>
      </c>
      <c r="E794" s="1" t="n">
        <v>0.0669</v>
      </c>
      <c r="F794" s="1" t="n">
        <v>0.0759</v>
      </c>
    </row>
    <row r="795" customFormat="false" ht="15" hidden="false" customHeight="false" outlineLevel="0" collapsed="false">
      <c r="A795" s="1" t="s">
        <v>830</v>
      </c>
      <c r="B795" s="1" t="s">
        <v>26</v>
      </c>
      <c r="C795" s="1" t="n">
        <v>4470000</v>
      </c>
      <c r="D795" s="1" t="n">
        <v>404515.2</v>
      </c>
      <c r="E795" s="1" t="n">
        <v>0.0446</v>
      </c>
      <c r="F795" s="1" t="n">
        <v>0.0759</v>
      </c>
    </row>
    <row r="796" customFormat="false" ht="15" hidden="false" customHeight="false" outlineLevel="0" collapsed="false">
      <c r="A796" s="1" t="s">
        <v>831</v>
      </c>
      <c r="B796" s="1" t="s">
        <v>41</v>
      </c>
      <c r="C796" s="1" t="n">
        <v>4400000</v>
      </c>
      <c r="D796" s="1" t="n">
        <v>106204.9</v>
      </c>
      <c r="E796" s="1" t="n">
        <v>0.0235</v>
      </c>
      <c r="F796" s="1" t="n">
        <v>0.1308</v>
      </c>
    </row>
    <row r="797" customFormat="false" ht="15" hidden="false" customHeight="false" outlineLevel="0" collapsed="false">
      <c r="A797" s="1" t="s">
        <v>832</v>
      </c>
      <c r="B797" s="1" t="s">
        <v>92</v>
      </c>
      <c r="C797" s="1" t="n">
        <v>5000000</v>
      </c>
      <c r="D797" s="1" t="n">
        <v>174643</v>
      </c>
      <c r="E797" s="1" t="n">
        <v>0.0195</v>
      </c>
      <c r="F797" s="1" t="n">
        <v>0.0937</v>
      </c>
    </row>
    <row r="798" customFormat="false" ht="15" hidden="false" customHeight="false" outlineLevel="0" collapsed="false">
      <c r="A798" s="1" t="s">
        <v>833</v>
      </c>
      <c r="B798" s="1" t="s">
        <v>41</v>
      </c>
      <c r="C798" s="1" t="n">
        <v>10400000</v>
      </c>
      <c r="D798" s="1" t="n">
        <v>272639.4</v>
      </c>
      <c r="E798" s="1" t="n">
        <v>0.058</v>
      </c>
      <c r="F798" s="1" t="n">
        <v>0.0938</v>
      </c>
    </row>
    <row r="799" customFormat="false" ht="15" hidden="false" customHeight="false" outlineLevel="0" collapsed="false">
      <c r="A799" s="1" t="s">
        <v>834</v>
      </c>
      <c r="B799" s="1" t="s">
        <v>41</v>
      </c>
      <c r="C799" s="1" t="n">
        <v>4120000</v>
      </c>
      <c r="D799" s="1" t="n">
        <v>2879.9</v>
      </c>
      <c r="E799" s="1" t="n">
        <v>0.0816</v>
      </c>
      <c r="F799" s="1" t="n">
        <v>0.117</v>
      </c>
    </row>
    <row r="800" customFormat="false" ht="15" hidden="false" customHeight="false" outlineLevel="0" collapsed="false">
      <c r="A800" s="1" t="s">
        <v>835</v>
      </c>
      <c r="B800" s="1" t="s">
        <v>41</v>
      </c>
      <c r="C800" s="1" t="n">
        <v>9560000</v>
      </c>
      <c r="D800" s="1" t="n">
        <v>1534.2</v>
      </c>
      <c r="E800" s="1" t="n">
        <v>0.0158</v>
      </c>
      <c r="F800" s="1" t="n">
        <v>0.0608</v>
      </c>
    </row>
    <row r="801" customFormat="false" ht="15" hidden="false" customHeight="false" outlineLevel="0" collapsed="false">
      <c r="A801" s="1" t="s">
        <v>836</v>
      </c>
      <c r="B801" s="1" t="s">
        <v>32</v>
      </c>
      <c r="C801" s="1" t="n">
        <v>1690000</v>
      </c>
      <c r="D801" s="1" t="n">
        <v>40709.4</v>
      </c>
      <c r="E801" s="1" t="n">
        <v>0.0103</v>
      </c>
      <c r="F801" s="1" t="n">
        <v>0.0822</v>
      </c>
    </row>
    <row r="802" customFormat="false" ht="15" hidden="false" customHeight="false" outlineLevel="0" collapsed="false">
      <c r="A802" s="1" t="s">
        <v>837</v>
      </c>
      <c r="B802" s="1" t="s">
        <v>26</v>
      </c>
      <c r="C802" s="1" t="n">
        <v>6490000</v>
      </c>
      <c r="D802" s="1" t="n">
        <v>811046.6</v>
      </c>
      <c r="E802" s="1" t="n">
        <v>0.0111</v>
      </c>
      <c r="F802" s="1" t="n">
        <v>0.0654</v>
      </c>
    </row>
    <row r="803" customFormat="false" ht="15" hidden="false" customHeight="false" outlineLevel="0" collapsed="false">
      <c r="A803" s="1" t="s">
        <v>838</v>
      </c>
      <c r="B803" s="1" t="s">
        <v>92</v>
      </c>
      <c r="C803" s="1" t="n">
        <v>5640000</v>
      </c>
      <c r="D803" s="1" t="n">
        <v>254244.2</v>
      </c>
      <c r="E803" s="1" t="n">
        <v>0.0315</v>
      </c>
      <c r="F803" s="1" t="n">
        <v>0.0409</v>
      </c>
    </row>
    <row r="804" customFormat="false" ht="15" hidden="false" customHeight="false" outlineLevel="0" collapsed="false">
      <c r="A804" s="1" t="s">
        <v>839</v>
      </c>
      <c r="B804" s="1" t="s">
        <v>92</v>
      </c>
      <c r="C804" s="1" t="n">
        <v>7560000</v>
      </c>
      <c r="D804" s="1" t="n">
        <v>849540</v>
      </c>
      <c r="E804" s="1" t="n">
        <v>0.0227</v>
      </c>
      <c r="F804" s="1" t="n">
        <v>0.0538</v>
      </c>
    </row>
    <row r="805" customFormat="false" ht="15" hidden="false" customHeight="false" outlineLevel="0" collapsed="false">
      <c r="A805" s="1" t="s">
        <v>840</v>
      </c>
      <c r="B805" s="1" t="s">
        <v>26</v>
      </c>
      <c r="C805" s="1" t="n">
        <v>4750000</v>
      </c>
      <c r="D805" s="1" t="n">
        <v>245232.6</v>
      </c>
      <c r="E805" s="1" t="n">
        <v>0.0328</v>
      </c>
      <c r="F805" s="1" t="n">
        <v>0.0938</v>
      </c>
    </row>
    <row r="806" customFormat="false" ht="15" hidden="false" customHeight="false" outlineLevel="0" collapsed="false">
      <c r="A806" s="1" t="s">
        <v>841</v>
      </c>
      <c r="B806" s="1" t="s">
        <v>26</v>
      </c>
      <c r="C806" s="1" t="n">
        <v>4970000</v>
      </c>
      <c r="D806" s="1" t="n">
        <v>373629.6</v>
      </c>
      <c r="E806" s="1" t="n">
        <v>0.0325</v>
      </c>
      <c r="F806" s="1" t="n">
        <v>0.0938</v>
      </c>
    </row>
    <row r="807" customFormat="false" ht="15" hidden="false" customHeight="false" outlineLevel="0" collapsed="false">
      <c r="A807" s="1" t="s">
        <v>842</v>
      </c>
      <c r="B807" s="1" t="s">
        <v>21</v>
      </c>
      <c r="C807" s="1" t="n">
        <v>5660000</v>
      </c>
      <c r="D807" s="1" t="n">
        <v>14868.2</v>
      </c>
      <c r="E807" s="1" t="n">
        <v>0.0041</v>
      </c>
      <c r="F807" s="1" t="n">
        <v>0.0811</v>
      </c>
    </row>
    <row r="808" customFormat="false" ht="15" hidden="false" customHeight="false" outlineLevel="0" collapsed="false">
      <c r="A808" s="1" t="s">
        <v>843</v>
      </c>
      <c r="B808" s="1" t="s">
        <v>26</v>
      </c>
      <c r="C808" s="1" t="n">
        <v>5240000</v>
      </c>
      <c r="D808" s="1" t="n">
        <v>115391.4</v>
      </c>
      <c r="E808" s="1" t="n">
        <v>0.0271</v>
      </c>
      <c r="F808" s="1" t="n">
        <v>0.051</v>
      </c>
    </row>
    <row r="809" customFormat="false" ht="15" hidden="false" customHeight="false" outlineLevel="0" collapsed="false">
      <c r="A809" s="1" t="s">
        <v>844</v>
      </c>
      <c r="B809" s="1" t="s">
        <v>30</v>
      </c>
      <c r="C809" s="1" t="n">
        <v>5290000</v>
      </c>
      <c r="D809" s="1" t="n">
        <v>283571.3</v>
      </c>
      <c r="E809" s="1" t="n">
        <v>0.0054</v>
      </c>
      <c r="F809" s="1" t="n">
        <v>0.0822</v>
      </c>
    </row>
    <row r="810" customFormat="false" ht="15" hidden="false" customHeight="false" outlineLevel="0" collapsed="false">
      <c r="A810" s="1" t="s">
        <v>845</v>
      </c>
      <c r="B810" s="1" t="s">
        <v>92</v>
      </c>
      <c r="C810" s="1" t="n">
        <v>4680000</v>
      </c>
      <c r="D810" s="1" t="n">
        <v>51862.7</v>
      </c>
      <c r="E810" s="1" t="n">
        <v>0.0359</v>
      </c>
      <c r="F810" s="1" t="n">
        <v>0.0938</v>
      </c>
    </row>
    <row r="811" customFormat="false" ht="15" hidden="false" customHeight="false" outlineLevel="0" collapsed="false">
      <c r="A811" s="1" t="s">
        <v>846</v>
      </c>
      <c r="B811" s="1" t="s">
        <v>287</v>
      </c>
      <c r="C811" s="1" t="n">
        <v>11700000</v>
      </c>
      <c r="D811" s="1" t="n">
        <v>3282256.6</v>
      </c>
      <c r="E811" s="1" t="n">
        <v>0.0235</v>
      </c>
      <c r="F811" s="1" t="n">
        <v>0.0409</v>
      </c>
    </row>
    <row r="812" customFormat="false" ht="15" hidden="false" customHeight="false" outlineLevel="0" collapsed="false">
      <c r="A812" s="1" t="s">
        <v>847</v>
      </c>
      <c r="B812" s="1" t="s">
        <v>26</v>
      </c>
      <c r="C812" s="1" t="n">
        <v>4910000</v>
      </c>
      <c r="D812" s="1" t="n">
        <v>215662.7</v>
      </c>
      <c r="E812" s="1" t="n">
        <v>0.0557</v>
      </c>
      <c r="F812" s="1" t="n">
        <v>0.0409</v>
      </c>
    </row>
    <row r="813" customFormat="false" ht="15" hidden="false" customHeight="false" outlineLevel="0" collapsed="false">
      <c r="A813" s="1" t="s">
        <v>848</v>
      </c>
      <c r="B813" s="1" t="s">
        <v>26</v>
      </c>
      <c r="C813" s="1" t="n">
        <v>4790000</v>
      </c>
      <c r="D813" s="1" t="n">
        <v>192277.6</v>
      </c>
      <c r="E813" s="1" t="n">
        <v>0.0574</v>
      </c>
      <c r="F813" s="1" t="n">
        <v>0.0672</v>
      </c>
    </row>
    <row r="814" customFormat="false" ht="15" hidden="false" customHeight="false" outlineLevel="0" collapsed="false">
      <c r="A814" s="1" t="s">
        <v>849</v>
      </c>
      <c r="B814" s="1" t="s">
        <v>30</v>
      </c>
      <c r="C814" s="1" t="n">
        <v>3980000</v>
      </c>
      <c r="D814" s="1" t="n">
        <v>470320</v>
      </c>
      <c r="E814" s="1" t="n">
        <v>0.0309</v>
      </c>
      <c r="F814" s="1" t="n">
        <v>0.0951</v>
      </c>
    </row>
    <row r="815" customFormat="false" ht="15" hidden="false" customHeight="false" outlineLevel="0" collapsed="false">
      <c r="A815" s="1" t="s">
        <v>850</v>
      </c>
      <c r="B815" s="1" t="s">
        <v>30</v>
      </c>
      <c r="C815" s="1" t="n">
        <v>4890000</v>
      </c>
      <c r="D815" s="1" t="n">
        <v>84.1</v>
      </c>
      <c r="E815" s="1" t="n">
        <v>0.0104</v>
      </c>
      <c r="F815" s="1" t="n">
        <v>0.1539</v>
      </c>
    </row>
    <row r="816" customFormat="false" ht="15" hidden="false" customHeight="false" outlineLevel="0" collapsed="false">
      <c r="A816" s="1" t="s">
        <v>851</v>
      </c>
      <c r="B816" s="1" t="s">
        <v>26</v>
      </c>
      <c r="C816" s="1" t="n">
        <v>4010000</v>
      </c>
      <c r="D816" s="1" t="n">
        <v>26925.6</v>
      </c>
      <c r="E816" s="1" t="n">
        <v>0.0168</v>
      </c>
      <c r="F816" s="1" t="n">
        <v>0.0462</v>
      </c>
    </row>
    <row r="817" customFormat="false" ht="15" hidden="false" customHeight="false" outlineLevel="0" collapsed="false">
      <c r="A817" s="1" t="s">
        <v>852</v>
      </c>
      <c r="B817" s="1" t="s">
        <v>35</v>
      </c>
      <c r="C817" s="1" t="n">
        <v>4790000</v>
      </c>
      <c r="D817" s="1" t="n">
        <v>5964.2</v>
      </c>
      <c r="E817" s="1" t="n">
        <v>0.0101</v>
      </c>
      <c r="F817" s="1" t="n">
        <v>0.0811</v>
      </c>
    </row>
    <row r="818" customFormat="false" ht="15" hidden="false" customHeight="false" outlineLevel="0" collapsed="false">
      <c r="A818" s="1" t="s">
        <v>853</v>
      </c>
      <c r="B818" s="1" t="s">
        <v>28</v>
      </c>
      <c r="C818" s="1" t="n">
        <v>3920000</v>
      </c>
      <c r="D818" s="1" t="n">
        <v>1410035.2</v>
      </c>
      <c r="E818" s="1" t="n">
        <v>0.0039</v>
      </c>
      <c r="F818" s="1" t="n">
        <v>0.0822</v>
      </c>
    </row>
    <row r="819" customFormat="false" ht="15" hidden="false" customHeight="false" outlineLevel="0" collapsed="false">
      <c r="A819" s="1" t="s">
        <v>854</v>
      </c>
      <c r="B819" s="1" t="s">
        <v>26</v>
      </c>
      <c r="C819" s="1" t="n">
        <v>4100000</v>
      </c>
      <c r="D819" s="1" t="n">
        <v>37083.8</v>
      </c>
      <c r="E819" s="1" t="n">
        <v>0.0075</v>
      </c>
      <c r="F819" s="1" t="n">
        <v>0.0822</v>
      </c>
    </row>
    <row r="820" customFormat="false" ht="15" hidden="false" customHeight="false" outlineLevel="0" collapsed="false">
      <c r="A820" s="1" t="s">
        <v>855</v>
      </c>
      <c r="B820" s="1" t="s">
        <v>21</v>
      </c>
      <c r="C820" s="1" t="n">
        <v>6260000</v>
      </c>
      <c r="D820" s="1" t="n">
        <v>84434.2</v>
      </c>
      <c r="E820" s="1" t="n">
        <v>0.0948</v>
      </c>
      <c r="F820" s="1" t="n">
        <v>0.0938</v>
      </c>
    </row>
    <row r="821" customFormat="false" ht="15" hidden="false" customHeight="false" outlineLevel="0" collapsed="false">
      <c r="A821" s="1" t="s">
        <v>856</v>
      </c>
      <c r="B821" s="1" t="s">
        <v>26</v>
      </c>
      <c r="C821" s="1" t="n">
        <v>4490000</v>
      </c>
      <c r="D821" s="1" t="n">
        <v>14032.3</v>
      </c>
      <c r="E821" s="1" t="n">
        <v>0.0714</v>
      </c>
      <c r="F821" s="1" t="n">
        <v>0.0759</v>
      </c>
    </row>
    <row r="822" customFormat="false" ht="15" hidden="false" customHeight="false" outlineLevel="0" collapsed="false">
      <c r="A822" s="1" t="s">
        <v>857</v>
      </c>
      <c r="B822" s="1" t="s">
        <v>71</v>
      </c>
      <c r="C822" s="1" t="n">
        <v>4500000</v>
      </c>
      <c r="D822" s="1" t="n">
        <v>8436.5</v>
      </c>
      <c r="E822" s="1" t="n">
        <v>0.0298</v>
      </c>
      <c r="F822" s="1" t="n">
        <v>0.0938</v>
      </c>
    </row>
    <row r="823" customFormat="false" ht="15" hidden="false" customHeight="false" outlineLevel="0" collapsed="false">
      <c r="A823" s="1" t="s">
        <v>858</v>
      </c>
      <c r="B823" s="1" t="s">
        <v>26</v>
      </c>
      <c r="C823" s="1" t="n">
        <v>4260000</v>
      </c>
      <c r="D823" s="1" t="n">
        <v>167931.4</v>
      </c>
      <c r="E823" s="1" t="n">
        <v>0.0179</v>
      </c>
      <c r="F823" s="1" t="n">
        <v>0.0585</v>
      </c>
    </row>
    <row r="824" customFormat="false" ht="15" hidden="false" customHeight="false" outlineLevel="0" collapsed="false">
      <c r="A824" s="1" t="s">
        <v>859</v>
      </c>
      <c r="B824" s="1" t="s">
        <v>92</v>
      </c>
      <c r="C824" s="1" t="n">
        <v>7320000</v>
      </c>
      <c r="D824" s="1" t="n">
        <v>5667902.4</v>
      </c>
      <c r="E824" s="1" t="n">
        <v>0.0143</v>
      </c>
      <c r="F824" s="1" t="n">
        <v>0.0462</v>
      </c>
    </row>
    <row r="825" customFormat="false" ht="15" hidden="false" customHeight="false" outlineLevel="0" collapsed="false">
      <c r="A825" s="1" t="s">
        <v>860</v>
      </c>
      <c r="B825" s="1" t="s">
        <v>35</v>
      </c>
      <c r="C825" s="1" t="n">
        <v>4750000</v>
      </c>
      <c r="D825" s="1" t="n">
        <v>16326.2</v>
      </c>
      <c r="E825" s="1" t="n">
        <v>0.0288</v>
      </c>
      <c r="F825" s="1" t="n">
        <v>0.0759</v>
      </c>
    </row>
    <row r="826" customFormat="false" ht="15" hidden="false" customHeight="false" outlineLevel="0" collapsed="false">
      <c r="A826" s="1" t="s">
        <v>861</v>
      </c>
      <c r="B826" s="1" t="s">
        <v>26</v>
      </c>
      <c r="C826" s="1" t="n">
        <v>6690000</v>
      </c>
      <c r="D826" s="1" t="n">
        <v>1783310.4</v>
      </c>
      <c r="E826" s="1" t="n">
        <v>0.009</v>
      </c>
      <c r="F826" s="1" t="n">
        <v>0.0654</v>
      </c>
    </row>
    <row r="827" customFormat="false" ht="15" hidden="false" customHeight="false" outlineLevel="0" collapsed="false">
      <c r="A827" s="1" t="s">
        <v>862</v>
      </c>
      <c r="B827" s="1" t="s">
        <v>74</v>
      </c>
      <c r="C827" s="1" t="n">
        <v>756000</v>
      </c>
      <c r="D827" s="1" t="n">
        <v>2955</v>
      </c>
      <c r="E827" s="1" t="n">
        <v>0.0142</v>
      </c>
      <c r="F827" s="1" t="n">
        <v>0.0736</v>
      </c>
    </row>
    <row r="828" customFormat="false" ht="15" hidden="false" customHeight="false" outlineLevel="0" collapsed="false">
      <c r="A828" s="1" t="s">
        <v>863</v>
      </c>
      <c r="B828" s="1" t="s">
        <v>26</v>
      </c>
      <c r="C828" s="1" t="n">
        <v>3780000</v>
      </c>
      <c r="D828" s="1" t="n">
        <v>138382.4</v>
      </c>
      <c r="E828" s="1" t="n">
        <v>0.0338</v>
      </c>
      <c r="F828" s="1" t="n">
        <v>0.0951</v>
      </c>
    </row>
    <row r="829" customFormat="false" ht="15" hidden="false" customHeight="false" outlineLevel="0" collapsed="false">
      <c r="A829" s="1" t="s">
        <v>864</v>
      </c>
      <c r="B829" s="1" t="s">
        <v>92</v>
      </c>
      <c r="C829" s="1" t="n">
        <v>3980000</v>
      </c>
      <c r="D829" s="1" t="n">
        <v>243463</v>
      </c>
      <c r="E829" s="1" t="n">
        <v>0.0042</v>
      </c>
      <c r="F829" s="1" t="n">
        <v>0.0822</v>
      </c>
    </row>
    <row r="830" customFormat="false" ht="15" hidden="false" customHeight="false" outlineLevel="0" collapsed="false">
      <c r="A830" s="1" t="s">
        <v>865</v>
      </c>
      <c r="B830" s="1" t="s">
        <v>24</v>
      </c>
      <c r="C830" s="1" t="n">
        <v>4980000</v>
      </c>
      <c r="D830" s="1" t="n">
        <v>833207.3</v>
      </c>
      <c r="E830" s="1" t="n">
        <v>0.0062</v>
      </c>
      <c r="F830" s="1" t="n">
        <v>0.0654</v>
      </c>
    </row>
    <row r="831" customFormat="false" ht="15" hidden="false" customHeight="false" outlineLevel="0" collapsed="false">
      <c r="A831" s="1" t="s">
        <v>866</v>
      </c>
      <c r="B831" s="1" t="s">
        <v>30</v>
      </c>
      <c r="C831" s="1" t="n">
        <v>4000000</v>
      </c>
      <c r="D831" s="1" t="n">
        <v>8721.3</v>
      </c>
      <c r="E831" s="1" t="n">
        <v>0.0099</v>
      </c>
      <c r="F831" s="1" t="n">
        <v>0.0654</v>
      </c>
    </row>
    <row r="832" customFormat="false" ht="15" hidden="false" customHeight="false" outlineLevel="0" collapsed="false">
      <c r="A832" s="1" t="s">
        <v>867</v>
      </c>
      <c r="B832" s="1" t="s">
        <v>41</v>
      </c>
      <c r="C832" s="1" t="n">
        <v>8390000</v>
      </c>
      <c r="D832" s="1" t="n">
        <v>6134910</v>
      </c>
      <c r="E832" s="1" t="n">
        <v>0.031</v>
      </c>
      <c r="F832" s="1" t="n">
        <v>0.0951</v>
      </c>
    </row>
    <row r="833" customFormat="false" ht="15" hidden="false" customHeight="false" outlineLevel="0" collapsed="false">
      <c r="A833" s="1" t="s">
        <v>868</v>
      </c>
      <c r="B833" s="1" t="s">
        <v>53</v>
      </c>
      <c r="C833" s="1" t="n">
        <v>6050000</v>
      </c>
      <c r="D833" s="1" t="n">
        <v>446476</v>
      </c>
      <c r="E833" s="1" t="n">
        <v>0.0333</v>
      </c>
      <c r="F833" s="1" t="n">
        <v>0.0432</v>
      </c>
    </row>
    <row r="834" customFormat="false" ht="15" hidden="false" customHeight="false" outlineLevel="0" collapsed="false">
      <c r="A834" s="1" t="s">
        <v>869</v>
      </c>
      <c r="B834" s="1" t="s">
        <v>26</v>
      </c>
      <c r="C834" s="1" t="n">
        <v>4080000</v>
      </c>
      <c r="D834" s="1" t="n">
        <v>11519.7</v>
      </c>
      <c r="E834" s="1" t="n">
        <v>0.0181</v>
      </c>
      <c r="F834" s="1" t="n">
        <v>0.0576</v>
      </c>
    </row>
    <row r="835" customFormat="false" ht="15" hidden="false" customHeight="false" outlineLevel="0" collapsed="false">
      <c r="A835" s="1" t="s">
        <v>870</v>
      </c>
      <c r="B835" s="1" t="s">
        <v>21</v>
      </c>
      <c r="C835" s="1" t="n">
        <v>4370000</v>
      </c>
      <c r="D835" s="1" t="n">
        <v>3163.9</v>
      </c>
      <c r="E835" s="1" t="n">
        <v>0.0144</v>
      </c>
      <c r="F835" s="1" t="n">
        <v>0.1013</v>
      </c>
    </row>
    <row r="836" customFormat="false" ht="15" hidden="false" customHeight="false" outlineLevel="0" collapsed="false">
      <c r="A836" s="1" t="s">
        <v>871</v>
      </c>
      <c r="B836" s="1" t="s">
        <v>24</v>
      </c>
      <c r="C836" s="1" t="n">
        <v>4710000</v>
      </c>
      <c r="D836" s="1" t="n">
        <v>29570.9</v>
      </c>
      <c r="E836" s="1" t="n">
        <v>0.0113</v>
      </c>
      <c r="F836" s="1" t="n">
        <v>0.0811</v>
      </c>
    </row>
    <row r="837" customFormat="false" ht="15" hidden="false" customHeight="false" outlineLevel="0" collapsed="false">
      <c r="A837" s="1" t="s">
        <v>872</v>
      </c>
      <c r="B837" s="1" t="s">
        <v>53</v>
      </c>
      <c r="C837" s="1" t="n">
        <v>4560000</v>
      </c>
      <c r="D837" s="1" t="n">
        <v>4337.6</v>
      </c>
      <c r="E837" s="1" t="n">
        <v>0.0186</v>
      </c>
      <c r="F837" s="1" t="n">
        <v>0.1614</v>
      </c>
    </row>
    <row r="838" customFormat="false" ht="15" hidden="false" customHeight="false" outlineLevel="0" collapsed="false">
      <c r="A838" s="1" t="s">
        <v>873</v>
      </c>
      <c r="B838" s="1" t="s">
        <v>32</v>
      </c>
      <c r="C838" s="1" t="n">
        <v>3690000</v>
      </c>
      <c r="D838" s="1" t="n">
        <v>30436018.5</v>
      </c>
      <c r="E838" s="1" t="n">
        <v>0.0071</v>
      </c>
      <c r="F838" s="1" t="n">
        <v>0.0822</v>
      </c>
    </row>
    <row r="839" customFormat="false" ht="15" hidden="false" customHeight="false" outlineLevel="0" collapsed="false">
      <c r="A839" s="1" t="s">
        <v>874</v>
      </c>
      <c r="B839" s="1" t="s">
        <v>26</v>
      </c>
      <c r="C839" s="1" t="n">
        <v>3880000</v>
      </c>
      <c r="D839" s="1" t="n">
        <v>155818.8</v>
      </c>
      <c r="E839" s="1" t="n">
        <v>0.0729</v>
      </c>
      <c r="F839" s="1" t="n">
        <v>0.0951</v>
      </c>
    </row>
    <row r="840" customFormat="false" ht="15" hidden="false" customHeight="false" outlineLevel="0" collapsed="false">
      <c r="A840" s="1" t="s">
        <v>875</v>
      </c>
      <c r="B840" s="1" t="s">
        <v>21</v>
      </c>
      <c r="C840" s="1" t="n">
        <v>4350000</v>
      </c>
      <c r="D840" s="1" t="n">
        <v>1524528.7</v>
      </c>
      <c r="E840" s="1" t="n">
        <v>0.0466</v>
      </c>
      <c r="F840" s="1" t="n">
        <v>0.0951</v>
      </c>
    </row>
    <row r="841" customFormat="false" ht="15" hidden="false" customHeight="false" outlineLevel="0" collapsed="false">
      <c r="A841" s="1" t="s">
        <v>876</v>
      </c>
      <c r="B841" s="1" t="s">
        <v>62</v>
      </c>
      <c r="C841" s="1" t="n">
        <v>4440000</v>
      </c>
      <c r="D841" s="1" t="n">
        <v>102328.9</v>
      </c>
      <c r="E841" s="1" t="n">
        <v>0.0197</v>
      </c>
      <c r="F841" s="1" t="n">
        <v>0.0576</v>
      </c>
    </row>
    <row r="842" customFormat="false" ht="15" hidden="false" customHeight="false" outlineLevel="0" collapsed="false">
      <c r="A842" s="1" t="s">
        <v>877</v>
      </c>
      <c r="B842" s="1" t="s">
        <v>26</v>
      </c>
      <c r="C842" s="1" t="n">
        <v>6810000</v>
      </c>
      <c r="D842" s="1" t="n">
        <v>9902088</v>
      </c>
      <c r="E842" s="1" t="n">
        <v>0.0151</v>
      </c>
      <c r="F842" s="1" t="n">
        <v>0.0462</v>
      </c>
    </row>
    <row r="843" customFormat="false" ht="15" hidden="false" customHeight="false" outlineLevel="0" collapsed="false">
      <c r="A843" s="1" t="s">
        <v>878</v>
      </c>
      <c r="B843" s="1" t="s">
        <v>214</v>
      </c>
      <c r="C843" s="1" t="n">
        <v>3870000</v>
      </c>
      <c r="D843" s="1" t="n">
        <v>82066.7</v>
      </c>
      <c r="E843" s="1" t="n">
        <v>0.0293</v>
      </c>
      <c r="F843" s="1" t="n">
        <v>0.051</v>
      </c>
    </row>
    <row r="844" customFormat="false" ht="15" hidden="false" customHeight="false" outlineLevel="0" collapsed="false">
      <c r="A844" s="1" t="s">
        <v>879</v>
      </c>
      <c r="B844" s="1" t="s">
        <v>24</v>
      </c>
      <c r="C844" s="1" t="n">
        <v>4950000</v>
      </c>
      <c r="D844" s="1" t="n">
        <v>744462.5</v>
      </c>
      <c r="E844" s="1" t="n">
        <v>0.029</v>
      </c>
      <c r="F844" s="1" t="n">
        <v>0.0759</v>
      </c>
    </row>
    <row r="845" customFormat="false" ht="15" hidden="false" customHeight="false" outlineLevel="0" collapsed="false">
      <c r="A845" s="1" t="s">
        <v>880</v>
      </c>
      <c r="B845" s="1" t="s">
        <v>26</v>
      </c>
      <c r="C845" s="1" t="n">
        <v>4400000</v>
      </c>
      <c r="D845" s="1" t="n">
        <v>4376.8</v>
      </c>
      <c r="E845" s="1" t="n">
        <v>0.0127</v>
      </c>
      <c r="F845" s="1" t="n">
        <v>0.0584</v>
      </c>
    </row>
    <row r="846" customFormat="false" ht="15" hidden="false" customHeight="false" outlineLevel="0" collapsed="false">
      <c r="A846" s="1" t="s">
        <v>881</v>
      </c>
      <c r="B846" s="1" t="s">
        <v>74</v>
      </c>
      <c r="C846" s="1" t="n">
        <v>6020000</v>
      </c>
      <c r="D846" s="1" t="n">
        <v>31388.7</v>
      </c>
      <c r="E846" s="1" t="n">
        <v>0.0293</v>
      </c>
      <c r="F846" s="1" t="n">
        <v>0.0432</v>
      </c>
    </row>
    <row r="847" customFormat="false" ht="15" hidden="false" customHeight="false" outlineLevel="0" collapsed="false">
      <c r="A847" s="1" t="s">
        <v>882</v>
      </c>
      <c r="B847" s="1" t="s">
        <v>88</v>
      </c>
      <c r="C847" s="1" t="n">
        <v>6530000</v>
      </c>
      <c r="D847" s="1" t="n">
        <v>153559.4</v>
      </c>
      <c r="E847" s="1" t="n">
        <v>0.03</v>
      </c>
      <c r="F847" s="1" t="n">
        <v>0.0833</v>
      </c>
    </row>
    <row r="848" customFormat="false" ht="15" hidden="false" customHeight="false" outlineLevel="0" collapsed="false">
      <c r="A848" s="1" t="s">
        <v>883</v>
      </c>
      <c r="B848" s="1" t="s">
        <v>21</v>
      </c>
      <c r="C848" s="1" t="n">
        <v>4000000</v>
      </c>
      <c r="D848" s="1" t="n">
        <v>12948.5</v>
      </c>
      <c r="E848" s="1" t="n">
        <v>0.0078</v>
      </c>
      <c r="F848" s="1" t="n">
        <v>0.0654</v>
      </c>
    </row>
    <row r="849" customFormat="false" ht="15" hidden="false" customHeight="false" outlineLevel="0" collapsed="false">
      <c r="A849" s="1" t="s">
        <v>884</v>
      </c>
      <c r="B849" s="1" t="s">
        <v>26</v>
      </c>
      <c r="C849" s="1" t="n">
        <v>4950000</v>
      </c>
      <c r="D849" s="1" t="n">
        <v>405305.8</v>
      </c>
      <c r="E849" s="1" t="n">
        <v>0.0413</v>
      </c>
      <c r="F849" s="1" t="n">
        <v>0.0759</v>
      </c>
    </row>
    <row r="850" customFormat="false" ht="15" hidden="false" customHeight="false" outlineLevel="0" collapsed="false">
      <c r="A850" s="1" t="s">
        <v>885</v>
      </c>
      <c r="B850" s="1" t="s">
        <v>26</v>
      </c>
      <c r="C850" s="1" t="n">
        <v>5490000</v>
      </c>
      <c r="D850" s="1" t="n">
        <v>1312034.7</v>
      </c>
      <c r="E850" s="1" t="n">
        <v>0.0388</v>
      </c>
      <c r="F850" s="1" t="n">
        <v>0.0951</v>
      </c>
    </row>
    <row r="851" customFormat="false" ht="15" hidden="false" customHeight="false" outlineLevel="0" collapsed="false">
      <c r="A851" s="1" t="s">
        <v>886</v>
      </c>
      <c r="B851" s="1" t="s">
        <v>24</v>
      </c>
      <c r="C851" s="1" t="n">
        <v>4640000</v>
      </c>
      <c r="D851" s="1" t="n">
        <v>2895.3</v>
      </c>
      <c r="E851" s="1" t="n">
        <v>0.2589</v>
      </c>
      <c r="F851" s="1" t="n">
        <v>0.6113</v>
      </c>
    </row>
    <row r="852" customFormat="false" ht="15" hidden="false" customHeight="false" outlineLevel="0" collapsed="false">
      <c r="A852" s="1" t="s">
        <v>887</v>
      </c>
      <c r="B852" s="1" t="s">
        <v>26</v>
      </c>
      <c r="C852" s="1" t="n">
        <v>7040000</v>
      </c>
      <c r="D852" s="1" t="n">
        <v>392535.4</v>
      </c>
      <c r="E852" s="1" t="n">
        <v>0.0292</v>
      </c>
      <c r="F852" s="1" t="n">
        <v>0.0514</v>
      </c>
    </row>
    <row r="853" customFormat="false" ht="15" hidden="false" customHeight="false" outlineLevel="0" collapsed="false">
      <c r="A853" s="1" t="s">
        <v>888</v>
      </c>
      <c r="B853" s="1" t="s">
        <v>24</v>
      </c>
      <c r="C853" s="1" t="n">
        <v>4330000</v>
      </c>
      <c r="D853" s="1" t="n">
        <v>636159.6</v>
      </c>
      <c r="E853" s="1" t="n">
        <v>0.0363</v>
      </c>
      <c r="F853" s="1" t="n">
        <v>0.0759</v>
      </c>
    </row>
    <row r="854" customFormat="false" ht="15" hidden="false" customHeight="false" outlineLevel="0" collapsed="false">
      <c r="A854" s="1" t="s">
        <v>889</v>
      </c>
      <c r="B854" s="1" t="s">
        <v>24</v>
      </c>
      <c r="C854" s="1" t="n">
        <v>7800000</v>
      </c>
      <c r="D854" s="1" t="n">
        <v>92951.4</v>
      </c>
      <c r="E854" s="1" t="n">
        <v>0.022</v>
      </c>
      <c r="F854" s="1" t="n">
        <v>0.0833</v>
      </c>
    </row>
    <row r="855" customFormat="false" ht="15" hidden="false" customHeight="false" outlineLevel="0" collapsed="false">
      <c r="A855" s="1" t="s">
        <v>890</v>
      </c>
      <c r="B855" s="1" t="s">
        <v>81</v>
      </c>
      <c r="C855" s="1" t="n">
        <v>4530000</v>
      </c>
      <c r="D855" s="1" t="n">
        <v>6822.7</v>
      </c>
      <c r="E855" s="1" t="n">
        <v>0.0304</v>
      </c>
      <c r="F855" s="1" t="n">
        <v>0.0951</v>
      </c>
    </row>
    <row r="856" customFormat="false" ht="15" hidden="false" customHeight="false" outlineLevel="0" collapsed="false">
      <c r="A856" s="1" t="s">
        <v>891</v>
      </c>
      <c r="B856" s="1" t="s">
        <v>195</v>
      </c>
      <c r="C856" s="1" t="n">
        <v>4840000</v>
      </c>
      <c r="D856" s="1" t="n">
        <v>215064.4</v>
      </c>
      <c r="E856" s="1" t="n">
        <v>0.017</v>
      </c>
      <c r="F856" s="1" t="n">
        <v>0.0854</v>
      </c>
    </row>
    <row r="857" customFormat="false" ht="15" hidden="false" customHeight="false" outlineLevel="0" collapsed="false">
      <c r="A857" s="1" t="s">
        <v>892</v>
      </c>
      <c r="B857" s="1" t="s">
        <v>88</v>
      </c>
      <c r="C857" s="1" t="n">
        <v>4150000</v>
      </c>
      <c r="D857" s="1" t="n">
        <v>91711.1</v>
      </c>
      <c r="E857" s="1" t="n">
        <v>0.0449</v>
      </c>
      <c r="F857" s="1" t="n">
        <v>0.0759</v>
      </c>
    </row>
    <row r="858" customFormat="false" ht="15" hidden="false" customHeight="false" outlineLevel="0" collapsed="false">
      <c r="A858" s="1" t="s">
        <v>893</v>
      </c>
      <c r="B858" s="1" t="s">
        <v>62</v>
      </c>
      <c r="C858" s="1" t="n">
        <v>4720000</v>
      </c>
      <c r="D858" s="1" t="n">
        <v>717828.8</v>
      </c>
      <c r="E858" s="1" t="n">
        <v>0.0576</v>
      </c>
      <c r="F858" s="1" t="n">
        <v>0.0759</v>
      </c>
    </row>
    <row r="859" customFormat="false" ht="15" hidden="false" customHeight="false" outlineLevel="0" collapsed="false">
      <c r="A859" s="1" t="s">
        <v>894</v>
      </c>
      <c r="B859" s="1" t="s">
        <v>26</v>
      </c>
      <c r="C859" s="1" t="n">
        <v>7790000</v>
      </c>
      <c r="D859" s="1" t="n">
        <v>1050313.1</v>
      </c>
      <c r="E859" s="1" t="n">
        <v>0.0326</v>
      </c>
      <c r="F859" s="1" t="n">
        <v>0.0938</v>
      </c>
    </row>
    <row r="860" customFormat="false" ht="15" hidden="false" customHeight="false" outlineLevel="0" collapsed="false">
      <c r="A860" s="1" t="s">
        <v>895</v>
      </c>
      <c r="B860" s="1" t="s">
        <v>41</v>
      </c>
      <c r="C860" s="1" t="n">
        <v>5010000</v>
      </c>
      <c r="D860" s="1" t="n">
        <v>249.9</v>
      </c>
      <c r="E860" s="1" t="n">
        <v>0.009</v>
      </c>
      <c r="F860" s="1" t="n">
        <v>0.0811</v>
      </c>
    </row>
    <row r="861" customFormat="false" ht="15" hidden="false" customHeight="false" outlineLevel="0" collapsed="false">
      <c r="A861" s="1" t="s">
        <v>896</v>
      </c>
      <c r="B861" s="1" t="s">
        <v>74</v>
      </c>
      <c r="C861" s="1" t="n">
        <v>4670000</v>
      </c>
      <c r="D861" s="1" t="n">
        <v>8498.9</v>
      </c>
      <c r="E861" s="1" t="n">
        <v>0.0396</v>
      </c>
      <c r="F861" s="1" t="n">
        <v>0.0643</v>
      </c>
    </row>
    <row r="862" customFormat="false" ht="15" hidden="false" customHeight="false" outlineLevel="0" collapsed="false">
      <c r="A862" s="1" t="s">
        <v>897</v>
      </c>
      <c r="B862" s="1" t="s">
        <v>26</v>
      </c>
      <c r="C862" s="1" t="n">
        <v>4120000</v>
      </c>
      <c r="D862" s="1" t="n">
        <v>344849.1</v>
      </c>
      <c r="E862" s="1" t="n">
        <v>0.0348</v>
      </c>
      <c r="F862" s="1" t="n">
        <v>0.0938</v>
      </c>
    </row>
    <row r="863" customFormat="false" ht="15" hidden="false" customHeight="false" outlineLevel="0" collapsed="false">
      <c r="A863" s="1" t="s">
        <v>898</v>
      </c>
      <c r="B863" s="1" t="s">
        <v>21</v>
      </c>
      <c r="C863" s="1" t="n">
        <v>6010000</v>
      </c>
      <c r="D863" s="1" t="n">
        <v>342.6</v>
      </c>
      <c r="F863" s="1" t="n">
        <v>0.051</v>
      </c>
    </row>
    <row r="864" customFormat="false" ht="15" hidden="false" customHeight="false" outlineLevel="0" collapsed="false">
      <c r="A864" s="1" t="s">
        <v>899</v>
      </c>
      <c r="B864" s="1" t="s">
        <v>41</v>
      </c>
      <c r="C864" s="1" t="n">
        <v>4870000</v>
      </c>
      <c r="D864" s="1" t="n">
        <v>1065.7</v>
      </c>
      <c r="E864" s="1" t="n">
        <v>0.0275</v>
      </c>
      <c r="F864" s="1" t="n">
        <v>0.051</v>
      </c>
    </row>
    <row r="865" customFormat="false" ht="15" hidden="false" customHeight="false" outlineLevel="0" collapsed="false">
      <c r="A865" s="1" t="s">
        <v>900</v>
      </c>
      <c r="B865" s="1" t="s">
        <v>41</v>
      </c>
      <c r="C865" s="1" t="n">
        <v>4060000</v>
      </c>
      <c r="D865" s="1" t="n">
        <v>475.5</v>
      </c>
      <c r="E865" s="1" t="n">
        <v>0.0335</v>
      </c>
      <c r="F865" s="1" t="n">
        <v>0.4802</v>
      </c>
    </row>
    <row r="866" customFormat="false" ht="15" hidden="false" customHeight="false" outlineLevel="0" collapsed="false">
      <c r="A866" s="1" t="s">
        <v>901</v>
      </c>
      <c r="B866" s="1" t="s">
        <v>26</v>
      </c>
      <c r="C866" s="1" t="n">
        <v>4620000</v>
      </c>
      <c r="D866" s="1" t="n">
        <v>15260.4</v>
      </c>
      <c r="E866" s="1" t="n">
        <v>0.0445</v>
      </c>
      <c r="F866" s="1" t="n">
        <v>0.0951</v>
      </c>
    </row>
    <row r="867" customFormat="false" ht="15" hidden="false" customHeight="false" outlineLevel="0" collapsed="false">
      <c r="A867" s="1" t="s">
        <v>902</v>
      </c>
      <c r="B867" s="1" t="s">
        <v>26</v>
      </c>
      <c r="C867" s="1" t="n">
        <v>4300000</v>
      </c>
      <c r="D867" s="1" t="n">
        <v>139149.2</v>
      </c>
      <c r="F867" s="1" t="n">
        <v>0.0409</v>
      </c>
    </row>
    <row r="868" customFormat="false" ht="15" hidden="false" customHeight="false" outlineLevel="0" collapsed="false">
      <c r="A868" s="1" t="s">
        <v>903</v>
      </c>
      <c r="B868" s="1" t="s">
        <v>30</v>
      </c>
      <c r="C868" s="1" t="n">
        <v>4140000</v>
      </c>
      <c r="D868" s="1" t="n">
        <v>1327629.5</v>
      </c>
      <c r="E868" s="1" t="n">
        <v>0.0339</v>
      </c>
      <c r="F868" s="1" t="n">
        <v>0.0951</v>
      </c>
    </row>
    <row r="869" customFormat="false" ht="15" hidden="false" customHeight="false" outlineLevel="0" collapsed="false">
      <c r="A869" s="1" t="s">
        <v>904</v>
      </c>
      <c r="B869" s="1" t="s">
        <v>53</v>
      </c>
      <c r="C869" s="1" t="n">
        <v>4090000</v>
      </c>
      <c r="D869" s="1" t="n">
        <v>39474.9</v>
      </c>
      <c r="E869" s="1" t="n">
        <v>0.0879</v>
      </c>
      <c r="F869" s="1" t="n">
        <v>0.051</v>
      </c>
    </row>
    <row r="870" customFormat="false" ht="15" hidden="false" customHeight="false" outlineLevel="0" collapsed="false">
      <c r="A870" s="1" t="s">
        <v>905</v>
      </c>
      <c r="B870" s="1" t="s">
        <v>26</v>
      </c>
      <c r="C870" s="1" t="n">
        <v>3890000</v>
      </c>
      <c r="D870" s="1" t="n">
        <v>184945.3</v>
      </c>
      <c r="E870" s="1" t="n">
        <v>0.0176</v>
      </c>
      <c r="F870" s="1" t="n">
        <v>0.0759</v>
      </c>
    </row>
    <row r="871" customFormat="false" ht="15" hidden="false" customHeight="false" outlineLevel="0" collapsed="false">
      <c r="A871" s="1" t="s">
        <v>906</v>
      </c>
      <c r="B871" s="1" t="s">
        <v>24</v>
      </c>
      <c r="C871" s="1" t="n">
        <v>4260000</v>
      </c>
      <c r="D871" s="1" t="n">
        <v>313203.4</v>
      </c>
      <c r="E871" s="1" t="n">
        <v>0.0014</v>
      </c>
      <c r="F871" s="1" t="n">
        <v>0.1953</v>
      </c>
    </row>
    <row r="872" customFormat="false" ht="15" hidden="false" customHeight="false" outlineLevel="0" collapsed="false">
      <c r="A872" s="1" t="s">
        <v>907</v>
      </c>
      <c r="B872" s="1" t="s">
        <v>195</v>
      </c>
      <c r="C872" s="1" t="n">
        <v>2280000</v>
      </c>
      <c r="D872" s="1" t="n">
        <v>27642.7</v>
      </c>
      <c r="E872" s="1" t="n">
        <v>0.0546</v>
      </c>
      <c r="F872" s="1" t="n">
        <v>0.0759</v>
      </c>
    </row>
    <row r="873" customFormat="false" ht="15" hidden="false" customHeight="false" outlineLevel="0" collapsed="false">
      <c r="A873" s="1" t="s">
        <v>908</v>
      </c>
      <c r="B873" s="1" t="s">
        <v>24</v>
      </c>
      <c r="C873" s="1" t="n">
        <v>4310000</v>
      </c>
      <c r="D873" s="1" t="n">
        <v>617.9</v>
      </c>
      <c r="E873" s="1" t="n">
        <v>0.0319</v>
      </c>
      <c r="F873" s="1" t="n">
        <v>0.0938</v>
      </c>
    </row>
    <row r="874" customFormat="false" ht="15" hidden="false" customHeight="false" outlineLevel="0" collapsed="false">
      <c r="A874" s="1" t="s">
        <v>909</v>
      </c>
      <c r="B874" s="1" t="s">
        <v>30</v>
      </c>
      <c r="C874" s="1" t="n">
        <v>3770000</v>
      </c>
      <c r="D874" s="1" t="n">
        <v>7806.9</v>
      </c>
      <c r="E874" s="1" t="n">
        <v>0.0098</v>
      </c>
      <c r="F874" s="1" t="n">
        <v>0.0822</v>
      </c>
    </row>
    <row r="875" customFormat="false" ht="15" hidden="false" customHeight="false" outlineLevel="0" collapsed="false">
      <c r="A875" s="1" t="s">
        <v>910</v>
      </c>
      <c r="B875" s="1" t="s">
        <v>71</v>
      </c>
      <c r="C875" s="1" t="n">
        <v>4300000</v>
      </c>
      <c r="D875" s="1" t="n">
        <v>3955.5</v>
      </c>
      <c r="E875" s="1" t="n">
        <v>0.0761</v>
      </c>
      <c r="F875" s="1" t="n">
        <v>0.051</v>
      </c>
    </row>
    <row r="876" customFormat="false" ht="15" hidden="false" customHeight="false" outlineLevel="0" collapsed="false">
      <c r="A876" s="1" t="s">
        <v>911</v>
      </c>
      <c r="B876" s="1" t="s">
        <v>26</v>
      </c>
      <c r="C876" s="1" t="n">
        <v>3880000</v>
      </c>
      <c r="D876" s="1" t="n">
        <v>1057086.3</v>
      </c>
      <c r="E876" s="1" t="n">
        <v>0.0208</v>
      </c>
      <c r="F876" s="1" t="n">
        <v>0.0726</v>
      </c>
    </row>
    <row r="877" customFormat="false" ht="15" hidden="false" customHeight="false" outlineLevel="0" collapsed="false">
      <c r="A877" s="1" t="s">
        <v>912</v>
      </c>
      <c r="B877" s="1" t="s">
        <v>41</v>
      </c>
      <c r="C877" s="1" t="n">
        <v>4220000</v>
      </c>
      <c r="D877" s="1" t="n">
        <v>118727.2</v>
      </c>
      <c r="E877" s="1" t="n">
        <v>0.0367</v>
      </c>
      <c r="F877" s="1" t="n">
        <v>0.0938</v>
      </c>
    </row>
    <row r="878" customFormat="false" ht="15" hidden="false" customHeight="false" outlineLevel="0" collapsed="false">
      <c r="A878" s="1" t="s">
        <v>913</v>
      </c>
      <c r="B878" s="1" t="s">
        <v>32</v>
      </c>
      <c r="C878" s="1" t="n">
        <v>4020000</v>
      </c>
      <c r="D878" s="1" t="n">
        <v>4803.3</v>
      </c>
      <c r="E878" s="1" t="n">
        <v>0.0127</v>
      </c>
      <c r="F878" s="1" t="n">
        <v>0.1784</v>
      </c>
    </row>
    <row r="879" customFormat="false" ht="15" hidden="false" customHeight="false" outlineLevel="0" collapsed="false">
      <c r="A879" s="1" t="s">
        <v>914</v>
      </c>
      <c r="B879" s="1" t="s">
        <v>53</v>
      </c>
      <c r="C879" s="1" t="n">
        <v>4650000</v>
      </c>
      <c r="D879" s="1" t="n">
        <v>761696.4</v>
      </c>
      <c r="E879" s="1" t="n">
        <v>0.035</v>
      </c>
      <c r="F879" s="1" t="n">
        <v>0.0759</v>
      </c>
    </row>
    <row r="880" customFormat="false" ht="15" hidden="false" customHeight="false" outlineLevel="0" collapsed="false">
      <c r="A880" s="1" t="s">
        <v>915</v>
      </c>
      <c r="B880" s="1" t="s">
        <v>81</v>
      </c>
      <c r="C880" s="1" t="n">
        <v>3590000</v>
      </c>
      <c r="D880" s="1" t="n">
        <v>29844.9</v>
      </c>
      <c r="E880" s="1" t="n">
        <v>0.0345</v>
      </c>
      <c r="F880" s="1" t="n">
        <v>0.0951</v>
      </c>
    </row>
    <row r="881" customFormat="false" ht="15" hidden="false" customHeight="false" outlineLevel="0" collapsed="false">
      <c r="A881" s="1" t="s">
        <v>916</v>
      </c>
      <c r="B881" s="1" t="s">
        <v>21</v>
      </c>
      <c r="C881" s="1" t="n">
        <v>4210000</v>
      </c>
      <c r="D881" s="1" t="n">
        <v>1387.5</v>
      </c>
      <c r="E881" s="1" t="n">
        <v>0.0099</v>
      </c>
      <c r="F881" s="1" t="n">
        <v>0.0811</v>
      </c>
    </row>
    <row r="882" customFormat="false" ht="15" hidden="false" customHeight="false" outlineLevel="0" collapsed="false">
      <c r="A882" s="1" t="s">
        <v>917</v>
      </c>
      <c r="B882" s="1" t="s">
        <v>30</v>
      </c>
      <c r="C882" s="1" t="n">
        <v>10500000</v>
      </c>
      <c r="D882" s="1" t="n">
        <v>183343.4</v>
      </c>
      <c r="E882" s="1" t="n">
        <v>0.0043</v>
      </c>
      <c r="F882" s="1" t="n">
        <v>0.0811</v>
      </c>
    </row>
    <row r="883" customFormat="false" ht="15" hidden="false" customHeight="false" outlineLevel="0" collapsed="false">
      <c r="A883" s="1" t="s">
        <v>918</v>
      </c>
      <c r="B883" s="1" t="s">
        <v>71</v>
      </c>
      <c r="C883" s="1" t="n">
        <v>3810000</v>
      </c>
      <c r="D883" s="1" t="n">
        <v>774.3</v>
      </c>
      <c r="E883" s="1" t="n">
        <v>0.0088</v>
      </c>
      <c r="F883" s="1" t="n">
        <v>0.0654</v>
      </c>
    </row>
    <row r="884" customFormat="false" ht="15" hidden="false" customHeight="false" outlineLevel="0" collapsed="false">
      <c r="A884" s="1" t="s">
        <v>919</v>
      </c>
      <c r="B884" s="1" t="s">
        <v>26</v>
      </c>
      <c r="C884" s="1" t="n">
        <v>4510000</v>
      </c>
      <c r="D884" s="1" t="n">
        <v>16418665.6</v>
      </c>
      <c r="E884" s="1" t="n">
        <v>0.0558</v>
      </c>
      <c r="F884" s="1" t="n">
        <v>0.0951</v>
      </c>
    </row>
    <row r="885" customFormat="false" ht="15" hidden="false" customHeight="false" outlineLevel="0" collapsed="false">
      <c r="A885" s="1" t="s">
        <v>920</v>
      </c>
      <c r="B885" s="1" t="s">
        <v>21</v>
      </c>
      <c r="C885" s="1" t="n">
        <v>5850000</v>
      </c>
      <c r="D885" s="1" t="n">
        <v>48298.4</v>
      </c>
      <c r="E885" s="1" t="n">
        <v>0.0138</v>
      </c>
      <c r="F885" s="1" t="n">
        <v>0.0811</v>
      </c>
    </row>
    <row r="886" customFormat="false" ht="15" hidden="false" customHeight="false" outlineLevel="0" collapsed="false">
      <c r="A886" s="1" t="s">
        <v>921</v>
      </c>
      <c r="B886" s="1" t="s">
        <v>26</v>
      </c>
      <c r="C886" s="1" t="n">
        <v>3640000</v>
      </c>
      <c r="D886" s="1" t="n">
        <v>921.9</v>
      </c>
      <c r="E886" s="1" t="n">
        <v>0.0198</v>
      </c>
      <c r="F886" s="1" t="n">
        <v>0.187</v>
      </c>
    </row>
    <row r="887" customFormat="false" ht="15" hidden="false" customHeight="false" outlineLevel="0" collapsed="false">
      <c r="A887" s="1" t="s">
        <v>922</v>
      </c>
      <c r="B887" s="1" t="s">
        <v>26</v>
      </c>
      <c r="C887" s="1" t="n">
        <v>5440000</v>
      </c>
      <c r="D887" s="1" t="n">
        <v>140529.7</v>
      </c>
      <c r="E887" s="1" t="n">
        <v>0.0143</v>
      </c>
      <c r="F887" s="1" t="n">
        <v>0.0462</v>
      </c>
    </row>
    <row r="888" customFormat="false" ht="15" hidden="false" customHeight="false" outlineLevel="0" collapsed="false">
      <c r="A888" s="1" t="s">
        <v>923</v>
      </c>
      <c r="B888" s="1" t="s">
        <v>26</v>
      </c>
      <c r="C888" s="1" t="n">
        <v>6290000</v>
      </c>
      <c r="D888" s="1" t="n">
        <v>20936.1</v>
      </c>
      <c r="E888" s="1" t="n">
        <v>0.0102</v>
      </c>
      <c r="F888" s="1" t="n">
        <v>0.0654</v>
      </c>
    </row>
    <row r="889" customFormat="false" ht="15" hidden="false" customHeight="false" outlineLevel="0" collapsed="false">
      <c r="A889" s="1" t="s">
        <v>924</v>
      </c>
      <c r="B889" s="1" t="s">
        <v>26</v>
      </c>
      <c r="C889" s="1" t="n">
        <v>6080000</v>
      </c>
      <c r="D889" s="1" t="n">
        <v>1882.1</v>
      </c>
      <c r="E889" s="1" t="n">
        <v>0.018</v>
      </c>
      <c r="F889" s="1" t="n">
        <v>0.0462</v>
      </c>
    </row>
    <row r="890" customFormat="false" ht="15" hidden="false" customHeight="false" outlineLevel="0" collapsed="false">
      <c r="A890" s="1" t="s">
        <v>925</v>
      </c>
      <c r="B890" s="1" t="s">
        <v>24</v>
      </c>
      <c r="C890" s="1" t="n">
        <v>3700000</v>
      </c>
      <c r="D890" s="1" t="n">
        <v>702</v>
      </c>
      <c r="E890" s="1" t="n">
        <v>0.0183</v>
      </c>
      <c r="F890" s="1" t="n">
        <v>0.0585</v>
      </c>
    </row>
    <row r="891" customFormat="false" ht="15" hidden="false" customHeight="false" outlineLevel="0" collapsed="false">
      <c r="A891" s="1" t="s">
        <v>926</v>
      </c>
      <c r="B891" s="1" t="s">
        <v>26</v>
      </c>
      <c r="C891" s="1" t="n">
        <v>3580000</v>
      </c>
      <c r="D891" s="1" t="n">
        <v>29108.6</v>
      </c>
      <c r="E891" s="1" t="n">
        <v>0.022</v>
      </c>
      <c r="F891" s="1" t="n">
        <v>0.051</v>
      </c>
    </row>
    <row r="892" customFormat="false" ht="15" hidden="false" customHeight="false" outlineLevel="0" collapsed="false">
      <c r="A892" s="1" t="s">
        <v>927</v>
      </c>
      <c r="B892" s="1" t="s">
        <v>26</v>
      </c>
      <c r="C892" s="1" t="n">
        <v>5800000</v>
      </c>
      <c r="D892" s="1" t="n">
        <v>279345.2</v>
      </c>
      <c r="E892" s="1" t="n">
        <v>0.0164</v>
      </c>
      <c r="F892" s="1" t="n">
        <v>0.095</v>
      </c>
    </row>
    <row r="893" customFormat="false" ht="15" hidden="false" customHeight="false" outlineLevel="0" collapsed="false">
      <c r="A893" s="1" t="s">
        <v>928</v>
      </c>
      <c r="B893" s="1" t="s">
        <v>24</v>
      </c>
      <c r="C893" s="1" t="n">
        <v>3610000</v>
      </c>
      <c r="D893" s="1" t="n">
        <v>9805.2</v>
      </c>
      <c r="E893" s="1" t="n">
        <v>0.0275</v>
      </c>
      <c r="F893" s="1" t="n">
        <v>0.0409</v>
      </c>
    </row>
    <row r="894" customFormat="false" ht="15" hidden="false" customHeight="false" outlineLevel="0" collapsed="false">
      <c r="A894" s="1" t="s">
        <v>929</v>
      </c>
      <c r="B894" s="1" t="s">
        <v>41</v>
      </c>
      <c r="C894" s="1" t="n">
        <v>5080000</v>
      </c>
      <c r="D894" s="1" t="n">
        <v>1843.5</v>
      </c>
      <c r="E894" s="1" t="n">
        <v>0.017</v>
      </c>
      <c r="F894" s="1" t="n">
        <v>0.2267</v>
      </c>
    </row>
    <row r="895" customFormat="false" ht="15" hidden="false" customHeight="false" outlineLevel="0" collapsed="false">
      <c r="A895" s="1" t="s">
        <v>930</v>
      </c>
      <c r="B895" s="1" t="s">
        <v>41</v>
      </c>
      <c r="C895" s="1" t="n">
        <v>4700000</v>
      </c>
      <c r="D895" s="1" t="n">
        <v>17110.9</v>
      </c>
      <c r="E895" s="1" t="n">
        <v>0.0266</v>
      </c>
      <c r="F895" s="1" t="n">
        <v>0.1226</v>
      </c>
    </row>
    <row r="896" customFormat="false" ht="15" hidden="false" customHeight="false" outlineLevel="0" collapsed="false">
      <c r="A896" s="1" t="s">
        <v>931</v>
      </c>
      <c r="B896" s="1" t="s">
        <v>21</v>
      </c>
      <c r="C896" s="1" t="n">
        <v>4180000</v>
      </c>
      <c r="D896" s="1" t="n">
        <v>5521.3</v>
      </c>
      <c r="E896" s="1" t="n">
        <v>0.033</v>
      </c>
      <c r="F896" s="1" t="n">
        <v>0.0938</v>
      </c>
    </row>
    <row r="897" customFormat="false" ht="15" hidden="false" customHeight="false" outlineLevel="0" collapsed="false">
      <c r="A897" s="1" t="s">
        <v>932</v>
      </c>
      <c r="B897" s="1" t="s">
        <v>41</v>
      </c>
      <c r="C897" s="1" t="n">
        <v>6900000</v>
      </c>
      <c r="D897" s="1" t="n">
        <v>27747.6</v>
      </c>
      <c r="E897" s="1" t="n">
        <v>0.0151</v>
      </c>
      <c r="F897" s="1" t="n">
        <v>0.1013</v>
      </c>
    </row>
    <row r="898" customFormat="false" ht="15" hidden="false" customHeight="false" outlineLevel="0" collapsed="false">
      <c r="A898" s="1" t="s">
        <v>933</v>
      </c>
      <c r="B898" s="1" t="s">
        <v>26</v>
      </c>
      <c r="C898" s="1" t="n">
        <v>3850000</v>
      </c>
      <c r="D898" s="1" t="n">
        <v>1503000.3</v>
      </c>
      <c r="E898" s="1" t="n">
        <v>0.0492</v>
      </c>
      <c r="F898" s="1" t="n">
        <v>0.0938</v>
      </c>
    </row>
    <row r="899" customFormat="false" ht="15" hidden="false" customHeight="false" outlineLevel="0" collapsed="false">
      <c r="A899" s="1" t="s">
        <v>934</v>
      </c>
      <c r="B899" s="1" t="s">
        <v>32</v>
      </c>
      <c r="C899" s="1" t="n">
        <v>6140000</v>
      </c>
      <c r="D899" s="1" t="n">
        <v>5272.8</v>
      </c>
      <c r="E899" s="1" t="n">
        <v>0.0225</v>
      </c>
      <c r="F899" s="1" t="n">
        <v>0.051</v>
      </c>
    </row>
    <row r="900" customFormat="false" ht="15" hidden="false" customHeight="false" outlineLevel="0" collapsed="false">
      <c r="A900" s="1" t="s">
        <v>935</v>
      </c>
      <c r="B900" s="1" t="s">
        <v>24</v>
      </c>
      <c r="C900" s="1" t="n">
        <v>4850000</v>
      </c>
      <c r="D900" s="1" t="n">
        <v>434123.1</v>
      </c>
      <c r="E900" s="1" t="n">
        <v>0.0315</v>
      </c>
      <c r="F900" s="1" t="n">
        <v>0.051</v>
      </c>
    </row>
    <row r="901" customFormat="false" ht="15" hidden="false" customHeight="false" outlineLevel="0" collapsed="false">
      <c r="A901" s="1" t="s">
        <v>936</v>
      </c>
      <c r="B901" s="1" t="s">
        <v>21</v>
      </c>
      <c r="C901" s="1" t="n">
        <v>3800000</v>
      </c>
      <c r="D901" s="1" t="n">
        <v>2465.6</v>
      </c>
      <c r="E901" s="1" t="n">
        <v>0.0047</v>
      </c>
      <c r="F901" s="1" t="n">
        <v>0.0811</v>
      </c>
    </row>
    <row r="902" customFormat="false" ht="15" hidden="false" customHeight="false" outlineLevel="0" collapsed="false">
      <c r="A902" s="1" t="s">
        <v>937</v>
      </c>
      <c r="B902" s="1" t="s">
        <v>24</v>
      </c>
      <c r="C902" s="1" t="n">
        <v>3620000</v>
      </c>
      <c r="D902" s="1" t="n">
        <v>2326.2</v>
      </c>
      <c r="E902" s="1" t="n">
        <v>0.026</v>
      </c>
      <c r="F902" s="1" t="n">
        <v>0.0518</v>
      </c>
    </row>
    <row r="903" customFormat="false" ht="15" hidden="false" customHeight="false" outlineLevel="0" collapsed="false">
      <c r="A903" s="1" t="s">
        <v>938</v>
      </c>
      <c r="B903" s="1" t="s">
        <v>26</v>
      </c>
      <c r="C903" s="1" t="n">
        <v>4550000</v>
      </c>
      <c r="D903" s="1" t="n">
        <v>3883782.9</v>
      </c>
      <c r="E903" s="1" t="n">
        <v>0.0372</v>
      </c>
      <c r="F903" s="1" t="n">
        <v>0.0546</v>
      </c>
    </row>
    <row r="904" customFormat="false" ht="15" hidden="false" customHeight="false" outlineLevel="0" collapsed="false">
      <c r="A904" s="1" t="s">
        <v>939</v>
      </c>
      <c r="B904" s="1" t="s">
        <v>26</v>
      </c>
      <c r="C904" s="1" t="n">
        <v>3460000</v>
      </c>
      <c r="D904" s="1" t="n">
        <v>35072.6</v>
      </c>
      <c r="E904" s="1" t="n">
        <v>0.0014</v>
      </c>
      <c r="F904" s="1" t="n">
        <v>0.0654</v>
      </c>
    </row>
    <row r="905" customFormat="false" ht="15" hidden="false" customHeight="false" outlineLevel="0" collapsed="false">
      <c r="A905" s="1" t="s">
        <v>940</v>
      </c>
      <c r="B905" s="1" t="s">
        <v>30</v>
      </c>
      <c r="C905" s="1" t="n">
        <v>5500000</v>
      </c>
      <c r="D905" s="1" t="n">
        <v>2745128.1</v>
      </c>
      <c r="E905" s="1" t="n">
        <v>0.0323</v>
      </c>
      <c r="F905" s="1" t="n">
        <v>0.0951</v>
      </c>
    </row>
    <row r="906" customFormat="false" ht="15" hidden="false" customHeight="false" outlineLevel="0" collapsed="false">
      <c r="A906" s="1" t="s">
        <v>941</v>
      </c>
      <c r="B906" s="1" t="s">
        <v>26</v>
      </c>
      <c r="C906" s="1" t="n">
        <v>3520000</v>
      </c>
      <c r="D906" s="1" t="n">
        <v>623</v>
      </c>
      <c r="E906" s="1" t="n">
        <v>0.0244</v>
      </c>
      <c r="F906" s="1" t="n">
        <v>0.0759</v>
      </c>
    </row>
    <row r="907" customFormat="false" ht="15" hidden="false" customHeight="false" outlineLevel="0" collapsed="false">
      <c r="A907" s="1" t="s">
        <v>942</v>
      </c>
      <c r="B907" s="1" t="s">
        <v>53</v>
      </c>
      <c r="C907" s="1" t="n">
        <v>5800000</v>
      </c>
      <c r="D907" s="1" t="n">
        <v>2182968.4</v>
      </c>
      <c r="E907" s="1" t="n">
        <v>0.0603</v>
      </c>
      <c r="F907" s="1" t="n">
        <v>0.0759</v>
      </c>
    </row>
    <row r="908" customFormat="false" ht="15" hidden="false" customHeight="false" outlineLevel="0" collapsed="false">
      <c r="A908" s="1" t="s">
        <v>943</v>
      </c>
      <c r="B908" s="1" t="s">
        <v>53</v>
      </c>
      <c r="C908" s="1" t="n">
        <v>5410000</v>
      </c>
      <c r="D908" s="1" t="n">
        <v>18238391</v>
      </c>
      <c r="E908" s="1" t="n">
        <v>0.0242</v>
      </c>
      <c r="F908" s="1" t="n">
        <v>0.0951</v>
      </c>
    </row>
    <row r="909" customFormat="false" ht="15" hidden="false" customHeight="false" outlineLevel="0" collapsed="false">
      <c r="A909" s="1" t="s">
        <v>944</v>
      </c>
      <c r="B909" s="1" t="s">
        <v>26</v>
      </c>
      <c r="C909" s="1" t="n">
        <v>4160000</v>
      </c>
      <c r="D909" s="1" t="n">
        <v>14180.8</v>
      </c>
      <c r="E909" s="1" t="n">
        <v>0.0133</v>
      </c>
      <c r="F909" s="1" t="n">
        <v>0.0736</v>
      </c>
    </row>
    <row r="910" customFormat="false" ht="15" hidden="false" customHeight="false" outlineLevel="0" collapsed="false">
      <c r="A910" s="1" t="s">
        <v>945</v>
      </c>
      <c r="B910" s="1" t="s">
        <v>92</v>
      </c>
      <c r="C910" s="1" t="n">
        <v>5240000</v>
      </c>
      <c r="D910" s="1" t="n">
        <v>1096032.1</v>
      </c>
      <c r="E910" s="1" t="n">
        <v>0.0299</v>
      </c>
      <c r="F910" s="1" t="n">
        <v>0.051</v>
      </c>
    </row>
    <row r="911" customFormat="false" ht="15" hidden="false" customHeight="false" outlineLevel="0" collapsed="false">
      <c r="A911" s="1" t="s">
        <v>946</v>
      </c>
      <c r="B911" s="1" t="s">
        <v>26</v>
      </c>
      <c r="C911" s="1" t="n">
        <v>4000000</v>
      </c>
      <c r="D911" s="1" t="n">
        <v>57975.4</v>
      </c>
      <c r="E911" s="1" t="n">
        <v>0.0326</v>
      </c>
      <c r="F911" s="1" t="n">
        <v>0.0409</v>
      </c>
    </row>
    <row r="912" customFormat="false" ht="15" hidden="false" customHeight="false" outlineLevel="0" collapsed="false">
      <c r="A912" s="1" t="s">
        <v>947</v>
      </c>
      <c r="B912" s="1" t="s">
        <v>24</v>
      </c>
      <c r="C912" s="1" t="n">
        <v>5070000</v>
      </c>
      <c r="D912" s="1" t="n">
        <v>4109.3</v>
      </c>
      <c r="E912" s="1" t="n">
        <v>0.0108</v>
      </c>
      <c r="F912" s="1" t="n">
        <v>0.0654</v>
      </c>
    </row>
    <row r="913" customFormat="false" ht="15" hidden="false" customHeight="false" outlineLevel="0" collapsed="false">
      <c r="A913" s="1" t="s">
        <v>948</v>
      </c>
      <c r="B913" s="1" t="s">
        <v>26</v>
      </c>
      <c r="C913" s="1" t="n">
        <v>3700000</v>
      </c>
      <c r="D913" s="1" t="n">
        <v>24581.8</v>
      </c>
      <c r="E913" s="1" t="n">
        <v>0.0128</v>
      </c>
      <c r="F913" s="1" t="n">
        <v>0.0726</v>
      </c>
    </row>
    <row r="914" customFormat="false" ht="15" hidden="false" customHeight="false" outlineLevel="0" collapsed="false">
      <c r="A914" s="1" t="s">
        <v>949</v>
      </c>
      <c r="B914" s="1" t="s">
        <v>62</v>
      </c>
      <c r="C914" s="1" t="n">
        <v>4730000</v>
      </c>
      <c r="D914" s="1" t="n">
        <v>17554.8</v>
      </c>
      <c r="E914" s="1" t="n">
        <v>0.037</v>
      </c>
      <c r="F914" s="1" t="n">
        <v>0.0938</v>
      </c>
    </row>
    <row r="915" customFormat="false" ht="15" hidden="false" customHeight="false" outlineLevel="0" collapsed="false">
      <c r="A915" s="1" t="s">
        <v>950</v>
      </c>
      <c r="B915" s="1" t="s">
        <v>71</v>
      </c>
      <c r="C915" s="1" t="n">
        <v>4100000</v>
      </c>
      <c r="D915" s="1" t="n">
        <v>276047</v>
      </c>
      <c r="E915" s="1" t="n">
        <v>0.0542</v>
      </c>
      <c r="F915" s="1" t="n">
        <v>0.0938</v>
      </c>
    </row>
    <row r="916" customFormat="false" ht="15" hidden="false" customHeight="false" outlineLevel="0" collapsed="false">
      <c r="A916" s="1" t="s">
        <v>951</v>
      </c>
      <c r="B916" s="1" t="s">
        <v>26</v>
      </c>
      <c r="C916" s="1" t="n">
        <v>4170000</v>
      </c>
      <c r="D916" s="1" t="n">
        <v>1615649.8</v>
      </c>
      <c r="E916" s="1" t="n">
        <v>0.0377</v>
      </c>
      <c r="F916" s="1" t="n">
        <v>0.0951</v>
      </c>
    </row>
    <row r="917" customFormat="false" ht="15" hidden="false" customHeight="false" outlineLevel="0" collapsed="false">
      <c r="A917" s="1" t="s">
        <v>952</v>
      </c>
      <c r="B917" s="1" t="s">
        <v>24</v>
      </c>
      <c r="C917" s="1" t="n">
        <v>4420000</v>
      </c>
      <c r="D917" s="1" t="n">
        <v>3632.4</v>
      </c>
      <c r="E917" s="1" t="n">
        <v>0.0316</v>
      </c>
      <c r="F917" s="1" t="n">
        <v>0.0759</v>
      </c>
    </row>
    <row r="918" customFormat="false" ht="15" hidden="false" customHeight="false" outlineLevel="0" collapsed="false">
      <c r="A918" s="1" t="s">
        <v>953</v>
      </c>
      <c r="B918" s="1" t="s">
        <v>26</v>
      </c>
      <c r="C918" s="1" t="n">
        <v>4160000</v>
      </c>
      <c r="D918" s="1" t="n">
        <v>6845.6</v>
      </c>
      <c r="E918" s="1" t="n">
        <v>0.0497</v>
      </c>
      <c r="F918" s="1" t="n">
        <v>0.0938</v>
      </c>
    </row>
    <row r="919" customFormat="false" ht="15" hidden="false" customHeight="false" outlineLevel="0" collapsed="false">
      <c r="A919" s="1" t="s">
        <v>954</v>
      </c>
      <c r="B919" s="1" t="s">
        <v>92</v>
      </c>
      <c r="C919" s="1" t="n">
        <v>8180000</v>
      </c>
      <c r="D919" s="1" t="n">
        <v>94384.3</v>
      </c>
      <c r="E919" s="1" t="n">
        <v>0.0283</v>
      </c>
      <c r="F919" s="1" t="n">
        <v>0.0759</v>
      </c>
    </row>
    <row r="920" customFormat="false" ht="15" hidden="false" customHeight="false" outlineLevel="0" collapsed="false">
      <c r="A920" s="1" t="s">
        <v>955</v>
      </c>
      <c r="B920" s="1" t="s">
        <v>50</v>
      </c>
      <c r="C920" s="1" t="n">
        <v>3770000</v>
      </c>
      <c r="D920" s="1" t="n">
        <v>900.4</v>
      </c>
      <c r="E920" s="1" t="n">
        <v>0.0072</v>
      </c>
      <c r="F920" s="1" t="n">
        <v>0.0811</v>
      </c>
    </row>
    <row r="921" customFormat="false" ht="15" hidden="false" customHeight="false" outlineLevel="0" collapsed="false">
      <c r="A921" s="1" t="s">
        <v>956</v>
      </c>
      <c r="B921" s="1" t="s">
        <v>26</v>
      </c>
      <c r="C921" s="1" t="n">
        <v>3040000</v>
      </c>
      <c r="D921" s="1" t="n">
        <v>13913.1</v>
      </c>
      <c r="E921" s="1" t="n">
        <v>0.0095</v>
      </c>
      <c r="F921" s="1" t="n">
        <v>0.0822</v>
      </c>
    </row>
    <row r="922" customFormat="false" ht="15" hidden="false" customHeight="false" outlineLevel="0" collapsed="false">
      <c r="A922" s="1" t="s">
        <v>957</v>
      </c>
      <c r="B922" s="1" t="s">
        <v>32</v>
      </c>
      <c r="C922" s="1" t="n">
        <v>5700000</v>
      </c>
      <c r="D922" s="1" t="n">
        <v>7378</v>
      </c>
      <c r="E922" s="1" t="n">
        <v>0.0067</v>
      </c>
      <c r="F922" s="1" t="n">
        <v>0.0654</v>
      </c>
    </row>
    <row r="923" customFormat="false" ht="15" hidden="false" customHeight="false" outlineLevel="0" collapsed="false">
      <c r="A923" s="1" t="s">
        <v>958</v>
      </c>
      <c r="B923" s="1" t="s">
        <v>53</v>
      </c>
      <c r="C923" s="1" t="n">
        <v>3570000</v>
      </c>
      <c r="D923" s="1" t="n">
        <v>20308.3</v>
      </c>
      <c r="E923" s="1" t="n">
        <v>0.0329</v>
      </c>
      <c r="F923" s="1" t="n">
        <v>0.1516</v>
      </c>
    </row>
    <row r="924" customFormat="false" ht="15" hidden="false" customHeight="false" outlineLevel="0" collapsed="false">
      <c r="A924" s="1" t="s">
        <v>959</v>
      </c>
      <c r="B924" s="1" t="s">
        <v>53</v>
      </c>
      <c r="C924" s="1" t="n">
        <v>3540000</v>
      </c>
      <c r="D924" s="1" t="n">
        <v>15896.3</v>
      </c>
      <c r="E924" s="1" t="n">
        <v>0.0248</v>
      </c>
      <c r="F924" s="1" t="n">
        <v>0.1771</v>
      </c>
    </row>
    <row r="925" customFormat="false" ht="15" hidden="false" customHeight="false" outlineLevel="0" collapsed="false">
      <c r="A925" s="1" t="s">
        <v>960</v>
      </c>
      <c r="B925" s="1" t="s">
        <v>71</v>
      </c>
      <c r="C925" s="1" t="n">
        <v>6210000</v>
      </c>
      <c r="D925" s="1" t="n">
        <v>46769.4</v>
      </c>
      <c r="E925" s="1" t="n">
        <v>0.0661</v>
      </c>
      <c r="F925" s="1" t="n">
        <v>0.0938</v>
      </c>
    </row>
    <row r="926" customFormat="false" ht="15" hidden="false" customHeight="false" outlineLevel="0" collapsed="false">
      <c r="A926" s="1" t="s">
        <v>961</v>
      </c>
      <c r="B926" s="1" t="s">
        <v>24</v>
      </c>
      <c r="C926" s="1" t="n">
        <v>3780000</v>
      </c>
      <c r="D926" s="1" t="n">
        <v>1954.3</v>
      </c>
      <c r="E926" s="1" t="n">
        <v>0.0443</v>
      </c>
      <c r="F926" s="1" t="n">
        <v>0.301</v>
      </c>
    </row>
    <row r="927" customFormat="false" ht="15" hidden="false" customHeight="false" outlineLevel="0" collapsed="false">
      <c r="A927" s="1" t="s">
        <v>962</v>
      </c>
      <c r="B927" s="1" t="s">
        <v>53</v>
      </c>
      <c r="C927" s="1" t="n">
        <v>3340000</v>
      </c>
      <c r="D927" s="1" t="n">
        <v>2850333.7</v>
      </c>
      <c r="E927" s="1" t="n">
        <v>0.0393</v>
      </c>
      <c r="F927" s="1" t="n">
        <v>0.0951</v>
      </c>
    </row>
    <row r="928" customFormat="false" ht="15" hidden="false" customHeight="false" outlineLevel="0" collapsed="false">
      <c r="A928" s="1" t="s">
        <v>963</v>
      </c>
      <c r="B928" s="1" t="s">
        <v>26</v>
      </c>
      <c r="C928" s="1" t="n">
        <v>3540000</v>
      </c>
      <c r="D928" s="1" t="n">
        <v>94797.5</v>
      </c>
      <c r="E928" s="1" t="n">
        <v>0.0295</v>
      </c>
      <c r="F928" s="1" t="n">
        <v>0.0409</v>
      </c>
    </row>
    <row r="929" customFormat="false" ht="15" hidden="false" customHeight="false" outlineLevel="0" collapsed="false">
      <c r="A929" s="1" t="s">
        <v>964</v>
      </c>
      <c r="B929" s="1" t="s">
        <v>26</v>
      </c>
      <c r="C929" s="1" t="n">
        <v>3390000</v>
      </c>
      <c r="D929" s="1" t="n">
        <v>11228.1</v>
      </c>
      <c r="E929" s="1" t="n">
        <v>0.0445</v>
      </c>
      <c r="F929" s="1" t="n">
        <v>0.0759</v>
      </c>
    </row>
    <row r="930" customFormat="false" ht="15" hidden="false" customHeight="false" outlineLevel="0" collapsed="false">
      <c r="A930" s="1" t="s">
        <v>965</v>
      </c>
      <c r="B930" s="1" t="s">
        <v>287</v>
      </c>
      <c r="C930" s="1" t="n">
        <v>3430000</v>
      </c>
      <c r="D930" s="1" t="n">
        <v>15258.9</v>
      </c>
      <c r="E930" s="1" t="n">
        <v>0.0063</v>
      </c>
      <c r="F930" s="1" t="n">
        <v>0.1015</v>
      </c>
    </row>
    <row r="931" customFormat="false" ht="15" hidden="false" customHeight="false" outlineLevel="0" collapsed="false">
      <c r="A931" s="1" t="s">
        <v>966</v>
      </c>
      <c r="B931" s="1" t="s">
        <v>214</v>
      </c>
      <c r="C931" s="1" t="n">
        <v>5440000</v>
      </c>
      <c r="D931" s="1" t="n">
        <v>238117.8</v>
      </c>
      <c r="E931" s="1" t="n">
        <v>0.0024</v>
      </c>
      <c r="F931" s="1" t="n">
        <v>0.0654</v>
      </c>
    </row>
    <row r="932" customFormat="false" ht="15" hidden="false" customHeight="false" outlineLevel="0" collapsed="false">
      <c r="A932" s="1" t="s">
        <v>967</v>
      </c>
      <c r="B932" s="1" t="s">
        <v>26</v>
      </c>
      <c r="C932" s="1" t="n">
        <v>3620000</v>
      </c>
      <c r="D932" s="1" t="n">
        <v>4032633.9</v>
      </c>
      <c r="E932" s="1" t="n">
        <v>0.0806</v>
      </c>
      <c r="F932" s="1" t="n">
        <v>0.0951</v>
      </c>
    </row>
    <row r="933" customFormat="false" ht="15" hidden="false" customHeight="false" outlineLevel="0" collapsed="false">
      <c r="A933" s="1" t="s">
        <v>968</v>
      </c>
      <c r="B933" s="1" t="s">
        <v>26</v>
      </c>
      <c r="C933" s="1" t="n">
        <v>5360000</v>
      </c>
      <c r="D933" s="1" t="n">
        <v>474807.4</v>
      </c>
      <c r="E933" s="1" t="n">
        <v>0.0138</v>
      </c>
      <c r="F933" s="1" t="n">
        <v>0.0462</v>
      </c>
    </row>
    <row r="934" customFormat="false" ht="15" hidden="false" customHeight="false" outlineLevel="0" collapsed="false">
      <c r="A934" s="1" t="s">
        <v>969</v>
      </c>
      <c r="B934" s="1" t="s">
        <v>26</v>
      </c>
      <c r="C934" s="1" t="n">
        <v>20200000</v>
      </c>
      <c r="D934" s="1" t="n">
        <v>44219129.6</v>
      </c>
      <c r="E934" s="1" t="n">
        <v>0.0162</v>
      </c>
      <c r="F934" s="1" t="n">
        <v>0.0462</v>
      </c>
    </row>
    <row r="935" customFormat="false" ht="15" hidden="false" customHeight="false" outlineLevel="0" collapsed="false">
      <c r="A935" s="1" t="s">
        <v>970</v>
      </c>
      <c r="B935" s="1" t="s">
        <v>26</v>
      </c>
      <c r="C935" s="1" t="n">
        <v>3420000</v>
      </c>
      <c r="D935" s="1" t="n">
        <v>14991.2</v>
      </c>
      <c r="E935" s="1" t="n">
        <v>0.0396</v>
      </c>
      <c r="F935" s="1" t="n">
        <v>0.0951</v>
      </c>
    </row>
    <row r="936" customFormat="false" ht="15" hidden="false" customHeight="false" outlineLevel="0" collapsed="false">
      <c r="A936" s="1" t="s">
        <v>971</v>
      </c>
      <c r="B936" s="1" t="s">
        <v>26</v>
      </c>
      <c r="C936" s="1" t="n">
        <v>4890000</v>
      </c>
      <c r="D936" s="1" t="n">
        <v>108529.2</v>
      </c>
      <c r="E936" s="1" t="n">
        <v>0.02</v>
      </c>
      <c r="F936" s="1" t="n">
        <v>0.0462</v>
      </c>
    </row>
    <row r="937" customFormat="false" ht="15" hidden="false" customHeight="false" outlineLevel="0" collapsed="false">
      <c r="A937" s="1" t="s">
        <v>972</v>
      </c>
      <c r="B937" s="1" t="s">
        <v>88</v>
      </c>
      <c r="C937" s="1" t="n">
        <v>582000</v>
      </c>
      <c r="D937" s="1" t="n">
        <v>181.8</v>
      </c>
      <c r="E937" s="1" t="n">
        <v>0.0174</v>
      </c>
      <c r="F937" s="1" t="n">
        <v>0.0576</v>
      </c>
    </row>
    <row r="938" customFormat="false" ht="15" hidden="false" customHeight="false" outlineLevel="0" collapsed="false">
      <c r="A938" s="1" t="s">
        <v>973</v>
      </c>
      <c r="B938" s="1" t="s">
        <v>30</v>
      </c>
      <c r="C938" s="1" t="n">
        <v>3830000</v>
      </c>
      <c r="D938" s="1" t="n">
        <v>735829.6</v>
      </c>
      <c r="E938" s="1" t="n">
        <v>0.0276</v>
      </c>
      <c r="F938" s="1" t="n">
        <v>0.0951</v>
      </c>
    </row>
    <row r="939" customFormat="false" ht="15" hidden="false" customHeight="false" outlineLevel="0" collapsed="false">
      <c r="A939" s="1" t="s">
        <v>974</v>
      </c>
      <c r="B939" s="1" t="s">
        <v>62</v>
      </c>
      <c r="C939" s="1" t="n">
        <v>3440000</v>
      </c>
      <c r="D939" s="1" t="n">
        <v>407384.4</v>
      </c>
      <c r="E939" s="1" t="n">
        <v>0.0324</v>
      </c>
      <c r="F939" s="1" t="n">
        <v>0.0951</v>
      </c>
    </row>
    <row r="940" customFormat="false" ht="15" hidden="false" customHeight="false" outlineLevel="0" collapsed="false">
      <c r="A940" s="1" t="s">
        <v>975</v>
      </c>
      <c r="B940" s="1" t="s">
        <v>24</v>
      </c>
      <c r="C940" s="1" t="n">
        <v>3780000</v>
      </c>
      <c r="D940" s="1" t="n">
        <v>8671.8</v>
      </c>
      <c r="E940" s="1" t="n">
        <v>0.0139</v>
      </c>
      <c r="F940" s="1" t="n">
        <v>0.1053</v>
      </c>
    </row>
    <row r="941" customFormat="false" ht="15" hidden="false" customHeight="false" outlineLevel="0" collapsed="false">
      <c r="A941" s="1" t="s">
        <v>976</v>
      </c>
      <c r="B941" s="1" t="s">
        <v>62</v>
      </c>
      <c r="C941" s="1" t="n">
        <v>4590000</v>
      </c>
      <c r="D941" s="1" t="n">
        <v>405909.4</v>
      </c>
      <c r="E941" s="1" t="n">
        <v>0.0374</v>
      </c>
      <c r="F941" s="1" t="n">
        <v>0.0412</v>
      </c>
    </row>
    <row r="942" customFormat="false" ht="15" hidden="false" customHeight="false" outlineLevel="0" collapsed="false">
      <c r="A942" s="1" t="s">
        <v>977</v>
      </c>
      <c r="B942" s="1" t="s">
        <v>490</v>
      </c>
      <c r="C942" s="1" t="n">
        <v>3300000</v>
      </c>
      <c r="D942" s="1" t="n">
        <v>57830.4</v>
      </c>
      <c r="E942" s="1" t="n">
        <v>0.0267</v>
      </c>
      <c r="F942" s="1" t="n">
        <v>0.0845</v>
      </c>
    </row>
    <row r="943" customFormat="false" ht="15" hidden="false" customHeight="false" outlineLevel="0" collapsed="false">
      <c r="A943" s="1" t="s">
        <v>978</v>
      </c>
      <c r="B943" s="1" t="s">
        <v>41</v>
      </c>
      <c r="C943" s="1" t="n">
        <v>3780000</v>
      </c>
      <c r="D943" s="1" t="n">
        <v>13751.1</v>
      </c>
      <c r="E943" s="1" t="n">
        <v>0.015</v>
      </c>
      <c r="F943" s="1" t="n">
        <v>0.0726</v>
      </c>
    </row>
    <row r="944" customFormat="false" ht="15" hidden="false" customHeight="false" outlineLevel="0" collapsed="false">
      <c r="A944" s="1" t="s">
        <v>979</v>
      </c>
      <c r="B944" s="1" t="s">
        <v>26</v>
      </c>
      <c r="C944" s="1" t="n">
        <v>3840000</v>
      </c>
      <c r="D944" s="1" t="n">
        <v>26062.7</v>
      </c>
      <c r="E944" s="1" t="n">
        <v>0.0321</v>
      </c>
      <c r="F944" s="1" t="n">
        <v>0.0538</v>
      </c>
    </row>
    <row r="945" customFormat="false" ht="15" hidden="false" customHeight="false" outlineLevel="0" collapsed="false">
      <c r="A945" s="1" t="s">
        <v>980</v>
      </c>
      <c r="B945" s="1" t="s">
        <v>24</v>
      </c>
      <c r="C945" s="1" t="n">
        <v>3680000</v>
      </c>
      <c r="D945" s="1" t="n">
        <v>33854.8</v>
      </c>
      <c r="E945" s="1" t="n">
        <v>0.0211</v>
      </c>
      <c r="F945" s="1" t="n">
        <v>0.0672</v>
      </c>
    </row>
    <row r="946" customFormat="false" ht="15" hidden="false" customHeight="false" outlineLevel="0" collapsed="false">
      <c r="A946" s="1" t="s">
        <v>981</v>
      </c>
      <c r="B946" s="1" t="s">
        <v>74</v>
      </c>
      <c r="C946" s="1" t="n">
        <v>4450000</v>
      </c>
      <c r="D946" s="1" t="n">
        <v>194495</v>
      </c>
      <c r="E946" s="1" t="n">
        <v>0.033</v>
      </c>
      <c r="F946" s="1" t="n">
        <v>0.0412</v>
      </c>
    </row>
    <row r="947" customFormat="false" ht="15" hidden="false" customHeight="false" outlineLevel="0" collapsed="false">
      <c r="A947" s="1" t="s">
        <v>982</v>
      </c>
      <c r="B947" s="1" t="s">
        <v>26</v>
      </c>
      <c r="C947" s="1" t="n">
        <v>4680000</v>
      </c>
      <c r="D947" s="1" t="n">
        <v>3444.5</v>
      </c>
      <c r="E947" s="1" t="n">
        <v>0.0165</v>
      </c>
      <c r="F947" s="1" t="n">
        <v>0.0576</v>
      </c>
    </row>
    <row r="948" customFormat="false" ht="15" hidden="false" customHeight="false" outlineLevel="0" collapsed="false">
      <c r="A948" s="1" t="s">
        <v>983</v>
      </c>
      <c r="B948" s="1" t="s">
        <v>21</v>
      </c>
      <c r="C948" s="1" t="n">
        <v>7650000</v>
      </c>
      <c r="D948" s="1" t="n">
        <v>816.6</v>
      </c>
      <c r="E948" s="1" t="n">
        <v>0.0191</v>
      </c>
      <c r="F948" s="1" t="n">
        <v>0.0608</v>
      </c>
    </row>
    <row r="949" customFormat="false" ht="15" hidden="false" customHeight="false" outlineLevel="0" collapsed="false">
      <c r="A949" s="1" t="s">
        <v>984</v>
      </c>
      <c r="B949" s="1" t="s">
        <v>41</v>
      </c>
      <c r="C949" s="1" t="n">
        <v>5280000</v>
      </c>
      <c r="D949" s="1" t="n">
        <v>778.6</v>
      </c>
      <c r="E949" s="1" t="n">
        <v>0.0083</v>
      </c>
      <c r="F949" s="1" t="n">
        <v>0.0811</v>
      </c>
    </row>
    <row r="950" customFormat="false" ht="15" hidden="false" customHeight="false" outlineLevel="0" collapsed="false">
      <c r="A950" s="1" t="s">
        <v>985</v>
      </c>
      <c r="B950" s="1" t="s">
        <v>490</v>
      </c>
      <c r="C950" s="1" t="n">
        <v>4220000</v>
      </c>
      <c r="D950" s="1" t="n">
        <v>80393.7</v>
      </c>
      <c r="E950" s="1" t="n">
        <v>0.0254</v>
      </c>
      <c r="F950" s="1" t="n">
        <v>0.051</v>
      </c>
    </row>
    <row r="951" customFormat="false" ht="15" hidden="false" customHeight="false" outlineLevel="0" collapsed="false">
      <c r="A951" s="1" t="s">
        <v>986</v>
      </c>
      <c r="B951" s="1" t="s">
        <v>214</v>
      </c>
      <c r="C951" s="1" t="n">
        <v>3440000</v>
      </c>
      <c r="D951" s="1" t="n">
        <v>66690.8</v>
      </c>
      <c r="E951" s="1" t="n">
        <v>0.0198</v>
      </c>
      <c r="F951" s="1" t="n">
        <v>0.0518</v>
      </c>
    </row>
    <row r="952" customFormat="false" ht="15" hidden="false" customHeight="false" outlineLevel="0" collapsed="false">
      <c r="A952" s="1" t="s">
        <v>987</v>
      </c>
      <c r="B952" s="1" t="s">
        <v>71</v>
      </c>
      <c r="C952" s="1" t="n">
        <v>3840000</v>
      </c>
      <c r="D952" s="1" t="n">
        <v>21538</v>
      </c>
      <c r="E952" s="1" t="n">
        <v>0.0297</v>
      </c>
      <c r="F952" s="1" t="n">
        <v>0.0938</v>
      </c>
    </row>
    <row r="953" customFormat="false" ht="15" hidden="false" customHeight="false" outlineLevel="0" collapsed="false">
      <c r="A953" s="1" t="s">
        <v>988</v>
      </c>
      <c r="B953" s="1" t="s">
        <v>26</v>
      </c>
      <c r="C953" s="1" t="n">
        <v>3590000</v>
      </c>
      <c r="D953" s="1" t="n">
        <v>828.8</v>
      </c>
      <c r="E953" s="1" t="n">
        <v>0.0555</v>
      </c>
      <c r="F953" s="1" t="n">
        <v>0.0409</v>
      </c>
    </row>
    <row r="954" customFormat="false" ht="15" hidden="false" customHeight="false" outlineLevel="0" collapsed="false">
      <c r="A954" s="1" t="s">
        <v>989</v>
      </c>
      <c r="B954" s="1" t="s">
        <v>88</v>
      </c>
      <c r="C954" s="1" t="n">
        <v>4130000</v>
      </c>
      <c r="D954" s="1" t="n">
        <v>1885</v>
      </c>
      <c r="E954" s="1" t="n">
        <v>0.0939</v>
      </c>
      <c r="F954" s="1" t="n">
        <v>0.0938</v>
      </c>
    </row>
    <row r="955" customFormat="false" ht="15" hidden="false" customHeight="false" outlineLevel="0" collapsed="false">
      <c r="A955" s="1" t="s">
        <v>990</v>
      </c>
      <c r="B955" s="1" t="s">
        <v>214</v>
      </c>
      <c r="C955" s="1" t="n">
        <v>3780000</v>
      </c>
      <c r="D955" s="1" t="n">
        <v>46588.8</v>
      </c>
      <c r="E955" s="1" t="n">
        <v>0.0193</v>
      </c>
      <c r="F955" s="1" t="n">
        <v>0.1053</v>
      </c>
    </row>
    <row r="956" customFormat="false" ht="15" hidden="false" customHeight="false" outlineLevel="0" collapsed="false">
      <c r="A956" s="1" t="s">
        <v>991</v>
      </c>
      <c r="B956" s="1" t="s">
        <v>26</v>
      </c>
      <c r="C956" s="1" t="n">
        <v>3470000</v>
      </c>
      <c r="D956" s="1" t="n">
        <v>405</v>
      </c>
      <c r="E956" s="1" t="n">
        <v>0.0177</v>
      </c>
      <c r="F956" s="1" t="n">
        <v>0.0909</v>
      </c>
    </row>
    <row r="957" customFormat="false" ht="15" hidden="false" customHeight="false" outlineLevel="0" collapsed="false">
      <c r="A957" s="1" t="s">
        <v>992</v>
      </c>
      <c r="B957" s="1" t="s">
        <v>88</v>
      </c>
      <c r="C957" s="1" t="n">
        <v>3990000</v>
      </c>
      <c r="D957" s="1" t="n">
        <v>13094.8</v>
      </c>
      <c r="E957" s="1" t="n">
        <v>0.0135</v>
      </c>
      <c r="F957" s="1" t="n">
        <v>0.131</v>
      </c>
    </row>
    <row r="958" customFormat="false" ht="15" hidden="false" customHeight="false" outlineLevel="0" collapsed="false">
      <c r="A958" s="1" t="s">
        <v>993</v>
      </c>
      <c r="B958" s="1" t="s">
        <v>92</v>
      </c>
      <c r="C958" s="1" t="n">
        <v>5090000</v>
      </c>
      <c r="D958" s="1" t="n">
        <v>106076</v>
      </c>
      <c r="E958" s="1" t="n">
        <v>0.0109</v>
      </c>
      <c r="F958" s="1" t="n">
        <v>0.0584</v>
      </c>
    </row>
    <row r="959" customFormat="false" ht="15" hidden="false" customHeight="false" outlineLevel="0" collapsed="false">
      <c r="A959" s="1" t="s">
        <v>994</v>
      </c>
      <c r="B959" s="1" t="s">
        <v>92</v>
      </c>
      <c r="C959" s="1" t="n">
        <v>3770000</v>
      </c>
      <c r="D959" s="1" t="n">
        <v>53829.7</v>
      </c>
      <c r="E959" s="1" t="n">
        <v>0.021</v>
      </c>
      <c r="F959" s="1" t="n">
        <v>0.0759</v>
      </c>
    </row>
    <row r="960" customFormat="false" ht="15" hidden="false" customHeight="false" outlineLevel="0" collapsed="false">
      <c r="A960" s="1" t="s">
        <v>995</v>
      </c>
      <c r="B960" s="1" t="s">
        <v>30</v>
      </c>
      <c r="C960" s="1" t="n">
        <v>5510000</v>
      </c>
      <c r="D960" s="1" t="n">
        <v>12920.8</v>
      </c>
      <c r="E960" s="1" t="n">
        <v>0.0046</v>
      </c>
      <c r="F960" s="1" t="n">
        <v>0.0811</v>
      </c>
    </row>
    <row r="961" customFormat="false" ht="15" hidden="false" customHeight="false" outlineLevel="0" collapsed="false">
      <c r="A961" s="1" t="s">
        <v>996</v>
      </c>
      <c r="B961" s="1" t="s">
        <v>26</v>
      </c>
      <c r="C961" s="1" t="n">
        <v>3730000</v>
      </c>
      <c r="D961" s="1" t="n">
        <v>1443105</v>
      </c>
      <c r="E961" s="1" t="n">
        <v>0.0346</v>
      </c>
      <c r="F961" s="1" t="n">
        <v>0.0759</v>
      </c>
    </row>
    <row r="962" customFormat="false" ht="15" hidden="false" customHeight="false" outlineLevel="0" collapsed="false">
      <c r="A962" s="1" t="s">
        <v>997</v>
      </c>
      <c r="B962" s="1" t="s">
        <v>53</v>
      </c>
      <c r="C962" s="1" t="n">
        <v>3760000</v>
      </c>
      <c r="D962" s="1" t="n">
        <v>1181</v>
      </c>
      <c r="E962" s="1" t="n">
        <v>0.0067</v>
      </c>
      <c r="F962" s="1" t="n">
        <v>0.1471</v>
      </c>
    </row>
    <row r="963" customFormat="false" ht="15" hidden="false" customHeight="false" outlineLevel="0" collapsed="false">
      <c r="A963" s="1" t="s">
        <v>998</v>
      </c>
      <c r="B963" s="1" t="s">
        <v>92</v>
      </c>
      <c r="C963" s="1" t="n">
        <v>3600000</v>
      </c>
      <c r="D963" s="1" t="n">
        <v>120435.4</v>
      </c>
      <c r="E963" s="1" t="n">
        <v>0.0367</v>
      </c>
      <c r="F963" s="1" t="n">
        <v>0.0538</v>
      </c>
    </row>
    <row r="964" customFormat="false" ht="15" hidden="false" customHeight="false" outlineLevel="0" collapsed="false">
      <c r="A964" s="1" t="s">
        <v>999</v>
      </c>
      <c r="B964" s="1" t="s">
        <v>26</v>
      </c>
      <c r="C964" s="1" t="n">
        <v>3900000</v>
      </c>
      <c r="D964" s="1" t="n">
        <v>12010.7</v>
      </c>
      <c r="E964" s="1" t="n">
        <v>0.0332</v>
      </c>
      <c r="F964" s="1" t="n">
        <v>0.0951</v>
      </c>
    </row>
    <row r="965" customFormat="false" ht="15" hidden="false" customHeight="false" outlineLevel="0" collapsed="false">
      <c r="A965" s="1" t="s">
        <v>1000</v>
      </c>
      <c r="B965" s="1" t="s">
        <v>24</v>
      </c>
      <c r="C965" s="1" t="n">
        <v>3900000</v>
      </c>
      <c r="D965" s="1" t="n">
        <v>71657.1</v>
      </c>
      <c r="E965" s="1" t="n">
        <v>0.0571</v>
      </c>
      <c r="F965" s="1" t="n">
        <v>0.0759</v>
      </c>
    </row>
    <row r="966" customFormat="false" ht="15" hidden="false" customHeight="false" outlineLevel="0" collapsed="false">
      <c r="A966" s="1" t="s">
        <v>1001</v>
      </c>
      <c r="B966" s="1" t="s">
        <v>26</v>
      </c>
      <c r="C966" s="1" t="n">
        <v>3370000</v>
      </c>
      <c r="D966" s="1" t="n">
        <v>3873591</v>
      </c>
      <c r="E966" s="1" t="n">
        <v>0.0175</v>
      </c>
      <c r="F966" s="1" t="n">
        <v>0.0518</v>
      </c>
    </row>
    <row r="967" customFormat="false" ht="15" hidden="false" customHeight="false" outlineLevel="0" collapsed="false">
      <c r="A967" s="1" t="s">
        <v>1002</v>
      </c>
      <c r="B967" s="1" t="s">
        <v>26</v>
      </c>
      <c r="C967" s="1" t="n">
        <v>4010000</v>
      </c>
      <c r="D967" s="1" t="n">
        <v>435305.5</v>
      </c>
      <c r="E967" s="1" t="n">
        <v>0.026</v>
      </c>
      <c r="F967" s="1" t="n">
        <v>0.0518</v>
      </c>
    </row>
    <row r="968" customFormat="false" ht="15" hidden="false" customHeight="false" outlineLevel="0" collapsed="false">
      <c r="A968" s="1" t="s">
        <v>1003</v>
      </c>
      <c r="B968" s="1" t="s">
        <v>88</v>
      </c>
      <c r="C968" s="1" t="n">
        <v>3840000</v>
      </c>
      <c r="D968" s="1" t="n">
        <v>938.8</v>
      </c>
      <c r="E968" s="1" t="n">
        <v>0.0207</v>
      </c>
      <c r="F968" s="1" t="n">
        <v>0.051</v>
      </c>
    </row>
    <row r="969" customFormat="false" ht="15" hidden="false" customHeight="false" outlineLevel="0" collapsed="false">
      <c r="A969" s="1" t="s">
        <v>1004</v>
      </c>
      <c r="B969" s="1" t="s">
        <v>74</v>
      </c>
      <c r="C969" s="1" t="n">
        <v>3780000</v>
      </c>
      <c r="D969" s="1" t="n">
        <v>291888.7</v>
      </c>
      <c r="E969" s="1" t="n">
        <v>0.0275</v>
      </c>
      <c r="F969" s="1" t="n">
        <v>0.0518</v>
      </c>
    </row>
    <row r="970" customFormat="false" ht="15" hidden="false" customHeight="false" outlineLevel="0" collapsed="false">
      <c r="A970" s="1" t="s">
        <v>1005</v>
      </c>
      <c r="B970" s="1" t="s">
        <v>21</v>
      </c>
      <c r="C970" s="1" t="n">
        <v>5670000</v>
      </c>
      <c r="D970" s="1" t="n">
        <v>335789.2</v>
      </c>
      <c r="E970" s="1" t="n">
        <v>0.0532</v>
      </c>
      <c r="F970" s="1" t="n">
        <v>0.0938</v>
      </c>
    </row>
    <row r="971" customFormat="false" ht="15" hidden="false" customHeight="false" outlineLevel="0" collapsed="false">
      <c r="A971" s="1" t="s">
        <v>1006</v>
      </c>
      <c r="B971" s="1" t="s">
        <v>26</v>
      </c>
      <c r="C971" s="1" t="n">
        <v>3980000</v>
      </c>
      <c r="D971" s="1" t="n">
        <v>155668.4</v>
      </c>
      <c r="E971" s="1" t="n">
        <v>0.0556</v>
      </c>
      <c r="F971" s="1" t="n">
        <v>0.0759</v>
      </c>
    </row>
    <row r="972" customFormat="false" ht="15" hidden="false" customHeight="false" outlineLevel="0" collapsed="false">
      <c r="A972" s="1" t="s">
        <v>1007</v>
      </c>
      <c r="B972" s="1" t="s">
        <v>41</v>
      </c>
      <c r="C972" s="1" t="n">
        <v>3450000</v>
      </c>
      <c r="D972" s="1" t="n">
        <v>154479.1</v>
      </c>
      <c r="E972" s="1" t="n">
        <v>0.0281</v>
      </c>
      <c r="F972" s="1" t="n">
        <v>0.0759</v>
      </c>
    </row>
    <row r="973" customFormat="false" ht="15" hidden="false" customHeight="false" outlineLevel="0" collapsed="false">
      <c r="A973" s="1" t="s">
        <v>1008</v>
      </c>
      <c r="B973" s="1" t="s">
        <v>26</v>
      </c>
      <c r="C973" s="1" t="n">
        <v>3830000</v>
      </c>
      <c r="D973" s="1" t="n">
        <v>33816.7</v>
      </c>
      <c r="E973" s="1" t="n">
        <v>0.0068</v>
      </c>
      <c r="F973" s="1" t="n">
        <v>0.0654</v>
      </c>
    </row>
    <row r="974" customFormat="false" ht="15" hidden="false" customHeight="false" outlineLevel="0" collapsed="false">
      <c r="A974" s="1" t="s">
        <v>1009</v>
      </c>
      <c r="B974" s="1" t="s">
        <v>50</v>
      </c>
      <c r="C974" s="1" t="n">
        <v>3520000</v>
      </c>
      <c r="D974" s="1" t="n">
        <v>145222.6</v>
      </c>
      <c r="E974" s="1" t="n">
        <v>0.0414</v>
      </c>
      <c r="F974" s="1" t="n">
        <v>0.0759</v>
      </c>
    </row>
    <row r="975" customFormat="false" ht="15" hidden="false" customHeight="false" outlineLevel="0" collapsed="false">
      <c r="A975" s="1" t="s">
        <v>1010</v>
      </c>
      <c r="B975" s="1" t="s">
        <v>24</v>
      </c>
      <c r="C975" s="1" t="n">
        <v>3710000</v>
      </c>
      <c r="D975" s="1" t="n">
        <v>5427.4</v>
      </c>
      <c r="E975" s="1" t="n">
        <v>0.0573</v>
      </c>
      <c r="F975" s="1" t="n">
        <v>0.0938</v>
      </c>
    </row>
    <row r="976" customFormat="false" ht="15" hidden="false" customHeight="false" outlineLevel="0" collapsed="false">
      <c r="A976" s="1" t="s">
        <v>1011</v>
      </c>
      <c r="B976" s="1" t="s">
        <v>30</v>
      </c>
      <c r="C976" s="1" t="n">
        <v>3930000</v>
      </c>
      <c r="D976" s="1" t="n">
        <v>1713.3</v>
      </c>
      <c r="E976" s="1" t="n">
        <v>0.0093</v>
      </c>
      <c r="F976" s="1" t="n">
        <v>0.0654</v>
      </c>
    </row>
    <row r="977" customFormat="false" ht="15" hidden="false" customHeight="false" outlineLevel="0" collapsed="false">
      <c r="A977" s="1" t="s">
        <v>1012</v>
      </c>
      <c r="B977" s="1" t="s">
        <v>26</v>
      </c>
      <c r="C977" s="1" t="n">
        <v>3230000</v>
      </c>
      <c r="D977" s="1" t="n">
        <v>56293.7</v>
      </c>
      <c r="E977" s="1" t="n">
        <v>0.0419</v>
      </c>
      <c r="F977" s="1" t="n">
        <v>0.0951</v>
      </c>
    </row>
    <row r="978" customFormat="false" ht="15" hidden="false" customHeight="false" outlineLevel="0" collapsed="false">
      <c r="A978" s="1" t="s">
        <v>1013</v>
      </c>
      <c r="B978" s="1" t="s">
        <v>26</v>
      </c>
      <c r="C978" s="1" t="n">
        <v>4180000</v>
      </c>
      <c r="D978" s="1" t="n">
        <v>3161192.2</v>
      </c>
      <c r="E978" s="1" t="n">
        <v>0.0155</v>
      </c>
      <c r="F978" s="1" t="n">
        <v>0.0585</v>
      </c>
    </row>
    <row r="979" customFormat="false" ht="15" hidden="false" customHeight="false" outlineLevel="0" collapsed="false">
      <c r="A979" s="1" t="s">
        <v>1014</v>
      </c>
      <c r="B979" s="1" t="s">
        <v>24</v>
      </c>
      <c r="C979" s="1" t="n">
        <v>3270000</v>
      </c>
      <c r="D979" s="1" t="n">
        <v>9133.2</v>
      </c>
      <c r="E979" s="1" t="n">
        <v>0.0269</v>
      </c>
      <c r="F979" s="1" t="n">
        <v>0.0518</v>
      </c>
    </row>
    <row r="980" customFormat="false" ht="15" hidden="false" customHeight="false" outlineLevel="0" collapsed="false">
      <c r="A980" s="1" t="s">
        <v>1015</v>
      </c>
      <c r="B980" s="1" t="s">
        <v>74</v>
      </c>
      <c r="C980" s="1" t="n">
        <v>4480000</v>
      </c>
      <c r="D980" s="1" t="n">
        <v>2020</v>
      </c>
      <c r="E980" s="1" t="n">
        <v>0.025</v>
      </c>
      <c r="F980" s="1" t="n">
        <v>0.0725</v>
      </c>
    </row>
    <row r="981" customFormat="false" ht="15" hidden="false" customHeight="false" outlineLevel="0" collapsed="false">
      <c r="A981" s="1" t="s">
        <v>1016</v>
      </c>
      <c r="B981" s="1" t="s">
        <v>53</v>
      </c>
      <c r="C981" s="1" t="n">
        <v>4040000</v>
      </c>
      <c r="D981" s="1" t="n">
        <v>1477613.4</v>
      </c>
      <c r="E981" s="1" t="n">
        <v>0.0432</v>
      </c>
      <c r="F981" s="1" t="n">
        <v>0.0951</v>
      </c>
    </row>
    <row r="982" customFormat="false" ht="15" hidden="false" customHeight="false" outlineLevel="0" collapsed="false">
      <c r="A982" s="1" t="s">
        <v>1017</v>
      </c>
      <c r="B982" s="1" t="s">
        <v>26</v>
      </c>
      <c r="C982" s="1" t="n">
        <v>4880000</v>
      </c>
      <c r="D982" s="1" t="n">
        <v>984823.2</v>
      </c>
      <c r="E982" s="1" t="n">
        <v>0.0165</v>
      </c>
      <c r="F982" s="1" t="n">
        <v>0.0462</v>
      </c>
    </row>
    <row r="983" customFormat="false" ht="15" hidden="false" customHeight="false" outlineLevel="0" collapsed="false">
      <c r="A983" s="1" t="s">
        <v>1018</v>
      </c>
      <c r="B983" s="1" t="s">
        <v>88</v>
      </c>
      <c r="C983" s="1" t="n">
        <v>3640000</v>
      </c>
      <c r="D983" s="1" t="n">
        <v>2376</v>
      </c>
      <c r="E983" s="1" t="n">
        <v>0.0712</v>
      </c>
      <c r="F983" s="1" t="n">
        <v>0.0938</v>
      </c>
    </row>
    <row r="984" customFormat="false" ht="15" hidden="false" customHeight="false" outlineLevel="0" collapsed="false">
      <c r="A984" s="1" t="s">
        <v>1019</v>
      </c>
      <c r="B984" s="1" t="s">
        <v>74</v>
      </c>
      <c r="C984" s="1" t="n">
        <v>5030000</v>
      </c>
      <c r="D984" s="1" t="n">
        <v>28662.8</v>
      </c>
      <c r="E984" s="1" t="n">
        <v>0.0988</v>
      </c>
      <c r="F984" s="1" t="n">
        <v>0.0759</v>
      </c>
    </row>
    <row r="985" customFormat="false" ht="15" hidden="false" customHeight="false" outlineLevel="0" collapsed="false">
      <c r="A985" s="1" t="s">
        <v>1020</v>
      </c>
      <c r="B985" s="1" t="s">
        <v>26</v>
      </c>
      <c r="C985" s="1" t="n">
        <v>3820000</v>
      </c>
      <c r="D985" s="1" t="n">
        <v>83735.3</v>
      </c>
      <c r="E985" s="1" t="n">
        <v>0.0158</v>
      </c>
      <c r="F985" s="1" t="n">
        <v>0.0608</v>
      </c>
    </row>
    <row r="986" customFormat="false" ht="15" hidden="false" customHeight="false" outlineLevel="0" collapsed="false">
      <c r="A986" s="1" t="s">
        <v>1021</v>
      </c>
      <c r="B986" s="1" t="s">
        <v>92</v>
      </c>
      <c r="C986" s="1" t="n">
        <v>3370000</v>
      </c>
      <c r="D986" s="1" t="n">
        <v>5124.6</v>
      </c>
      <c r="E986" s="1" t="n">
        <v>0.0296</v>
      </c>
      <c r="F986" s="1" t="n">
        <v>0.0938</v>
      </c>
    </row>
    <row r="987" customFormat="false" ht="15" hidden="false" customHeight="false" outlineLevel="0" collapsed="false">
      <c r="A987" s="1" t="s">
        <v>1022</v>
      </c>
      <c r="B987" s="1" t="s">
        <v>26</v>
      </c>
      <c r="C987" s="1" t="n">
        <v>3380000</v>
      </c>
      <c r="D987" s="1" t="n">
        <v>5333.5</v>
      </c>
      <c r="E987" s="1" t="n">
        <v>0.0153</v>
      </c>
      <c r="F987" s="1" t="n">
        <v>0.1471</v>
      </c>
    </row>
    <row r="988" customFormat="false" ht="15" hidden="false" customHeight="false" outlineLevel="0" collapsed="false">
      <c r="A988" s="1" t="s">
        <v>1023</v>
      </c>
      <c r="B988" s="1" t="s">
        <v>26</v>
      </c>
      <c r="C988" s="1" t="n">
        <v>4460000</v>
      </c>
      <c r="D988" s="1" t="n">
        <v>7101.9</v>
      </c>
      <c r="E988" s="1" t="n">
        <v>0.3243</v>
      </c>
      <c r="F988" s="1" t="n">
        <v>0.4766</v>
      </c>
    </row>
    <row r="989" customFormat="false" ht="15" hidden="false" customHeight="false" outlineLevel="0" collapsed="false">
      <c r="A989" s="1" t="s">
        <v>1024</v>
      </c>
      <c r="B989" s="1" t="s">
        <v>26</v>
      </c>
      <c r="C989" s="1" t="n">
        <v>3740000</v>
      </c>
      <c r="D989" s="1" t="n">
        <v>3666.7</v>
      </c>
      <c r="E989" s="1" t="n">
        <v>0.0466</v>
      </c>
      <c r="F989" s="1" t="n">
        <v>0.1516</v>
      </c>
    </row>
    <row r="990" customFormat="false" ht="15" hidden="false" customHeight="false" outlineLevel="0" collapsed="false">
      <c r="A990" s="1" t="s">
        <v>1025</v>
      </c>
      <c r="B990" s="1" t="s">
        <v>88</v>
      </c>
      <c r="C990" s="1" t="n">
        <v>3250000</v>
      </c>
      <c r="D990" s="1" t="n">
        <v>7987.6</v>
      </c>
      <c r="E990" s="1" t="n">
        <v>0.0054</v>
      </c>
      <c r="F990" s="1" t="n">
        <v>0.0822</v>
      </c>
    </row>
    <row r="991" customFormat="false" ht="15" hidden="false" customHeight="false" outlineLevel="0" collapsed="false">
      <c r="A991" s="1" t="s">
        <v>1026</v>
      </c>
      <c r="B991" s="1" t="s">
        <v>30</v>
      </c>
      <c r="C991" s="1" t="n">
        <v>3230000</v>
      </c>
      <c r="D991" s="1" t="n">
        <v>53996.5</v>
      </c>
      <c r="E991" s="1" t="n">
        <v>0.0238</v>
      </c>
      <c r="F991" s="1" t="n">
        <v>0.0462</v>
      </c>
    </row>
    <row r="992" customFormat="false" ht="15" hidden="false" customHeight="false" outlineLevel="0" collapsed="false">
      <c r="A992" s="1" t="s">
        <v>1027</v>
      </c>
      <c r="B992" s="1" t="s">
        <v>21</v>
      </c>
      <c r="C992" s="1" t="n">
        <v>3290000</v>
      </c>
      <c r="D992" s="1" t="n">
        <v>223.1</v>
      </c>
      <c r="E992" s="1" t="n">
        <v>0.0096</v>
      </c>
      <c r="F992" s="1" t="n">
        <v>0.0654</v>
      </c>
    </row>
    <row r="993" customFormat="false" ht="15" hidden="false" customHeight="false" outlineLevel="0" collapsed="false">
      <c r="A993" s="1" t="s">
        <v>1028</v>
      </c>
      <c r="B993" s="1" t="s">
        <v>26</v>
      </c>
      <c r="C993" s="1" t="n">
        <v>4600000</v>
      </c>
      <c r="D993" s="1" t="n">
        <v>1177254</v>
      </c>
      <c r="E993" s="1" t="n">
        <v>0.0198</v>
      </c>
      <c r="F993" s="1" t="n">
        <v>0.0585</v>
      </c>
    </row>
    <row r="994" customFormat="false" ht="15" hidden="false" customHeight="false" outlineLevel="0" collapsed="false">
      <c r="A994" s="1" t="s">
        <v>1029</v>
      </c>
      <c r="B994" s="1" t="s">
        <v>21</v>
      </c>
      <c r="C994" s="1" t="n">
        <v>3810000</v>
      </c>
      <c r="D994" s="1" t="n">
        <v>8570.2</v>
      </c>
      <c r="E994" s="1" t="n">
        <v>0.0074</v>
      </c>
      <c r="F994" s="1" t="n">
        <v>0.0811</v>
      </c>
    </row>
    <row r="995" customFormat="false" ht="15" hidden="false" customHeight="false" outlineLevel="0" collapsed="false">
      <c r="A995" s="1" t="s">
        <v>1030</v>
      </c>
      <c r="B995" s="1" t="s">
        <v>41</v>
      </c>
      <c r="C995" s="1" t="n">
        <v>3130000</v>
      </c>
      <c r="D995" s="1" t="n">
        <v>42.8</v>
      </c>
      <c r="E995" s="1" t="n">
        <v>0.0053</v>
      </c>
      <c r="F995" s="1" t="n">
        <v>0.1465</v>
      </c>
    </row>
    <row r="996" customFormat="false" ht="15" hidden="false" customHeight="false" outlineLevel="0" collapsed="false">
      <c r="A996" s="1" t="s">
        <v>1031</v>
      </c>
      <c r="B996" s="1" t="s">
        <v>30</v>
      </c>
      <c r="C996" s="1" t="n">
        <v>3430000</v>
      </c>
      <c r="D996" s="1" t="n">
        <v>2162.7</v>
      </c>
      <c r="E996" s="1" t="n">
        <v>0.0141</v>
      </c>
      <c r="F996" s="1" t="n">
        <v>0.0854</v>
      </c>
    </row>
    <row r="997" customFormat="false" ht="15" hidden="false" customHeight="false" outlineLevel="0" collapsed="false">
      <c r="A997" s="1" t="s">
        <v>1032</v>
      </c>
      <c r="B997" s="1" t="s">
        <v>26</v>
      </c>
      <c r="C997" s="1" t="n">
        <v>3410000</v>
      </c>
      <c r="D997" s="1" t="n">
        <v>6223.1</v>
      </c>
      <c r="E997" s="1" t="n">
        <v>0.0425</v>
      </c>
      <c r="F997" s="1" t="n">
        <v>0.0759</v>
      </c>
    </row>
    <row r="998" customFormat="false" ht="15" hidden="false" customHeight="false" outlineLevel="0" collapsed="false">
      <c r="A998" s="1" t="s">
        <v>1033</v>
      </c>
      <c r="B998" s="1" t="s">
        <v>71</v>
      </c>
      <c r="C998" s="1" t="n">
        <v>3320000</v>
      </c>
      <c r="D998" s="1" t="n">
        <v>85541.8</v>
      </c>
      <c r="E998" s="1" t="n">
        <v>0.0299</v>
      </c>
      <c r="F998" s="1" t="n">
        <v>0.117</v>
      </c>
    </row>
    <row r="999" customFormat="false" ht="15" hidden="false" customHeight="false" outlineLevel="0" collapsed="false">
      <c r="A999" s="1" t="s">
        <v>1034</v>
      </c>
      <c r="B999" s="1" t="s">
        <v>24</v>
      </c>
      <c r="C999" s="1" t="n">
        <v>3850000</v>
      </c>
      <c r="D999" s="1" t="n">
        <v>212028.2</v>
      </c>
      <c r="E999" s="1" t="n">
        <v>0.0496</v>
      </c>
      <c r="F999" s="1" t="n">
        <v>0.0759</v>
      </c>
    </row>
    <row r="1000" customFormat="false" ht="15" hidden="false" customHeight="false" outlineLevel="0" collapsed="false">
      <c r="A1000" s="1" t="s">
        <v>1035</v>
      </c>
      <c r="B1000" s="1" t="s">
        <v>287</v>
      </c>
      <c r="C1000" s="1" t="n">
        <v>3100000</v>
      </c>
      <c r="D1000" s="1" t="n">
        <v>2364873</v>
      </c>
      <c r="E1000" s="1" t="n">
        <v>0.02</v>
      </c>
      <c r="F1000" s="1" t="n">
        <v>0.0585</v>
      </c>
    </row>
    <row r="1001" customFormat="false" ht="15" hidden="false" customHeight="false" outlineLevel="0" collapsed="false">
      <c r="A1001" s="1" t="s">
        <v>1036</v>
      </c>
      <c r="B1001" s="1" t="s">
        <v>92</v>
      </c>
      <c r="C1001" s="1" t="n">
        <v>3270000</v>
      </c>
      <c r="D1001" s="1" t="n">
        <v>890.9</v>
      </c>
      <c r="E1001" s="1" t="n">
        <v>0.0395</v>
      </c>
      <c r="F1001" s="1" t="n">
        <v>0.0951</v>
      </c>
    </row>
    <row r="1002" customFormat="false" ht="15" hidden="false" customHeight="false" outlineLevel="0" collapsed="false">
      <c r="A1002" s="1" t="s">
        <v>1037</v>
      </c>
      <c r="B1002" s="1" t="s">
        <v>74</v>
      </c>
      <c r="C1002" s="1" t="n">
        <v>4020000</v>
      </c>
      <c r="D1002" s="1" t="n">
        <v>9290.6</v>
      </c>
      <c r="E1002" s="1" t="n">
        <v>0.009</v>
      </c>
      <c r="F1002" s="1" t="n">
        <v>0.0811</v>
      </c>
    </row>
    <row r="1003" customFormat="false" ht="15" hidden="false" customHeight="false" outlineLevel="0" collapsed="false">
      <c r="A1003" s="1" t="s">
        <v>1038</v>
      </c>
      <c r="B1003" s="1" t="s">
        <v>24</v>
      </c>
      <c r="C1003" s="1" t="n">
        <v>4240000</v>
      </c>
      <c r="D1003" s="1" t="n">
        <v>400082.6</v>
      </c>
      <c r="E1003" s="1" t="n">
        <v>0.0416</v>
      </c>
      <c r="F1003" s="1" t="n">
        <v>0.0938</v>
      </c>
    </row>
    <row r="1004" customFormat="false" ht="15" hidden="false" customHeight="false" outlineLevel="0" collapsed="false">
      <c r="A1004" s="1" t="s">
        <v>1039</v>
      </c>
      <c r="B1004" s="1" t="s">
        <v>26</v>
      </c>
      <c r="C1004" s="1" t="n">
        <v>3680000</v>
      </c>
      <c r="D1004" s="1" t="n">
        <v>280.4</v>
      </c>
      <c r="E1004" s="1" t="n">
        <v>0.0031</v>
      </c>
      <c r="F1004" s="1" t="n">
        <v>0.1779</v>
      </c>
    </row>
    <row r="1005" customFormat="false" ht="15" hidden="false" customHeight="false" outlineLevel="0" collapsed="false">
      <c r="A1005" s="1" t="s">
        <v>1040</v>
      </c>
      <c r="B1005" s="1" t="s">
        <v>26</v>
      </c>
      <c r="C1005" s="1" t="n">
        <v>3490000</v>
      </c>
      <c r="D1005" s="1" t="n">
        <v>21538.6</v>
      </c>
      <c r="E1005" s="1" t="n">
        <v>0.0061</v>
      </c>
      <c r="F1005" s="1" t="n">
        <v>0.0822</v>
      </c>
    </row>
    <row r="1006" customFormat="false" ht="15" hidden="false" customHeight="false" outlineLevel="0" collapsed="false">
      <c r="A1006" s="1" t="s">
        <v>1041</v>
      </c>
      <c r="B1006" s="1" t="s">
        <v>92</v>
      </c>
      <c r="C1006" s="1" t="n">
        <v>3700000</v>
      </c>
      <c r="D1006" s="1" t="n">
        <v>17458.4</v>
      </c>
      <c r="E1006" s="1" t="n">
        <v>0.0149</v>
      </c>
      <c r="F1006" s="1" t="n">
        <v>0.1053</v>
      </c>
    </row>
    <row r="1007" customFormat="false" ht="15" hidden="false" customHeight="false" outlineLevel="0" collapsed="false">
      <c r="A1007" s="1" t="s">
        <v>1042</v>
      </c>
      <c r="B1007" s="1" t="s">
        <v>41</v>
      </c>
      <c r="C1007" s="1" t="n">
        <v>4150000</v>
      </c>
      <c r="D1007" s="1" t="n">
        <v>81273.2</v>
      </c>
      <c r="E1007" s="1" t="n">
        <v>0.0183</v>
      </c>
      <c r="F1007" s="1" t="n">
        <v>0.1053</v>
      </c>
    </row>
    <row r="1008" customFormat="false" ht="15" hidden="false" customHeight="false" outlineLevel="0" collapsed="false">
      <c r="A1008" s="1" t="s">
        <v>1043</v>
      </c>
      <c r="B1008" s="1" t="s">
        <v>30</v>
      </c>
      <c r="C1008" s="1" t="n">
        <v>4340000</v>
      </c>
      <c r="D1008" s="1" t="n">
        <v>2363114</v>
      </c>
      <c r="E1008" s="1" t="n">
        <v>0.0023</v>
      </c>
      <c r="F1008" s="1" t="n">
        <v>0.0654</v>
      </c>
    </row>
    <row r="1009" customFormat="false" ht="15" hidden="false" customHeight="false" outlineLevel="0" collapsed="false">
      <c r="A1009" s="1" t="s">
        <v>1044</v>
      </c>
      <c r="B1009" s="1" t="s">
        <v>32</v>
      </c>
      <c r="C1009" s="1" t="n">
        <v>3790000</v>
      </c>
      <c r="D1009" s="1" t="n">
        <v>15488.8</v>
      </c>
      <c r="E1009" s="1" t="n">
        <v>0.015</v>
      </c>
      <c r="F1009" s="1" t="n">
        <v>0.1327</v>
      </c>
    </row>
    <row r="1010" customFormat="false" ht="15" hidden="false" customHeight="false" outlineLevel="0" collapsed="false">
      <c r="A1010" s="1" t="s">
        <v>1045</v>
      </c>
      <c r="B1010" s="1" t="s">
        <v>214</v>
      </c>
      <c r="C1010" s="1" t="n">
        <v>4000000</v>
      </c>
      <c r="D1010" s="1" t="n">
        <v>784860.6</v>
      </c>
      <c r="E1010" s="1" t="n">
        <v>0.0224</v>
      </c>
      <c r="F1010" s="1" t="n">
        <v>0.0518</v>
      </c>
    </row>
    <row r="1011" customFormat="false" ht="15" hidden="false" customHeight="false" outlineLevel="0" collapsed="false">
      <c r="A1011" s="1" t="s">
        <v>1046</v>
      </c>
      <c r="B1011" s="1" t="s">
        <v>21</v>
      </c>
      <c r="C1011" s="1" t="n">
        <v>3680000</v>
      </c>
      <c r="D1011" s="1" t="n">
        <v>1391.4</v>
      </c>
      <c r="E1011" s="1" t="n">
        <v>0.0096</v>
      </c>
      <c r="F1011" s="1" t="n">
        <v>0.0811</v>
      </c>
    </row>
    <row r="1012" customFormat="false" ht="15" hidden="false" customHeight="false" outlineLevel="0" collapsed="false">
      <c r="A1012" s="1" t="s">
        <v>1047</v>
      </c>
      <c r="B1012" s="1" t="s">
        <v>92</v>
      </c>
      <c r="C1012" s="1" t="n">
        <v>319000</v>
      </c>
      <c r="D1012" s="1" t="n">
        <v>292137</v>
      </c>
      <c r="E1012" s="1" t="n">
        <v>0.0208</v>
      </c>
      <c r="F1012" s="1" t="n">
        <v>0.0951</v>
      </c>
    </row>
    <row r="1013" customFormat="false" ht="15" hidden="false" customHeight="false" outlineLevel="0" collapsed="false">
      <c r="A1013" s="1" t="s">
        <v>1048</v>
      </c>
      <c r="B1013" s="1" t="s">
        <v>74</v>
      </c>
      <c r="C1013" s="1" t="n">
        <v>6090000</v>
      </c>
      <c r="D1013" s="1" t="n">
        <v>3851</v>
      </c>
      <c r="E1013" s="1" t="n">
        <v>0.0238</v>
      </c>
      <c r="F1013" s="1" t="n">
        <v>0.051</v>
      </c>
    </row>
    <row r="1014" customFormat="false" ht="15" hidden="false" customHeight="false" outlineLevel="0" collapsed="false">
      <c r="A1014" s="1" t="s">
        <v>1049</v>
      </c>
      <c r="B1014" s="1" t="s">
        <v>41</v>
      </c>
      <c r="C1014" s="1" t="n">
        <v>4030000</v>
      </c>
      <c r="D1014" s="1" t="n">
        <v>203813.3</v>
      </c>
      <c r="E1014" s="1" t="n">
        <v>0.1155</v>
      </c>
      <c r="F1014" s="1" t="n">
        <v>0.117</v>
      </c>
    </row>
    <row r="1015" customFormat="false" ht="15" hidden="false" customHeight="false" outlineLevel="0" collapsed="false">
      <c r="A1015" s="1" t="s">
        <v>1050</v>
      </c>
      <c r="B1015" s="1" t="s">
        <v>24</v>
      </c>
      <c r="C1015" s="1" t="n">
        <v>4940000</v>
      </c>
      <c r="D1015" s="1" t="n">
        <v>783717.4</v>
      </c>
      <c r="E1015" s="1" t="n">
        <v>0.0356</v>
      </c>
      <c r="F1015" s="1" t="n">
        <v>0.0409</v>
      </c>
    </row>
    <row r="1016" customFormat="false" ht="15" hidden="false" customHeight="false" outlineLevel="0" collapsed="false">
      <c r="A1016" s="1" t="s">
        <v>1051</v>
      </c>
      <c r="B1016" s="1" t="s">
        <v>74</v>
      </c>
      <c r="C1016" s="1" t="n">
        <v>4370000</v>
      </c>
      <c r="D1016" s="1" t="n">
        <v>10074</v>
      </c>
      <c r="E1016" s="1" t="n">
        <v>0.0532</v>
      </c>
      <c r="F1016" s="1" t="n">
        <v>0.0938</v>
      </c>
    </row>
    <row r="1017" customFormat="false" ht="15" hidden="false" customHeight="false" outlineLevel="0" collapsed="false">
      <c r="A1017" s="1" t="s">
        <v>1052</v>
      </c>
      <c r="B1017" s="1" t="s">
        <v>30</v>
      </c>
      <c r="C1017" s="1" t="n">
        <v>6390000</v>
      </c>
      <c r="D1017" s="1" t="n">
        <v>2836666.6</v>
      </c>
      <c r="E1017" s="1" t="n">
        <v>0.0236</v>
      </c>
      <c r="F1017" s="1" t="n">
        <v>0.0409</v>
      </c>
    </row>
    <row r="1018" customFormat="false" ht="15" hidden="false" customHeight="false" outlineLevel="0" collapsed="false">
      <c r="A1018" s="1" t="s">
        <v>1053</v>
      </c>
      <c r="B1018" s="1" t="s">
        <v>41</v>
      </c>
      <c r="C1018" s="1" t="n">
        <v>4300000</v>
      </c>
      <c r="D1018" s="1" t="n">
        <v>1263</v>
      </c>
      <c r="E1018" s="1" t="n">
        <v>0.0182</v>
      </c>
      <c r="F1018" s="1" t="n">
        <v>0.1053</v>
      </c>
    </row>
    <row r="1019" customFormat="false" ht="15" hidden="false" customHeight="false" outlineLevel="0" collapsed="false">
      <c r="A1019" s="1" t="s">
        <v>1054</v>
      </c>
      <c r="B1019" s="1" t="s">
        <v>26</v>
      </c>
      <c r="C1019" s="1" t="n">
        <v>3490000</v>
      </c>
      <c r="D1019" s="1" t="n">
        <v>14364.1</v>
      </c>
      <c r="E1019" s="1" t="n">
        <v>0.0143</v>
      </c>
      <c r="F1019" s="1" t="n">
        <v>0.0736</v>
      </c>
    </row>
    <row r="1020" customFormat="false" ht="15" hidden="false" customHeight="false" outlineLevel="0" collapsed="false">
      <c r="A1020" s="1" t="s">
        <v>1055</v>
      </c>
      <c r="B1020" s="1" t="s">
        <v>26</v>
      </c>
      <c r="C1020" s="1" t="n">
        <v>5290000</v>
      </c>
      <c r="D1020" s="1" t="n">
        <v>1551655.1</v>
      </c>
      <c r="F1020" s="1" t="n">
        <v>0.0759</v>
      </c>
    </row>
    <row r="1021" customFormat="false" ht="15" hidden="false" customHeight="false" outlineLevel="0" collapsed="false">
      <c r="A1021" s="1" t="s">
        <v>1056</v>
      </c>
      <c r="B1021" s="1" t="s">
        <v>26</v>
      </c>
      <c r="C1021" s="1" t="n">
        <v>3400000</v>
      </c>
      <c r="D1021" s="1" t="n">
        <v>217657.5</v>
      </c>
      <c r="E1021" s="1" t="n">
        <v>0.0572</v>
      </c>
      <c r="F1021" s="1" t="n">
        <v>0.0759</v>
      </c>
    </row>
    <row r="1022" customFormat="false" ht="15" hidden="false" customHeight="false" outlineLevel="0" collapsed="false">
      <c r="A1022" s="1" t="s">
        <v>1057</v>
      </c>
      <c r="B1022" s="1" t="s">
        <v>287</v>
      </c>
      <c r="C1022" s="1" t="n">
        <v>3760000</v>
      </c>
      <c r="D1022" s="1" t="n">
        <v>19044.8</v>
      </c>
      <c r="E1022" s="1" t="n">
        <v>0.0483</v>
      </c>
      <c r="F1022" s="1" t="n">
        <v>0.0938</v>
      </c>
    </row>
    <row r="1023" customFormat="false" ht="15" hidden="false" customHeight="false" outlineLevel="0" collapsed="false">
      <c r="A1023" s="1" t="s">
        <v>1058</v>
      </c>
      <c r="B1023" s="1" t="s">
        <v>41</v>
      </c>
      <c r="C1023" s="1" t="n">
        <v>4420000</v>
      </c>
      <c r="D1023" s="1" t="n">
        <v>1153092</v>
      </c>
      <c r="E1023" s="1" t="n">
        <v>0.0339</v>
      </c>
      <c r="F1023" s="1" t="n">
        <v>0.0759</v>
      </c>
    </row>
    <row r="1024" customFormat="false" ht="15" hidden="false" customHeight="false" outlineLevel="0" collapsed="false">
      <c r="A1024" s="1" t="s">
        <v>1059</v>
      </c>
      <c r="B1024" s="1" t="s">
        <v>41</v>
      </c>
      <c r="C1024" s="1" t="n">
        <v>3480000</v>
      </c>
      <c r="D1024" s="1" t="n">
        <v>319.5</v>
      </c>
      <c r="E1024" s="1" t="n">
        <v>0.0045</v>
      </c>
      <c r="F1024" s="1" t="n">
        <v>0.168</v>
      </c>
    </row>
    <row r="1025" customFormat="false" ht="15" hidden="false" customHeight="false" outlineLevel="0" collapsed="false">
      <c r="A1025" s="1" t="s">
        <v>1060</v>
      </c>
      <c r="B1025" s="1" t="s">
        <v>88</v>
      </c>
      <c r="C1025" s="1" t="n">
        <v>3300000</v>
      </c>
      <c r="D1025" s="1" t="n">
        <v>159513.2</v>
      </c>
      <c r="E1025" s="1" t="n">
        <v>0.0596</v>
      </c>
      <c r="F1025" s="1" t="n">
        <v>0.0951</v>
      </c>
    </row>
    <row r="1026" customFormat="false" ht="15" hidden="false" customHeight="false" outlineLevel="0" collapsed="false">
      <c r="A1026" s="1" t="s">
        <v>1061</v>
      </c>
      <c r="B1026" s="1" t="s">
        <v>41</v>
      </c>
      <c r="C1026" s="1" t="n">
        <v>5730000</v>
      </c>
      <c r="D1026" s="1" t="n">
        <v>2016.3</v>
      </c>
      <c r="E1026" s="1" t="n">
        <v>0.0078</v>
      </c>
      <c r="F1026" s="1" t="n">
        <v>0.1452</v>
      </c>
    </row>
    <row r="1027" customFormat="false" ht="15" hidden="false" customHeight="false" outlineLevel="0" collapsed="false">
      <c r="A1027" s="1" t="s">
        <v>1062</v>
      </c>
      <c r="B1027" s="1" t="s">
        <v>32</v>
      </c>
      <c r="C1027" s="1" t="n">
        <v>4280000</v>
      </c>
      <c r="D1027" s="1" t="n">
        <v>963217.3</v>
      </c>
      <c r="E1027" s="1" t="n">
        <v>0.0352</v>
      </c>
      <c r="F1027" s="1" t="n">
        <v>0.0759</v>
      </c>
    </row>
    <row r="1028" customFormat="false" ht="15" hidden="false" customHeight="false" outlineLevel="0" collapsed="false">
      <c r="A1028" s="1" t="s">
        <v>1063</v>
      </c>
      <c r="B1028" s="1" t="s">
        <v>26</v>
      </c>
      <c r="C1028" s="1" t="n">
        <v>5700000</v>
      </c>
      <c r="D1028" s="1" t="n">
        <v>2157561.8</v>
      </c>
      <c r="E1028" s="1" t="n">
        <v>0.0273</v>
      </c>
      <c r="F1028" s="1" t="n">
        <v>0.0672</v>
      </c>
    </row>
    <row r="1029" customFormat="false" ht="15" hidden="false" customHeight="false" outlineLevel="0" collapsed="false">
      <c r="A1029" s="1" t="s">
        <v>1064</v>
      </c>
      <c r="B1029" s="1" t="s">
        <v>26</v>
      </c>
      <c r="C1029" s="1" t="n">
        <v>3910000</v>
      </c>
      <c r="D1029" s="1" t="n">
        <v>450383.8</v>
      </c>
      <c r="E1029" s="1" t="n">
        <v>0.0831</v>
      </c>
      <c r="F1029" s="1" t="n">
        <v>0.0672</v>
      </c>
    </row>
    <row r="1030" customFormat="false" ht="15" hidden="false" customHeight="false" outlineLevel="0" collapsed="false">
      <c r="A1030" s="1" t="s">
        <v>1065</v>
      </c>
      <c r="B1030" s="1" t="s">
        <v>32</v>
      </c>
      <c r="C1030" s="1" t="n">
        <v>3050000</v>
      </c>
      <c r="D1030" s="1" t="n">
        <v>2958.1</v>
      </c>
      <c r="E1030" s="1" t="n">
        <v>0.0096</v>
      </c>
      <c r="F1030" s="1" t="n">
        <v>0.1889</v>
      </c>
    </row>
    <row r="1031" customFormat="false" ht="15" hidden="false" customHeight="false" outlineLevel="0" collapsed="false">
      <c r="A1031" s="1" t="s">
        <v>1066</v>
      </c>
      <c r="B1031" s="1" t="s">
        <v>41</v>
      </c>
      <c r="C1031" s="1" t="n">
        <v>3760000</v>
      </c>
      <c r="D1031" s="1" t="n">
        <v>29965.8</v>
      </c>
      <c r="E1031" s="1" t="n">
        <v>0.0261</v>
      </c>
      <c r="F1031" s="1" t="n">
        <v>0.0938</v>
      </c>
    </row>
    <row r="1032" customFormat="false" ht="15" hidden="false" customHeight="false" outlineLevel="0" collapsed="false">
      <c r="A1032" s="1" t="s">
        <v>1067</v>
      </c>
      <c r="B1032" s="1" t="s">
        <v>74</v>
      </c>
      <c r="C1032" s="1" t="n">
        <v>3160000</v>
      </c>
      <c r="D1032" s="1" t="n">
        <v>22569.6</v>
      </c>
      <c r="E1032" s="1" t="n">
        <v>0.0209</v>
      </c>
      <c r="F1032" s="1" t="n">
        <v>0.0546</v>
      </c>
    </row>
    <row r="1033" customFormat="false" ht="15" hidden="false" customHeight="false" outlineLevel="0" collapsed="false">
      <c r="A1033" s="1" t="s">
        <v>1068</v>
      </c>
      <c r="B1033" s="1" t="s">
        <v>26</v>
      </c>
      <c r="C1033" s="1" t="n">
        <v>6700000</v>
      </c>
      <c r="D1033" s="1" t="n">
        <v>727659.5</v>
      </c>
      <c r="E1033" s="1" t="n">
        <v>0.0259</v>
      </c>
      <c r="F1033" s="1" t="n">
        <v>0.0759</v>
      </c>
    </row>
    <row r="1034" customFormat="false" ht="15" hidden="false" customHeight="false" outlineLevel="0" collapsed="false">
      <c r="A1034" s="1" t="s">
        <v>1069</v>
      </c>
      <c r="B1034" s="1" t="s">
        <v>26</v>
      </c>
      <c r="C1034" s="1" t="n">
        <v>3310000</v>
      </c>
      <c r="D1034" s="1" t="n">
        <v>197635.3</v>
      </c>
      <c r="E1034" s="1" t="n">
        <v>0.0309</v>
      </c>
      <c r="F1034" s="1" t="n">
        <v>0.0951</v>
      </c>
    </row>
    <row r="1035" customFormat="false" ht="15" hidden="false" customHeight="false" outlineLevel="0" collapsed="false">
      <c r="A1035" s="1" t="s">
        <v>1070</v>
      </c>
      <c r="B1035" s="1" t="s">
        <v>26</v>
      </c>
      <c r="C1035" s="1" t="n">
        <v>11600000</v>
      </c>
      <c r="D1035" s="1" t="n">
        <v>2354674.6</v>
      </c>
      <c r="E1035" s="1" t="n">
        <v>0.0063</v>
      </c>
      <c r="F1035" s="1" t="n">
        <v>0.0654</v>
      </c>
    </row>
    <row r="1036" customFormat="false" ht="15" hidden="false" customHeight="false" outlineLevel="0" collapsed="false">
      <c r="A1036" s="1" t="s">
        <v>1071</v>
      </c>
      <c r="B1036" s="1" t="s">
        <v>195</v>
      </c>
      <c r="C1036" s="1" t="n">
        <v>3730000</v>
      </c>
      <c r="D1036" s="1" t="n">
        <v>9274.6</v>
      </c>
      <c r="E1036" s="1" t="n">
        <v>0.0081</v>
      </c>
      <c r="F1036" s="1" t="n">
        <v>0.0811</v>
      </c>
    </row>
    <row r="1037" customFormat="false" ht="15" hidden="false" customHeight="false" outlineLevel="0" collapsed="false">
      <c r="A1037" s="1" t="s">
        <v>1072</v>
      </c>
      <c r="B1037" s="1" t="s">
        <v>62</v>
      </c>
      <c r="C1037" s="1" t="n">
        <v>3100000</v>
      </c>
      <c r="D1037" s="1" t="n">
        <v>184882.4</v>
      </c>
      <c r="E1037" s="1" t="n">
        <v>0.0329</v>
      </c>
      <c r="F1037" s="1" t="n">
        <v>0.0951</v>
      </c>
    </row>
    <row r="1038" customFormat="false" ht="15" hidden="false" customHeight="false" outlineLevel="0" collapsed="false">
      <c r="A1038" s="1" t="s">
        <v>1073</v>
      </c>
      <c r="B1038" s="1" t="s">
        <v>26</v>
      </c>
      <c r="C1038" s="1" t="n">
        <v>2990000</v>
      </c>
      <c r="D1038" s="1" t="n">
        <v>4172.4</v>
      </c>
      <c r="E1038" s="1" t="n">
        <v>0.0259</v>
      </c>
      <c r="F1038" s="1" t="n">
        <v>0.0759</v>
      </c>
    </row>
    <row r="1039" customFormat="false" ht="15" hidden="false" customHeight="false" outlineLevel="0" collapsed="false">
      <c r="A1039" s="1" t="s">
        <v>1074</v>
      </c>
      <c r="B1039" s="1" t="s">
        <v>24</v>
      </c>
      <c r="C1039" s="1" t="n">
        <v>3790000</v>
      </c>
      <c r="D1039" s="1" t="n">
        <v>40978.4</v>
      </c>
      <c r="E1039" s="1" t="n">
        <v>0.0458</v>
      </c>
      <c r="F1039" s="1" t="n">
        <v>0.0759</v>
      </c>
    </row>
    <row r="1040" customFormat="false" ht="15" hidden="false" customHeight="false" outlineLevel="0" collapsed="false">
      <c r="A1040" s="1" t="s">
        <v>1075</v>
      </c>
      <c r="B1040" s="1" t="s">
        <v>74</v>
      </c>
      <c r="C1040" s="1" t="n">
        <v>3140000</v>
      </c>
      <c r="D1040" s="1" t="n">
        <v>42987.5</v>
      </c>
      <c r="E1040" s="1" t="n">
        <v>0.0705</v>
      </c>
      <c r="F1040" s="1" t="n">
        <v>0.0938</v>
      </c>
    </row>
    <row r="1041" customFormat="false" ht="15" hidden="false" customHeight="false" outlineLevel="0" collapsed="false">
      <c r="A1041" s="1" t="s">
        <v>1076</v>
      </c>
      <c r="B1041" s="1" t="s">
        <v>41</v>
      </c>
      <c r="C1041" s="1" t="n">
        <v>4030000</v>
      </c>
      <c r="D1041" s="1" t="n">
        <v>521.4</v>
      </c>
      <c r="E1041" s="1" t="n">
        <v>0.0178</v>
      </c>
      <c r="F1041" s="1" t="n">
        <v>0.1053</v>
      </c>
    </row>
    <row r="1042" customFormat="false" ht="15" hidden="false" customHeight="false" outlineLevel="0" collapsed="false">
      <c r="A1042" s="1" t="s">
        <v>1077</v>
      </c>
      <c r="B1042" s="1" t="s">
        <v>24</v>
      </c>
      <c r="C1042" s="1" t="n">
        <v>4010000</v>
      </c>
      <c r="D1042" s="1" t="n">
        <v>71144.8</v>
      </c>
      <c r="E1042" s="1" t="n">
        <v>0.0185</v>
      </c>
      <c r="F1042" s="1" t="n">
        <v>0.0585</v>
      </c>
    </row>
    <row r="1043" customFormat="false" ht="15" hidden="false" customHeight="false" outlineLevel="0" collapsed="false">
      <c r="A1043" s="1" t="s">
        <v>1078</v>
      </c>
      <c r="B1043" s="1" t="s">
        <v>26</v>
      </c>
      <c r="C1043" s="1" t="n">
        <v>3040000</v>
      </c>
      <c r="D1043" s="1" t="n">
        <v>19805</v>
      </c>
      <c r="E1043" s="1" t="n">
        <v>0.0081</v>
      </c>
      <c r="F1043" s="1" t="n">
        <v>0.1929</v>
      </c>
    </row>
    <row r="1044" customFormat="false" ht="15" hidden="false" customHeight="false" outlineLevel="0" collapsed="false">
      <c r="A1044" s="1" t="s">
        <v>1079</v>
      </c>
      <c r="B1044" s="1" t="s">
        <v>92</v>
      </c>
      <c r="C1044" s="1" t="n">
        <v>3980000</v>
      </c>
      <c r="D1044" s="1" t="n">
        <v>1116711.5</v>
      </c>
      <c r="E1044" s="1" t="n">
        <v>0.019</v>
      </c>
      <c r="F1044" s="1" t="n">
        <v>0.0576</v>
      </c>
    </row>
    <row r="1045" customFormat="false" ht="15" hidden="false" customHeight="false" outlineLevel="0" collapsed="false">
      <c r="A1045" s="1" t="s">
        <v>1080</v>
      </c>
      <c r="B1045" s="1" t="s">
        <v>30</v>
      </c>
      <c r="C1045" s="1" t="n">
        <v>3160000</v>
      </c>
      <c r="D1045" s="1" t="n">
        <v>55104.6</v>
      </c>
      <c r="E1045" s="1" t="n">
        <v>0.0169</v>
      </c>
      <c r="F1045" s="1" t="n">
        <v>0.0462</v>
      </c>
    </row>
    <row r="1046" customFormat="false" ht="15" hidden="false" customHeight="false" outlineLevel="0" collapsed="false">
      <c r="A1046" s="1" t="s">
        <v>1081</v>
      </c>
      <c r="B1046" s="1" t="s">
        <v>81</v>
      </c>
      <c r="C1046" s="1" t="n">
        <v>4920000</v>
      </c>
      <c r="D1046" s="1" t="n">
        <v>884462.1</v>
      </c>
      <c r="E1046" s="1" t="n">
        <v>0.009</v>
      </c>
      <c r="F1046" s="1" t="n">
        <v>0.0584</v>
      </c>
    </row>
    <row r="1047" customFormat="false" ht="15" hidden="false" customHeight="false" outlineLevel="0" collapsed="false">
      <c r="A1047" s="1" t="s">
        <v>1082</v>
      </c>
      <c r="B1047" s="1" t="s">
        <v>26</v>
      </c>
      <c r="C1047" s="1" t="n">
        <v>2940000</v>
      </c>
      <c r="D1047" s="1" t="n">
        <v>1365.2</v>
      </c>
      <c r="E1047" s="1" t="n">
        <v>0.0479</v>
      </c>
      <c r="F1047" s="1" t="n">
        <v>0.0759</v>
      </c>
    </row>
    <row r="1048" customFormat="false" ht="15" hidden="false" customHeight="false" outlineLevel="0" collapsed="false">
      <c r="A1048" s="1" t="s">
        <v>1083</v>
      </c>
      <c r="B1048" s="1" t="s">
        <v>26</v>
      </c>
      <c r="C1048" s="1" t="n">
        <v>5890000</v>
      </c>
      <c r="D1048" s="1" t="n">
        <v>375139.7</v>
      </c>
      <c r="E1048" s="1" t="n">
        <v>0.0415</v>
      </c>
      <c r="F1048" s="1" t="n">
        <v>0.0938</v>
      </c>
    </row>
    <row r="1049" customFormat="false" ht="15" hidden="false" customHeight="false" outlineLevel="0" collapsed="false">
      <c r="A1049" s="1" t="s">
        <v>1084</v>
      </c>
      <c r="B1049" s="1" t="s">
        <v>92</v>
      </c>
      <c r="C1049" s="1" t="n">
        <v>4850000</v>
      </c>
      <c r="D1049" s="1" t="n">
        <v>2002057.2</v>
      </c>
      <c r="E1049" s="1" t="n">
        <v>0.0232</v>
      </c>
      <c r="F1049" s="1" t="n">
        <v>0.0409</v>
      </c>
    </row>
    <row r="1050" customFormat="false" ht="15" hidden="false" customHeight="false" outlineLevel="0" collapsed="false">
      <c r="A1050" s="1" t="s">
        <v>1085</v>
      </c>
      <c r="B1050" s="1" t="s">
        <v>26</v>
      </c>
      <c r="C1050" s="1" t="n">
        <v>3160000</v>
      </c>
      <c r="D1050" s="1" t="n">
        <v>39631.8</v>
      </c>
      <c r="E1050" s="1" t="n">
        <v>0.0276</v>
      </c>
      <c r="F1050" s="1" t="n">
        <v>0.0409</v>
      </c>
    </row>
    <row r="1051" customFormat="false" ht="15" hidden="false" customHeight="false" outlineLevel="0" collapsed="false">
      <c r="A1051" s="1" t="s">
        <v>1086</v>
      </c>
      <c r="B1051" s="1" t="s">
        <v>287</v>
      </c>
      <c r="C1051" s="1" t="n">
        <v>3700000</v>
      </c>
      <c r="D1051" s="1" t="n">
        <v>15635.5</v>
      </c>
      <c r="E1051" s="1" t="n">
        <v>0.0354</v>
      </c>
      <c r="F1051" s="1" t="n">
        <v>0.0843</v>
      </c>
    </row>
    <row r="1052" customFormat="false" ht="15" hidden="false" customHeight="false" outlineLevel="0" collapsed="false">
      <c r="A1052" s="1" t="s">
        <v>1087</v>
      </c>
      <c r="B1052" s="1" t="s">
        <v>26</v>
      </c>
      <c r="C1052" s="1" t="n">
        <v>4450000</v>
      </c>
      <c r="D1052" s="1" t="n">
        <v>577611.1</v>
      </c>
      <c r="E1052" s="1" t="n">
        <v>0.0091</v>
      </c>
      <c r="F1052" s="1" t="n">
        <v>0.0822</v>
      </c>
    </row>
    <row r="1053" customFormat="false" ht="15" hidden="false" customHeight="false" outlineLevel="0" collapsed="false">
      <c r="A1053" s="1" t="s">
        <v>1088</v>
      </c>
      <c r="B1053" s="1" t="s">
        <v>28</v>
      </c>
      <c r="C1053" s="1" t="n">
        <v>3280000</v>
      </c>
      <c r="D1053" s="1" t="n">
        <v>2229026.4</v>
      </c>
      <c r="E1053" s="1" t="n">
        <v>0.0097</v>
      </c>
      <c r="F1053" s="1" t="n">
        <v>0.1866</v>
      </c>
    </row>
    <row r="1054" customFormat="false" ht="15" hidden="false" customHeight="false" outlineLevel="0" collapsed="false">
      <c r="A1054" s="1" t="s">
        <v>1089</v>
      </c>
      <c r="B1054" s="1" t="s">
        <v>287</v>
      </c>
      <c r="C1054" s="1" t="n">
        <v>3870000</v>
      </c>
      <c r="D1054" s="1" t="n">
        <v>5488.5</v>
      </c>
      <c r="E1054" s="1" t="n">
        <v>0.0229</v>
      </c>
      <c r="F1054" s="1" t="n">
        <v>0.0938</v>
      </c>
    </row>
    <row r="1055" customFormat="false" ht="15" hidden="false" customHeight="false" outlineLevel="0" collapsed="false">
      <c r="A1055" s="1" t="s">
        <v>1090</v>
      </c>
      <c r="B1055" s="1" t="s">
        <v>92</v>
      </c>
      <c r="C1055" s="1" t="n">
        <v>5340000</v>
      </c>
      <c r="D1055" s="1" t="n">
        <v>45917.6</v>
      </c>
      <c r="E1055" s="1" t="n">
        <v>0.0173</v>
      </c>
      <c r="F1055" s="1" t="n">
        <v>0.0854</v>
      </c>
    </row>
    <row r="1056" customFormat="false" ht="15" hidden="false" customHeight="false" outlineLevel="0" collapsed="false">
      <c r="A1056" s="1" t="s">
        <v>1091</v>
      </c>
      <c r="B1056" s="1" t="s">
        <v>50</v>
      </c>
      <c r="C1056" s="1" t="n">
        <v>3410000</v>
      </c>
      <c r="D1056" s="1" t="n">
        <v>128.8</v>
      </c>
      <c r="E1056" s="1" t="n">
        <v>0.0004</v>
      </c>
      <c r="F1056" s="1" t="n">
        <v>0.2687</v>
      </c>
    </row>
    <row r="1057" customFormat="false" ht="15" hidden="false" customHeight="false" outlineLevel="0" collapsed="false">
      <c r="A1057" s="1" t="s">
        <v>1092</v>
      </c>
      <c r="B1057" s="1" t="s">
        <v>32</v>
      </c>
      <c r="C1057" s="1" t="n">
        <v>4860000</v>
      </c>
      <c r="D1057" s="1" t="n">
        <v>6870020.4</v>
      </c>
      <c r="E1057" s="1" t="n">
        <v>0.0124</v>
      </c>
      <c r="F1057" s="1" t="n">
        <v>0.1027</v>
      </c>
    </row>
    <row r="1058" customFormat="false" ht="15" hidden="false" customHeight="false" outlineLevel="0" collapsed="false">
      <c r="A1058" s="1" t="s">
        <v>1093</v>
      </c>
      <c r="B1058" s="1" t="s">
        <v>41</v>
      </c>
      <c r="C1058" s="1" t="n">
        <v>3970000</v>
      </c>
      <c r="D1058" s="1" t="n">
        <v>3942.5</v>
      </c>
      <c r="E1058" s="1" t="n">
        <v>0.0273</v>
      </c>
      <c r="F1058" s="1" t="n">
        <v>0.1688</v>
      </c>
    </row>
    <row r="1059" customFormat="false" ht="15" hidden="false" customHeight="false" outlineLevel="0" collapsed="false">
      <c r="A1059" s="1" t="s">
        <v>1094</v>
      </c>
      <c r="B1059" s="1" t="s">
        <v>26</v>
      </c>
      <c r="C1059" s="1" t="n">
        <v>3900000</v>
      </c>
      <c r="D1059" s="1" t="n">
        <v>577781.7</v>
      </c>
      <c r="E1059" s="1" t="n">
        <v>0.0515</v>
      </c>
      <c r="F1059" s="1" t="n">
        <v>0.0759</v>
      </c>
    </row>
    <row r="1060" customFormat="false" ht="15" hidden="false" customHeight="false" outlineLevel="0" collapsed="false">
      <c r="A1060" s="1" t="s">
        <v>1095</v>
      </c>
      <c r="B1060" s="1" t="s">
        <v>287</v>
      </c>
      <c r="C1060" s="1" t="n">
        <v>3460000</v>
      </c>
      <c r="D1060" s="1" t="n">
        <v>22951115.3</v>
      </c>
      <c r="F1060" s="1" t="n">
        <v>0.0938</v>
      </c>
    </row>
    <row r="1061" customFormat="false" ht="15" hidden="false" customHeight="false" outlineLevel="0" collapsed="false">
      <c r="A1061" s="1" t="s">
        <v>1096</v>
      </c>
      <c r="B1061" s="1" t="s">
        <v>88</v>
      </c>
      <c r="C1061" s="1" t="n">
        <v>4330000</v>
      </c>
      <c r="D1061" s="1" t="n">
        <v>1566.8</v>
      </c>
      <c r="E1061" s="1" t="n">
        <v>0.1338</v>
      </c>
      <c r="F1061" s="1" t="n">
        <v>0.0938</v>
      </c>
    </row>
    <row r="1062" customFormat="false" ht="15" hidden="false" customHeight="false" outlineLevel="0" collapsed="false">
      <c r="A1062" s="1" t="s">
        <v>1097</v>
      </c>
      <c r="B1062" s="1" t="s">
        <v>26</v>
      </c>
      <c r="C1062" s="1" t="n">
        <v>3360000</v>
      </c>
      <c r="D1062" s="1" t="n">
        <v>90265.9</v>
      </c>
      <c r="E1062" s="1" t="n">
        <v>0.044</v>
      </c>
      <c r="F1062" s="1" t="n">
        <v>0.0759</v>
      </c>
    </row>
    <row r="1063" customFormat="false" ht="15" hidden="false" customHeight="false" outlineLevel="0" collapsed="false">
      <c r="A1063" s="1" t="s">
        <v>1098</v>
      </c>
      <c r="B1063" s="1" t="s">
        <v>32</v>
      </c>
      <c r="C1063" s="1" t="n">
        <v>4720000</v>
      </c>
      <c r="D1063" s="1" t="n">
        <v>250269.1</v>
      </c>
      <c r="E1063" s="1" t="n">
        <v>0.022</v>
      </c>
      <c r="F1063" s="1" t="n">
        <v>0.051</v>
      </c>
    </row>
    <row r="1064" customFormat="false" ht="15" hidden="false" customHeight="false" outlineLevel="0" collapsed="false">
      <c r="A1064" s="1" t="s">
        <v>1099</v>
      </c>
      <c r="B1064" s="1" t="s">
        <v>92</v>
      </c>
      <c r="C1064" s="1" t="n">
        <v>6250000</v>
      </c>
      <c r="D1064" s="1" t="n">
        <v>185653.9</v>
      </c>
      <c r="E1064" s="1" t="n">
        <v>0.0348</v>
      </c>
      <c r="F1064" s="1" t="n">
        <v>0.0759</v>
      </c>
    </row>
    <row r="1065" customFormat="false" ht="15" hidden="false" customHeight="false" outlineLevel="0" collapsed="false">
      <c r="A1065" s="1" t="s">
        <v>1100</v>
      </c>
      <c r="B1065" s="1" t="s">
        <v>26</v>
      </c>
      <c r="C1065" s="1" t="n">
        <v>3140000</v>
      </c>
      <c r="D1065" s="1" t="n">
        <v>379499.9</v>
      </c>
      <c r="E1065" s="1" t="n">
        <v>0.0214</v>
      </c>
      <c r="F1065" s="1" t="n">
        <v>0.0585</v>
      </c>
    </row>
    <row r="1066" customFormat="false" ht="15" hidden="false" customHeight="false" outlineLevel="0" collapsed="false">
      <c r="A1066" s="1" t="s">
        <v>1101</v>
      </c>
      <c r="B1066" s="1" t="s">
        <v>26</v>
      </c>
      <c r="C1066" s="1" t="n">
        <v>4340000</v>
      </c>
      <c r="D1066" s="1" t="n">
        <v>281029.5</v>
      </c>
      <c r="E1066" s="1" t="n">
        <v>0.033</v>
      </c>
      <c r="F1066" s="1" t="n">
        <v>0.0759</v>
      </c>
    </row>
    <row r="1067" customFormat="false" ht="15" hidden="false" customHeight="false" outlineLevel="0" collapsed="false">
      <c r="A1067" s="1" t="s">
        <v>1102</v>
      </c>
      <c r="B1067" s="1" t="s">
        <v>53</v>
      </c>
      <c r="C1067" s="1" t="n">
        <v>3470000</v>
      </c>
      <c r="D1067" s="1" t="n">
        <v>566733.4</v>
      </c>
      <c r="E1067" s="1" t="n">
        <v>0.0123</v>
      </c>
      <c r="F1067" s="1" t="n">
        <v>0.0854</v>
      </c>
    </row>
    <row r="1068" customFormat="false" ht="15" hidden="false" customHeight="false" outlineLevel="0" collapsed="false">
      <c r="A1068" s="1" t="s">
        <v>1103</v>
      </c>
      <c r="B1068" s="1" t="s">
        <v>41</v>
      </c>
      <c r="C1068" s="1" t="n">
        <v>3400000</v>
      </c>
      <c r="D1068" s="1" t="n">
        <v>83389.5</v>
      </c>
      <c r="E1068" s="1" t="n">
        <v>0.0514</v>
      </c>
      <c r="F1068" s="1" t="n">
        <v>0.0759</v>
      </c>
    </row>
    <row r="1069" customFormat="false" ht="15" hidden="false" customHeight="false" outlineLevel="0" collapsed="false">
      <c r="A1069" s="1" t="s">
        <v>1104</v>
      </c>
      <c r="B1069" s="1" t="s">
        <v>35</v>
      </c>
      <c r="C1069" s="1" t="n">
        <v>3230000</v>
      </c>
      <c r="D1069" s="1" t="n">
        <v>351036.9</v>
      </c>
      <c r="E1069" s="1" t="n">
        <v>0.0323</v>
      </c>
      <c r="F1069" s="1" t="n">
        <v>0.0951</v>
      </c>
    </row>
    <row r="1070" customFormat="false" ht="15" hidden="false" customHeight="false" outlineLevel="0" collapsed="false">
      <c r="A1070" s="1" t="s">
        <v>1105</v>
      </c>
      <c r="B1070" s="1" t="s">
        <v>21</v>
      </c>
      <c r="C1070" s="1" t="n">
        <v>3610000</v>
      </c>
      <c r="D1070" s="1" t="n">
        <v>296468.3</v>
      </c>
      <c r="E1070" s="1" t="n">
        <v>0.0086</v>
      </c>
      <c r="F1070" s="1" t="n">
        <v>0.0654</v>
      </c>
    </row>
    <row r="1071" customFormat="false" ht="15" hidden="false" customHeight="false" outlineLevel="0" collapsed="false">
      <c r="A1071" s="1" t="s">
        <v>1106</v>
      </c>
      <c r="B1071" s="1" t="s">
        <v>30</v>
      </c>
      <c r="C1071" s="1" t="n">
        <v>3080000</v>
      </c>
      <c r="D1071" s="1" t="n">
        <v>471448.5</v>
      </c>
      <c r="E1071" s="1" t="n">
        <v>0.0334</v>
      </c>
      <c r="F1071" s="1" t="n">
        <v>0.0409</v>
      </c>
    </row>
    <row r="1072" customFormat="false" ht="15" hidden="false" customHeight="false" outlineLevel="0" collapsed="false">
      <c r="A1072" s="1" t="s">
        <v>1107</v>
      </c>
      <c r="B1072" s="1" t="s">
        <v>26</v>
      </c>
      <c r="C1072" s="1" t="n">
        <v>2910000</v>
      </c>
      <c r="D1072" s="1" t="n">
        <v>1621.3</v>
      </c>
      <c r="E1072" s="1" t="n">
        <v>0.0439</v>
      </c>
      <c r="F1072" s="1" t="n">
        <v>0.0759</v>
      </c>
    </row>
    <row r="1073" customFormat="false" ht="15" hidden="false" customHeight="false" outlineLevel="0" collapsed="false">
      <c r="A1073" s="1" t="s">
        <v>1108</v>
      </c>
      <c r="B1073" s="1" t="s">
        <v>26</v>
      </c>
      <c r="C1073" s="1" t="n">
        <v>4260000</v>
      </c>
      <c r="D1073" s="1" t="n">
        <v>234462.8</v>
      </c>
      <c r="E1073" s="1" t="n">
        <v>0.0028</v>
      </c>
      <c r="F1073" s="1" t="n">
        <v>0.0822</v>
      </c>
    </row>
    <row r="1074" customFormat="false" ht="15" hidden="false" customHeight="false" outlineLevel="0" collapsed="false">
      <c r="A1074" s="1" t="s">
        <v>1109</v>
      </c>
      <c r="B1074" s="1" t="s">
        <v>26</v>
      </c>
      <c r="C1074" s="1" t="n">
        <v>1040000</v>
      </c>
      <c r="D1074" s="1" t="n">
        <v>28716.9</v>
      </c>
      <c r="E1074" s="1" t="n">
        <v>0.0679</v>
      </c>
      <c r="F1074" s="1" t="n">
        <v>0.0409</v>
      </c>
    </row>
    <row r="1075" customFormat="false" ht="15" hidden="false" customHeight="false" outlineLevel="0" collapsed="false">
      <c r="A1075" s="1" t="s">
        <v>1110</v>
      </c>
      <c r="B1075" s="1" t="s">
        <v>88</v>
      </c>
      <c r="C1075" s="1" t="n">
        <v>3210000</v>
      </c>
      <c r="D1075" s="1" t="n">
        <v>7960.7</v>
      </c>
      <c r="E1075" s="1" t="n">
        <v>0.0351</v>
      </c>
      <c r="F1075" s="1" t="n">
        <v>0.0538</v>
      </c>
    </row>
    <row r="1076" customFormat="false" ht="15" hidden="false" customHeight="false" outlineLevel="0" collapsed="false">
      <c r="A1076" s="1" t="s">
        <v>1111</v>
      </c>
      <c r="B1076" s="1" t="s">
        <v>26</v>
      </c>
      <c r="C1076" s="1" t="n">
        <v>2930000</v>
      </c>
      <c r="D1076" s="1" t="n">
        <v>10925.7</v>
      </c>
      <c r="E1076" s="1" t="n">
        <v>0.0091</v>
      </c>
      <c r="F1076" s="1" t="n">
        <v>0.0822</v>
      </c>
    </row>
    <row r="1077" customFormat="false" ht="15" hidden="false" customHeight="false" outlineLevel="0" collapsed="false">
      <c r="A1077" s="1" t="s">
        <v>1112</v>
      </c>
      <c r="B1077" s="1" t="s">
        <v>53</v>
      </c>
      <c r="C1077" s="1" t="n">
        <v>3110000</v>
      </c>
      <c r="D1077" s="1" t="n">
        <v>4326.1</v>
      </c>
      <c r="E1077" s="1" t="n">
        <v>0.0213</v>
      </c>
      <c r="F1077" s="1" t="n">
        <v>0.0576</v>
      </c>
    </row>
    <row r="1078" customFormat="false" ht="15" hidden="false" customHeight="false" outlineLevel="0" collapsed="false">
      <c r="A1078" s="1" t="s">
        <v>1113</v>
      </c>
      <c r="B1078" s="1" t="s">
        <v>35</v>
      </c>
      <c r="C1078" s="1" t="n">
        <v>3180000</v>
      </c>
      <c r="D1078" s="1" t="n">
        <v>37080.6</v>
      </c>
      <c r="E1078" s="1" t="n">
        <v>0.0222</v>
      </c>
      <c r="F1078" s="1" t="n">
        <v>0.0854</v>
      </c>
    </row>
    <row r="1079" customFormat="false" ht="15" hidden="false" customHeight="false" outlineLevel="0" collapsed="false">
      <c r="A1079" s="1" t="s">
        <v>1114</v>
      </c>
      <c r="B1079" s="1" t="s">
        <v>92</v>
      </c>
      <c r="C1079" s="1" t="n">
        <v>3250000</v>
      </c>
      <c r="D1079" s="1" t="n">
        <v>24380.3</v>
      </c>
      <c r="E1079" s="1" t="n">
        <v>0.0222</v>
      </c>
      <c r="F1079" s="1" t="n">
        <v>0.0576</v>
      </c>
    </row>
    <row r="1080" customFormat="false" ht="15" hidden="false" customHeight="false" outlineLevel="0" collapsed="false">
      <c r="A1080" s="1" t="s">
        <v>1115</v>
      </c>
      <c r="B1080" s="1" t="s">
        <v>92</v>
      </c>
      <c r="C1080" s="1" t="n">
        <v>3950000</v>
      </c>
      <c r="D1080" s="1" t="n">
        <v>59848.3</v>
      </c>
      <c r="E1080" s="1" t="n">
        <v>0.0175</v>
      </c>
      <c r="F1080" s="1" t="n">
        <v>0.0854</v>
      </c>
    </row>
    <row r="1081" customFormat="false" ht="15" hidden="false" customHeight="false" outlineLevel="0" collapsed="false">
      <c r="A1081" s="1" t="s">
        <v>1116</v>
      </c>
      <c r="B1081" s="1" t="s">
        <v>24</v>
      </c>
      <c r="C1081" s="1" t="n">
        <v>3760000</v>
      </c>
      <c r="D1081" s="1" t="n">
        <v>60995.3</v>
      </c>
      <c r="E1081" s="1" t="n">
        <v>0.0178</v>
      </c>
      <c r="F1081" s="1" t="n">
        <v>0.0937</v>
      </c>
    </row>
    <row r="1082" customFormat="false" ht="15" hidden="false" customHeight="false" outlineLevel="0" collapsed="false">
      <c r="A1082" s="1" t="s">
        <v>1117</v>
      </c>
      <c r="B1082" s="1" t="s">
        <v>26</v>
      </c>
      <c r="C1082" s="1" t="n">
        <v>3090000</v>
      </c>
      <c r="D1082" s="1" t="n">
        <v>126361.5</v>
      </c>
      <c r="E1082" s="1" t="n">
        <v>0.0391</v>
      </c>
      <c r="F1082" s="1" t="n">
        <v>0.0951</v>
      </c>
    </row>
    <row r="1083" customFormat="false" ht="15" hidden="false" customHeight="false" outlineLevel="0" collapsed="false">
      <c r="A1083" s="1" t="s">
        <v>1118</v>
      </c>
      <c r="B1083" s="1" t="s">
        <v>30</v>
      </c>
      <c r="C1083" s="1" t="n">
        <v>7470000</v>
      </c>
      <c r="D1083" s="1" t="n">
        <v>4648422.4</v>
      </c>
      <c r="E1083" s="1" t="n">
        <v>0.0015</v>
      </c>
      <c r="F1083" s="1" t="n">
        <v>0.0654</v>
      </c>
    </row>
    <row r="1084" customFormat="false" ht="15" hidden="false" customHeight="false" outlineLevel="0" collapsed="false">
      <c r="A1084" s="1" t="s">
        <v>1119</v>
      </c>
      <c r="B1084" s="1" t="s">
        <v>214</v>
      </c>
      <c r="C1084" s="1" t="n">
        <v>3290000</v>
      </c>
      <c r="D1084" s="1" t="n">
        <v>25465.5</v>
      </c>
      <c r="E1084" s="1" t="n">
        <v>0.0224</v>
      </c>
      <c r="F1084" s="1" t="n">
        <v>0.0488</v>
      </c>
    </row>
    <row r="1085" customFormat="false" ht="15" hidden="false" customHeight="false" outlineLevel="0" collapsed="false">
      <c r="A1085" s="1" t="s">
        <v>1120</v>
      </c>
      <c r="B1085" s="1" t="s">
        <v>88</v>
      </c>
      <c r="C1085" s="1" t="n">
        <v>4760000</v>
      </c>
      <c r="D1085" s="1" t="n">
        <v>139479.3</v>
      </c>
      <c r="E1085" s="1" t="n">
        <v>0.0382</v>
      </c>
      <c r="F1085" s="1" t="n">
        <v>0.0938</v>
      </c>
    </row>
    <row r="1086" customFormat="false" ht="15" hidden="false" customHeight="false" outlineLevel="0" collapsed="false">
      <c r="A1086" s="1" t="s">
        <v>1121</v>
      </c>
      <c r="B1086" s="1" t="s">
        <v>24</v>
      </c>
      <c r="C1086" s="1" t="n">
        <v>5150000</v>
      </c>
      <c r="D1086" s="1" t="n">
        <v>350681.7</v>
      </c>
      <c r="E1086" s="1" t="n">
        <v>0.0093</v>
      </c>
      <c r="F1086" s="1" t="n">
        <v>0.0811</v>
      </c>
    </row>
    <row r="1087" customFormat="false" ht="15" hidden="false" customHeight="false" outlineLevel="0" collapsed="false">
      <c r="A1087" s="1" t="s">
        <v>1122</v>
      </c>
      <c r="B1087" s="1" t="s">
        <v>53</v>
      </c>
      <c r="C1087" s="1" t="n">
        <v>3380000</v>
      </c>
      <c r="D1087" s="1" t="n">
        <v>178843</v>
      </c>
      <c r="E1087" s="1" t="n">
        <v>0.0409</v>
      </c>
      <c r="F1087" s="1" t="n">
        <v>0.0759</v>
      </c>
    </row>
    <row r="1088" customFormat="false" ht="15" hidden="false" customHeight="false" outlineLevel="0" collapsed="false">
      <c r="A1088" s="1" t="s">
        <v>1123</v>
      </c>
      <c r="B1088" s="1" t="s">
        <v>26</v>
      </c>
      <c r="C1088" s="1" t="n">
        <v>3150000</v>
      </c>
      <c r="D1088" s="1" t="n">
        <v>306054.8</v>
      </c>
      <c r="E1088" s="1" t="n">
        <v>0.0072</v>
      </c>
      <c r="F1088" s="1" t="n">
        <v>0.2707</v>
      </c>
    </row>
    <row r="1089" customFormat="false" ht="15" hidden="false" customHeight="false" outlineLevel="0" collapsed="false">
      <c r="A1089" s="1" t="s">
        <v>1124</v>
      </c>
      <c r="B1089" s="1" t="s">
        <v>26</v>
      </c>
      <c r="C1089" s="1" t="n">
        <v>3840000</v>
      </c>
      <c r="D1089" s="1" t="n">
        <v>1206.4</v>
      </c>
      <c r="E1089" s="1" t="n">
        <v>0.0219</v>
      </c>
      <c r="F1089" s="1" t="n">
        <v>0.051</v>
      </c>
    </row>
    <row r="1090" customFormat="false" ht="15" hidden="false" customHeight="false" outlineLevel="0" collapsed="false">
      <c r="A1090" s="1" t="s">
        <v>1125</v>
      </c>
      <c r="B1090" s="1" t="s">
        <v>92</v>
      </c>
      <c r="C1090" s="1" t="n">
        <v>4840000</v>
      </c>
      <c r="D1090" s="1" t="n">
        <v>58266.3</v>
      </c>
      <c r="E1090" s="1" t="n">
        <v>0.0287</v>
      </c>
      <c r="F1090" s="1" t="n">
        <v>0.051</v>
      </c>
    </row>
    <row r="1091" customFormat="false" ht="15" hidden="false" customHeight="false" outlineLevel="0" collapsed="false">
      <c r="A1091" s="1" t="s">
        <v>1126</v>
      </c>
      <c r="B1091" s="1" t="s">
        <v>26</v>
      </c>
      <c r="C1091" s="1" t="n">
        <v>5520000</v>
      </c>
      <c r="D1091" s="1" t="n">
        <v>115439.9</v>
      </c>
      <c r="E1091" s="1" t="n">
        <v>0.0452</v>
      </c>
      <c r="F1091" s="1" t="n">
        <v>0.0759</v>
      </c>
    </row>
    <row r="1092" customFormat="false" ht="15" hidden="false" customHeight="false" outlineLevel="0" collapsed="false">
      <c r="A1092" s="1" t="s">
        <v>1127</v>
      </c>
      <c r="B1092" s="1" t="s">
        <v>30</v>
      </c>
      <c r="C1092" s="1" t="n">
        <v>2950000</v>
      </c>
      <c r="D1092" s="1" t="n">
        <v>32387</v>
      </c>
      <c r="E1092" s="1" t="n">
        <v>0.0407</v>
      </c>
      <c r="F1092" s="1" t="n">
        <v>0.0759</v>
      </c>
    </row>
    <row r="1093" customFormat="false" ht="15" hidden="false" customHeight="false" outlineLevel="0" collapsed="false">
      <c r="A1093" s="1" t="s">
        <v>1128</v>
      </c>
      <c r="B1093" s="1" t="s">
        <v>26</v>
      </c>
      <c r="C1093" s="1" t="n">
        <v>3280000</v>
      </c>
      <c r="D1093" s="1" t="n">
        <v>7478.5</v>
      </c>
      <c r="E1093" s="1" t="n">
        <v>0.0171</v>
      </c>
      <c r="F1093" s="1" t="n">
        <v>0.0937</v>
      </c>
    </row>
    <row r="1094" customFormat="false" ht="15" hidden="false" customHeight="false" outlineLevel="0" collapsed="false">
      <c r="A1094" s="1" t="s">
        <v>1129</v>
      </c>
      <c r="B1094" s="1" t="s">
        <v>214</v>
      </c>
      <c r="C1094" s="1" t="n">
        <v>3100000</v>
      </c>
      <c r="D1094" s="1" t="n">
        <v>28060.7</v>
      </c>
      <c r="E1094" s="1" t="n">
        <v>0.021</v>
      </c>
      <c r="F1094" s="1" t="n">
        <v>0.0854</v>
      </c>
    </row>
    <row r="1095" customFormat="false" ht="15" hidden="false" customHeight="false" outlineLevel="0" collapsed="false">
      <c r="A1095" s="1" t="s">
        <v>1130</v>
      </c>
      <c r="B1095" s="1" t="s">
        <v>71</v>
      </c>
      <c r="C1095" s="1" t="n">
        <v>10300000</v>
      </c>
      <c r="D1095" s="1" t="n">
        <v>4731431</v>
      </c>
      <c r="E1095" s="1" t="n">
        <v>0.0264</v>
      </c>
      <c r="F1095" s="1" t="n">
        <v>0.0409</v>
      </c>
    </row>
    <row r="1096" customFormat="false" ht="15" hidden="false" customHeight="false" outlineLevel="0" collapsed="false">
      <c r="A1096" s="1" t="s">
        <v>1131</v>
      </c>
      <c r="B1096" s="1" t="s">
        <v>32</v>
      </c>
      <c r="C1096" s="1" t="n">
        <v>3460000</v>
      </c>
      <c r="D1096" s="1" t="n">
        <v>679705.2</v>
      </c>
      <c r="E1096" s="1" t="n">
        <v>0.0184</v>
      </c>
      <c r="F1096" s="1" t="n">
        <v>0.0462</v>
      </c>
    </row>
    <row r="1097" customFormat="false" ht="15" hidden="false" customHeight="false" outlineLevel="0" collapsed="false">
      <c r="A1097" s="1" t="s">
        <v>1132</v>
      </c>
      <c r="B1097" s="1" t="s">
        <v>74</v>
      </c>
      <c r="C1097" s="1" t="n">
        <v>4180000</v>
      </c>
      <c r="D1097" s="1" t="n">
        <v>33279.6</v>
      </c>
      <c r="E1097" s="1" t="n">
        <v>0.032</v>
      </c>
      <c r="F1097" s="1" t="n">
        <v>0.0759</v>
      </c>
    </row>
    <row r="1098" customFormat="false" ht="15" hidden="false" customHeight="false" outlineLevel="0" collapsed="false">
      <c r="A1098" s="1" t="s">
        <v>1133</v>
      </c>
      <c r="B1098" s="1" t="s">
        <v>88</v>
      </c>
      <c r="C1098" s="1" t="n">
        <v>2830000</v>
      </c>
      <c r="D1098" s="1" t="n">
        <v>18376.9</v>
      </c>
      <c r="E1098" s="1" t="n">
        <v>0.0083</v>
      </c>
      <c r="F1098" s="1" t="n">
        <v>0.1015</v>
      </c>
    </row>
    <row r="1099" customFormat="false" ht="15" hidden="false" customHeight="false" outlineLevel="0" collapsed="false">
      <c r="A1099" s="1" t="s">
        <v>1134</v>
      </c>
      <c r="B1099" s="1" t="s">
        <v>41</v>
      </c>
      <c r="C1099" s="1" t="n">
        <v>4530000</v>
      </c>
      <c r="D1099" s="1" t="n">
        <v>159939.5</v>
      </c>
      <c r="E1099" s="1" t="n">
        <v>0.0851</v>
      </c>
      <c r="F1099" s="1" t="n">
        <v>0.0938</v>
      </c>
    </row>
    <row r="1100" customFormat="false" ht="15" hidden="false" customHeight="false" outlineLevel="0" collapsed="false">
      <c r="A1100" s="1" t="s">
        <v>1135</v>
      </c>
      <c r="B1100" s="1" t="s">
        <v>24</v>
      </c>
      <c r="C1100" s="1" t="n">
        <v>2920000</v>
      </c>
      <c r="D1100" s="1" t="n">
        <v>177792.8</v>
      </c>
      <c r="E1100" s="1" t="n">
        <v>0.0039</v>
      </c>
      <c r="F1100" s="1" t="n">
        <v>0.0822</v>
      </c>
    </row>
    <row r="1101" customFormat="false" ht="15" hidden="false" customHeight="false" outlineLevel="0" collapsed="false">
      <c r="A1101" s="1" t="s">
        <v>1136</v>
      </c>
      <c r="B1101" s="1" t="s">
        <v>41</v>
      </c>
      <c r="C1101" s="1" t="n">
        <v>5950000</v>
      </c>
      <c r="D1101" s="1" t="n">
        <v>1672.3</v>
      </c>
      <c r="E1101" s="1" t="n">
        <v>0.0082</v>
      </c>
      <c r="F1101" s="1" t="n">
        <v>0.0811</v>
      </c>
    </row>
    <row r="1102" customFormat="false" ht="15" hidden="false" customHeight="false" outlineLevel="0" collapsed="false">
      <c r="A1102" s="1" t="s">
        <v>1137</v>
      </c>
      <c r="B1102" s="1" t="s">
        <v>74</v>
      </c>
      <c r="C1102" s="1" t="n">
        <v>3720000</v>
      </c>
      <c r="D1102" s="1" t="n">
        <v>70653.4</v>
      </c>
      <c r="E1102" s="1" t="n">
        <v>0.0111</v>
      </c>
      <c r="F1102" s="1" t="n">
        <v>0.0584</v>
      </c>
    </row>
    <row r="1103" customFormat="false" ht="15" hidden="false" customHeight="false" outlineLevel="0" collapsed="false">
      <c r="A1103" s="1" t="s">
        <v>1138</v>
      </c>
      <c r="B1103" s="1" t="s">
        <v>26</v>
      </c>
      <c r="C1103" s="1" t="n">
        <v>4830000</v>
      </c>
      <c r="D1103" s="1" t="n">
        <v>178169.3</v>
      </c>
      <c r="E1103" s="1" t="n">
        <v>0.0219</v>
      </c>
      <c r="F1103" s="1" t="n">
        <v>0.0854</v>
      </c>
    </row>
    <row r="1104" customFormat="false" ht="15" hidden="false" customHeight="false" outlineLevel="0" collapsed="false">
      <c r="A1104" s="1" t="s">
        <v>1139</v>
      </c>
      <c r="B1104" s="1" t="s">
        <v>26</v>
      </c>
      <c r="C1104" s="1" t="n">
        <v>6710000</v>
      </c>
      <c r="D1104" s="1" t="n">
        <v>10887.5</v>
      </c>
      <c r="F1104" s="1" t="n">
        <v>0.0759</v>
      </c>
    </row>
    <row r="1105" customFormat="false" ht="15" hidden="false" customHeight="false" outlineLevel="0" collapsed="false">
      <c r="A1105" s="1" t="s">
        <v>1140</v>
      </c>
      <c r="B1105" s="1" t="s">
        <v>26</v>
      </c>
      <c r="C1105" s="1" t="n">
        <v>5020000</v>
      </c>
      <c r="D1105" s="1" t="n">
        <v>711075.9</v>
      </c>
      <c r="E1105" s="1" t="n">
        <v>0.054</v>
      </c>
      <c r="F1105" s="1" t="n">
        <v>0.0938</v>
      </c>
    </row>
    <row r="1106" customFormat="false" ht="15" hidden="false" customHeight="false" outlineLevel="0" collapsed="false">
      <c r="A1106" s="1" t="s">
        <v>1141</v>
      </c>
      <c r="B1106" s="1" t="s">
        <v>26</v>
      </c>
      <c r="C1106" s="1" t="n">
        <v>4630000</v>
      </c>
      <c r="D1106" s="1" t="n">
        <v>5347522.1</v>
      </c>
      <c r="E1106" s="1" t="n">
        <v>0.0386</v>
      </c>
      <c r="F1106" s="1" t="n">
        <v>0.0951</v>
      </c>
    </row>
    <row r="1107" customFormat="false" ht="15" hidden="false" customHeight="false" outlineLevel="0" collapsed="false">
      <c r="A1107" s="1" t="s">
        <v>1142</v>
      </c>
      <c r="B1107" s="1" t="s">
        <v>26</v>
      </c>
      <c r="C1107" s="1" t="n">
        <v>3070000</v>
      </c>
      <c r="D1107" s="1" t="n">
        <v>23310.2</v>
      </c>
      <c r="E1107" s="1" t="n">
        <v>0.0078</v>
      </c>
      <c r="F1107" s="1" t="n">
        <v>0.0822</v>
      </c>
    </row>
    <row r="1108" customFormat="false" ht="15" hidden="false" customHeight="false" outlineLevel="0" collapsed="false">
      <c r="A1108" s="1" t="s">
        <v>1143</v>
      </c>
      <c r="B1108" s="1" t="s">
        <v>26</v>
      </c>
      <c r="C1108" s="1" t="n">
        <v>2900000</v>
      </c>
      <c r="D1108" s="1" t="n">
        <v>41290.1</v>
      </c>
      <c r="E1108" s="1" t="n">
        <v>0.0193</v>
      </c>
      <c r="F1108" s="1" t="n">
        <v>0.0833</v>
      </c>
    </row>
    <row r="1109" customFormat="false" ht="15" hidden="false" customHeight="false" outlineLevel="0" collapsed="false">
      <c r="A1109" s="1" t="s">
        <v>1144</v>
      </c>
      <c r="B1109" s="1" t="s">
        <v>26</v>
      </c>
      <c r="C1109" s="1" t="n">
        <v>2950000</v>
      </c>
      <c r="D1109" s="1" t="n">
        <v>15147.9</v>
      </c>
      <c r="E1109" s="1" t="n">
        <v>0.0155</v>
      </c>
      <c r="F1109" s="1" t="n">
        <v>0.0462</v>
      </c>
    </row>
    <row r="1110" customFormat="false" ht="15" hidden="false" customHeight="false" outlineLevel="0" collapsed="false">
      <c r="A1110" s="1" t="s">
        <v>1145</v>
      </c>
      <c r="B1110" s="1" t="s">
        <v>74</v>
      </c>
      <c r="C1110" s="1" t="n">
        <v>5500000</v>
      </c>
      <c r="D1110" s="1" t="n">
        <v>24359.5</v>
      </c>
      <c r="E1110" s="1" t="n">
        <v>0.0357</v>
      </c>
      <c r="F1110" s="1" t="n">
        <v>0.0938</v>
      </c>
    </row>
    <row r="1111" customFormat="false" ht="15" hidden="false" customHeight="false" outlineLevel="0" collapsed="false">
      <c r="A1111" s="1" t="s">
        <v>1146</v>
      </c>
      <c r="B1111" s="1" t="s">
        <v>30</v>
      </c>
      <c r="C1111" s="1" t="n">
        <v>3060000</v>
      </c>
      <c r="D1111" s="1" t="n">
        <v>295152.6</v>
      </c>
      <c r="E1111" s="1" t="n">
        <v>0.0477</v>
      </c>
      <c r="F1111" s="1" t="n">
        <v>0.0759</v>
      </c>
    </row>
    <row r="1112" customFormat="false" ht="15" hidden="false" customHeight="false" outlineLevel="0" collapsed="false">
      <c r="A1112" s="1" t="s">
        <v>1147</v>
      </c>
      <c r="B1112" s="1" t="s">
        <v>214</v>
      </c>
      <c r="C1112" s="1" t="n">
        <v>2870000</v>
      </c>
      <c r="D1112" s="1" t="n">
        <v>141.3</v>
      </c>
      <c r="E1112" s="1" t="n">
        <v>0.0231</v>
      </c>
      <c r="F1112" s="1" t="n">
        <v>0.0576</v>
      </c>
    </row>
    <row r="1113" customFormat="false" ht="15" hidden="false" customHeight="false" outlineLevel="0" collapsed="false">
      <c r="A1113" s="1" t="s">
        <v>1148</v>
      </c>
      <c r="B1113" s="1" t="s">
        <v>26</v>
      </c>
      <c r="C1113" s="1" t="n">
        <v>4500000</v>
      </c>
      <c r="D1113" s="1" t="n">
        <v>715743</v>
      </c>
      <c r="E1113" s="1" t="n">
        <v>0.0861</v>
      </c>
      <c r="F1113" s="1" t="n">
        <v>0.0759</v>
      </c>
    </row>
    <row r="1114" customFormat="false" ht="15" hidden="false" customHeight="false" outlineLevel="0" collapsed="false">
      <c r="A1114" s="1" t="s">
        <v>1149</v>
      </c>
      <c r="B1114" s="1" t="s">
        <v>53</v>
      </c>
      <c r="C1114" s="1" t="n">
        <v>5270000</v>
      </c>
      <c r="D1114" s="1" t="n">
        <v>851670</v>
      </c>
      <c r="E1114" s="1" t="n">
        <v>0.0117</v>
      </c>
      <c r="F1114" s="1" t="n">
        <v>0.0584</v>
      </c>
    </row>
    <row r="1115" customFormat="false" ht="15" hidden="false" customHeight="false" outlineLevel="0" collapsed="false">
      <c r="A1115" s="1" t="s">
        <v>1150</v>
      </c>
      <c r="B1115" s="1" t="s">
        <v>88</v>
      </c>
      <c r="C1115" s="1" t="n">
        <v>3460000</v>
      </c>
      <c r="D1115" s="1" t="n">
        <v>4415.2</v>
      </c>
      <c r="E1115" s="1" t="n">
        <v>0.0625</v>
      </c>
      <c r="F1115" s="1" t="n">
        <v>0.0938</v>
      </c>
    </row>
    <row r="1116" customFormat="false" ht="15" hidden="false" customHeight="false" outlineLevel="0" collapsed="false">
      <c r="A1116" s="1" t="s">
        <v>1151</v>
      </c>
      <c r="B1116" s="1" t="s">
        <v>26</v>
      </c>
      <c r="C1116" s="1" t="n">
        <v>2930000</v>
      </c>
      <c r="D1116" s="1" t="n">
        <v>105566.4</v>
      </c>
      <c r="E1116" s="1" t="n">
        <v>0.0128</v>
      </c>
      <c r="F1116" s="1" t="n">
        <v>0.0765</v>
      </c>
    </row>
    <row r="1117" customFormat="false" ht="15" hidden="false" customHeight="false" outlineLevel="0" collapsed="false">
      <c r="A1117" s="1" t="s">
        <v>1152</v>
      </c>
      <c r="B1117" s="1" t="s">
        <v>26</v>
      </c>
      <c r="C1117" s="1" t="n">
        <v>2750000</v>
      </c>
      <c r="D1117" s="1" t="n">
        <v>13816.1</v>
      </c>
      <c r="E1117" s="1" t="n">
        <v>0.0417</v>
      </c>
      <c r="F1117" s="1" t="n">
        <v>0.0951</v>
      </c>
    </row>
    <row r="1118" customFormat="false" ht="15" hidden="false" customHeight="false" outlineLevel="0" collapsed="false">
      <c r="A1118" s="1" t="s">
        <v>1153</v>
      </c>
      <c r="B1118" s="1" t="s">
        <v>24</v>
      </c>
      <c r="C1118" s="1" t="n">
        <v>3340000</v>
      </c>
      <c r="D1118" s="1" t="n">
        <v>169258</v>
      </c>
      <c r="E1118" s="1" t="n">
        <v>0.0359</v>
      </c>
      <c r="F1118" s="1" t="n">
        <v>0.0759</v>
      </c>
    </row>
    <row r="1119" customFormat="false" ht="15" hidden="false" customHeight="false" outlineLevel="0" collapsed="false">
      <c r="A1119" s="1" t="s">
        <v>1154</v>
      </c>
      <c r="B1119" s="1" t="s">
        <v>41</v>
      </c>
      <c r="C1119" s="1" t="n">
        <v>2740000</v>
      </c>
      <c r="D1119" s="1" t="n">
        <v>785698.8</v>
      </c>
      <c r="E1119" s="1" t="n">
        <v>0.0096</v>
      </c>
      <c r="F1119" s="1" t="n">
        <v>0.0822</v>
      </c>
    </row>
    <row r="1120" customFormat="false" ht="15" hidden="false" customHeight="false" outlineLevel="0" collapsed="false">
      <c r="A1120" s="1" t="s">
        <v>1155</v>
      </c>
      <c r="B1120" s="1" t="s">
        <v>50</v>
      </c>
      <c r="C1120" s="1" t="n">
        <v>2850000</v>
      </c>
      <c r="D1120" s="1" t="n">
        <v>95091</v>
      </c>
      <c r="E1120" s="1" t="n">
        <v>0.0299</v>
      </c>
      <c r="F1120" s="1" t="n">
        <v>0.0759</v>
      </c>
    </row>
    <row r="1121" customFormat="false" ht="15" hidden="false" customHeight="false" outlineLevel="0" collapsed="false">
      <c r="A1121" s="1" t="s">
        <v>1156</v>
      </c>
      <c r="B1121" s="1" t="s">
        <v>32</v>
      </c>
      <c r="C1121" s="1" t="n">
        <v>3560000</v>
      </c>
      <c r="D1121" s="1" t="n">
        <v>36909.8</v>
      </c>
      <c r="E1121" s="1" t="n">
        <v>0.0101</v>
      </c>
      <c r="F1121" s="1" t="n">
        <v>0.0822</v>
      </c>
    </row>
    <row r="1122" customFormat="false" ht="15" hidden="false" customHeight="false" outlineLevel="0" collapsed="false">
      <c r="A1122" s="1" t="s">
        <v>1157</v>
      </c>
      <c r="B1122" s="1" t="s">
        <v>81</v>
      </c>
      <c r="C1122" s="1" t="n">
        <v>3230000</v>
      </c>
      <c r="D1122" s="1" t="n">
        <v>9813</v>
      </c>
      <c r="E1122" s="1" t="n">
        <v>0.0396</v>
      </c>
      <c r="F1122" s="1" t="n">
        <v>0.0938</v>
      </c>
    </row>
    <row r="1123" customFormat="false" ht="15" hidden="false" customHeight="false" outlineLevel="0" collapsed="false">
      <c r="A1123" s="1" t="s">
        <v>1158</v>
      </c>
      <c r="B1123" s="1" t="s">
        <v>32</v>
      </c>
      <c r="C1123" s="1" t="n">
        <v>3670000</v>
      </c>
      <c r="D1123" s="1" t="n">
        <v>31914.8</v>
      </c>
      <c r="E1123" s="1" t="n">
        <v>0.0181</v>
      </c>
      <c r="F1123" s="1" t="n">
        <v>0.0462</v>
      </c>
    </row>
    <row r="1124" customFormat="false" ht="15" hidden="false" customHeight="false" outlineLevel="0" collapsed="false">
      <c r="A1124" s="1" t="s">
        <v>1159</v>
      </c>
      <c r="B1124" s="1" t="s">
        <v>92</v>
      </c>
      <c r="C1124" s="1" t="n">
        <v>3030000</v>
      </c>
      <c r="D1124" s="1" t="n">
        <v>23907.9</v>
      </c>
      <c r="E1124" s="1" t="n">
        <v>0.0217</v>
      </c>
      <c r="F1124" s="1" t="n">
        <v>0.0538</v>
      </c>
    </row>
    <row r="1125" customFormat="false" ht="15" hidden="false" customHeight="false" outlineLevel="0" collapsed="false">
      <c r="A1125" s="1" t="s">
        <v>1160</v>
      </c>
      <c r="B1125" s="1" t="s">
        <v>26</v>
      </c>
      <c r="C1125" s="1" t="n">
        <v>2590000</v>
      </c>
      <c r="D1125" s="1" t="n">
        <v>554.7</v>
      </c>
      <c r="E1125" s="1" t="n">
        <v>0.019</v>
      </c>
      <c r="F1125" s="1" t="n">
        <v>0.4405</v>
      </c>
    </row>
    <row r="1126" customFormat="false" ht="15" hidden="false" customHeight="false" outlineLevel="0" collapsed="false">
      <c r="A1126" s="1" t="s">
        <v>1161</v>
      </c>
      <c r="B1126" s="1" t="s">
        <v>41</v>
      </c>
      <c r="C1126" s="1" t="n">
        <v>3430000</v>
      </c>
      <c r="D1126" s="1" t="n">
        <v>10417.5</v>
      </c>
      <c r="E1126" s="1" t="n">
        <v>0.0114</v>
      </c>
      <c r="F1126" s="1" t="n">
        <v>0.0911</v>
      </c>
    </row>
    <row r="1127" customFormat="false" ht="15" hidden="false" customHeight="false" outlineLevel="0" collapsed="false">
      <c r="A1127" s="1" t="s">
        <v>1162</v>
      </c>
      <c r="B1127" s="1" t="s">
        <v>41</v>
      </c>
      <c r="C1127" s="1" t="n">
        <v>6090000</v>
      </c>
      <c r="D1127" s="1" t="n">
        <v>5594.6</v>
      </c>
      <c r="E1127" s="1" t="n">
        <v>0.0165</v>
      </c>
      <c r="F1127" s="1" t="n">
        <v>0.1053</v>
      </c>
    </row>
    <row r="1128" customFormat="false" ht="15" hidden="false" customHeight="false" outlineLevel="0" collapsed="false">
      <c r="A1128" s="1" t="s">
        <v>1163</v>
      </c>
      <c r="B1128" s="1" t="s">
        <v>24</v>
      </c>
      <c r="C1128" s="1" t="n">
        <v>3350000</v>
      </c>
      <c r="D1128" s="1" t="n">
        <v>68270.4</v>
      </c>
      <c r="E1128" s="1" t="n">
        <v>0.0178</v>
      </c>
      <c r="F1128" s="1" t="n">
        <v>0.0608</v>
      </c>
    </row>
    <row r="1129" customFormat="false" ht="15" hidden="false" customHeight="false" outlineLevel="0" collapsed="false">
      <c r="A1129" s="1" t="s">
        <v>1164</v>
      </c>
      <c r="B1129" s="1" t="s">
        <v>26</v>
      </c>
      <c r="C1129" s="1" t="n">
        <v>4170000</v>
      </c>
      <c r="D1129" s="1" t="n">
        <v>90601.1</v>
      </c>
      <c r="F1129" s="1" t="n">
        <v>0.0938</v>
      </c>
    </row>
    <row r="1130" customFormat="false" ht="15" hidden="false" customHeight="false" outlineLevel="0" collapsed="false">
      <c r="A1130" s="1" t="s">
        <v>1165</v>
      </c>
      <c r="B1130" s="1" t="s">
        <v>88</v>
      </c>
      <c r="C1130" s="1" t="n">
        <v>4240000</v>
      </c>
      <c r="D1130" s="1" t="n">
        <v>198497</v>
      </c>
      <c r="E1130" s="1" t="n">
        <v>0.0395</v>
      </c>
      <c r="F1130" s="1" t="n">
        <v>0.0409</v>
      </c>
    </row>
    <row r="1131" customFormat="false" ht="15" hidden="false" customHeight="false" outlineLevel="0" collapsed="false">
      <c r="A1131" s="1" t="s">
        <v>1166</v>
      </c>
      <c r="B1131" s="1" t="s">
        <v>92</v>
      </c>
      <c r="C1131" s="1" t="n">
        <v>4550000</v>
      </c>
      <c r="D1131" s="1" t="n">
        <v>172549.6</v>
      </c>
      <c r="E1131" s="1" t="n">
        <v>0.0923</v>
      </c>
      <c r="F1131" s="1" t="n">
        <v>0.0432</v>
      </c>
    </row>
    <row r="1132" customFormat="false" ht="15" hidden="false" customHeight="false" outlineLevel="0" collapsed="false">
      <c r="A1132" s="1" t="s">
        <v>1167</v>
      </c>
      <c r="B1132" s="1" t="s">
        <v>30</v>
      </c>
      <c r="C1132" s="1" t="n">
        <v>3510000</v>
      </c>
      <c r="D1132" s="1" t="n">
        <v>128910</v>
      </c>
      <c r="E1132" s="1" t="n">
        <v>0.0683</v>
      </c>
      <c r="F1132" s="1" t="n">
        <v>0.0672</v>
      </c>
    </row>
    <row r="1133" customFormat="false" ht="15" hidden="false" customHeight="false" outlineLevel="0" collapsed="false">
      <c r="A1133" s="1" t="s">
        <v>1168</v>
      </c>
      <c r="B1133" s="1" t="s">
        <v>41</v>
      </c>
      <c r="C1133" s="1" t="n">
        <v>3460000</v>
      </c>
      <c r="D1133" s="1" t="n">
        <v>275.9</v>
      </c>
      <c r="E1133" s="1" t="n">
        <v>0.038</v>
      </c>
      <c r="F1133" s="1" t="n">
        <v>0.0938</v>
      </c>
    </row>
    <row r="1134" customFormat="false" ht="15" hidden="false" customHeight="false" outlineLevel="0" collapsed="false">
      <c r="A1134" s="1" t="s">
        <v>1169</v>
      </c>
      <c r="B1134" s="1" t="s">
        <v>92</v>
      </c>
      <c r="C1134" s="1" t="n">
        <v>3230000</v>
      </c>
      <c r="D1134" s="1" t="n">
        <v>16158.9</v>
      </c>
      <c r="E1134" s="1" t="n">
        <v>0.0102</v>
      </c>
      <c r="F1134" s="1" t="n">
        <v>0.0689</v>
      </c>
    </row>
    <row r="1135" customFormat="false" ht="15" hidden="false" customHeight="false" outlineLevel="0" collapsed="false">
      <c r="A1135" s="1" t="s">
        <v>1170</v>
      </c>
      <c r="B1135" s="1" t="s">
        <v>26</v>
      </c>
      <c r="C1135" s="1" t="n">
        <v>3190000</v>
      </c>
      <c r="D1135" s="1" t="n">
        <v>1216.7</v>
      </c>
      <c r="E1135" s="1" t="n">
        <v>0.0121</v>
      </c>
      <c r="F1135" s="1" t="n">
        <v>0.0811</v>
      </c>
    </row>
    <row r="1136" customFormat="false" ht="15" hidden="false" customHeight="false" outlineLevel="0" collapsed="false">
      <c r="A1136" s="1" t="s">
        <v>1171</v>
      </c>
      <c r="B1136" s="1" t="s">
        <v>50</v>
      </c>
      <c r="C1136" s="1" t="n">
        <v>3350000</v>
      </c>
      <c r="D1136" s="1" t="n">
        <v>926527.6</v>
      </c>
      <c r="E1136" s="1" t="n">
        <v>0.0348</v>
      </c>
      <c r="F1136" s="1" t="n">
        <v>0.0951</v>
      </c>
    </row>
    <row r="1137" customFormat="false" ht="15" hidden="false" customHeight="false" outlineLevel="0" collapsed="false">
      <c r="A1137" s="1" t="s">
        <v>1172</v>
      </c>
      <c r="B1137" s="1" t="s">
        <v>21</v>
      </c>
      <c r="C1137" s="1" t="n">
        <v>3070000</v>
      </c>
      <c r="D1137" s="1" t="n">
        <v>286076.6</v>
      </c>
      <c r="F1137" s="1" t="n">
        <v>0.0518</v>
      </c>
    </row>
    <row r="1138" customFormat="false" ht="15" hidden="false" customHeight="false" outlineLevel="0" collapsed="false">
      <c r="A1138" s="1" t="s">
        <v>1173</v>
      </c>
      <c r="B1138" s="1" t="s">
        <v>92</v>
      </c>
      <c r="C1138" s="1" t="n">
        <v>2760000</v>
      </c>
      <c r="D1138" s="1" t="n">
        <v>9697.5</v>
      </c>
      <c r="E1138" s="1" t="n">
        <v>0.0079</v>
      </c>
      <c r="F1138" s="1" t="n">
        <v>0.2072</v>
      </c>
    </row>
    <row r="1139" customFormat="false" ht="15" hidden="false" customHeight="false" outlineLevel="0" collapsed="false">
      <c r="A1139" s="1" t="s">
        <v>1174</v>
      </c>
      <c r="B1139" s="1" t="s">
        <v>88</v>
      </c>
      <c r="C1139" s="1" t="n">
        <v>2830000</v>
      </c>
      <c r="D1139" s="1" t="n">
        <v>11065.8</v>
      </c>
      <c r="E1139" s="1" t="n">
        <v>0.05</v>
      </c>
      <c r="F1139" s="1" t="n">
        <v>0.0759</v>
      </c>
    </row>
    <row r="1140" customFormat="false" ht="15" hidden="false" customHeight="false" outlineLevel="0" collapsed="false">
      <c r="A1140" s="1" t="s">
        <v>1175</v>
      </c>
      <c r="B1140" s="1" t="s">
        <v>24</v>
      </c>
      <c r="C1140" s="1" t="n">
        <v>3000000</v>
      </c>
      <c r="D1140" s="1" t="n">
        <v>6893</v>
      </c>
      <c r="E1140" s="1" t="n">
        <v>0.0071</v>
      </c>
      <c r="F1140" s="1" t="n">
        <v>0.0654</v>
      </c>
    </row>
    <row r="1141" customFormat="false" ht="15" hidden="false" customHeight="false" outlineLevel="0" collapsed="false">
      <c r="A1141" s="1" t="s">
        <v>1176</v>
      </c>
      <c r="B1141" s="1" t="s">
        <v>30</v>
      </c>
      <c r="C1141" s="1" t="n">
        <v>2950000</v>
      </c>
      <c r="D1141" s="1" t="n">
        <v>166147.2</v>
      </c>
      <c r="E1141" s="1" t="n">
        <v>0.049</v>
      </c>
      <c r="F1141" s="1" t="n">
        <v>0.0518</v>
      </c>
    </row>
    <row r="1142" customFormat="false" ht="15" hidden="false" customHeight="false" outlineLevel="0" collapsed="false">
      <c r="A1142" s="1" t="s">
        <v>1177</v>
      </c>
      <c r="B1142" s="1" t="s">
        <v>53</v>
      </c>
      <c r="C1142" s="1" t="n">
        <v>3770000</v>
      </c>
      <c r="D1142" s="1" t="n">
        <v>65973.2</v>
      </c>
      <c r="E1142" s="1" t="n">
        <v>0.0184</v>
      </c>
      <c r="F1142" s="1" t="n">
        <v>0.1053</v>
      </c>
    </row>
    <row r="1143" customFormat="false" ht="15" hidden="false" customHeight="false" outlineLevel="0" collapsed="false">
      <c r="A1143" s="1" t="s">
        <v>1178</v>
      </c>
      <c r="B1143" s="1" t="s">
        <v>74</v>
      </c>
      <c r="C1143" s="1" t="n">
        <v>3210000</v>
      </c>
      <c r="D1143" s="1" t="n">
        <v>2572.2</v>
      </c>
      <c r="E1143" s="1" t="n">
        <v>0.0074</v>
      </c>
      <c r="F1143" s="1" t="n">
        <v>0.1695</v>
      </c>
    </row>
    <row r="1144" customFormat="false" ht="15" hidden="false" customHeight="false" outlineLevel="0" collapsed="false">
      <c r="A1144" s="1" t="s">
        <v>1179</v>
      </c>
      <c r="B1144" s="1" t="s">
        <v>81</v>
      </c>
      <c r="C1144" s="1" t="n">
        <v>2850000</v>
      </c>
      <c r="D1144" s="1" t="n">
        <v>9004.2</v>
      </c>
      <c r="E1144" s="1" t="n">
        <v>0.0278</v>
      </c>
      <c r="F1144" s="1" t="n">
        <v>0.0951</v>
      </c>
    </row>
    <row r="1145" customFormat="false" ht="15" hidden="false" customHeight="false" outlineLevel="0" collapsed="false">
      <c r="A1145" s="1" t="s">
        <v>1180</v>
      </c>
      <c r="B1145" s="1" t="s">
        <v>26</v>
      </c>
      <c r="C1145" s="1" t="n">
        <v>3250000</v>
      </c>
      <c r="D1145" s="1" t="n">
        <v>303100.4</v>
      </c>
      <c r="E1145" s="1" t="n">
        <v>0.0238</v>
      </c>
      <c r="F1145" s="1" t="n">
        <v>0.0409</v>
      </c>
    </row>
    <row r="1146" customFormat="false" ht="15" hidden="false" customHeight="false" outlineLevel="0" collapsed="false">
      <c r="A1146" s="1" t="s">
        <v>1181</v>
      </c>
      <c r="B1146" s="1" t="s">
        <v>26</v>
      </c>
      <c r="C1146" s="1" t="n">
        <v>4900000</v>
      </c>
      <c r="D1146" s="1" t="n">
        <v>66724.6</v>
      </c>
      <c r="F1146" s="1" t="n">
        <v>0.051</v>
      </c>
    </row>
    <row r="1147" customFormat="false" ht="15" hidden="false" customHeight="false" outlineLevel="0" collapsed="false">
      <c r="A1147" s="1" t="s">
        <v>1182</v>
      </c>
      <c r="B1147" s="1" t="s">
        <v>21</v>
      </c>
      <c r="C1147" s="1" t="n">
        <v>2660000</v>
      </c>
      <c r="D1147" s="1" t="n">
        <v>9812.4</v>
      </c>
      <c r="E1147" s="1" t="n">
        <v>0.0601</v>
      </c>
      <c r="F1147" s="1" t="n">
        <v>0.0938</v>
      </c>
    </row>
    <row r="1148" customFormat="false" ht="15" hidden="false" customHeight="false" outlineLevel="0" collapsed="false">
      <c r="A1148" s="1" t="s">
        <v>1183</v>
      </c>
      <c r="B1148" s="1" t="s">
        <v>41</v>
      </c>
      <c r="C1148" s="1" t="n">
        <v>3210000</v>
      </c>
      <c r="D1148" s="1" t="n">
        <v>701355.4</v>
      </c>
      <c r="E1148" s="1" t="n">
        <v>0.0246</v>
      </c>
      <c r="F1148" s="1" t="n">
        <v>0.0759</v>
      </c>
    </row>
    <row r="1149" customFormat="false" ht="15" hidden="false" customHeight="false" outlineLevel="0" collapsed="false">
      <c r="A1149" s="1" t="s">
        <v>1184</v>
      </c>
      <c r="B1149" s="1" t="s">
        <v>53</v>
      </c>
      <c r="C1149" s="1" t="n">
        <v>274000</v>
      </c>
      <c r="D1149" s="1" t="n">
        <v>328442.4</v>
      </c>
      <c r="E1149" s="1" t="n">
        <v>0.0778</v>
      </c>
      <c r="F1149" s="1" t="n">
        <v>0.0951</v>
      </c>
    </row>
    <row r="1150" customFormat="false" ht="15" hidden="false" customHeight="false" outlineLevel="0" collapsed="false">
      <c r="A1150" s="1" t="s">
        <v>1185</v>
      </c>
      <c r="B1150" s="1" t="s">
        <v>41</v>
      </c>
      <c r="C1150" s="1" t="n">
        <v>3240000</v>
      </c>
      <c r="D1150" s="1" t="n">
        <v>437.7</v>
      </c>
      <c r="E1150" s="1" t="n">
        <v>0.0119</v>
      </c>
      <c r="F1150" s="1" t="n">
        <v>0.2267</v>
      </c>
    </row>
    <row r="1151" customFormat="false" ht="15" hidden="false" customHeight="false" outlineLevel="0" collapsed="false">
      <c r="A1151" s="1" t="s">
        <v>1186</v>
      </c>
      <c r="B1151" s="1" t="s">
        <v>88</v>
      </c>
      <c r="C1151" s="1" t="n">
        <v>6110000</v>
      </c>
      <c r="D1151" s="1" t="n">
        <v>150969.1</v>
      </c>
      <c r="E1151" s="1" t="n">
        <v>0.038</v>
      </c>
      <c r="F1151" s="1" t="n">
        <v>0.0938</v>
      </c>
    </row>
    <row r="1152" customFormat="false" ht="15" hidden="false" customHeight="false" outlineLevel="0" collapsed="false">
      <c r="A1152" s="1" t="s">
        <v>1187</v>
      </c>
      <c r="B1152" s="1" t="s">
        <v>53</v>
      </c>
      <c r="C1152" s="1" t="n">
        <v>2850000</v>
      </c>
      <c r="D1152" s="1" t="n">
        <v>623804.6</v>
      </c>
      <c r="E1152" s="1" t="n">
        <v>0.0633</v>
      </c>
      <c r="F1152" s="1" t="n">
        <v>0.0951</v>
      </c>
    </row>
    <row r="1153" customFormat="false" ht="15" hidden="false" customHeight="false" outlineLevel="0" collapsed="false">
      <c r="A1153" s="1" t="s">
        <v>1188</v>
      </c>
      <c r="B1153" s="1" t="s">
        <v>24</v>
      </c>
      <c r="C1153" s="1" t="n">
        <v>3090000</v>
      </c>
      <c r="D1153" s="1" t="n">
        <v>1898.2</v>
      </c>
      <c r="E1153" s="1" t="n">
        <v>0.0192</v>
      </c>
      <c r="F1153" s="1" t="n">
        <v>0.3832</v>
      </c>
    </row>
    <row r="1154" customFormat="false" ht="15" hidden="false" customHeight="false" outlineLevel="0" collapsed="false">
      <c r="A1154" s="1" t="s">
        <v>1189</v>
      </c>
      <c r="B1154" s="1" t="s">
        <v>26</v>
      </c>
      <c r="C1154" s="1" t="n">
        <v>2870000</v>
      </c>
      <c r="D1154" s="1" t="n">
        <v>286291.2</v>
      </c>
      <c r="E1154" s="1" t="n">
        <v>0.0326</v>
      </c>
      <c r="F1154" s="1" t="n">
        <v>0.0759</v>
      </c>
    </row>
    <row r="1155" customFormat="false" ht="15" hidden="false" customHeight="false" outlineLevel="0" collapsed="false">
      <c r="A1155" s="1" t="s">
        <v>1190</v>
      </c>
      <c r="B1155" s="1" t="s">
        <v>41</v>
      </c>
      <c r="C1155" s="1" t="n">
        <v>3700000</v>
      </c>
      <c r="D1155" s="1" t="n">
        <v>4506.1</v>
      </c>
      <c r="E1155" s="1" t="n">
        <v>0.0204</v>
      </c>
      <c r="F1155" s="1" t="n">
        <v>0.1053</v>
      </c>
    </row>
    <row r="1156" customFormat="false" ht="15" hidden="false" customHeight="false" outlineLevel="0" collapsed="false">
      <c r="A1156" s="1" t="s">
        <v>1191</v>
      </c>
      <c r="B1156" s="1" t="s">
        <v>26</v>
      </c>
      <c r="C1156" s="1" t="n">
        <v>3290000</v>
      </c>
      <c r="D1156" s="1" t="n">
        <v>1461728</v>
      </c>
      <c r="E1156" s="1" t="n">
        <v>0.0073</v>
      </c>
      <c r="F1156" s="1" t="n">
        <v>0.0822</v>
      </c>
    </row>
    <row r="1157" customFormat="false" ht="15" hidden="false" customHeight="false" outlineLevel="0" collapsed="false">
      <c r="A1157" s="1" t="s">
        <v>1192</v>
      </c>
      <c r="B1157" s="1" t="s">
        <v>26</v>
      </c>
      <c r="C1157" s="1" t="n">
        <v>4210000</v>
      </c>
      <c r="D1157" s="1" t="n">
        <v>501716.8</v>
      </c>
      <c r="E1157" s="1" t="n">
        <v>0.0262</v>
      </c>
      <c r="F1157" s="1" t="n">
        <v>0.0409</v>
      </c>
    </row>
    <row r="1158" customFormat="false" ht="15" hidden="false" customHeight="false" outlineLevel="0" collapsed="false">
      <c r="A1158" s="1" t="s">
        <v>1193</v>
      </c>
      <c r="B1158" s="1" t="s">
        <v>26</v>
      </c>
      <c r="C1158" s="1" t="n">
        <v>3180000</v>
      </c>
      <c r="D1158" s="1" t="n">
        <v>39954.8</v>
      </c>
      <c r="E1158" s="1" t="n">
        <v>0.025</v>
      </c>
      <c r="F1158" s="1" t="n">
        <v>0.0518</v>
      </c>
    </row>
    <row r="1159" customFormat="false" ht="15" hidden="false" customHeight="false" outlineLevel="0" collapsed="false">
      <c r="A1159" s="1" t="s">
        <v>1194</v>
      </c>
      <c r="B1159" s="1" t="s">
        <v>53</v>
      </c>
      <c r="C1159" s="1" t="n">
        <v>1620000</v>
      </c>
      <c r="D1159" s="1" t="n">
        <v>3127.5</v>
      </c>
      <c r="E1159" s="1" t="n">
        <v>0.0249</v>
      </c>
      <c r="F1159" s="1" t="n">
        <v>0.0951</v>
      </c>
    </row>
    <row r="1160" customFormat="false" ht="15" hidden="false" customHeight="false" outlineLevel="0" collapsed="false">
      <c r="A1160" s="1" t="s">
        <v>1195</v>
      </c>
      <c r="B1160" s="1" t="s">
        <v>41</v>
      </c>
      <c r="C1160" s="1" t="n">
        <v>9220000</v>
      </c>
      <c r="D1160" s="1" t="n">
        <v>8967.4</v>
      </c>
      <c r="E1160" s="1" t="n">
        <v>0.0181</v>
      </c>
      <c r="F1160" s="1" t="n">
        <v>0.0576</v>
      </c>
    </row>
    <row r="1161" customFormat="false" ht="15" hidden="false" customHeight="false" outlineLevel="0" collapsed="false">
      <c r="A1161" s="1" t="s">
        <v>1196</v>
      </c>
      <c r="B1161" s="1" t="s">
        <v>26</v>
      </c>
      <c r="C1161" s="1" t="n">
        <v>4590000</v>
      </c>
      <c r="D1161" s="1" t="n">
        <v>1290964.1</v>
      </c>
      <c r="E1161" s="1" t="n">
        <v>0.0204</v>
      </c>
      <c r="F1161" s="1" t="n">
        <v>0.0462</v>
      </c>
    </row>
    <row r="1162" customFormat="false" ht="15" hidden="false" customHeight="false" outlineLevel="0" collapsed="false">
      <c r="A1162" s="1" t="s">
        <v>1197</v>
      </c>
      <c r="B1162" s="1" t="s">
        <v>26</v>
      </c>
      <c r="C1162" s="1" t="n">
        <v>6410000</v>
      </c>
      <c r="D1162" s="1" t="n">
        <v>1069567</v>
      </c>
      <c r="E1162" s="1" t="n">
        <v>0.0409</v>
      </c>
      <c r="F1162" s="1" t="n">
        <v>0.0759</v>
      </c>
    </row>
    <row r="1163" customFormat="false" ht="15" hidden="false" customHeight="false" outlineLevel="0" collapsed="false">
      <c r="A1163" s="1" t="s">
        <v>1198</v>
      </c>
      <c r="B1163" s="1" t="s">
        <v>26</v>
      </c>
      <c r="C1163" s="1" t="n">
        <v>3140000</v>
      </c>
      <c r="D1163" s="1" t="n">
        <v>158457.8</v>
      </c>
      <c r="E1163" s="1" t="n">
        <v>0.0709</v>
      </c>
      <c r="F1163" s="1" t="n">
        <v>0.0938</v>
      </c>
    </row>
    <row r="1164" customFormat="false" ht="15" hidden="false" customHeight="false" outlineLevel="0" collapsed="false">
      <c r="A1164" s="1" t="s">
        <v>1199</v>
      </c>
      <c r="B1164" s="1" t="s">
        <v>214</v>
      </c>
      <c r="C1164" s="1" t="n">
        <v>9550000</v>
      </c>
      <c r="D1164" s="1" t="n">
        <v>6761941.2</v>
      </c>
      <c r="E1164" s="1" t="n">
        <v>0.0118</v>
      </c>
      <c r="F1164" s="1" t="n">
        <v>0.0584</v>
      </c>
    </row>
    <row r="1165" customFormat="false" ht="15" hidden="false" customHeight="false" outlineLevel="0" collapsed="false">
      <c r="A1165" s="1" t="s">
        <v>1200</v>
      </c>
      <c r="B1165" s="1" t="s">
        <v>26</v>
      </c>
      <c r="C1165" s="1" t="n">
        <v>2940000</v>
      </c>
      <c r="D1165" s="1" t="n">
        <v>15833.6</v>
      </c>
      <c r="E1165" s="1" t="n">
        <v>0.0272</v>
      </c>
      <c r="F1165" s="1" t="n">
        <v>0.0409</v>
      </c>
    </row>
    <row r="1166" customFormat="false" ht="15" hidden="false" customHeight="false" outlineLevel="0" collapsed="false">
      <c r="A1166" s="1" t="s">
        <v>1201</v>
      </c>
      <c r="B1166" s="1" t="s">
        <v>26</v>
      </c>
      <c r="C1166" s="1" t="n">
        <v>3210000</v>
      </c>
      <c r="D1166" s="1" t="n">
        <v>1194.9</v>
      </c>
      <c r="E1166" s="1" t="n">
        <v>0.0196</v>
      </c>
      <c r="F1166" s="1" t="n">
        <v>0.0576</v>
      </c>
    </row>
    <row r="1167" customFormat="false" ht="15" hidden="false" customHeight="false" outlineLevel="0" collapsed="false">
      <c r="A1167" s="1" t="s">
        <v>1202</v>
      </c>
      <c r="B1167" s="1" t="s">
        <v>41</v>
      </c>
      <c r="C1167" s="1" t="n">
        <v>2920000</v>
      </c>
      <c r="D1167" s="1" t="n">
        <v>53322.3</v>
      </c>
      <c r="E1167" s="1" t="n">
        <v>0.0708</v>
      </c>
      <c r="F1167" s="1" t="n">
        <v>0.0938</v>
      </c>
    </row>
    <row r="1168" customFormat="false" ht="15" hidden="false" customHeight="false" outlineLevel="0" collapsed="false">
      <c r="A1168" s="1" t="s">
        <v>1203</v>
      </c>
      <c r="B1168" s="1" t="s">
        <v>24</v>
      </c>
      <c r="C1168" s="1" t="n">
        <v>3330000</v>
      </c>
      <c r="D1168" s="1" t="n">
        <v>6826</v>
      </c>
      <c r="E1168" s="1" t="n">
        <v>0.0181</v>
      </c>
      <c r="F1168" s="1" t="n">
        <v>0.1053</v>
      </c>
    </row>
    <row r="1169" customFormat="false" ht="15" hidden="false" customHeight="false" outlineLevel="0" collapsed="false">
      <c r="A1169" s="1" t="s">
        <v>1204</v>
      </c>
      <c r="B1169" s="1" t="s">
        <v>41</v>
      </c>
      <c r="C1169" s="1" t="n">
        <v>4530000</v>
      </c>
      <c r="D1169" s="1" t="n">
        <v>1233</v>
      </c>
      <c r="E1169" s="1" t="n">
        <v>0.0134</v>
      </c>
      <c r="F1169" s="1" t="n">
        <v>0.0726</v>
      </c>
    </row>
    <row r="1170" customFormat="false" ht="15" hidden="false" customHeight="false" outlineLevel="0" collapsed="false">
      <c r="A1170" s="1" t="s">
        <v>1205</v>
      </c>
      <c r="B1170" s="1" t="s">
        <v>88</v>
      </c>
      <c r="C1170" s="1" t="n">
        <v>222000</v>
      </c>
      <c r="D1170" s="1" t="n">
        <v>223.4</v>
      </c>
      <c r="E1170" s="1" t="n">
        <v>0.034</v>
      </c>
      <c r="F1170" s="1" t="n">
        <v>0.051</v>
      </c>
    </row>
    <row r="1171" customFormat="false" ht="15" hidden="false" customHeight="false" outlineLevel="0" collapsed="false">
      <c r="A1171" s="1" t="s">
        <v>1206</v>
      </c>
      <c r="B1171" s="1" t="s">
        <v>74</v>
      </c>
      <c r="C1171" s="1" t="n">
        <v>3720000</v>
      </c>
      <c r="D1171" s="1" t="n">
        <v>75697.7</v>
      </c>
      <c r="E1171" s="1" t="n">
        <v>0.0152</v>
      </c>
      <c r="F1171" s="1" t="n">
        <v>0.0757</v>
      </c>
    </row>
    <row r="1172" customFormat="false" ht="15" hidden="false" customHeight="false" outlineLevel="0" collapsed="false">
      <c r="A1172" s="1" t="s">
        <v>1207</v>
      </c>
      <c r="B1172" s="1" t="s">
        <v>41</v>
      </c>
      <c r="C1172" s="1" t="n">
        <v>2730000</v>
      </c>
      <c r="D1172" s="1" t="n">
        <v>2165.9</v>
      </c>
      <c r="E1172" s="1" t="n">
        <v>0.0156</v>
      </c>
      <c r="F1172" s="1" t="n">
        <v>0.1067</v>
      </c>
    </row>
    <row r="1173" customFormat="false" ht="15" hidden="false" customHeight="false" outlineLevel="0" collapsed="false">
      <c r="A1173" s="1" t="s">
        <v>1208</v>
      </c>
      <c r="B1173" s="1" t="s">
        <v>35</v>
      </c>
      <c r="C1173" s="1" t="n">
        <v>3170000</v>
      </c>
      <c r="D1173" s="1" t="n">
        <v>14224.8</v>
      </c>
      <c r="E1173" s="1" t="n">
        <v>0.0198</v>
      </c>
      <c r="F1173" s="1" t="n">
        <v>0.0833</v>
      </c>
    </row>
    <row r="1174" customFormat="false" ht="15" hidden="false" customHeight="false" outlineLevel="0" collapsed="false">
      <c r="A1174" s="1" t="s">
        <v>1209</v>
      </c>
      <c r="B1174" s="1" t="s">
        <v>41</v>
      </c>
      <c r="C1174" s="1" t="n">
        <v>4820000</v>
      </c>
      <c r="D1174" s="1" t="n">
        <v>935.6</v>
      </c>
      <c r="E1174" s="1" t="n">
        <v>0.0129</v>
      </c>
      <c r="F1174" s="1" t="n">
        <v>0.2267</v>
      </c>
    </row>
    <row r="1175" customFormat="false" ht="15" hidden="false" customHeight="false" outlineLevel="0" collapsed="false">
      <c r="A1175" s="1" t="s">
        <v>1210</v>
      </c>
      <c r="B1175" s="1" t="s">
        <v>24</v>
      </c>
      <c r="C1175" s="1" t="n">
        <v>3450000</v>
      </c>
      <c r="D1175" s="1" t="n">
        <v>716.3</v>
      </c>
      <c r="E1175" s="1" t="n">
        <v>0.0514</v>
      </c>
      <c r="F1175" s="1" t="n">
        <v>0.0938</v>
      </c>
    </row>
    <row r="1176" customFormat="false" ht="15" hidden="false" customHeight="false" outlineLevel="0" collapsed="false">
      <c r="A1176" s="1" t="s">
        <v>1211</v>
      </c>
      <c r="B1176" s="1" t="s">
        <v>92</v>
      </c>
      <c r="C1176" s="1" t="n">
        <v>4040000</v>
      </c>
      <c r="D1176" s="1" t="n">
        <v>648613.2</v>
      </c>
      <c r="E1176" s="1" t="n">
        <v>0.0389</v>
      </c>
      <c r="F1176" s="1" t="n">
        <v>0.0409</v>
      </c>
    </row>
    <row r="1177" customFormat="false" ht="15" hidden="false" customHeight="false" outlineLevel="0" collapsed="false">
      <c r="A1177" s="1" t="s">
        <v>1212</v>
      </c>
      <c r="B1177" s="1" t="s">
        <v>92</v>
      </c>
      <c r="C1177" s="1" t="n">
        <v>2740000</v>
      </c>
      <c r="D1177" s="1" t="n">
        <v>37172.8</v>
      </c>
      <c r="E1177" s="1" t="n">
        <v>0.0124</v>
      </c>
      <c r="F1177" s="1" t="n">
        <v>0.0854</v>
      </c>
    </row>
    <row r="1178" customFormat="false" ht="15" hidden="false" customHeight="false" outlineLevel="0" collapsed="false">
      <c r="A1178" s="1" t="s">
        <v>1213</v>
      </c>
      <c r="B1178" s="1" t="s">
        <v>26</v>
      </c>
      <c r="C1178" s="1" t="n">
        <v>5680000</v>
      </c>
      <c r="D1178" s="1" t="n">
        <v>1006346.5</v>
      </c>
      <c r="E1178" s="1" t="n">
        <v>0.0281</v>
      </c>
      <c r="F1178" s="1" t="n">
        <v>0.0518</v>
      </c>
    </row>
    <row r="1179" customFormat="false" ht="15" hidden="false" customHeight="false" outlineLevel="0" collapsed="false">
      <c r="A1179" s="1" t="s">
        <v>1214</v>
      </c>
      <c r="B1179" s="1" t="s">
        <v>24</v>
      </c>
      <c r="C1179" s="1" t="n">
        <v>2680000</v>
      </c>
      <c r="D1179" s="1" t="n">
        <v>306.9</v>
      </c>
      <c r="E1179" s="1" t="n">
        <v>0.0441</v>
      </c>
      <c r="F1179" s="1" t="n">
        <v>0.051</v>
      </c>
    </row>
    <row r="1180" customFormat="false" ht="15" hidden="false" customHeight="false" outlineLevel="0" collapsed="false">
      <c r="A1180" s="1" t="s">
        <v>1215</v>
      </c>
      <c r="B1180" s="1" t="s">
        <v>26</v>
      </c>
      <c r="C1180" s="1" t="n">
        <v>3960000</v>
      </c>
      <c r="D1180" s="1" t="n">
        <v>638917.2</v>
      </c>
      <c r="E1180" s="1" t="n">
        <v>0.0335</v>
      </c>
      <c r="F1180" s="1" t="n">
        <v>0.0672</v>
      </c>
    </row>
    <row r="1181" customFormat="false" ht="15" hidden="false" customHeight="false" outlineLevel="0" collapsed="false">
      <c r="A1181" s="1" t="s">
        <v>1216</v>
      </c>
      <c r="B1181" s="1" t="s">
        <v>26</v>
      </c>
      <c r="C1181" s="1" t="n">
        <v>4210000</v>
      </c>
      <c r="D1181" s="1" t="n">
        <v>23458</v>
      </c>
      <c r="E1181" s="1" t="n">
        <v>0.013</v>
      </c>
      <c r="F1181" s="1" t="n">
        <v>0.0462</v>
      </c>
    </row>
    <row r="1182" customFormat="false" ht="15" hidden="false" customHeight="false" outlineLevel="0" collapsed="false">
      <c r="A1182" s="1" t="s">
        <v>1217</v>
      </c>
      <c r="B1182" s="1" t="s">
        <v>92</v>
      </c>
      <c r="C1182" s="1" t="n">
        <v>2710000</v>
      </c>
      <c r="D1182" s="1" t="n">
        <v>5242.9</v>
      </c>
      <c r="E1182" s="1" t="n">
        <v>0.0647</v>
      </c>
      <c r="F1182" s="1" t="n">
        <v>0.0951</v>
      </c>
    </row>
    <row r="1183" customFormat="false" ht="15" hidden="false" customHeight="false" outlineLevel="0" collapsed="false">
      <c r="A1183" s="1" t="s">
        <v>1218</v>
      </c>
      <c r="B1183" s="1" t="s">
        <v>26</v>
      </c>
      <c r="C1183" s="1" t="n">
        <v>2510000</v>
      </c>
      <c r="D1183" s="1" t="n">
        <v>567453.5</v>
      </c>
      <c r="F1183" s="1" t="n">
        <v>0.0951</v>
      </c>
    </row>
    <row r="1184" customFormat="false" ht="15" hidden="false" customHeight="false" outlineLevel="0" collapsed="false">
      <c r="A1184" s="1" t="s">
        <v>1219</v>
      </c>
      <c r="B1184" s="1" t="s">
        <v>21</v>
      </c>
      <c r="C1184" s="1" t="n">
        <v>3160000</v>
      </c>
      <c r="D1184" s="1" t="n">
        <v>5443.7</v>
      </c>
      <c r="E1184" s="1" t="n">
        <v>0.0284</v>
      </c>
      <c r="F1184" s="1" t="n">
        <v>0.051</v>
      </c>
    </row>
    <row r="1185" customFormat="false" ht="15" hidden="false" customHeight="false" outlineLevel="0" collapsed="false">
      <c r="A1185" s="1" t="s">
        <v>1220</v>
      </c>
      <c r="B1185" s="1" t="s">
        <v>24</v>
      </c>
      <c r="C1185" s="1" t="n">
        <v>2700000</v>
      </c>
      <c r="D1185" s="1" t="n">
        <v>7501.1</v>
      </c>
      <c r="E1185" s="1" t="n">
        <v>0.078</v>
      </c>
      <c r="F1185" s="1" t="n">
        <v>0.0938</v>
      </c>
    </row>
    <row r="1186" customFormat="false" ht="15" hidden="false" customHeight="false" outlineLevel="0" collapsed="false">
      <c r="A1186" s="1" t="s">
        <v>1221</v>
      </c>
      <c r="B1186" s="1" t="s">
        <v>24</v>
      </c>
      <c r="C1186" s="1" t="n">
        <v>3050000</v>
      </c>
      <c r="D1186" s="1" t="n">
        <v>8482.8</v>
      </c>
      <c r="E1186" s="1" t="n">
        <v>0.1013</v>
      </c>
      <c r="F1186" s="1" t="n">
        <v>0.0938</v>
      </c>
    </row>
    <row r="1187" customFormat="false" ht="15" hidden="false" customHeight="false" outlineLevel="0" collapsed="false">
      <c r="A1187" s="1" t="s">
        <v>1222</v>
      </c>
      <c r="B1187" s="1" t="s">
        <v>88</v>
      </c>
      <c r="C1187" s="1" t="n">
        <v>5600000</v>
      </c>
      <c r="D1187" s="1" t="n">
        <v>4824.8</v>
      </c>
      <c r="E1187" s="1" t="n">
        <v>0.0885</v>
      </c>
      <c r="F1187" s="1" t="n">
        <v>0.1043</v>
      </c>
    </row>
    <row r="1188" customFormat="false" ht="15" hidden="false" customHeight="false" outlineLevel="0" collapsed="false">
      <c r="A1188" s="1" t="s">
        <v>1223</v>
      </c>
      <c r="B1188" s="1" t="s">
        <v>26</v>
      </c>
      <c r="C1188" s="1" t="n">
        <v>1380000</v>
      </c>
      <c r="D1188" s="1" t="n">
        <v>178240.2</v>
      </c>
      <c r="E1188" s="1" t="n">
        <v>0.0324</v>
      </c>
      <c r="F1188" s="1" t="n">
        <v>0.0432</v>
      </c>
    </row>
    <row r="1189" customFormat="false" ht="15" hidden="false" customHeight="false" outlineLevel="0" collapsed="false">
      <c r="A1189" s="1" t="s">
        <v>1224</v>
      </c>
      <c r="B1189" s="1" t="s">
        <v>41</v>
      </c>
      <c r="C1189" s="1" t="n">
        <v>3000000</v>
      </c>
      <c r="D1189" s="1" t="n">
        <v>9859.7</v>
      </c>
      <c r="E1189" s="1" t="n">
        <v>0.0159</v>
      </c>
      <c r="F1189" s="1" t="n">
        <v>0.1053</v>
      </c>
    </row>
    <row r="1190" customFormat="false" ht="15" hidden="false" customHeight="false" outlineLevel="0" collapsed="false">
      <c r="A1190" s="1" t="s">
        <v>1225</v>
      </c>
      <c r="B1190" s="1" t="s">
        <v>26</v>
      </c>
      <c r="C1190" s="1" t="n">
        <v>3460000</v>
      </c>
      <c r="D1190" s="1" t="n">
        <v>1978706.6</v>
      </c>
      <c r="E1190" s="1" t="n">
        <v>0.052</v>
      </c>
      <c r="F1190" s="1" t="n">
        <v>0.0951</v>
      </c>
    </row>
    <row r="1191" customFormat="false" ht="15" hidden="false" customHeight="false" outlineLevel="0" collapsed="false">
      <c r="A1191" s="1" t="s">
        <v>1226</v>
      </c>
      <c r="B1191" s="1" t="s">
        <v>53</v>
      </c>
      <c r="C1191" s="1" t="n">
        <v>3180000</v>
      </c>
      <c r="D1191" s="1" t="n">
        <v>102353.6</v>
      </c>
      <c r="E1191" s="1" t="n">
        <v>0.0336</v>
      </c>
      <c r="F1191" s="1" t="n">
        <v>0.0951</v>
      </c>
    </row>
    <row r="1192" customFormat="false" ht="15" hidden="false" customHeight="false" outlineLevel="0" collapsed="false">
      <c r="A1192" s="1" t="s">
        <v>1227</v>
      </c>
      <c r="B1192" s="1" t="s">
        <v>30</v>
      </c>
      <c r="C1192" s="1" t="n">
        <v>2560000</v>
      </c>
      <c r="D1192" s="1" t="n">
        <v>13361.1</v>
      </c>
      <c r="E1192" s="1" t="n">
        <v>0.0186</v>
      </c>
      <c r="F1192" s="1" t="n">
        <v>0.0585</v>
      </c>
    </row>
    <row r="1193" customFormat="false" ht="15" hidden="false" customHeight="false" outlineLevel="0" collapsed="false">
      <c r="A1193" s="1" t="s">
        <v>1228</v>
      </c>
      <c r="B1193" s="1" t="s">
        <v>21</v>
      </c>
      <c r="C1193" s="1" t="n">
        <v>2940000</v>
      </c>
      <c r="D1193" s="1" t="n">
        <v>30598.6</v>
      </c>
      <c r="E1193" s="1" t="n">
        <v>0.0181</v>
      </c>
      <c r="F1193" s="1" t="n">
        <v>0.0576</v>
      </c>
    </row>
    <row r="1194" customFormat="false" ht="15" hidden="false" customHeight="false" outlineLevel="0" collapsed="false">
      <c r="A1194" s="1" t="s">
        <v>1229</v>
      </c>
      <c r="B1194" s="1" t="s">
        <v>26</v>
      </c>
      <c r="C1194" s="1" t="n">
        <v>3220000</v>
      </c>
      <c r="D1194" s="1" t="n">
        <v>1549</v>
      </c>
      <c r="E1194" s="1" t="n">
        <v>0.0075</v>
      </c>
      <c r="F1194" s="1" t="n">
        <v>0.0811</v>
      </c>
    </row>
    <row r="1195" customFormat="false" ht="15" hidden="false" customHeight="false" outlineLevel="0" collapsed="false">
      <c r="A1195" s="1" t="s">
        <v>1230</v>
      </c>
      <c r="B1195" s="1" t="s">
        <v>24</v>
      </c>
      <c r="C1195" s="1" t="n">
        <v>3280000</v>
      </c>
      <c r="D1195" s="1" t="n">
        <v>2001.3</v>
      </c>
      <c r="E1195" s="1" t="n">
        <v>0.0244</v>
      </c>
      <c r="F1195" s="1" t="n">
        <v>0.0833</v>
      </c>
    </row>
    <row r="1196" customFormat="false" ht="15" hidden="false" customHeight="false" outlineLevel="0" collapsed="false">
      <c r="A1196" s="1" t="s">
        <v>1231</v>
      </c>
      <c r="B1196" s="1" t="s">
        <v>50</v>
      </c>
      <c r="C1196" s="1" t="n">
        <v>3890000</v>
      </c>
      <c r="D1196" s="1" t="n">
        <v>21238.2</v>
      </c>
      <c r="E1196" s="1" t="n">
        <v>0.0184</v>
      </c>
      <c r="F1196" s="1" t="n">
        <v>0.0576</v>
      </c>
    </row>
    <row r="1197" customFormat="false" ht="15" hidden="false" customHeight="false" outlineLevel="0" collapsed="false">
      <c r="A1197" s="1" t="s">
        <v>1232</v>
      </c>
      <c r="B1197" s="1" t="s">
        <v>41</v>
      </c>
      <c r="C1197" s="1" t="n">
        <v>3080000</v>
      </c>
      <c r="D1197" s="1" t="n">
        <v>252.1</v>
      </c>
      <c r="E1197" s="1" t="n">
        <v>0.0226</v>
      </c>
      <c r="F1197" s="1" t="n">
        <v>0.1372</v>
      </c>
    </row>
    <row r="1198" customFormat="false" ht="15" hidden="false" customHeight="false" outlineLevel="0" collapsed="false">
      <c r="A1198" s="1" t="s">
        <v>1233</v>
      </c>
      <c r="B1198" s="1" t="s">
        <v>21</v>
      </c>
      <c r="C1198" s="1" t="n">
        <v>3100000</v>
      </c>
      <c r="D1198" s="1" t="n">
        <v>13420.1</v>
      </c>
      <c r="E1198" s="1" t="n">
        <v>0.0158</v>
      </c>
      <c r="F1198" s="1" t="n">
        <v>0.2267</v>
      </c>
    </row>
    <row r="1199" customFormat="false" ht="15" hidden="false" customHeight="false" outlineLevel="0" collapsed="false">
      <c r="A1199" s="1" t="s">
        <v>1234</v>
      </c>
      <c r="B1199" s="1" t="s">
        <v>41</v>
      </c>
      <c r="C1199" s="1" t="n">
        <v>3420000</v>
      </c>
      <c r="D1199" s="1" t="n">
        <v>6903.5</v>
      </c>
      <c r="E1199" s="1" t="n">
        <v>0.035</v>
      </c>
      <c r="F1199" s="1" t="n">
        <v>0.0938</v>
      </c>
    </row>
    <row r="1200" customFormat="false" ht="15" hidden="false" customHeight="false" outlineLevel="0" collapsed="false">
      <c r="A1200" s="1" t="s">
        <v>1235</v>
      </c>
      <c r="B1200" s="1" t="s">
        <v>26</v>
      </c>
      <c r="C1200" s="1" t="n">
        <v>4930000</v>
      </c>
      <c r="D1200" s="1" t="n">
        <v>1445166.2</v>
      </c>
      <c r="E1200" s="1" t="n">
        <v>0.0323</v>
      </c>
      <c r="F1200" s="1" t="n">
        <v>0.051</v>
      </c>
    </row>
    <row r="1201" customFormat="false" ht="15" hidden="false" customHeight="false" outlineLevel="0" collapsed="false">
      <c r="A1201" s="1" t="s">
        <v>1236</v>
      </c>
      <c r="B1201" s="1" t="s">
        <v>41</v>
      </c>
      <c r="C1201" s="1" t="n">
        <v>5010000</v>
      </c>
      <c r="D1201" s="1" t="n">
        <v>1079.9</v>
      </c>
      <c r="E1201" s="1" t="n">
        <v>0.0084</v>
      </c>
      <c r="F1201" s="1" t="n">
        <v>0.0811</v>
      </c>
    </row>
    <row r="1202" customFormat="false" ht="15" hidden="false" customHeight="false" outlineLevel="0" collapsed="false">
      <c r="A1202" s="1" t="s">
        <v>1237</v>
      </c>
      <c r="B1202" s="1" t="s">
        <v>26</v>
      </c>
      <c r="C1202" s="1" t="n">
        <v>3310000</v>
      </c>
      <c r="D1202" s="1" t="n">
        <v>18445.4</v>
      </c>
      <c r="E1202" s="1" t="n">
        <v>0.009</v>
      </c>
      <c r="F1202" s="1" t="n">
        <v>0.0811</v>
      </c>
    </row>
    <row r="1203" customFormat="false" ht="15" hidden="false" customHeight="false" outlineLevel="0" collapsed="false">
      <c r="A1203" s="1" t="s">
        <v>1238</v>
      </c>
      <c r="B1203" s="1" t="s">
        <v>24</v>
      </c>
      <c r="C1203" s="1" t="n">
        <v>4520000</v>
      </c>
      <c r="D1203" s="1" t="n">
        <v>152069.6</v>
      </c>
      <c r="E1203" s="1" t="n">
        <v>0.0148</v>
      </c>
      <c r="F1203" s="1" t="n">
        <v>0.0576</v>
      </c>
    </row>
    <row r="1204" customFormat="false" ht="15" hidden="false" customHeight="false" outlineLevel="0" collapsed="false">
      <c r="A1204" s="1" t="s">
        <v>1239</v>
      </c>
      <c r="B1204" s="1" t="s">
        <v>62</v>
      </c>
      <c r="C1204" s="1" t="n">
        <v>4490000</v>
      </c>
      <c r="D1204" s="1" t="n">
        <v>813130.9</v>
      </c>
      <c r="E1204" s="1" t="n">
        <v>0.0364</v>
      </c>
      <c r="F1204" s="1" t="n">
        <v>0.0514</v>
      </c>
    </row>
    <row r="1205" customFormat="false" ht="15" hidden="false" customHeight="false" outlineLevel="0" collapsed="false">
      <c r="A1205" s="1" t="s">
        <v>1240</v>
      </c>
      <c r="B1205" s="1" t="s">
        <v>26</v>
      </c>
      <c r="C1205" s="1" t="n">
        <v>2970000</v>
      </c>
      <c r="D1205" s="1" t="n">
        <v>27361</v>
      </c>
      <c r="E1205" s="1" t="n">
        <v>0.0337</v>
      </c>
      <c r="F1205" s="1" t="n">
        <v>0.0938</v>
      </c>
    </row>
    <row r="1206" customFormat="false" ht="15" hidden="false" customHeight="false" outlineLevel="0" collapsed="false">
      <c r="A1206" s="1" t="s">
        <v>1241</v>
      </c>
      <c r="B1206" s="1" t="s">
        <v>26</v>
      </c>
      <c r="C1206" s="1" t="n">
        <v>3080000</v>
      </c>
      <c r="D1206" s="1" t="n">
        <v>2233.2</v>
      </c>
      <c r="E1206" s="1" t="n">
        <v>0.0263</v>
      </c>
      <c r="F1206" s="1" t="n">
        <v>0.3832</v>
      </c>
    </row>
    <row r="1207" customFormat="false" ht="15" hidden="false" customHeight="false" outlineLevel="0" collapsed="false">
      <c r="A1207" s="1" t="s">
        <v>1242</v>
      </c>
      <c r="B1207" s="1" t="s">
        <v>92</v>
      </c>
      <c r="C1207" s="1" t="n">
        <v>2710000</v>
      </c>
      <c r="D1207" s="1" t="n">
        <v>895.9</v>
      </c>
      <c r="E1207" s="1" t="n">
        <v>0.0375</v>
      </c>
      <c r="F1207" s="1" t="n">
        <v>0.0759</v>
      </c>
    </row>
    <row r="1208" customFormat="false" ht="15" hidden="false" customHeight="false" outlineLevel="0" collapsed="false">
      <c r="A1208" s="1" t="s">
        <v>1243</v>
      </c>
      <c r="B1208" s="1" t="s">
        <v>74</v>
      </c>
      <c r="C1208" s="1" t="n">
        <v>2860000</v>
      </c>
      <c r="D1208" s="1" t="n">
        <v>128734.9</v>
      </c>
      <c r="E1208" s="1" t="n">
        <v>0.01</v>
      </c>
      <c r="F1208" s="1" t="n">
        <v>0.1889</v>
      </c>
    </row>
    <row r="1209" customFormat="false" ht="15" hidden="false" customHeight="false" outlineLevel="0" collapsed="false">
      <c r="A1209" s="1" t="s">
        <v>1244</v>
      </c>
      <c r="B1209" s="1" t="s">
        <v>26</v>
      </c>
      <c r="C1209" s="1" t="n">
        <v>2830000</v>
      </c>
      <c r="D1209" s="1" t="n">
        <v>95519.6</v>
      </c>
      <c r="E1209" s="1" t="n">
        <v>0.0492</v>
      </c>
      <c r="F1209" s="1" t="n">
        <v>0.0938</v>
      </c>
    </row>
    <row r="1210" customFormat="false" ht="15" hidden="false" customHeight="false" outlineLevel="0" collapsed="false">
      <c r="A1210" s="1" t="s">
        <v>1245</v>
      </c>
      <c r="B1210" s="1" t="s">
        <v>88</v>
      </c>
      <c r="C1210" s="1" t="n">
        <v>3760000</v>
      </c>
      <c r="D1210" s="1" t="n">
        <v>65512.3</v>
      </c>
      <c r="E1210" s="1" t="n">
        <v>0.0452</v>
      </c>
      <c r="F1210" s="1" t="n">
        <v>0.0938</v>
      </c>
    </row>
    <row r="1211" customFormat="false" ht="15" hidden="false" customHeight="false" outlineLevel="0" collapsed="false">
      <c r="A1211" s="1" t="s">
        <v>1246</v>
      </c>
      <c r="B1211" s="1" t="s">
        <v>195</v>
      </c>
      <c r="C1211" s="1" t="n">
        <v>2560000</v>
      </c>
      <c r="D1211" s="1" t="n">
        <v>50.2</v>
      </c>
      <c r="F1211" s="1" t="n">
        <v>0.0759</v>
      </c>
    </row>
    <row r="1212" customFormat="false" ht="15" hidden="false" customHeight="false" outlineLevel="0" collapsed="false">
      <c r="A1212" s="1" t="s">
        <v>1247</v>
      </c>
      <c r="B1212" s="1" t="s">
        <v>26</v>
      </c>
      <c r="C1212" s="1" t="n">
        <v>2820000</v>
      </c>
      <c r="D1212" s="1" t="n">
        <v>1023938.4</v>
      </c>
      <c r="E1212" s="1" t="n">
        <v>0.0125</v>
      </c>
      <c r="F1212" s="1" t="n">
        <v>0.0585</v>
      </c>
    </row>
    <row r="1213" customFormat="false" ht="15" hidden="false" customHeight="false" outlineLevel="0" collapsed="false">
      <c r="A1213" s="1" t="s">
        <v>1248</v>
      </c>
      <c r="B1213" s="1" t="s">
        <v>24</v>
      </c>
      <c r="C1213" s="1" t="n">
        <v>2840000</v>
      </c>
      <c r="D1213" s="1" t="n">
        <v>1297.4</v>
      </c>
      <c r="E1213" s="1" t="n">
        <v>0.0413</v>
      </c>
      <c r="F1213" s="1" t="n">
        <v>0.0938</v>
      </c>
    </row>
    <row r="1214" customFormat="false" ht="15" hidden="false" customHeight="false" outlineLevel="0" collapsed="false">
      <c r="A1214" s="1" t="s">
        <v>1249</v>
      </c>
      <c r="B1214" s="1" t="s">
        <v>35</v>
      </c>
      <c r="C1214" s="1" t="n">
        <v>2690000</v>
      </c>
      <c r="D1214" s="1" t="n">
        <v>48576.7</v>
      </c>
      <c r="E1214" s="1" t="n">
        <v>0.0208</v>
      </c>
      <c r="F1214" s="1" t="n">
        <v>0.0432</v>
      </c>
    </row>
    <row r="1215" customFormat="false" ht="15" hidden="false" customHeight="false" outlineLevel="0" collapsed="false">
      <c r="A1215" s="1" t="s">
        <v>1250</v>
      </c>
      <c r="B1215" s="1" t="s">
        <v>26</v>
      </c>
      <c r="C1215" s="1" t="n">
        <v>3710000</v>
      </c>
      <c r="D1215" s="1" t="n">
        <v>31025.7</v>
      </c>
      <c r="E1215" s="1" t="n">
        <v>0.0097</v>
      </c>
      <c r="F1215" s="1" t="n">
        <v>0.0822</v>
      </c>
    </row>
    <row r="1216" customFormat="false" ht="15" hidden="false" customHeight="false" outlineLevel="0" collapsed="false">
      <c r="A1216" s="1" t="s">
        <v>1251</v>
      </c>
      <c r="B1216" s="1" t="s">
        <v>92</v>
      </c>
      <c r="C1216" s="1" t="n">
        <v>2670000</v>
      </c>
      <c r="D1216" s="1" t="n">
        <v>12848.8</v>
      </c>
      <c r="E1216" s="1" t="n">
        <v>0.0179</v>
      </c>
      <c r="F1216" s="1" t="n">
        <v>0.0585</v>
      </c>
    </row>
    <row r="1217" customFormat="false" ht="15" hidden="false" customHeight="false" outlineLevel="0" collapsed="false">
      <c r="A1217" s="1" t="s">
        <v>1252</v>
      </c>
      <c r="B1217" s="1" t="s">
        <v>62</v>
      </c>
      <c r="C1217" s="1" t="n">
        <v>2890000</v>
      </c>
      <c r="D1217" s="1" t="n">
        <v>21126.7</v>
      </c>
      <c r="E1217" s="1" t="n">
        <v>0.022</v>
      </c>
      <c r="F1217" s="1" t="n">
        <v>0.0576</v>
      </c>
    </row>
    <row r="1218" customFormat="false" ht="15" hidden="false" customHeight="false" outlineLevel="0" collapsed="false">
      <c r="A1218" s="1" t="s">
        <v>1253</v>
      </c>
      <c r="B1218" s="1" t="s">
        <v>26</v>
      </c>
      <c r="C1218" s="1" t="n">
        <v>6680000</v>
      </c>
      <c r="D1218" s="1" t="n">
        <v>1840751</v>
      </c>
      <c r="E1218" s="1" t="n">
        <v>0.0468</v>
      </c>
      <c r="F1218" s="1" t="n">
        <v>0.0409</v>
      </c>
    </row>
    <row r="1219" customFormat="false" ht="15" hidden="false" customHeight="false" outlineLevel="0" collapsed="false">
      <c r="A1219" s="1" t="s">
        <v>1254</v>
      </c>
      <c r="B1219" s="1" t="s">
        <v>26</v>
      </c>
      <c r="C1219" s="1" t="n">
        <v>3410000</v>
      </c>
      <c r="D1219" s="1" t="n">
        <v>1994.9</v>
      </c>
      <c r="E1219" s="1" t="n">
        <v>0.0356</v>
      </c>
      <c r="F1219" s="1" t="n">
        <v>0.051</v>
      </c>
    </row>
    <row r="1220" customFormat="false" ht="15" hidden="false" customHeight="false" outlineLevel="0" collapsed="false">
      <c r="A1220" s="1" t="s">
        <v>1255</v>
      </c>
      <c r="B1220" s="1" t="s">
        <v>26</v>
      </c>
      <c r="C1220" s="1" t="n">
        <v>3790000</v>
      </c>
      <c r="D1220" s="1" t="n">
        <v>186482</v>
      </c>
      <c r="E1220" s="1" t="n">
        <v>0.0552</v>
      </c>
      <c r="F1220" s="1" t="n">
        <v>0.0759</v>
      </c>
    </row>
    <row r="1221" customFormat="false" ht="15" hidden="false" customHeight="false" outlineLevel="0" collapsed="false">
      <c r="A1221" s="1" t="s">
        <v>1256</v>
      </c>
      <c r="B1221" s="1" t="s">
        <v>26</v>
      </c>
      <c r="C1221" s="1" t="n">
        <v>4160000</v>
      </c>
      <c r="D1221" s="1" t="n">
        <v>208.6</v>
      </c>
      <c r="E1221" s="1" t="n">
        <v>0.0377</v>
      </c>
      <c r="F1221" s="1" t="n">
        <v>0.0938</v>
      </c>
    </row>
    <row r="1222" customFormat="false" ht="15" hidden="false" customHeight="false" outlineLevel="0" collapsed="false">
      <c r="A1222" s="1" t="s">
        <v>1257</v>
      </c>
      <c r="B1222" s="1" t="s">
        <v>26</v>
      </c>
      <c r="C1222" s="1" t="n">
        <v>4970000</v>
      </c>
      <c r="D1222" s="1" t="n">
        <v>41555.5</v>
      </c>
      <c r="E1222" s="1" t="n">
        <v>0.0373</v>
      </c>
      <c r="F1222" s="1" t="n">
        <v>0.0938</v>
      </c>
    </row>
    <row r="1223" customFormat="false" ht="15" hidden="false" customHeight="false" outlineLevel="0" collapsed="false">
      <c r="A1223" s="1" t="s">
        <v>1258</v>
      </c>
      <c r="B1223" s="1" t="s">
        <v>92</v>
      </c>
      <c r="C1223" s="1" t="n">
        <v>3210000</v>
      </c>
      <c r="D1223" s="1" t="n">
        <v>795675.6</v>
      </c>
      <c r="E1223" s="1" t="n">
        <v>0.0051</v>
      </c>
      <c r="F1223" s="1" t="n">
        <v>0.0822</v>
      </c>
    </row>
    <row r="1224" customFormat="false" ht="15" hidden="false" customHeight="false" outlineLevel="0" collapsed="false">
      <c r="A1224" s="1" t="s">
        <v>1259</v>
      </c>
      <c r="B1224" s="1" t="s">
        <v>24</v>
      </c>
      <c r="C1224" s="1" t="n">
        <v>3410000</v>
      </c>
      <c r="D1224" s="1" t="n">
        <v>2047337.2</v>
      </c>
      <c r="E1224" s="1" t="n">
        <v>0.0274</v>
      </c>
      <c r="F1224" s="1" t="n">
        <v>0.0409</v>
      </c>
    </row>
    <row r="1225" customFormat="false" ht="15" hidden="false" customHeight="false" outlineLevel="0" collapsed="false">
      <c r="A1225" s="1" t="s">
        <v>1260</v>
      </c>
      <c r="B1225" s="1" t="s">
        <v>26</v>
      </c>
      <c r="C1225" s="1" t="n">
        <v>4520000</v>
      </c>
      <c r="D1225" s="1" t="n">
        <v>8495222.3</v>
      </c>
      <c r="E1225" s="1" t="n">
        <v>0.0038</v>
      </c>
      <c r="F1225" s="1" t="n">
        <v>0.1027</v>
      </c>
    </row>
    <row r="1226" customFormat="false" ht="15" hidden="false" customHeight="false" outlineLevel="0" collapsed="false">
      <c r="A1226" s="1" t="s">
        <v>1261</v>
      </c>
      <c r="B1226" s="1" t="s">
        <v>24</v>
      </c>
      <c r="C1226" s="1" t="n">
        <v>3550000</v>
      </c>
      <c r="D1226" s="1" t="n">
        <v>5581.5</v>
      </c>
      <c r="E1226" s="1" t="n">
        <v>0.0273</v>
      </c>
      <c r="F1226" s="1" t="n">
        <v>0.0725</v>
      </c>
    </row>
    <row r="1227" customFormat="false" ht="15" hidden="false" customHeight="false" outlineLevel="0" collapsed="false">
      <c r="A1227" s="1" t="s">
        <v>1262</v>
      </c>
      <c r="B1227" s="1" t="s">
        <v>32</v>
      </c>
      <c r="C1227" s="1" t="n">
        <v>4340000</v>
      </c>
      <c r="D1227" s="1" t="n">
        <v>26818.3</v>
      </c>
      <c r="E1227" s="1" t="n">
        <v>0.0128</v>
      </c>
      <c r="F1227" s="1" t="n">
        <v>0.0726</v>
      </c>
    </row>
    <row r="1228" customFormat="false" ht="15" hidden="false" customHeight="false" outlineLevel="0" collapsed="false">
      <c r="A1228" s="1" t="s">
        <v>1263</v>
      </c>
      <c r="B1228" s="1" t="s">
        <v>53</v>
      </c>
      <c r="C1228" s="1" t="n">
        <v>2590000</v>
      </c>
      <c r="D1228" s="1" t="n">
        <v>121558.7</v>
      </c>
      <c r="E1228" s="1" t="n">
        <v>0.0391</v>
      </c>
      <c r="F1228" s="1" t="n">
        <v>0.0951</v>
      </c>
    </row>
    <row r="1229" customFormat="false" ht="15" hidden="false" customHeight="false" outlineLevel="0" collapsed="false">
      <c r="A1229" s="1" t="s">
        <v>1264</v>
      </c>
      <c r="B1229" s="1" t="s">
        <v>62</v>
      </c>
      <c r="C1229" s="1" t="n">
        <v>2980000</v>
      </c>
      <c r="D1229" s="1" t="n">
        <v>15997.5</v>
      </c>
      <c r="E1229" s="1" t="n">
        <v>0.0492</v>
      </c>
      <c r="F1229" s="1" t="n">
        <v>0.0759</v>
      </c>
    </row>
    <row r="1230" customFormat="false" ht="15" hidden="false" customHeight="false" outlineLevel="0" collapsed="false">
      <c r="A1230" s="1" t="s">
        <v>1265</v>
      </c>
      <c r="B1230" s="1" t="s">
        <v>26</v>
      </c>
      <c r="C1230" s="1" t="n">
        <v>3640000</v>
      </c>
      <c r="D1230" s="1" t="n">
        <v>59114.9</v>
      </c>
      <c r="E1230" s="1" t="n">
        <v>0.0571</v>
      </c>
      <c r="F1230" s="1" t="n">
        <v>0.0759</v>
      </c>
    </row>
    <row r="1231" customFormat="false" ht="15" hidden="false" customHeight="false" outlineLevel="0" collapsed="false">
      <c r="A1231" s="1" t="s">
        <v>1266</v>
      </c>
      <c r="B1231" s="1" t="s">
        <v>81</v>
      </c>
      <c r="C1231" s="1" t="n">
        <v>2520000</v>
      </c>
      <c r="D1231" s="1" t="n">
        <v>4491844.2</v>
      </c>
      <c r="E1231" s="1" t="n">
        <v>0.0339</v>
      </c>
      <c r="F1231" s="1" t="n">
        <v>0.0579</v>
      </c>
    </row>
    <row r="1232" customFormat="false" ht="15" hidden="false" customHeight="false" outlineLevel="0" collapsed="false">
      <c r="A1232" s="1" t="s">
        <v>1267</v>
      </c>
      <c r="B1232" s="1" t="s">
        <v>24</v>
      </c>
      <c r="C1232" s="1" t="n">
        <v>3470000</v>
      </c>
      <c r="D1232" s="1" t="n">
        <v>10823.7</v>
      </c>
      <c r="E1232" s="1" t="n">
        <v>0.0435</v>
      </c>
      <c r="F1232" s="1" t="n">
        <v>0.0938</v>
      </c>
    </row>
    <row r="1233" customFormat="false" ht="15" hidden="false" customHeight="false" outlineLevel="0" collapsed="false">
      <c r="A1233" s="1" t="s">
        <v>1268</v>
      </c>
      <c r="B1233" s="1" t="s">
        <v>24</v>
      </c>
      <c r="C1233" s="1" t="n">
        <v>2690000</v>
      </c>
      <c r="D1233" s="1" t="n">
        <v>1587.3</v>
      </c>
      <c r="E1233" s="1" t="n">
        <v>0.0802</v>
      </c>
      <c r="F1233" s="1" t="n">
        <v>0.1226</v>
      </c>
    </row>
    <row r="1234" customFormat="false" ht="15" hidden="false" customHeight="false" outlineLevel="0" collapsed="false">
      <c r="A1234" s="1" t="s">
        <v>1269</v>
      </c>
      <c r="B1234" s="1" t="s">
        <v>50</v>
      </c>
      <c r="C1234" s="1" t="n">
        <v>2770000</v>
      </c>
      <c r="D1234" s="1" t="n">
        <v>107734</v>
      </c>
      <c r="E1234" s="1" t="n">
        <v>0.0235</v>
      </c>
      <c r="F1234" s="1" t="n">
        <v>0.0409</v>
      </c>
    </row>
    <row r="1235" customFormat="false" ht="15" hidden="false" customHeight="false" outlineLevel="0" collapsed="false">
      <c r="A1235" s="1" t="s">
        <v>1270</v>
      </c>
      <c r="B1235" s="1" t="s">
        <v>53</v>
      </c>
      <c r="C1235" s="1" t="n">
        <v>3780000</v>
      </c>
      <c r="F1235" s="1" t="n">
        <v>0.0759</v>
      </c>
    </row>
    <row r="1236" customFormat="false" ht="15" hidden="false" customHeight="false" outlineLevel="0" collapsed="false">
      <c r="A1236" s="1" t="s">
        <v>1271</v>
      </c>
      <c r="B1236" s="1" t="s">
        <v>26</v>
      </c>
      <c r="C1236" s="1" t="n">
        <v>2480000</v>
      </c>
      <c r="D1236" s="1" t="n">
        <v>5651.8</v>
      </c>
      <c r="E1236" s="1" t="n">
        <v>0.0543</v>
      </c>
      <c r="F1236" s="1" t="n">
        <v>0.117</v>
      </c>
    </row>
    <row r="1237" customFormat="false" ht="15" hidden="false" customHeight="false" outlineLevel="0" collapsed="false">
      <c r="A1237" s="1" t="s">
        <v>1272</v>
      </c>
      <c r="B1237" s="1" t="s">
        <v>287</v>
      </c>
      <c r="C1237" s="1" t="n">
        <v>3410000</v>
      </c>
      <c r="D1237" s="1" t="n">
        <v>69501</v>
      </c>
      <c r="E1237" s="1" t="n">
        <v>0.018</v>
      </c>
      <c r="F1237" s="1" t="n">
        <v>0.0585</v>
      </c>
    </row>
    <row r="1238" customFormat="false" ht="15" hidden="false" customHeight="false" outlineLevel="0" collapsed="false">
      <c r="A1238" s="1" t="s">
        <v>1273</v>
      </c>
      <c r="B1238" s="1" t="s">
        <v>92</v>
      </c>
      <c r="C1238" s="1" t="n">
        <v>2700000</v>
      </c>
      <c r="D1238" s="1" t="n">
        <v>8795.4</v>
      </c>
      <c r="E1238" s="1" t="n">
        <v>0.033</v>
      </c>
      <c r="F1238" s="1" t="n">
        <v>0.0759</v>
      </c>
    </row>
    <row r="1239" customFormat="false" ht="15" hidden="false" customHeight="false" outlineLevel="0" collapsed="false">
      <c r="A1239" s="1" t="s">
        <v>1274</v>
      </c>
      <c r="B1239" s="1" t="s">
        <v>41</v>
      </c>
      <c r="C1239" s="1" t="n">
        <v>4160000</v>
      </c>
      <c r="D1239" s="1" t="n">
        <v>35187.3</v>
      </c>
      <c r="E1239" s="1" t="n">
        <v>0.0121</v>
      </c>
      <c r="F1239" s="1" t="n">
        <v>0.0811</v>
      </c>
    </row>
    <row r="1240" customFormat="false" ht="15" hidden="false" customHeight="false" outlineLevel="0" collapsed="false">
      <c r="A1240" s="1" t="s">
        <v>1275</v>
      </c>
      <c r="B1240" s="1" t="s">
        <v>26</v>
      </c>
      <c r="C1240" s="1" t="n">
        <v>2860000</v>
      </c>
      <c r="D1240" s="1" t="n">
        <v>1442964.6</v>
      </c>
      <c r="E1240" s="1" t="n">
        <v>0.0517</v>
      </c>
      <c r="F1240" s="1" t="n">
        <v>0.0518</v>
      </c>
    </row>
    <row r="1241" customFormat="false" ht="15" hidden="false" customHeight="false" outlineLevel="0" collapsed="false">
      <c r="A1241" s="1" t="s">
        <v>1276</v>
      </c>
      <c r="B1241" s="1" t="s">
        <v>92</v>
      </c>
      <c r="C1241" s="1" t="n">
        <v>3620000</v>
      </c>
      <c r="D1241" s="1" t="n">
        <v>426173.3</v>
      </c>
      <c r="E1241" s="1" t="n">
        <v>0.017</v>
      </c>
      <c r="F1241" s="1" t="n">
        <v>0.0462</v>
      </c>
    </row>
    <row r="1242" customFormat="false" ht="15" hidden="false" customHeight="false" outlineLevel="0" collapsed="false">
      <c r="A1242" s="1" t="s">
        <v>1277</v>
      </c>
      <c r="B1242" s="1" t="s">
        <v>32</v>
      </c>
      <c r="C1242" s="1" t="n">
        <v>2890000</v>
      </c>
      <c r="D1242" s="1" t="n">
        <v>658</v>
      </c>
      <c r="E1242" s="1" t="n">
        <v>0.0548</v>
      </c>
      <c r="F1242" s="1" t="n">
        <v>0.0759</v>
      </c>
    </row>
    <row r="1243" customFormat="false" ht="15" hidden="false" customHeight="false" outlineLevel="0" collapsed="false">
      <c r="A1243" s="1" t="s">
        <v>1278</v>
      </c>
      <c r="B1243" s="1" t="s">
        <v>41</v>
      </c>
      <c r="C1243" s="1" t="n">
        <v>2710000</v>
      </c>
      <c r="D1243" s="1" t="n">
        <v>21957.2</v>
      </c>
      <c r="E1243" s="1" t="n">
        <v>0.0557</v>
      </c>
      <c r="F1243" s="1" t="n">
        <v>0.0759</v>
      </c>
    </row>
    <row r="1244" customFormat="false" ht="15" hidden="false" customHeight="false" outlineLevel="0" collapsed="false">
      <c r="A1244" s="1" t="s">
        <v>1279</v>
      </c>
      <c r="B1244" s="1" t="s">
        <v>32</v>
      </c>
      <c r="C1244" s="1" t="n">
        <v>2940000</v>
      </c>
      <c r="D1244" s="1" t="n">
        <v>19214.1</v>
      </c>
      <c r="E1244" s="1" t="n">
        <v>0.0192</v>
      </c>
      <c r="F1244" s="1" t="n">
        <v>0.0854</v>
      </c>
    </row>
    <row r="1245" customFormat="false" ht="15" hidden="false" customHeight="false" outlineLevel="0" collapsed="false">
      <c r="A1245" s="1" t="s">
        <v>1280</v>
      </c>
      <c r="B1245" s="1" t="s">
        <v>21</v>
      </c>
      <c r="C1245" s="1" t="n">
        <v>3430000</v>
      </c>
      <c r="D1245" s="1" t="n">
        <v>7713.5</v>
      </c>
      <c r="E1245" s="1" t="n">
        <v>0.0082</v>
      </c>
      <c r="F1245" s="1" t="n">
        <v>0.0811</v>
      </c>
    </row>
    <row r="1246" customFormat="false" ht="15" hidden="false" customHeight="false" outlineLevel="0" collapsed="false">
      <c r="A1246" s="1" t="s">
        <v>1281</v>
      </c>
      <c r="B1246" s="1" t="s">
        <v>92</v>
      </c>
      <c r="C1246" s="1" t="n">
        <v>2950000</v>
      </c>
      <c r="D1246" s="1" t="n">
        <v>476577.6</v>
      </c>
      <c r="E1246" s="1" t="n">
        <v>0.0472</v>
      </c>
      <c r="F1246" s="1" t="n">
        <v>0.051</v>
      </c>
    </row>
    <row r="1247" customFormat="false" ht="15" hidden="false" customHeight="false" outlineLevel="0" collapsed="false">
      <c r="A1247" s="1" t="s">
        <v>1282</v>
      </c>
      <c r="B1247" s="1" t="s">
        <v>50</v>
      </c>
      <c r="C1247" s="1" t="n">
        <v>4350000</v>
      </c>
      <c r="D1247" s="1" t="n">
        <v>102335.9</v>
      </c>
      <c r="E1247" s="1" t="n">
        <v>0.0457</v>
      </c>
      <c r="F1247" s="1" t="n">
        <v>0.0644</v>
      </c>
    </row>
    <row r="1248" customFormat="false" ht="15" hidden="false" customHeight="false" outlineLevel="0" collapsed="false">
      <c r="A1248" s="1" t="s">
        <v>1283</v>
      </c>
      <c r="B1248" s="1" t="s">
        <v>26</v>
      </c>
      <c r="C1248" s="1" t="n">
        <v>3350000</v>
      </c>
      <c r="D1248" s="1" t="n">
        <v>455</v>
      </c>
      <c r="E1248" s="1" t="n">
        <v>0.031</v>
      </c>
      <c r="F1248" s="1" t="n">
        <v>0.051</v>
      </c>
    </row>
    <row r="1249" customFormat="false" ht="15" hidden="false" customHeight="false" outlineLevel="0" collapsed="false">
      <c r="A1249" s="1" t="s">
        <v>1284</v>
      </c>
      <c r="B1249" s="1" t="s">
        <v>26</v>
      </c>
      <c r="C1249" s="1" t="n">
        <v>3200000</v>
      </c>
      <c r="D1249" s="1" t="n">
        <v>46442.4</v>
      </c>
      <c r="E1249" s="1" t="n">
        <v>0.0289</v>
      </c>
      <c r="F1249" s="1" t="n">
        <v>0.0938</v>
      </c>
    </row>
    <row r="1250" customFormat="false" ht="15" hidden="false" customHeight="false" outlineLevel="0" collapsed="false">
      <c r="A1250" s="1" t="s">
        <v>1285</v>
      </c>
      <c r="B1250" s="1" t="s">
        <v>24</v>
      </c>
      <c r="C1250" s="1" t="n">
        <v>2920000</v>
      </c>
      <c r="D1250" s="1" t="n">
        <v>10489.4</v>
      </c>
      <c r="E1250" s="1" t="n">
        <v>0.0117</v>
      </c>
      <c r="F1250" s="1" t="n">
        <v>0.0654</v>
      </c>
    </row>
    <row r="1251" customFormat="false" ht="15" hidden="false" customHeight="false" outlineLevel="0" collapsed="false">
      <c r="A1251" s="1" t="s">
        <v>1286</v>
      </c>
      <c r="B1251" s="1" t="s">
        <v>26</v>
      </c>
      <c r="C1251" s="1" t="n">
        <v>2880000</v>
      </c>
      <c r="D1251" s="1" t="n">
        <v>34641.8</v>
      </c>
      <c r="E1251" s="1" t="n">
        <v>0.0499</v>
      </c>
      <c r="F1251" s="1" t="n">
        <v>0.0951</v>
      </c>
    </row>
    <row r="1252" customFormat="false" ht="15" hidden="false" customHeight="false" outlineLevel="0" collapsed="false">
      <c r="A1252" s="1" t="s">
        <v>1287</v>
      </c>
      <c r="B1252" s="1" t="s">
        <v>30</v>
      </c>
      <c r="C1252" s="1" t="n">
        <v>2620000</v>
      </c>
      <c r="D1252" s="1" t="n">
        <v>1822.3</v>
      </c>
      <c r="E1252" s="1" t="n">
        <v>0.0189</v>
      </c>
      <c r="F1252" s="1" t="n">
        <v>0.0854</v>
      </c>
    </row>
    <row r="1253" customFormat="false" ht="15" hidden="false" customHeight="false" outlineLevel="0" collapsed="false">
      <c r="A1253" s="1" t="s">
        <v>1288</v>
      </c>
      <c r="B1253" s="1" t="s">
        <v>88</v>
      </c>
      <c r="C1253" s="1" t="n">
        <v>2780000</v>
      </c>
      <c r="D1253" s="1" t="n">
        <v>10035.4</v>
      </c>
      <c r="F1253" s="1" t="n">
        <v>0.0938</v>
      </c>
    </row>
    <row r="1254" customFormat="false" ht="15" hidden="false" customHeight="false" outlineLevel="0" collapsed="false">
      <c r="A1254" s="1" t="s">
        <v>1289</v>
      </c>
      <c r="B1254" s="1" t="s">
        <v>26</v>
      </c>
      <c r="C1254" s="1" t="n">
        <v>2640000</v>
      </c>
      <c r="D1254" s="1" t="n">
        <v>82519.7</v>
      </c>
      <c r="E1254" s="1" t="n">
        <v>0.052</v>
      </c>
      <c r="F1254" s="1" t="n">
        <v>0.0938</v>
      </c>
    </row>
    <row r="1255" customFormat="false" ht="15" hidden="false" customHeight="false" outlineLevel="0" collapsed="false">
      <c r="A1255" s="1" t="s">
        <v>1290</v>
      </c>
      <c r="B1255" s="1" t="s">
        <v>21</v>
      </c>
      <c r="C1255" s="1" t="n">
        <v>2880000</v>
      </c>
      <c r="D1255" s="1" t="n">
        <v>7249436.3</v>
      </c>
      <c r="E1255" s="1" t="n">
        <v>0.0125</v>
      </c>
      <c r="F1255" s="1" t="n">
        <v>0.1027</v>
      </c>
    </row>
    <row r="1256" customFormat="false" ht="15" hidden="false" customHeight="false" outlineLevel="0" collapsed="false">
      <c r="A1256" s="1" t="s">
        <v>1291</v>
      </c>
      <c r="B1256" s="1" t="s">
        <v>74</v>
      </c>
      <c r="C1256" s="1" t="n">
        <v>3110000</v>
      </c>
      <c r="D1256" s="1" t="n">
        <v>54324.3</v>
      </c>
      <c r="E1256" s="1" t="n">
        <v>0.0445</v>
      </c>
      <c r="F1256" s="1" t="n">
        <v>0.0938</v>
      </c>
    </row>
    <row r="1257" customFormat="false" ht="15" hidden="false" customHeight="false" outlineLevel="0" collapsed="false">
      <c r="A1257" s="1" t="s">
        <v>1292</v>
      </c>
      <c r="B1257" s="1" t="s">
        <v>92</v>
      </c>
      <c r="C1257" s="1" t="n">
        <v>3310000</v>
      </c>
      <c r="D1257" s="1" t="n">
        <v>9186.9</v>
      </c>
      <c r="E1257" s="1" t="n">
        <v>0.0066</v>
      </c>
      <c r="F1257" s="1" t="n">
        <v>0.0654</v>
      </c>
    </row>
    <row r="1258" customFormat="false" ht="15" hidden="false" customHeight="false" outlineLevel="0" collapsed="false">
      <c r="A1258" s="1" t="s">
        <v>1293</v>
      </c>
      <c r="B1258" s="1" t="s">
        <v>26</v>
      </c>
      <c r="C1258" s="1" t="n">
        <v>5830000</v>
      </c>
      <c r="D1258" s="1" t="n">
        <v>431300.2</v>
      </c>
      <c r="E1258" s="1" t="n">
        <v>0.0259</v>
      </c>
      <c r="F1258" s="1" t="n">
        <v>0.051</v>
      </c>
    </row>
    <row r="1259" customFormat="false" ht="15" hidden="false" customHeight="false" outlineLevel="0" collapsed="false">
      <c r="A1259" s="1" t="s">
        <v>1294</v>
      </c>
      <c r="B1259" s="1" t="s">
        <v>41</v>
      </c>
      <c r="C1259" s="1" t="n">
        <v>4380000</v>
      </c>
      <c r="D1259" s="1" t="n">
        <v>1859.9</v>
      </c>
      <c r="E1259" s="1" t="n">
        <v>0.0066</v>
      </c>
      <c r="F1259" s="1" t="n">
        <v>0.0811</v>
      </c>
    </row>
    <row r="1260" customFormat="false" ht="15" hidden="false" customHeight="false" outlineLevel="0" collapsed="false">
      <c r="A1260" s="1" t="s">
        <v>1295</v>
      </c>
      <c r="B1260" s="1" t="s">
        <v>26</v>
      </c>
      <c r="C1260" s="1" t="n">
        <v>3980000</v>
      </c>
      <c r="D1260" s="1" t="n">
        <v>2986760.5</v>
      </c>
      <c r="E1260" s="1" t="n">
        <v>0.0555</v>
      </c>
      <c r="F1260" s="1" t="n">
        <v>0.0951</v>
      </c>
    </row>
    <row r="1261" customFormat="false" ht="15" hidden="false" customHeight="false" outlineLevel="0" collapsed="false">
      <c r="A1261" s="1" t="s">
        <v>1296</v>
      </c>
      <c r="B1261" s="1" t="s">
        <v>30</v>
      </c>
      <c r="C1261" s="1" t="n">
        <v>5760000</v>
      </c>
      <c r="D1261" s="1" t="n">
        <v>13306368.9</v>
      </c>
      <c r="E1261" s="1" t="n">
        <v>0.0408</v>
      </c>
      <c r="F1261" s="1" t="n">
        <v>0.0951</v>
      </c>
    </row>
    <row r="1262" customFormat="false" ht="15" hidden="false" customHeight="false" outlineLevel="0" collapsed="false">
      <c r="A1262" s="1" t="s">
        <v>1297</v>
      </c>
      <c r="B1262" s="1" t="s">
        <v>26</v>
      </c>
      <c r="C1262" s="1" t="n">
        <v>3280000</v>
      </c>
      <c r="D1262" s="1" t="n">
        <v>215282.7</v>
      </c>
      <c r="E1262" s="1" t="n">
        <v>0.0596</v>
      </c>
      <c r="F1262" s="1" t="n">
        <v>0.0759</v>
      </c>
    </row>
    <row r="1263" customFormat="false" ht="15" hidden="false" customHeight="false" outlineLevel="0" collapsed="false">
      <c r="A1263" s="1" t="s">
        <v>1298</v>
      </c>
      <c r="B1263" s="1" t="s">
        <v>26</v>
      </c>
      <c r="C1263" s="1" t="n">
        <v>2860000</v>
      </c>
      <c r="D1263" s="1" t="n">
        <v>8154.3</v>
      </c>
      <c r="E1263" s="1" t="n">
        <v>0.0092</v>
      </c>
      <c r="F1263" s="1" t="n">
        <v>0.0866</v>
      </c>
    </row>
    <row r="1264" customFormat="false" ht="15" hidden="false" customHeight="false" outlineLevel="0" collapsed="false">
      <c r="A1264" s="1" t="s">
        <v>1299</v>
      </c>
      <c r="B1264" s="1" t="s">
        <v>24</v>
      </c>
      <c r="C1264" s="1" t="n">
        <v>2700000</v>
      </c>
      <c r="D1264" s="1" t="n">
        <v>5920.4</v>
      </c>
      <c r="E1264" s="1" t="n">
        <v>0.0652</v>
      </c>
      <c r="F1264" s="1" t="n">
        <v>0.0938</v>
      </c>
    </row>
    <row r="1265" customFormat="false" ht="15" hidden="false" customHeight="false" outlineLevel="0" collapsed="false">
      <c r="A1265" s="1" t="s">
        <v>1300</v>
      </c>
      <c r="B1265" s="1" t="s">
        <v>41</v>
      </c>
      <c r="C1265" s="1" t="n">
        <v>4370000</v>
      </c>
      <c r="D1265" s="1" t="n">
        <v>4298.8</v>
      </c>
      <c r="E1265" s="1" t="n">
        <v>0.0526</v>
      </c>
      <c r="F1265" s="1" t="n">
        <v>0.0938</v>
      </c>
    </row>
    <row r="1266" customFormat="false" ht="15" hidden="false" customHeight="false" outlineLevel="0" collapsed="false">
      <c r="A1266" s="1" t="s">
        <v>1301</v>
      </c>
      <c r="B1266" s="1" t="s">
        <v>30</v>
      </c>
      <c r="C1266" s="1" t="n">
        <v>4500000</v>
      </c>
      <c r="D1266" s="1" t="n">
        <v>49378579.4</v>
      </c>
      <c r="E1266" s="1" t="n">
        <v>0.0074</v>
      </c>
      <c r="F1266" s="1" t="n">
        <v>0.0822</v>
      </c>
    </row>
    <row r="1267" customFormat="false" ht="15" hidden="false" customHeight="false" outlineLevel="0" collapsed="false">
      <c r="A1267" s="1" t="s">
        <v>1302</v>
      </c>
      <c r="B1267" s="1" t="s">
        <v>41</v>
      </c>
      <c r="C1267" s="1" t="n">
        <v>2830000</v>
      </c>
      <c r="D1267" s="1" t="n">
        <v>71146.6</v>
      </c>
      <c r="E1267" s="1" t="n">
        <v>0.0316</v>
      </c>
      <c r="F1267" s="1" t="n">
        <v>0.0938</v>
      </c>
    </row>
    <row r="1268" customFormat="false" ht="15" hidden="false" customHeight="false" outlineLevel="0" collapsed="false">
      <c r="A1268" s="1" t="s">
        <v>1303</v>
      </c>
      <c r="B1268" s="1" t="s">
        <v>214</v>
      </c>
      <c r="C1268" s="1" t="n">
        <v>1650000</v>
      </c>
      <c r="D1268" s="1" t="n">
        <v>74980.1</v>
      </c>
      <c r="E1268" s="1" t="n">
        <v>0.0045</v>
      </c>
      <c r="F1268" s="1" t="n">
        <v>0.0654</v>
      </c>
    </row>
    <row r="1269" customFormat="false" ht="15" hidden="false" customHeight="false" outlineLevel="0" collapsed="false">
      <c r="A1269" s="1" t="s">
        <v>1304</v>
      </c>
      <c r="B1269" s="1" t="s">
        <v>26</v>
      </c>
      <c r="C1269" s="1" t="n">
        <v>3790000</v>
      </c>
      <c r="D1269" s="1" t="n">
        <v>5992337.9</v>
      </c>
      <c r="E1269" s="1" t="n">
        <v>0.0458</v>
      </c>
      <c r="F1269" s="1" t="n">
        <v>0.0409</v>
      </c>
    </row>
    <row r="1270" customFormat="false" ht="15" hidden="false" customHeight="false" outlineLevel="0" collapsed="false">
      <c r="A1270" s="1" t="s">
        <v>1305</v>
      </c>
      <c r="B1270" s="1" t="s">
        <v>41</v>
      </c>
      <c r="C1270" s="1" t="n">
        <v>2990000</v>
      </c>
      <c r="D1270" s="1" t="n">
        <v>1165</v>
      </c>
      <c r="E1270" s="1" t="n">
        <v>0.0229</v>
      </c>
      <c r="F1270" s="1" t="n">
        <v>0.1053</v>
      </c>
    </row>
    <row r="1271" customFormat="false" ht="15" hidden="false" customHeight="false" outlineLevel="0" collapsed="false">
      <c r="A1271" s="1" t="s">
        <v>1306</v>
      </c>
      <c r="B1271" s="1" t="s">
        <v>50</v>
      </c>
      <c r="C1271" s="1" t="n">
        <v>2540000</v>
      </c>
      <c r="D1271" s="1" t="n">
        <v>24143.6</v>
      </c>
      <c r="E1271" s="1" t="n">
        <v>0.0142</v>
      </c>
      <c r="F1271" s="1" t="n">
        <v>0.0576</v>
      </c>
    </row>
    <row r="1272" customFormat="false" ht="15" hidden="false" customHeight="false" outlineLevel="0" collapsed="false">
      <c r="A1272" s="1" t="s">
        <v>1307</v>
      </c>
      <c r="B1272" s="1" t="s">
        <v>30</v>
      </c>
      <c r="C1272" s="1" t="n">
        <v>2610000</v>
      </c>
      <c r="D1272" s="1" t="n">
        <v>259540.8</v>
      </c>
      <c r="E1272" s="1" t="n">
        <v>0.0025</v>
      </c>
      <c r="F1272" s="1" t="n">
        <v>0.0654</v>
      </c>
    </row>
    <row r="1273" customFormat="false" ht="15" hidden="false" customHeight="false" outlineLevel="0" collapsed="false">
      <c r="A1273" s="1" t="s">
        <v>1308</v>
      </c>
      <c r="B1273" s="1" t="s">
        <v>50</v>
      </c>
      <c r="C1273" s="1" t="n">
        <v>2550000</v>
      </c>
      <c r="D1273" s="1" t="n">
        <v>12678.1</v>
      </c>
      <c r="E1273" s="1" t="n">
        <v>0.0115</v>
      </c>
      <c r="F1273" s="1" t="n">
        <v>0.0584</v>
      </c>
    </row>
    <row r="1274" customFormat="false" ht="15" hidden="false" customHeight="false" outlineLevel="0" collapsed="false">
      <c r="A1274" s="1" t="s">
        <v>1309</v>
      </c>
      <c r="B1274" s="1" t="s">
        <v>26</v>
      </c>
      <c r="C1274" s="1" t="n">
        <v>2630000</v>
      </c>
      <c r="D1274" s="1" t="n">
        <v>94955.2</v>
      </c>
      <c r="E1274" s="1" t="n">
        <v>0.0127</v>
      </c>
      <c r="F1274" s="1" t="n">
        <v>0.0584</v>
      </c>
    </row>
    <row r="1275" customFormat="false" ht="15" hidden="false" customHeight="false" outlineLevel="0" collapsed="false">
      <c r="A1275" s="1" t="s">
        <v>1310</v>
      </c>
      <c r="B1275" s="1" t="s">
        <v>21</v>
      </c>
      <c r="C1275" s="1" t="n">
        <v>2770000</v>
      </c>
      <c r="D1275" s="1" t="n">
        <v>53.5</v>
      </c>
      <c r="E1275" s="1" t="n">
        <v>0.0178</v>
      </c>
      <c r="F1275" s="1" t="n">
        <v>0.1372</v>
      </c>
    </row>
    <row r="1276" customFormat="false" ht="15" hidden="false" customHeight="false" outlineLevel="0" collapsed="false">
      <c r="A1276" s="1" t="s">
        <v>1311</v>
      </c>
      <c r="B1276" s="1" t="s">
        <v>50</v>
      </c>
      <c r="C1276" s="1" t="n">
        <v>2870000</v>
      </c>
      <c r="D1276" s="1" t="n">
        <v>283899.8</v>
      </c>
      <c r="E1276" s="1" t="n">
        <v>0.0204</v>
      </c>
      <c r="F1276" s="1" t="n">
        <v>0.1053</v>
      </c>
    </row>
    <row r="1277" customFormat="false" ht="15" hidden="false" customHeight="false" outlineLevel="0" collapsed="false">
      <c r="A1277" s="1" t="s">
        <v>1312</v>
      </c>
      <c r="B1277" s="1" t="s">
        <v>24</v>
      </c>
      <c r="C1277" s="1" t="n">
        <v>2820000</v>
      </c>
      <c r="D1277" s="1" t="n">
        <v>2782.9</v>
      </c>
      <c r="E1277" s="1" t="n">
        <v>0.0238</v>
      </c>
      <c r="F1277" s="1" t="n">
        <v>0.1053</v>
      </c>
    </row>
    <row r="1278" customFormat="false" ht="15" hidden="false" customHeight="false" outlineLevel="0" collapsed="false">
      <c r="A1278" s="1" t="s">
        <v>1313</v>
      </c>
      <c r="B1278" s="1" t="s">
        <v>32</v>
      </c>
      <c r="C1278" s="1" t="n">
        <v>2540000</v>
      </c>
      <c r="D1278" s="1" t="n">
        <v>74187.8</v>
      </c>
      <c r="E1278" s="1" t="n">
        <v>0.0184</v>
      </c>
      <c r="F1278" s="1" t="n">
        <v>0.0585</v>
      </c>
    </row>
    <row r="1279" customFormat="false" ht="15" hidden="false" customHeight="false" outlineLevel="0" collapsed="false">
      <c r="A1279" s="1" t="s">
        <v>1314</v>
      </c>
      <c r="B1279" s="1" t="s">
        <v>26</v>
      </c>
      <c r="C1279" s="1" t="n">
        <v>2530000</v>
      </c>
      <c r="D1279" s="1" t="n">
        <v>43961.2</v>
      </c>
      <c r="F1279" s="1" t="n">
        <v>0.0409</v>
      </c>
    </row>
    <row r="1280" customFormat="false" ht="15" hidden="false" customHeight="false" outlineLevel="0" collapsed="false">
      <c r="A1280" s="1" t="s">
        <v>1315</v>
      </c>
      <c r="B1280" s="1" t="s">
        <v>41</v>
      </c>
      <c r="C1280" s="1" t="n">
        <v>3070000</v>
      </c>
      <c r="D1280" s="1" t="n">
        <v>1211.2</v>
      </c>
      <c r="E1280" s="1" t="n">
        <v>0.0231</v>
      </c>
      <c r="F1280" s="1" t="n">
        <v>0.1169</v>
      </c>
    </row>
    <row r="1281" customFormat="false" ht="15" hidden="false" customHeight="false" outlineLevel="0" collapsed="false">
      <c r="A1281" s="1" t="s">
        <v>1316</v>
      </c>
      <c r="B1281" s="1" t="s">
        <v>21</v>
      </c>
      <c r="C1281" s="1" t="n">
        <v>4330000</v>
      </c>
      <c r="D1281" s="1" t="n">
        <v>2163.9</v>
      </c>
      <c r="E1281" s="1" t="n">
        <v>0.0093</v>
      </c>
      <c r="F1281" s="1" t="n">
        <v>0.0811</v>
      </c>
    </row>
    <row r="1282" customFormat="false" ht="15" hidden="false" customHeight="false" outlineLevel="0" collapsed="false">
      <c r="A1282" s="1" t="s">
        <v>1317</v>
      </c>
      <c r="B1282" s="1" t="s">
        <v>21</v>
      </c>
      <c r="C1282" s="1" t="n">
        <v>4430000</v>
      </c>
      <c r="D1282" s="1" t="n">
        <v>417895.7</v>
      </c>
      <c r="E1282" s="1" t="n">
        <v>0.0417</v>
      </c>
      <c r="F1282" s="1" t="n">
        <v>0.0938</v>
      </c>
    </row>
    <row r="1283" customFormat="false" ht="15" hidden="false" customHeight="false" outlineLevel="0" collapsed="false">
      <c r="A1283" s="1" t="s">
        <v>1318</v>
      </c>
      <c r="B1283" s="1" t="s">
        <v>26</v>
      </c>
      <c r="C1283" s="1" t="n">
        <v>2870000</v>
      </c>
      <c r="D1283" s="1" t="n">
        <v>81184.1</v>
      </c>
      <c r="E1283" s="1" t="n">
        <v>0.005</v>
      </c>
      <c r="F1283" s="1" t="n">
        <v>0.1015</v>
      </c>
    </row>
    <row r="1284" customFormat="false" ht="15" hidden="false" customHeight="false" outlineLevel="0" collapsed="false">
      <c r="A1284" s="1" t="s">
        <v>1319</v>
      </c>
      <c r="B1284" s="1" t="s">
        <v>53</v>
      </c>
      <c r="C1284" s="1" t="n">
        <v>3000000</v>
      </c>
      <c r="D1284" s="1" t="n">
        <v>280455.3</v>
      </c>
      <c r="E1284" s="1" t="n">
        <v>0.0114</v>
      </c>
      <c r="F1284" s="1" t="n">
        <v>0.1187</v>
      </c>
    </row>
    <row r="1285" customFormat="false" ht="15" hidden="false" customHeight="false" outlineLevel="0" collapsed="false">
      <c r="A1285" s="1" t="s">
        <v>1320</v>
      </c>
      <c r="B1285" s="1" t="s">
        <v>24</v>
      </c>
      <c r="C1285" s="1" t="n">
        <v>2620000</v>
      </c>
      <c r="D1285" s="1" t="n">
        <v>6477.7</v>
      </c>
      <c r="E1285" s="1" t="n">
        <v>0.0226</v>
      </c>
      <c r="F1285" s="1" t="n">
        <v>0.051</v>
      </c>
    </row>
    <row r="1286" customFormat="false" ht="15" hidden="false" customHeight="false" outlineLevel="0" collapsed="false">
      <c r="A1286" s="1" t="s">
        <v>1321</v>
      </c>
      <c r="B1286" s="1" t="s">
        <v>26</v>
      </c>
      <c r="C1286" s="1" t="n">
        <v>5520000</v>
      </c>
      <c r="D1286" s="1" t="n">
        <v>8355.2</v>
      </c>
      <c r="E1286" s="1" t="n">
        <v>0.094</v>
      </c>
      <c r="F1286" s="1" t="n">
        <v>0.0938</v>
      </c>
    </row>
    <row r="1287" customFormat="false" ht="15" hidden="false" customHeight="false" outlineLevel="0" collapsed="false">
      <c r="A1287" s="1" t="s">
        <v>1322</v>
      </c>
      <c r="B1287" s="1" t="s">
        <v>74</v>
      </c>
      <c r="C1287" s="1" t="n">
        <v>4480000</v>
      </c>
      <c r="D1287" s="1" t="n">
        <v>5369.3</v>
      </c>
      <c r="E1287" s="1" t="n">
        <v>0.0566</v>
      </c>
      <c r="F1287" s="1" t="n">
        <v>0.0938</v>
      </c>
    </row>
    <row r="1288" customFormat="false" ht="15" hidden="false" customHeight="false" outlineLevel="0" collapsed="false">
      <c r="A1288" s="1" t="s">
        <v>1323</v>
      </c>
      <c r="B1288" s="1" t="s">
        <v>30</v>
      </c>
      <c r="C1288" s="1" t="n">
        <v>2760000</v>
      </c>
      <c r="D1288" s="1" t="n">
        <v>365963.4</v>
      </c>
      <c r="E1288" s="1" t="n">
        <v>0.014</v>
      </c>
      <c r="F1288" s="1" t="n">
        <v>0.0949</v>
      </c>
    </row>
    <row r="1289" customFormat="false" ht="15" hidden="false" customHeight="false" outlineLevel="0" collapsed="false">
      <c r="A1289" s="1" t="s">
        <v>1324</v>
      </c>
      <c r="B1289" s="1" t="s">
        <v>26</v>
      </c>
      <c r="C1289" s="1" t="n">
        <v>2930000</v>
      </c>
      <c r="D1289" s="1" t="n">
        <v>10561</v>
      </c>
      <c r="E1289" s="1" t="n">
        <v>0.0285</v>
      </c>
      <c r="F1289" s="1" t="n">
        <v>0.0759</v>
      </c>
    </row>
    <row r="1290" customFormat="false" ht="15" hidden="false" customHeight="false" outlineLevel="0" collapsed="false">
      <c r="A1290" s="1" t="s">
        <v>1325</v>
      </c>
      <c r="B1290" s="1" t="s">
        <v>24</v>
      </c>
      <c r="C1290" s="1" t="n">
        <v>3220000</v>
      </c>
      <c r="D1290" s="1" t="n">
        <v>78505.3</v>
      </c>
      <c r="E1290" s="1" t="n">
        <v>0.0087</v>
      </c>
      <c r="F1290" s="1" t="n">
        <v>0.0584</v>
      </c>
    </row>
    <row r="1291" customFormat="false" ht="15" hidden="false" customHeight="false" outlineLevel="0" collapsed="false">
      <c r="A1291" s="1" t="s">
        <v>1326</v>
      </c>
      <c r="B1291" s="1" t="s">
        <v>62</v>
      </c>
      <c r="C1291" s="1" t="n">
        <v>2910000</v>
      </c>
      <c r="D1291" s="1" t="n">
        <v>257645</v>
      </c>
      <c r="E1291" s="1" t="n">
        <v>0.0644</v>
      </c>
      <c r="F1291" s="1" t="n">
        <v>0.0409</v>
      </c>
    </row>
    <row r="1292" customFormat="false" ht="15" hidden="false" customHeight="false" outlineLevel="0" collapsed="false">
      <c r="A1292" s="1" t="s">
        <v>1327</v>
      </c>
      <c r="B1292" s="1" t="s">
        <v>53</v>
      </c>
      <c r="C1292" s="1" t="n">
        <v>2390000</v>
      </c>
      <c r="D1292" s="1" t="n">
        <v>13965.5</v>
      </c>
      <c r="E1292" s="1" t="n">
        <v>0.0363</v>
      </c>
      <c r="F1292" s="1" t="n">
        <v>0.0951</v>
      </c>
    </row>
    <row r="1293" customFormat="false" ht="15" hidden="false" customHeight="false" outlineLevel="0" collapsed="false">
      <c r="A1293" s="1" t="s">
        <v>1328</v>
      </c>
      <c r="B1293" s="1" t="s">
        <v>41</v>
      </c>
      <c r="C1293" s="1" t="n">
        <v>3320000</v>
      </c>
      <c r="D1293" s="1" t="n">
        <v>72931.8</v>
      </c>
      <c r="E1293" s="1" t="n">
        <v>0.0446</v>
      </c>
      <c r="F1293" s="1" t="n">
        <v>0.0938</v>
      </c>
    </row>
    <row r="1294" customFormat="false" ht="15" hidden="false" customHeight="false" outlineLevel="0" collapsed="false">
      <c r="A1294" s="1" t="s">
        <v>1329</v>
      </c>
      <c r="B1294" s="1" t="s">
        <v>26</v>
      </c>
      <c r="C1294" s="1" t="n">
        <v>2570000</v>
      </c>
      <c r="D1294" s="1" t="n">
        <v>436970.9</v>
      </c>
      <c r="E1294" s="1" t="n">
        <v>0.018</v>
      </c>
      <c r="F1294" s="1" t="n">
        <v>0.0757</v>
      </c>
    </row>
    <row r="1295" customFormat="false" ht="15" hidden="false" customHeight="false" outlineLevel="0" collapsed="false">
      <c r="A1295" s="1" t="s">
        <v>1330</v>
      </c>
      <c r="B1295" s="1" t="s">
        <v>41</v>
      </c>
      <c r="C1295" s="1" t="n">
        <v>2410000</v>
      </c>
      <c r="D1295" s="1" t="n">
        <v>20001.7</v>
      </c>
      <c r="E1295" s="1" t="n">
        <v>0.0459</v>
      </c>
      <c r="F1295" s="1" t="n">
        <v>0.0951</v>
      </c>
    </row>
    <row r="1296" customFormat="false" ht="15" hidden="false" customHeight="false" outlineLevel="0" collapsed="false">
      <c r="A1296" s="1" t="s">
        <v>1331</v>
      </c>
      <c r="B1296" s="1" t="s">
        <v>24</v>
      </c>
      <c r="C1296" s="1" t="n">
        <v>3800000</v>
      </c>
      <c r="D1296" s="1" t="n">
        <v>86692.1</v>
      </c>
      <c r="E1296" s="1" t="n">
        <v>0.0326</v>
      </c>
      <c r="F1296" s="1" t="n">
        <v>0.0518</v>
      </c>
    </row>
    <row r="1297" customFormat="false" ht="15" hidden="false" customHeight="false" outlineLevel="0" collapsed="false">
      <c r="A1297" s="1" t="s">
        <v>1332</v>
      </c>
      <c r="B1297" s="1" t="s">
        <v>26</v>
      </c>
      <c r="C1297" s="1" t="n">
        <v>2670000</v>
      </c>
      <c r="D1297" s="1" t="n">
        <v>70823.7</v>
      </c>
      <c r="E1297" s="1" t="n">
        <v>0.0522</v>
      </c>
      <c r="F1297" s="1" t="n">
        <v>0.0938</v>
      </c>
    </row>
    <row r="1298" customFormat="false" ht="15" hidden="false" customHeight="false" outlineLevel="0" collapsed="false">
      <c r="A1298" s="1" t="s">
        <v>1333</v>
      </c>
      <c r="B1298" s="1" t="s">
        <v>26</v>
      </c>
      <c r="C1298" s="1" t="n">
        <v>6060000</v>
      </c>
      <c r="D1298" s="1" t="n">
        <v>3480023.6</v>
      </c>
      <c r="E1298" s="1" t="n">
        <v>0.0262</v>
      </c>
      <c r="F1298" s="1" t="n">
        <v>0.0518</v>
      </c>
    </row>
    <row r="1299" customFormat="false" ht="15" hidden="false" customHeight="false" outlineLevel="0" collapsed="false">
      <c r="A1299" s="1" t="s">
        <v>1334</v>
      </c>
      <c r="B1299" s="1" t="s">
        <v>41</v>
      </c>
      <c r="C1299" s="1" t="n">
        <v>3760000</v>
      </c>
      <c r="D1299" s="1" t="n">
        <v>2128.8</v>
      </c>
      <c r="E1299" s="1" t="n">
        <v>0.0155</v>
      </c>
      <c r="F1299" s="1" t="n">
        <v>0.1525</v>
      </c>
    </row>
    <row r="1300" customFormat="false" ht="15" hidden="false" customHeight="false" outlineLevel="0" collapsed="false">
      <c r="A1300" s="1" t="s">
        <v>1335</v>
      </c>
      <c r="B1300" s="1" t="s">
        <v>92</v>
      </c>
      <c r="C1300" s="1" t="n">
        <v>2520000</v>
      </c>
      <c r="D1300" s="1" t="n">
        <v>45248.6</v>
      </c>
      <c r="E1300" s="1" t="n">
        <v>0.0144</v>
      </c>
      <c r="F1300" s="1" t="n">
        <v>0.131</v>
      </c>
    </row>
    <row r="1301" customFormat="false" ht="15" hidden="false" customHeight="false" outlineLevel="0" collapsed="false">
      <c r="A1301" s="1" t="s">
        <v>1336</v>
      </c>
      <c r="B1301" s="1" t="s">
        <v>24</v>
      </c>
      <c r="C1301" s="1" t="n">
        <v>2450000</v>
      </c>
      <c r="D1301" s="1" t="n">
        <v>23793.1</v>
      </c>
      <c r="E1301" s="1" t="n">
        <v>0.0051</v>
      </c>
      <c r="F1301" s="1" t="n">
        <v>0.0654</v>
      </c>
    </row>
    <row r="1302" customFormat="false" ht="15" hidden="false" customHeight="false" outlineLevel="0" collapsed="false">
      <c r="A1302" s="1" t="s">
        <v>1337</v>
      </c>
      <c r="B1302" s="1" t="s">
        <v>74</v>
      </c>
      <c r="C1302" s="1" t="n">
        <v>2650000</v>
      </c>
      <c r="D1302" s="1" t="n">
        <v>44339.3</v>
      </c>
      <c r="E1302" s="1" t="n">
        <v>0.0532</v>
      </c>
      <c r="F1302" s="1" t="n">
        <v>0.0759</v>
      </c>
    </row>
    <row r="1303" customFormat="false" ht="15" hidden="false" customHeight="false" outlineLevel="0" collapsed="false">
      <c r="A1303" s="1" t="s">
        <v>1338</v>
      </c>
      <c r="B1303" s="1" t="s">
        <v>30</v>
      </c>
      <c r="C1303" s="1" t="n">
        <v>2480000</v>
      </c>
      <c r="D1303" s="1" t="n">
        <v>176181.9</v>
      </c>
      <c r="E1303" s="1" t="n">
        <v>0.0507</v>
      </c>
      <c r="F1303" s="1" t="n">
        <v>0.0409</v>
      </c>
    </row>
    <row r="1304" customFormat="false" ht="15" hidden="false" customHeight="false" outlineLevel="0" collapsed="false">
      <c r="A1304" s="1" t="s">
        <v>1339</v>
      </c>
      <c r="B1304" s="1" t="s">
        <v>41</v>
      </c>
      <c r="C1304" s="1" t="n">
        <v>4970000</v>
      </c>
      <c r="D1304" s="1" t="n">
        <v>6745.6</v>
      </c>
      <c r="E1304" s="1" t="n">
        <v>0.0284</v>
      </c>
      <c r="F1304" s="1" t="n">
        <v>0.0938</v>
      </c>
    </row>
    <row r="1305" customFormat="false" ht="15" hidden="false" customHeight="false" outlineLevel="0" collapsed="false">
      <c r="A1305" s="1" t="s">
        <v>1340</v>
      </c>
      <c r="B1305" s="1" t="s">
        <v>88</v>
      </c>
      <c r="C1305" s="1" t="n">
        <v>2310000</v>
      </c>
      <c r="D1305" s="1" t="n">
        <v>3085</v>
      </c>
      <c r="E1305" s="1" t="n">
        <v>0.0176</v>
      </c>
      <c r="F1305" s="1" t="n">
        <v>0.131</v>
      </c>
    </row>
    <row r="1306" customFormat="false" ht="15" hidden="false" customHeight="false" outlineLevel="0" collapsed="false">
      <c r="A1306" s="1" t="s">
        <v>1341</v>
      </c>
      <c r="B1306" s="1" t="s">
        <v>26</v>
      </c>
      <c r="C1306" s="1" t="n">
        <v>3740000</v>
      </c>
      <c r="D1306" s="1" t="n">
        <v>937993.9</v>
      </c>
      <c r="E1306" s="1" t="n">
        <v>0.0457</v>
      </c>
      <c r="F1306" s="1" t="n">
        <v>0.0409</v>
      </c>
    </row>
    <row r="1307" customFormat="false" ht="15" hidden="false" customHeight="false" outlineLevel="0" collapsed="false">
      <c r="A1307" s="1" t="s">
        <v>1342</v>
      </c>
      <c r="B1307" s="1" t="s">
        <v>214</v>
      </c>
      <c r="C1307" s="1" t="n">
        <v>2420000</v>
      </c>
      <c r="D1307" s="1" t="n">
        <v>640197.4</v>
      </c>
      <c r="E1307" s="1" t="n">
        <v>0.0501</v>
      </c>
      <c r="F1307" s="1" t="n">
        <v>0.0951</v>
      </c>
    </row>
    <row r="1308" customFormat="false" ht="15" hidden="false" customHeight="false" outlineLevel="0" collapsed="false">
      <c r="A1308" s="1" t="s">
        <v>1343</v>
      </c>
      <c r="B1308" s="1" t="s">
        <v>53</v>
      </c>
      <c r="C1308" s="1" t="n">
        <v>2500000</v>
      </c>
      <c r="D1308" s="1" t="n">
        <v>2878698.6</v>
      </c>
      <c r="E1308" s="1" t="n">
        <v>0.0279</v>
      </c>
      <c r="F1308" s="1" t="n">
        <v>0.0951</v>
      </c>
    </row>
    <row r="1309" customFormat="false" ht="15" hidden="false" customHeight="false" outlineLevel="0" collapsed="false">
      <c r="A1309" s="1" t="s">
        <v>1344</v>
      </c>
      <c r="B1309" s="1" t="s">
        <v>26</v>
      </c>
      <c r="C1309" s="1" t="n">
        <v>3210000</v>
      </c>
      <c r="D1309" s="1" t="n">
        <v>5413.9</v>
      </c>
      <c r="E1309" s="1" t="n">
        <v>0.0116</v>
      </c>
      <c r="F1309" s="1" t="n">
        <v>0.1327</v>
      </c>
    </row>
    <row r="1310" customFormat="false" ht="15" hidden="false" customHeight="false" outlineLevel="0" collapsed="false">
      <c r="A1310" s="1" t="s">
        <v>1345</v>
      </c>
      <c r="B1310" s="1" t="s">
        <v>53</v>
      </c>
      <c r="C1310" s="1" t="n">
        <v>3220000</v>
      </c>
      <c r="D1310" s="1" t="n">
        <v>1887815.8</v>
      </c>
      <c r="E1310" s="1" t="n">
        <v>0.0322</v>
      </c>
      <c r="F1310" s="1" t="n">
        <v>0.0759</v>
      </c>
    </row>
    <row r="1311" customFormat="false" ht="15" hidden="false" customHeight="false" outlineLevel="0" collapsed="false">
      <c r="A1311" s="1" t="s">
        <v>1346</v>
      </c>
      <c r="B1311" s="1" t="s">
        <v>88</v>
      </c>
      <c r="C1311" s="1" t="n">
        <v>3190000</v>
      </c>
      <c r="D1311" s="1" t="n">
        <v>1209</v>
      </c>
      <c r="E1311" s="1" t="n">
        <v>0.0261</v>
      </c>
      <c r="F1311" s="1" t="n">
        <v>0.0938</v>
      </c>
    </row>
    <row r="1312" customFormat="false" ht="15" hidden="false" customHeight="false" outlineLevel="0" collapsed="false">
      <c r="A1312" s="1" t="s">
        <v>1347</v>
      </c>
      <c r="B1312" s="1" t="s">
        <v>53</v>
      </c>
      <c r="C1312" s="1" t="n">
        <v>2530000</v>
      </c>
      <c r="D1312" s="1" t="n">
        <v>10552.9</v>
      </c>
      <c r="E1312" s="1" t="n">
        <v>0.0502</v>
      </c>
      <c r="F1312" s="1" t="n">
        <v>0.0938</v>
      </c>
    </row>
    <row r="1313" customFormat="false" ht="15" hidden="false" customHeight="false" outlineLevel="0" collapsed="false">
      <c r="A1313" s="1" t="s">
        <v>1348</v>
      </c>
      <c r="B1313" s="1" t="s">
        <v>26</v>
      </c>
      <c r="C1313" s="1" t="n">
        <v>5540000</v>
      </c>
      <c r="D1313" s="1" t="n">
        <v>2272694.9</v>
      </c>
      <c r="E1313" s="1" t="n">
        <v>0.0227</v>
      </c>
      <c r="F1313" s="1" t="n">
        <v>0.0409</v>
      </c>
    </row>
    <row r="1314" customFormat="false" ht="15" hidden="false" customHeight="false" outlineLevel="0" collapsed="false">
      <c r="A1314" s="1" t="s">
        <v>1349</v>
      </c>
      <c r="B1314" s="1" t="s">
        <v>88</v>
      </c>
      <c r="C1314" s="1" t="n">
        <v>2390000</v>
      </c>
      <c r="D1314" s="1" t="n">
        <v>4541.2</v>
      </c>
      <c r="E1314" s="1" t="n">
        <v>0.014</v>
      </c>
      <c r="F1314" s="1" t="n">
        <v>0.1604</v>
      </c>
    </row>
    <row r="1315" customFormat="false" ht="15" hidden="false" customHeight="false" outlineLevel="0" collapsed="false">
      <c r="A1315" s="1" t="s">
        <v>1350</v>
      </c>
      <c r="B1315" s="1" t="s">
        <v>21</v>
      </c>
      <c r="C1315" s="1" t="n">
        <v>2640000</v>
      </c>
      <c r="D1315" s="1" t="n">
        <v>23336</v>
      </c>
      <c r="E1315" s="1" t="n">
        <v>0.0532</v>
      </c>
      <c r="F1315" s="1" t="n">
        <v>0.0759</v>
      </c>
    </row>
    <row r="1316" customFormat="false" ht="15" hidden="false" customHeight="false" outlineLevel="0" collapsed="false">
      <c r="A1316" s="1" t="s">
        <v>1351</v>
      </c>
      <c r="B1316" s="1" t="s">
        <v>26</v>
      </c>
      <c r="C1316" s="1" t="n">
        <v>3350000</v>
      </c>
      <c r="D1316" s="1" t="n">
        <v>264579.2</v>
      </c>
      <c r="E1316" s="1" t="n">
        <v>0.0384</v>
      </c>
      <c r="F1316" s="1" t="n">
        <v>0.0951</v>
      </c>
    </row>
    <row r="1317" customFormat="false" ht="15" hidden="false" customHeight="false" outlineLevel="0" collapsed="false">
      <c r="A1317" s="1" t="s">
        <v>1352</v>
      </c>
      <c r="B1317" s="1" t="s">
        <v>26</v>
      </c>
      <c r="C1317" s="1" t="n">
        <v>3020000</v>
      </c>
      <c r="D1317" s="1" t="n">
        <v>1181703.7</v>
      </c>
      <c r="E1317" s="1" t="n">
        <v>0.0687</v>
      </c>
      <c r="F1317" s="1" t="n">
        <v>0.0951</v>
      </c>
    </row>
    <row r="1318" customFormat="false" ht="15" hidden="false" customHeight="false" outlineLevel="0" collapsed="false">
      <c r="A1318" s="1" t="s">
        <v>1353</v>
      </c>
      <c r="B1318" s="1" t="s">
        <v>195</v>
      </c>
      <c r="C1318" s="1" t="n">
        <v>2950000</v>
      </c>
      <c r="D1318" s="1" t="n">
        <v>25359.3</v>
      </c>
      <c r="E1318" s="1" t="n">
        <v>0.0206</v>
      </c>
      <c r="F1318" s="1" t="n">
        <v>0.0854</v>
      </c>
    </row>
    <row r="1319" customFormat="false" ht="15" hidden="false" customHeight="false" outlineLevel="0" collapsed="false">
      <c r="A1319" s="1" t="s">
        <v>1354</v>
      </c>
      <c r="B1319" s="1" t="s">
        <v>24</v>
      </c>
      <c r="C1319" s="1" t="n">
        <v>2420000</v>
      </c>
      <c r="D1319" s="1" t="n">
        <v>32116.2</v>
      </c>
      <c r="E1319" s="1" t="n">
        <v>0.0244</v>
      </c>
      <c r="F1319" s="1" t="n">
        <v>0.1053</v>
      </c>
    </row>
    <row r="1320" customFormat="false" ht="15" hidden="false" customHeight="false" outlineLevel="0" collapsed="false">
      <c r="A1320" s="1" t="s">
        <v>1355</v>
      </c>
      <c r="B1320" s="1" t="s">
        <v>35</v>
      </c>
      <c r="C1320" s="1" t="n">
        <v>2950000</v>
      </c>
      <c r="D1320" s="1" t="n">
        <v>734296.4</v>
      </c>
      <c r="E1320" s="1" t="n">
        <v>0.0467</v>
      </c>
      <c r="F1320" s="1" t="n">
        <v>0.0409</v>
      </c>
    </row>
    <row r="1321" customFormat="false" ht="15" hidden="false" customHeight="false" outlineLevel="0" collapsed="false">
      <c r="A1321" s="1" t="s">
        <v>1356</v>
      </c>
      <c r="B1321" s="1" t="s">
        <v>26</v>
      </c>
      <c r="C1321" s="1" t="n">
        <v>2280000</v>
      </c>
      <c r="D1321" s="1" t="n">
        <v>219190.2</v>
      </c>
      <c r="E1321" s="1" t="n">
        <v>0.0404</v>
      </c>
      <c r="F1321" s="1" t="n">
        <v>0.0951</v>
      </c>
    </row>
    <row r="1322" customFormat="false" ht="15" hidden="false" customHeight="false" outlineLevel="0" collapsed="false">
      <c r="A1322" s="1" t="s">
        <v>1357</v>
      </c>
      <c r="B1322" s="1" t="s">
        <v>41</v>
      </c>
      <c r="C1322" s="1" t="n">
        <v>2520000</v>
      </c>
      <c r="D1322" s="1" t="n">
        <v>14475.9</v>
      </c>
      <c r="E1322" s="1" t="n">
        <v>0.0145</v>
      </c>
      <c r="F1322" s="1" t="n">
        <v>0.0576</v>
      </c>
    </row>
    <row r="1323" customFormat="false" ht="15" hidden="false" customHeight="false" outlineLevel="0" collapsed="false">
      <c r="A1323" s="1" t="s">
        <v>1358</v>
      </c>
      <c r="B1323" s="1" t="s">
        <v>26</v>
      </c>
      <c r="C1323" s="1" t="n">
        <v>4870000</v>
      </c>
      <c r="D1323" s="1" t="n">
        <v>1077430.3</v>
      </c>
      <c r="E1323" s="1" t="n">
        <v>0.0192</v>
      </c>
      <c r="F1323" s="1" t="n">
        <v>0.0409</v>
      </c>
    </row>
    <row r="1324" customFormat="false" ht="15" hidden="false" customHeight="false" outlineLevel="0" collapsed="false">
      <c r="A1324" s="1" t="s">
        <v>1359</v>
      </c>
      <c r="B1324" s="1" t="s">
        <v>26</v>
      </c>
      <c r="C1324" s="1" t="n">
        <v>2360000</v>
      </c>
      <c r="D1324" s="1" t="n">
        <v>63882</v>
      </c>
      <c r="E1324" s="1" t="n">
        <v>0.0738</v>
      </c>
      <c r="F1324" s="1" t="n">
        <v>0.0672</v>
      </c>
    </row>
    <row r="1325" customFormat="false" ht="15" hidden="false" customHeight="false" outlineLevel="0" collapsed="false">
      <c r="A1325" s="1" t="s">
        <v>1360</v>
      </c>
      <c r="B1325" s="1" t="s">
        <v>30</v>
      </c>
      <c r="C1325" s="1" t="n">
        <v>4140000</v>
      </c>
      <c r="D1325" s="1" t="n">
        <v>694252.3</v>
      </c>
      <c r="E1325" s="1" t="n">
        <v>0.0145</v>
      </c>
      <c r="F1325" s="1" t="n">
        <v>0.0462</v>
      </c>
    </row>
    <row r="1326" customFormat="false" ht="15" hidden="false" customHeight="false" outlineLevel="0" collapsed="false">
      <c r="A1326" s="1" t="s">
        <v>1361</v>
      </c>
      <c r="B1326" s="1" t="s">
        <v>30</v>
      </c>
      <c r="C1326" s="1" t="n">
        <v>2610000</v>
      </c>
      <c r="D1326" s="1" t="n">
        <v>187295.2</v>
      </c>
      <c r="E1326" s="1" t="n">
        <v>0.062</v>
      </c>
      <c r="F1326" s="1" t="n">
        <v>0.0759</v>
      </c>
    </row>
    <row r="1327" customFormat="false" ht="15" hidden="false" customHeight="false" outlineLevel="0" collapsed="false">
      <c r="A1327" s="1" t="s">
        <v>1362</v>
      </c>
      <c r="B1327" s="1" t="s">
        <v>53</v>
      </c>
      <c r="C1327" s="1" t="n">
        <v>2610000</v>
      </c>
      <c r="D1327" s="1" t="n">
        <v>75696.1</v>
      </c>
      <c r="E1327" s="1" t="n">
        <v>0.0323</v>
      </c>
      <c r="F1327" s="1" t="n">
        <v>0.0759</v>
      </c>
    </row>
    <row r="1328" customFormat="false" ht="15" hidden="false" customHeight="false" outlineLevel="0" collapsed="false">
      <c r="A1328" s="1" t="s">
        <v>1363</v>
      </c>
      <c r="B1328" s="1" t="s">
        <v>26</v>
      </c>
      <c r="C1328" s="1" t="n">
        <v>2250000</v>
      </c>
      <c r="D1328" s="1" t="n">
        <v>12173.6</v>
      </c>
      <c r="E1328" s="1" t="n">
        <v>0.0255</v>
      </c>
      <c r="F1328" s="1" t="n">
        <v>0.0951</v>
      </c>
    </row>
    <row r="1329" customFormat="false" ht="15" hidden="false" customHeight="false" outlineLevel="0" collapsed="false">
      <c r="A1329" s="1" t="s">
        <v>1364</v>
      </c>
      <c r="B1329" s="1" t="s">
        <v>26</v>
      </c>
      <c r="C1329" s="1" t="n">
        <v>3000000</v>
      </c>
      <c r="D1329" s="1" t="n">
        <v>61077.4</v>
      </c>
      <c r="E1329" s="1" t="n">
        <v>0.0327</v>
      </c>
      <c r="F1329" s="1" t="n">
        <v>0.0759</v>
      </c>
    </row>
    <row r="1330" customFormat="false" ht="15" hidden="false" customHeight="false" outlineLevel="0" collapsed="false">
      <c r="A1330" s="1" t="s">
        <v>1365</v>
      </c>
      <c r="B1330" s="1" t="s">
        <v>287</v>
      </c>
      <c r="C1330" s="1" t="n">
        <v>2400000</v>
      </c>
      <c r="D1330" s="1" t="n">
        <v>7910.1</v>
      </c>
      <c r="E1330" s="1" t="n">
        <v>0.0434</v>
      </c>
      <c r="F1330" s="1" t="n">
        <v>0.0938</v>
      </c>
    </row>
    <row r="1331" customFormat="false" ht="15" hidden="false" customHeight="false" outlineLevel="0" collapsed="false">
      <c r="A1331" s="1" t="s">
        <v>1366</v>
      </c>
      <c r="B1331" s="1" t="s">
        <v>26</v>
      </c>
      <c r="C1331" s="1" t="n">
        <v>5050000</v>
      </c>
      <c r="D1331" s="1" t="n">
        <v>4346897.9</v>
      </c>
      <c r="F1331" s="1" t="n">
        <v>0.0409</v>
      </c>
    </row>
    <row r="1332" customFormat="false" ht="15" hidden="false" customHeight="false" outlineLevel="0" collapsed="false">
      <c r="A1332" s="1" t="s">
        <v>1367</v>
      </c>
      <c r="B1332" s="1" t="s">
        <v>88</v>
      </c>
      <c r="C1332" s="1" t="n">
        <v>2920000</v>
      </c>
      <c r="D1332" s="1" t="n">
        <v>49484.6</v>
      </c>
      <c r="E1332" s="1" t="n">
        <v>0.058</v>
      </c>
      <c r="F1332" s="1" t="n">
        <v>0.1043</v>
      </c>
    </row>
    <row r="1333" customFormat="false" ht="15" hidden="false" customHeight="false" outlineLevel="0" collapsed="false">
      <c r="A1333" s="1" t="s">
        <v>1368</v>
      </c>
      <c r="B1333" s="1" t="s">
        <v>26</v>
      </c>
      <c r="C1333" s="1" t="n">
        <v>4410000</v>
      </c>
      <c r="D1333" s="1" t="n">
        <v>138716.4</v>
      </c>
      <c r="E1333" s="1" t="n">
        <v>0.0075</v>
      </c>
      <c r="F1333" s="1" t="n">
        <v>0.0811</v>
      </c>
    </row>
    <row r="1334" customFormat="false" ht="15" hidden="false" customHeight="false" outlineLevel="0" collapsed="false">
      <c r="A1334" s="1" t="s">
        <v>1369</v>
      </c>
      <c r="B1334" s="1" t="s">
        <v>41</v>
      </c>
      <c r="C1334" s="1" t="n">
        <v>3470000</v>
      </c>
      <c r="D1334" s="1" t="n">
        <v>14813.8</v>
      </c>
      <c r="E1334" s="1" t="n">
        <v>0.0056</v>
      </c>
      <c r="F1334" s="1" t="n">
        <v>0.0811</v>
      </c>
    </row>
    <row r="1335" customFormat="false" ht="15" hidden="false" customHeight="false" outlineLevel="0" collapsed="false">
      <c r="A1335" s="1" t="s">
        <v>1370</v>
      </c>
      <c r="B1335" s="1" t="s">
        <v>41</v>
      </c>
      <c r="C1335" s="1" t="n">
        <v>2350000</v>
      </c>
      <c r="D1335" s="1" t="n">
        <v>9481.6</v>
      </c>
      <c r="E1335" s="1" t="n">
        <v>0.0102</v>
      </c>
      <c r="F1335" s="1" t="n">
        <v>0.1866</v>
      </c>
    </row>
    <row r="1336" customFormat="false" ht="15" hidden="false" customHeight="false" outlineLevel="0" collapsed="false">
      <c r="A1336" s="1" t="s">
        <v>1371</v>
      </c>
      <c r="B1336" s="1" t="s">
        <v>88</v>
      </c>
      <c r="C1336" s="1" t="n">
        <v>2380000</v>
      </c>
      <c r="D1336" s="1" t="n">
        <v>31975.2</v>
      </c>
      <c r="E1336" s="1" t="n">
        <v>0.0556</v>
      </c>
      <c r="F1336" s="1" t="n">
        <v>0.0759</v>
      </c>
    </row>
    <row r="1337" customFormat="false" ht="15" hidden="false" customHeight="false" outlineLevel="0" collapsed="false">
      <c r="A1337" s="1" t="s">
        <v>1372</v>
      </c>
      <c r="B1337" s="1" t="s">
        <v>26</v>
      </c>
      <c r="C1337" s="1" t="n">
        <v>2330000</v>
      </c>
      <c r="D1337" s="1" t="n">
        <v>7619.4</v>
      </c>
      <c r="E1337" s="1" t="n">
        <v>0.0158</v>
      </c>
      <c r="F1337" s="1" t="n">
        <v>0.0726</v>
      </c>
    </row>
    <row r="1338" customFormat="false" ht="15" hidden="false" customHeight="false" outlineLevel="0" collapsed="false">
      <c r="A1338" s="1" t="s">
        <v>1373</v>
      </c>
      <c r="B1338" s="1" t="s">
        <v>26</v>
      </c>
      <c r="C1338" s="1" t="n">
        <v>3930000</v>
      </c>
      <c r="D1338" s="1" t="n">
        <v>146683.4</v>
      </c>
      <c r="E1338" s="1" t="n">
        <v>0.0313</v>
      </c>
      <c r="F1338" s="1" t="n">
        <v>0.0409</v>
      </c>
    </row>
    <row r="1339" customFormat="false" ht="15" hidden="false" customHeight="false" outlineLevel="0" collapsed="false">
      <c r="A1339" s="1" t="s">
        <v>1374</v>
      </c>
      <c r="B1339" s="1" t="s">
        <v>41</v>
      </c>
      <c r="C1339" s="1" t="n">
        <v>3400000</v>
      </c>
      <c r="D1339" s="1" t="n">
        <v>669.1</v>
      </c>
      <c r="E1339" s="1" t="n">
        <v>0.0582</v>
      </c>
      <c r="F1339" s="1" t="n">
        <v>0.2747</v>
      </c>
    </row>
    <row r="1340" customFormat="false" ht="15" hidden="false" customHeight="false" outlineLevel="0" collapsed="false">
      <c r="A1340" s="1" t="s">
        <v>1375</v>
      </c>
      <c r="B1340" s="1" t="s">
        <v>53</v>
      </c>
      <c r="C1340" s="1" t="n">
        <v>3330000</v>
      </c>
      <c r="D1340" s="1" t="n">
        <v>60457.6</v>
      </c>
      <c r="E1340" s="1" t="n">
        <v>0.0177</v>
      </c>
      <c r="F1340" s="1" t="n">
        <v>0.052</v>
      </c>
    </row>
    <row r="1341" customFormat="false" ht="15" hidden="false" customHeight="false" outlineLevel="0" collapsed="false">
      <c r="A1341" s="1" t="s">
        <v>1376</v>
      </c>
      <c r="B1341" s="1" t="s">
        <v>26</v>
      </c>
      <c r="C1341" s="1" t="n">
        <v>5510000</v>
      </c>
      <c r="D1341" s="1" t="n">
        <v>2007826.7</v>
      </c>
      <c r="E1341" s="1" t="n">
        <v>0.008</v>
      </c>
      <c r="F1341" s="1" t="n">
        <v>0.0654</v>
      </c>
    </row>
    <row r="1342" customFormat="false" ht="15" hidden="false" customHeight="false" outlineLevel="0" collapsed="false">
      <c r="A1342" s="1" t="s">
        <v>1377</v>
      </c>
      <c r="B1342" s="1" t="s">
        <v>26</v>
      </c>
      <c r="C1342" s="1" t="n">
        <v>2450000</v>
      </c>
      <c r="D1342" s="1" t="n">
        <v>188428.7</v>
      </c>
      <c r="E1342" s="1" t="n">
        <v>0.0319</v>
      </c>
      <c r="F1342" s="1" t="n">
        <v>0.0951</v>
      </c>
    </row>
    <row r="1343" customFormat="false" ht="15" hidden="false" customHeight="false" outlineLevel="0" collapsed="false">
      <c r="A1343" s="1" t="s">
        <v>1378</v>
      </c>
      <c r="B1343" s="1" t="s">
        <v>26</v>
      </c>
      <c r="C1343" s="1" t="n">
        <v>2860000</v>
      </c>
      <c r="D1343" s="1" t="n">
        <v>2216304.3</v>
      </c>
      <c r="E1343" s="1" t="n">
        <v>0.0936</v>
      </c>
      <c r="F1343" s="1" t="n">
        <v>0.0518</v>
      </c>
    </row>
    <row r="1344" customFormat="false" ht="15" hidden="false" customHeight="false" outlineLevel="0" collapsed="false">
      <c r="A1344" s="1" t="s">
        <v>1379</v>
      </c>
      <c r="B1344" s="1" t="s">
        <v>35</v>
      </c>
      <c r="C1344" s="1" t="n">
        <v>2980000</v>
      </c>
      <c r="D1344" s="1" t="n">
        <v>44769.3</v>
      </c>
      <c r="E1344" s="1" t="n">
        <v>0.0369</v>
      </c>
      <c r="F1344" s="1" t="n">
        <v>0.0951</v>
      </c>
    </row>
    <row r="1345" customFormat="false" ht="15" hidden="false" customHeight="false" outlineLevel="0" collapsed="false">
      <c r="A1345" s="1" t="s">
        <v>1380</v>
      </c>
      <c r="B1345" s="1" t="s">
        <v>26</v>
      </c>
      <c r="C1345" s="1" t="n">
        <v>2540000</v>
      </c>
      <c r="D1345" s="1" t="n">
        <v>306805.2</v>
      </c>
      <c r="E1345" s="1" t="n">
        <v>0.0679</v>
      </c>
      <c r="F1345" s="1" t="n">
        <v>0.0951</v>
      </c>
    </row>
    <row r="1346" customFormat="false" ht="15" hidden="false" customHeight="false" outlineLevel="0" collapsed="false">
      <c r="A1346" s="1" t="s">
        <v>1381</v>
      </c>
      <c r="B1346" s="1" t="s">
        <v>24</v>
      </c>
      <c r="C1346" s="1" t="n">
        <v>2350000</v>
      </c>
      <c r="D1346" s="1" t="n">
        <v>1271.3</v>
      </c>
      <c r="E1346" s="1" t="n">
        <v>0.0059</v>
      </c>
      <c r="F1346" s="1" t="n">
        <v>0.1015</v>
      </c>
    </row>
    <row r="1347" customFormat="false" ht="15" hidden="false" customHeight="false" outlineLevel="0" collapsed="false">
      <c r="A1347" s="1" t="s">
        <v>1382</v>
      </c>
      <c r="B1347" s="1" t="s">
        <v>74</v>
      </c>
      <c r="C1347" s="1" t="n">
        <v>3440000</v>
      </c>
      <c r="D1347" s="1" t="n">
        <v>411.8</v>
      </c>
      <c r="E1347" s="1" t="n">
        <v>0.0916</v>
      </c>
      <c r="F1347" s="1" t="n">
        <v>0.1226</v>
      </c>
    </row>
    <row r="1348" customFormat="false" ht="15" hidden="false" customHeight="false" outlineLevel="0" collapsed="false">
      <c r="A1348" s="1" t="s">
        <v>1383</v>
      </c>
      <c r="B1348" s="1" t="s">
        <v>26</v>
      </c>
      <c r="C1348" s="1" t="n">
        <v>2520000</v>
      </c>
      <c r="D1348" s="1" t="n">
        <v>867667.7</v>
      </c>
      <c r="E1348" s="1" t="n">
        <v>0.0318</v>
      </c>
      <c r="F1348" s="1" t="n">
        <v>0.0951</v>
      </c>
    </row>
    <row r="1349" customFormat="false" ht="15" hidden="false" customHeight="false" outlineLevel="0" collapsed="false">
      <c r="A1349" s="1" t="s">
        <v>1384</v>
      </c>
      <c r="B1349" s="1" t="s">
        <v>92</v>
      </c>
      <c r="C1349" s="1" t="n">
        <v>3310000</v>
      </c>
      <c r="D1349" s="1" t="n">
        <v>224625.2</v>
      </c>
      <c r="E1349" s="1" t="n">
        <v>0.0256</v>
      </c>
      <c r="F1349" s="1" t="n">
        <v>0.0951</v>
      </c>
    </row>
    <row r="1350" customFormat="false" ht="15" hidden="false" customHeight="false" outlineLevel="0" collapsed="false">
      <c r="A1350" s="1" t="s">
        <v>1385</v>
      </c>
      <c r="B1350" s="1" t="s">
        <v>30</v>
      </c>
      <c r="C1350" s="1" t="n">
        <v>6960000</v>
      </c>
      <c r="D1350" s="1" t="n">
        <v>6743559.1</v>
      </c>
      <c r="E1350" s="1" t="n">
        <v>0.0258</v>
      </c>
      <c r="F1350" s="1" t="n">
        <v>0.0409</v>
      </c>
    </row>
    <row r="1351" customFormat="false" ht="15" hidden="false" customHeight="false" outlineLevel="0" collapsed="false">
      <c r="A1351" s="1" t="s">
        <v>1386</v>
      </c>
      <c r="B1351" s="1" t="s">
        <v>88</v>
      </c>
      <c r="C1351" s="1" t="n">
        <v>2270000</v>
      </c>
      <c r="D1351" s="1" t="n">
        <v>1228.9</v>
      </c>
      <c r="E1351" s="1" t="n">
        <v>0.0371</v>
      </c>
      <c r="F1351" s="1" t="n">
        <v>0.117</v>
      </c>
    </row>
    <row r="1352" customFormat="false" ht="15" hidden="false" customHeight="false" outlineLevel="0" collapsed="false">
      <c r="A1352" s="1" t="s">
        <v>1387</v>
      </c>
      <c r="B1352" s="1" t="s">
        <v>41</v>
      </c>
      <c r="C1352" s="1" t="n">
        <v>2340000</v>
      </c>
      <c r="D1352" s="1" t="n">
        <v>1603.9</v>
      </c>
      <c r="E1352" s="1" t="n">
        <v>0.0178</v>
      </c>
      <c r="F1352" s="1" t="n">
        <v>0.131</v>
      </c>
    </row>
    <row r="1353" customFormat="false" ht="15" hidden="false" customHeight="false" outlineLevel="0" collapsed="false">
      <c r="A1353" s="1" t="s">
        <v>1388</v>
      </c>
      <c r="B1353" s="1" t="s">
        <v>26</v>
      </c>
      <c r="C1353" s="1" t="n">
        <v>3090000</v>
      </c>
      <c r="D1353" s="1" t="n">
        <v>869253.1</v>
      </c>
      <c r="E1353" s="1" t="n">
        <v>0.0308</v>
      </c>
      <c r="F1353" s="1" t="n">
        <v>0.0845</v>
      </c>
    </row>
    <row r="1354" customFormat="false" ht="15" hidden="false" customHeight="false" outlineLevel="0" collapsed="false">
      <c r="A1354" s="1" t="s">
        <v>1389</v>
      </c>
      <c r="B1354" s="1" t="s">
        <v>62</v>
      </c>
      <c r="C1354" s="1" t="n">
        <v>2260000</v>
      </c>
      <c r="D1354" s="1" t="n">
        <v>2417.4</v>
      </c>
      <c r="E1354" s="1" t="n">
        <v>0.0087</v>
      </c>
      <c r="F1354" s="1" t="n">
        <v>0.0821</v>
      </c>
    </row>
    <row r="1355" customFormat="false" ht="15" hidden="false" customHeight="false" outlineLevel="0" collapsed="false">
      <c r="A1355" s="1" t="s">
        <v>1390</v>
      </c>
      <c r="B1355" s="1" t="s">
        <v>88</v>
      </c>
      <c r="C1355" s="1" t="n">
        <v>2910000</v>
      </c>
      <c r="D1355" s="1" t="n">
        <v>21825</v>
      </c>
      <c r="E1355" s="1" t="n">
        <v>0.0315</v>
      </c>
      <c r="F1355" s="1" t="n">
        <v>0.0759</v>
      </c>
    </row>
    <row r="1356" customFormat="false" ht="15" hidden="false" customHeight="false" outlineLevel="0" collapsed="false">
      <c r="A1356" s="1" t="s">
        <v>1391</v>
      </c>
      <c r="B1356" s="1" t="s">
        <v>24</v>
      </c>
      <c r="C1356" s="1" t="n">
        <v>3100000</v>
      </c>
      <c r="D1356" s="1" t="n">
        <v>17416.3</v>
      </c>
      <c r="E1356" s="1" t="n">
        <v>0.1989</v>
      </c>
      <c r="F1356" s="1" t="n">
        <v>0.0938</v>
      </c>
    </row>
    <row r="1357" customFormat="false" ht="15" hidden="false" customHeight="false" outlineLevel="0" collapsed="false">
      <c r="A1357" s="1" t="s">
        <v>1392</v>
      </c>
      <c r="B1357" s="1" t="s">
        <v>41</v>
      </c>
      <c r="C1357" s="1" t="n">
        <v>2280000</v>
      </c>
      <c r="F1357" s="1" t="n">
        <v>0.0759</v>
      </c>
    </row>
    <row r="1358" customFormat="false" ht="15" hidden="false" customHeight="false" outlineLevel="0" collapsed="false">
      <c r="A1358" s="1" t="s">
        <v>1393</v>
      </c>
      <c r="B1358" s="1" t="s">
        <v>92</v>
      </c>
      <c r="C1358" s="1" t="n">
        <v>3110000</v>
      </c>
      <c r="D1358" s="1" t="n">
        <v>199983</v>
      </c>
      <c r="E1358" s="1" t="n">
        <v>0.0178</v>
      </c>
      <c r="F1358" s="1" t="n">
        <v>0.1053</v>
      </c>
    </row>
    <row r="1359" customFormat="false" ht="15" hidden="false" customHeight="false" outlineLevel="0" collapsed="false">
      <c r="A1359" s="1" t="s">
        <v>1394</v>
      </c>
      <c r="B1359" s="1" t="s">
        <v>26</v>
      </c>
      <c r="C1359" s="1" t="n">
        <v>2390000</v>
      </c>
      <c r="D1359" s="1" t="n">
        <v>351.1</v>
      </c>
      <c r="E1359" s="1" t="n">
        <v>0.0232</v>
      </c>
      <c r="F1359" s="1" t="n">
        <v>0.1067</v>
      </c>
    </row>
    <row r="1360" customFormat="false" ht="15" hidden="false" customHeight="false" outlineLevel="0" collapsed="false">
      <c r="A1360" s="1" t="s">
        <v>1395</v>
      </c>
      <c r="B1360" s="1" t="s">
        <v>26</v>
      </c>
      <c r="C1360" s="1" t="n">
        <v>2610000</v>
      </c>
      <c r="D1360" s="1" t="n">
        <v>96.9</v>
      </c>
      <c r="E1360" s="1" t="n">
        <v>0.0081</v>
      </c>
      <c r="F1360" s="1" t="n">
        <v>0.1013</v>
      </c>
    </row>
    <row r="1361" customFormat="false" ht="15" hidden="false" customHeight="false" outlineLevel="0" collapsed="false">
      <c r="A1361" s="1" t="s">
        <v>1396</v>
      </c>
      <c r="B1361" s="1" t="s">
        <v>26</v>
      </c>
      <c r="C1361" s="1" t="n">
        <v>4740000</v>
      </c>
      <c r="D1361" s="1" t="n">
        <v>417009.2</v>
      </c>
      <c r="E1361" s="1" t="n">
        <v>0.0515</v>
      </c>
      <c r="F1361" s="1" t="n">
        <v>0.0409</v>
      </c>
    </row>
    <row r="1362" customFormat="false" ht="15" hidden="false" customHeight="false" outlineLevel="0" collapsed="false">
      <c r="A1362" s="1" t="s">
        <v>1397</v>
      </c>
      <c r="B1362" s="1" t="s">
        <v>26</v>
      </c>
      <c r="C1362" s="1" t="n">
        <v>2660000</v>
      </c>
      <c r="D1362" s="1" t="n">
        <v>1419746.3</v>
      </c>
      <c r="E1362" s="1" t="n">
        <v>0.0328</v>
      </c>
      <c r="F1362" s="1" t="n">
        <v>0.0518</v>
      </c>
    </row>
    <row r="1363" customFormat="false" ht="15" hidden="false" customHeight="false" outlineLevel="0" collapsed="false">
      <c r="A1363" s="1" t="s">
        <v>1398</v>
      </c>
      <c r="B1363" s="1" t="s">
        <v>32</v>
      </c>
      <c r="C1363" s="1" t="n">
        <v>3360000</v>
      </c>
      <c r="D1363" s="1" t="n">
        <v>2091.7</v>
      </c>
      <c r="E1363" s="1" t="n">
        <v>0.0228</v>
      </c>
      <c r="F1363" s="1" t="n">
        <v>0.1688</v>
      </c>
    </row>
    <row r="1364" customFormat="false" ht="15" hidden="false" customHeight="false" outlineLevel="0" collapsed="false">
      <c r="A1364" s="1" t="s">
        <v>1399</v>
      </c>
      <c r="B1364" s="1" t="s">
        <v>92</v>
      </c>
      <c r="C1364" s="1" t="n">
        <v>3670000</v>
      </c>
      <c r="D1364" s="1" t="n">
        <v>954534.2</v>
      </c>
      <c r="E1364" s="1" t="n">
        <v>0.0294</v>
      </c>
      <c r="F1364" s="1" t="n">
        <v>0.0409</v>
      </c>
    </row>
    <row r="1365" customFormat="false" ht="15" hidden="false" customHeight="false" outlineLevel="0" collapsed="false">
      <c r="A1365" s="1" t="s">
        <v>1400</v>
      </c>
      <c r="B1365" s="1" t="s">
        <v>62</v>
      </c>
      <c r="C1365" s="1" t="n">
        <v>3380000</v>
      </c>
      <c r="D1365" s="1" t="n">
        <v>108242.9</v>
      </c>
      <c r="E1365" s="1" t="n">
        <v>0.0478</v>
      </c>
      <c r="F1365" s="1" t="n">
        <v>0.0759</v>
      </c>
    </row>
    <row r="1366" customFormat="false" ht="15" hidden="false" customHeight="false" outlineLevel="0" collapsed="false">
      <c r="A1366" s="1" t="s">
        <v>1401</v>
      </c>
      <c r="B1366" s="1" t="s">
        <v>74</v>
      </c>
      <c r="C1366" s="1" t="n">
        <v>2450000</v>
      </c>
      <c r="D1366" s="1" t="n">
        <v>42861.8</v>
      </c>
      <c r="E1366" s="1" t="n">
        <v>0.0333</v>
      </c>
      <c r="F1366" s="1" t="n">
        <v>0.0759</v>
      </c>
    </row>
    <row r="1367" customFormat="false" ht="15" hidden="false" customHeight="false" outlineLevel="0" collapsed="false">
      <c r="A1367" s="1" t="s">
        <v>1402</v>
      </c>
      <c r="B1367" s="1" t="s">
        <v>30</v>
      </c>
      <c r="C1367" s="1" t="n">
        <v>3180000</v>
      </c>
      <c r="D1367" s="1" t="n">
        <v>438742.3</v>
      </c>
      <c r="E1367" s="1" t="n">
        <v>0.049</v>
      </c>
      <c r="F1367" s="1" t="n">
        <v>0.0432</v>
      </c>
    </row>
    <row r="1368" customFormat="false" ht="15" hidden="false" customHeight="false" outlineLevel="0" collapsed="false">
      <c r="A1368" s="1" t="s">
        <v>1403</v>
      </c>
      <c r="B1368" s="1" t="s">
        <v>214</v>
      </c>
      <c r="C1368" s="1" t="n">
        <v>2850000</v>
      </c>
      <c r="D1368" s="1" t="n">
        <v>292451.4</v>
      </c>
      <c r="E1368" s="1" t="n">
        <v>0.0266</v>
      </c>
      <c r="F1368" s="1" t="n">
        <v>0.0938</v>
      </c>
    </row>
    <row r="1369" customFormat="false" ht="15" hidden="false" customHeight="false" outlineLevel="0" collapsed="false">
      <c r="A1369" s="1" t="s">
        <v>1404</v>
      </c>
      <c r="B1369" s="1" t="s">
        <v>195</v>
      </c>
      <c r="C1369" s="1" t="n">
        <v>3320000</v>
      </c>
      <c r="D1369" s="1" t="n">
        <v>5983.4</v>
      </c>
      <c r="E1369" s="1" t="n">
        <v>0.0914</v>
      </c>
      <c r="F1369" s="1" t="n">
        <v>0.0672</v>
      </c>
    </row>
    <row r="1370" customFormat="false" ht="15" hidden="false" customHeight="false" outlineLevel="0" collapsed="false">
      <c r="A1370" s="1" t="s">
        <v>1405</v>
      </c>
      <c r="B1370" s="1" t="s">
        <v>32</v>
      </c>
      <c r="C1370" s="1" t="n">
        <v>2420000</v>
      </c>
      <c r="D1370" s="1" t="n">
        <v>3045.9</v>
      </c>
      <c r="E1370" s="1" t="n">
        <v>0.0192</v>
      </c>
      <c r="F1370" s="1" t="n">
        <v>0.1067</v>
      </c>
    </row>
    <row r="1371" customFormat="false" ht="15" hidden="false" customHeight="false" outlineLevel="0" collapsed="false">
      <c r="A1371" s="1" t="s">
        <v>1406</v>
      </c>
      <c r="B1371" s="1" t="s">
        <v>50</v>
      </c>
      <c r="C1371" s="1" t="n">
        <v>2720000</v>
      </c>
      <c r="D1371" s="1" t="n">
        <v>278992.9</v>
      </c>
      <c r="E1371" s="1" t="n">
        <v>0.0239</v>
      </c>
      <c r="F1371" s="1" t="n">
        <v>0.0409</v>
      </c>
    </row>
    <row r="1372" customFormat="false" ht="15" hidden="false" customHeight="false" outlineLevel="0" collapsed="false">
      <c r="A1372" s="1" t="s">
        <v>1407</v>
      </c>
      <c r="B1372" s="1" t="s">
        <v>214</v>
      </c>
      <c r="C1372" s="1" t="n">
        <v>3010000</v>
      </c>
      <c r="D1372" s="1" t="n">
        <v>420626.2</v>
      </c>
      <c r="E1372" s="1" t="n">
        <v>0.0235</v>
      </c>
      <c r="F1372" s="1" t="n">
        <v>0.0951</v>
      </c>
    </row>
    <row r="1373" customFormat="false" ht="15" hidden="false" customHeight="false" outlineLevel="0" collapsed="false">
      <c r="A1373" s="1" t="s">
        <v>1408</v>
      </c>
      <c r="B1373" s="1" t="s">
        <v>26</v>
      </c>
      <c r="C1373" s="1" t="n">
        <v>3020000</v>
      </c>
      <c r="D1373" s="1" t="n">
        <v>122682.3</v>
      </c>
      <c r="E1373" s="1" t="n">
        <v>0.0071</v>
      </c>
      <c r="F1373" s="1" t="n">
        <v>0.0811</v>
      </c>
    </row>
    <row r="1374" customFormat="false" ht="15" hidden="false" customHeight="false" outlineLevel="0" collapsed="false">
      <c r="A1374" s="1" t="s">
        <v>1409</v>
      </c>
      <c r="B1374" s="1" t="s">
        <v>26</v>
      </c>
      <c r="C1374" s="1" t="n">
        <v>8680000</v>
      </c>
      <c r="D1374" s="1" t="n">
        <v>320688.6</v>
      </c>
      <c r="E1374" s="1" t="n">
        <v>0.0988</v>
      </c>
      <c r="F1374" s="1" t="n">
        <v>0.0759</v>
      </c>
    </row>
    <row r="1375" customFormat="false" ht="15" hidden="false" customHeight="false" outlineLevel="0" collapsed="false">
      <c r="A1375" s="1" t="s">
        <v>1410</v>
      </c>
      <c r="B1375" s="1" t="s">
        <v>41</v>
      </c>
      <c r="C1375" s="1" t="n">
        <v>3220000</v>
      </c>
      <c r="D1375" s="1" t="n">
        <v>1381.8</v>
      </c>
      <c r="E1375" s="1" t="n">
        <v>0.0303</v>
      </c>
      <c r="F1375" s="1" t="n">
        <v>0.0938</v>
      </c>
    </row>
    <row r="1376" customFormat="false" ht="15" hidden="false" customHeight="false" outlineLevel="0" collapsed="false">
      <c r="A1376" s="1" t="s">
        <v>1411</v>
      </c>
      <c r="B1376" s="1" t="s">
        <v>26</v>
      </c>
      <c r="C1376" s="1" t="n">
        <v>2540000</v>
      </c>
      <c r="D1376" s="1" t="n">
        <v>69716.4</v>
      </c>
      <c r="E1376" s="1" t="n">
        <v>0.0569</v>
      </c>
      <c r="F1376" s="1" t="n">
        <v>0.0759</v>
      </c>
    </row>
    <row r="1377" customFormat="false" ht="15" hidden="false" customHeight="false" outlineLevel="0" collapsed="false">
      <c r="A1377" s="1" t="s">
        <v>1412</v>
      </c>
      <c r="B1377" s="1" t="s">
        <v>24</v>
      </c>
      <c r="C1377" s="1" t="n">
        <v>2660000</v>
      </c>
      <c r="D1377" s="1" t="n">
        <v>163422.1</v>
      </c>
      <c r="E1377" s="1" t="n">
        <v>0.0648</v>
      </c>
      <c r="F1377" s="1" t="n">
        <v>0.0951</v>
      </c>
    </row>
    <row r="1378" customFormat="false" ht="15" hidden="false" customHeight="false" outlineLevel="0" collapsed="false">
      <c r="A1378" s="1" t="s">
        <v>1413</v>
      </c>
      <c r="B1378" s="1" t="s">
        <v>92</v>
      </c>
      <c r="C1378" s="1" t="n">
        <v>2340000</v>
      </c>
      <c r="D1378" s="1" t="n">
        <v>3929.6</v>
      </c>
      <c r="E1378" s="1" t="n">
        <v>0.0487</v>
      </c>
      <c r="F1378" s="1" t="n">
        <v>0.0759</v>
      </c>
    </row>
    <row r="1379" customFormat="false" ht="15" hidden="false" customHeight="false" outlineLevel="0" collapsed="false">
      <c r="A1379" s="1" t="s">
        <v>1414</v>
      </c>
      <c r="B1379" s="1" t="s">
        <v>32</v>
      </c>
      <c r="C1379" s="1" t="n">
        <v>2860000</v>
      </c>
      <c r="D1379" s="1" t="n">
        <v>4557.1</v>
      </c>
      <c r="E1379" s="1" t="n">
        <v>0.0045</v>
      </c>
      <c r="F1379" s="1" t="n">
        <v>0.0811</v>
      </c>
    </row>
    <row r="1380" customFormat="false" ht="15" hidden="false" customHeight="false" outlineLevel="0" collapsed="false">
      <c r="A1380" s="1" t="s">
        <v>1415</v>
      </c>
      <c r="B1380" s="1" t="s">
        <v>74</v>
      </c>
      <c r="C1380" s="1" t="n">
        <v>2470000</v>
      </c>
      <c r="D1380" s="1" t="n">
        <v>11221</v>
      </c>
      <c r="E1380" s="1" t="n">
        <v>0.0455</v>
      </c>
      <c r="F1380" s="1" t="n">
        <v>0.0938</v>
      </c>
    </row>
    <row r="1381" customFormat="false" ht="15" hidden="false" customHeight="false" outlineLevel="0" collapsed="false">
      <c r="A1381" s="1" t="s">
        <v>1416</v>
      </c>
      <c r="B1381" s="1" t="s">
        <v>30</v>
      </c>
      <c r="C1381" s="1" t="n">
        <v>3510000</v>
      </c>
      <c r="D1381" s="1" t="n">
        <v>2187343.9</v>
      </c>
      <c r="E1381" s="1" t="n">
        <v>0.0193</v>
      </c>
      <c r="F1381" s="1" t="n">
        <v>0.0462</v>
      </c>
    </row>
    <row r="1382" customFormat="false" ht="15" hidden="false" customHeight="false" outlineLevel="0" collapsed="false">
      <c r="A1382" s="1" t="s">
        <v>1417</v>
      </c>
      <c r="B1382" s="1" t="s">
        <v>26</v>
      </c>
      <c r="C1382" s="1" t="n">
        <v>2560000</v>
      </c>
      <c r="D1382" s="1" t="n">
        <v>15521.8</v>
      </c>
      <c r="E1382" s="1" t="n">
        <v>0.0495</v>
      </c>
      <c r="F1382" s="1" t="n">
        <v>0.0759</v>
      </c>
    </row>
    <row r="1383" customFormat="false" ht="15" hidden="false" customHeight="false" outlineLevel="0" collapsed="false">
      <c r="A1383" s="1" t="s">
        <v>1418</v>
      </c>
      <c r="B1383" s="1" t="s">
        <v>88</v>
      </c>
      <c r="C1383" s="1" t="n">
        <v>2580000</v>
      </c>
      <c r="D1383" s="1" t="n">
        <v>2446.8</v>
      </c>
      <c r="E1383" s="1" t="n">
        <v>0.1048</v>
      </c>
      <c r="F1383" s="1" t="n">
        <v>0.0938</v>
      </c>
    </row>
    <row r="1384" customFormat="false" ht="15" hidden="false" customHeight="false" outlineLevel="0" collapsed="false">
      <c r="A1384" s="1" t="s">
        <v>1419</v>
      </c>
      <c r="B1384" s="1" t="s">
        <v>214</v>
      </c>
      <c r="C1384" s="1" t="n">
        <v>2880000</v>
      </c>
      <c r="D1384" s="1" t="n">
        <v>374574.7</v>
      </c>
      <c r="E1384" s="1" t="n">
        <v>0.0074</v>
      </c>
      <c r="F1384" s="1" t="n">
        <v>0.0654</v>
      </c>
    </row>
    <row r="1385" customFormat="false" ht="15" hidden="false" customHeight="false" outlineLevel="0" collapsed="false">
      <c r="A1385" s="1" t="s">
        <v>1420</v>
      </c>
      <c r="B1385" s="1" t="s">
        <v>26</v>
      </c>
      <c r="C1385" s="1" t="n">
        <v>3810000</v>
      </c>
      <c r="D1385" s="1" t="n">
        <v>986576.4</v>
      </c>
      <c r="E1385" s="1" t="n">
        <v>0.0058</v>
      </c>
      <c r="F1385" s="1" t="n">
        <v>0.0811</v>
      </c>
    </row>
    <row r="1386" customFormat="false" ht="15" hidden="false" customHeight="false" outlineLevel="0" collapsed="false">
      <c r="A1386" s="1" t="s">
        <v>1421</v>
      </c>
      <c r="B1386" s="1" t="s">
        <v>92</v>
      </c>
      <c r="C1386" s="1" t="n">
        <v>2860000</v>
      </c>
      <c r="D1386" s="1" t="n">
        <v>190.1</v>
      </c>
      <c r="E1386" s="1" t="n">
        <v>0.0185</v>
      </c>
      <c r="F1386" s="1" t="n">
        <v>0.1372</v>
      </c>
    </row>
    <row r="1387" customFormat="false" ht="15" hidden="false" customHeight="false" outlineLevel="0" collapsed="false">
      <c r="A1387" s="1" t="s">
        <v>1422</v>
      </c>
      <c r="B1387" s="1" t="s">
        <v>21</v>
      </c>
      <c r="C1387" s="1" t="n">
        <v>3240000</v>
      </c>
      <c r="D1387" s="1" t="n">
        <v>3580.1</v>
      </c>
      <c r="E1387" s="1" t="n">
        <v>0.0197</v>
      </c>
      <c r="F1387" s="1" t="n">
        <v>0.0757</v>
      </c>
    </row>
    <row r="1388" customFormat="false" ht="15" hidden="false" customHeight="false" outlineLevel="0" collapsed="false">
      <c r="A1388" s="1" t="s">
        <v>1423</v>
      </c>
      <c r="B1388" s="1" t="s">
        <v>41</v>
      </c>
      <c r="C1388" s="1" t="n">
        <v>2240000</v>
      </c>
      <c r="D1388" s="1" t="n">
        <v>311.3</v>
      </c>
      <c r="E1388" s="1" t="n">
        <v>0.039</v>
      </c>
      <c r="F1388" s="1" t="n">
        <v>0.0938</v>
      </c>
    </row>
    <row r="1389" customFormat="false" ht="15" hidden="false" customHeight="false" outlineLevel="0" collapsed="false">
      <c r="A1389" s="1" t="s">
        <v>1424</v>
      </c>
      <c r="B1389" s="1" t="s">
        <v>26</v>
      </c>
      <c r="C1389" s="1" t="n">
        <v>2490000</v>
      </c>
      <c r="D1389" s="1" t="n">
        <v>181614.3</v>
      </c>
      <c r="E1389" s="1" t="n">
        <v>0.0377</v>
      </c>
      <c r="F1389" s="1" t="n">
        <v>0.0409</v>
      </c>
    </row>
    <row r="1390" customFormat="false" ht="15" hidden="false" customHeight="false" outlineLevel="0" collapsed="false">
      <c r="A1390" s="1" t="s">
        <v>1425</v>
      </c>
      <c r="B1390" s="1" t="s">
        <v>287</v>
      </c>
      <c r="C1390" s="1" t="n">
        <v>2210000</v>
      </c>
      <c r="D1390" s="1" t="n">
        <v>2104.4</v>
      </c>
      <c r="E1390" s="1" t="n">
        <v>0.0134</v>
      </c>
      <c r="F1390" s="1" t="n">
        <v>0.0726</v>
      </c>
    </row>
    <row r="1391" customFormat="false" ht="15" hidden="false" customHeight="false" outlineLevel="0" collapsed="false">
      <c r="A1391" s="1" t="s">
        <v>1426</v>
      </c>
      <c r="B1391" s="1" t="s">
        <v>24</v>
      </c>
      <c r="C1391" s="1" t="n">
        <v>3450000</v>
      </c>
      <c r="D1391" s="1" t="n">
        <v>64299.5</v>
      </c>
      <c r="E1391" s="1" t="n">
        <v>0.024</v>
      </c>
      <c r="F1391" s="1" t="n">
        <v>0.0854</v>
      </c>
    </row>
    <row r="1392" customFormat="false" ht="15" hidden="false" customHeight="false" outlineLevel="0" collapsed="false">
      <c r="A1392" s="1" t="s">
        <v>1427</v>
      </c>
      <c r="B1392" s="1" t="s">
        <v>26</v>
      </c>
      <c r="C1392" s="1" t="n">
        <v>2150000</v>
      </c>
      <c r="D1392" s="1" t="n">
        <v>5245.9</v>
      </c>
      <c r="E1392" s="1" t="n">
        <v>0.0156</v>
      </c>
      <c r="F1392" s="1" t="n">
        <v>0.0726</v>
      </c>
    </row>
    <row r="1393" customFormat="false" ht="15" hidden="false" customHeight="false" outlineLevel="0" collapsed="false">
      <c r="A1393" s="1" t="s">
        <v>1428</v>
      </c>
      <c r="B1393" s="1" t="s">
        <v>62</v>
      </c>
      <c r="C1393" s="1" t="n">
        <v>4810000</v>
      </c>
      <c r="D1393" s="1" t="n">
        <v>290392.9</v>
      </c>
      <c r="E1393" s="1" t="n">
        <v>0.0514</v>
      </c>
      <c r="F1393" s="1" t="n">
        <v>0.0759</v>
      </c>
    </row>
    <row r="1394" customFormat="false" ht="15" hidden="false" customHeight="false" outlineLevel="0" collapsed="false">
      <c r="A1394" s="1" t="s">
        <v>1429</v>
      </c>
      <c r="B1394" s="1" t="s">
        <v>32</v>
      </c>
      <c r="C1394" s="1" t="n">
        <v>2920000</v>
      </c>
      <c r="D1394" s="1" t="n">
        <v>155448.2</v>
      </c>
      <c r="E1394" s="1" t="n">
        <v>0.0124</v>
      </c>
      <c r="F1394" s="1" t="n">
        <v>0.0811</v>
      </c>
    </row>
    <row r="1395" customFormat="false" ht="15" hidden="false" customHeight="false" outlineLevel="0" collapsed="false">
      <c r="A1395" s="1" t="s">
        <v>1430</v>
      </c>
      <c r="B1395" s="1" t="s">
        <v>62</v>
      </c>
      <c r="C1395" s="1" t="n">
        <v>2720000</v>
      </c>
      <c r="D1395" s="1" t="n">
        <v>8274.5</v>
      </c>
      <c r="E1395" s="1" t="n">
        <v>0.0281</v>
      </c>
      <c r="F1395" s="1" t="n">
        <v>0.0759</v>
      </c>
    </row>
    <row r="1396" customFormat="false" ht="15" hidden="false" customHeight="false" outlineLevel="0" collapsed="false">
      <c r="A1396" s="1" t="s">
        <v>1431</v>
      </c>
      <c r="B1396" s="1" t="s">
        <v>26</v>
      </c>
      <c r="C1396" s="1" t="n">
        <v>3140000</v>
      </c>
      <c r="D1396" s="1" t="n">
        <v>3799721.7</v>
      </c>
      <c r="E1396" s="1" t="n">
        <v>0.0455</v>
      </c>
      <c r="F1396" s="1" t="n">
        <v>0.0759</v>
      </c>
    </row>
    <row r="1397" customFormat="false" ht="15" hidden="false" customHeight="false" outlineLevel="0" collapsed="false">
      <c r="A1397" s="1" t="s">
        <v>1432</v>
      </c>
      <c r="B1397" s="1" t="s">
        <v>30</v>
      </c>
      <c r="C1397" s="1" t="n">
        <v>2190000</v>
      </c>
      <c r="D1397" s="1" t="n">
        <v>6951.2</v>
      </c>
      <c r="E1397" s="1" t="n">
        <v>0.0284</v>
      </c>
      <c r="F1397" s="1" t="n">
        <v>0.0951</v>
      </c>
    </row>
    <row r="1398" customFormat="false" ht="15" hidden="false" customHeight="false" outlineLevel="0" collapsed="false">
      <c r="A1398" s="1" t="s">
        <v>1433</v>
      </c>
      <c r="B1398" s="1" t="s">
        <v>214</v>
      </c>
      <c r="C1398" s="1" t="n">
        <v>2380000</v>
      </c>
      <c r="D1398" s="1" t="n">
        <v>12007.5</v>
      </c>
      <c r="E1398" s="1" t="n">
        <v>0.0261</v>
      </c>
      <c r="F1398" s="1" t="n">
        <v>0.0759</v>
      </c>
    </row>
    <row r="1399" customFormat="false" ht="15" hidden="false" customHeight="false" outlineLevel="0" collapsed="false">
      <c r="A1399" s="1" t="s">
        <v>1434</v>
      </c>
      <c r="B1399" s="1" t="s">
        <v>88</v>
      </c>
      <c r="C1399" s="1" t="n">
        <v>2390000</v>
      </c>
      <c r="D1399" s="1" t="n">
        <v>24291.9</v>
      </c>
      <c r="E1399" s="1" t="n">
        <v>0.0306</v>
      </c>
      <c r="F1399" s="1" t="n">
        <v>0.0951</v>
      </c>
    </row>
    <row r="1400" customFormat="false" ht="15" hidden="false" customHeight="false" outlineLevel="0" collapsed="false">
      <c r="A1400" s="1" t="s">
        <v>1435</v>
      </c>
      <c r="B1400" s="1" t="s">
        <v>26</v>
      </c>
      <c r="C1400" s="1" t="n">
        <v>2200000</v>
      </c>
      <c r="D1400" s="1" t="n">
        <v>1688.4</v>
      </c>
      <c r="E1400" s="1" t="n">
        <v>0.007</v>
      </c>
      <c r="F1400" s="1" t="n">
        <v>0.0811</v>
      </c>
    </row>
    <row r="1401" customFormat="false" ht="15" hidden="false" customHeight="false" outlineLevel="0" collapsed="false">
      <c r="A1401" s="1" t="s">
        <v>1436</v>
      </c>
      <c r="B1401" s="1" t="s">
        <v>21</v>
      </c>
      <c r="C1401" s="1" t="n">
        <v>2180000</v>
      </c>
      <c r="D1401" s="1" t="n">
        <v>3988.4</v>
      </c>
      <c r="E1401" s="1" t="n">
        <v>0.0303</v>
      </c>
      <c r="F1401" s="1" t="n">
        <v>0.0951</v>
      </c>
    </row>
    <row r="1402" customFormat="false" ht="15" hidden="false" customHeight="false" outlineLevel="0" collapsed="false">
      <c r="A1402" s="1" t="s">
        <v>1437</v>
      </c>
      <c r="B1402" s="1" t="s">
        <v>26</v>
      </c>
      <c r="C1402" s="1" t="n">
        <v>2580000</v>
      </c>
      <c r="D1402" s="1" t="n">
        <v>61680.9</v>
      </c>
      <c r="E1402" s="1" t="n">
        <v>0.0066</v>
      </c>
      <c r="F1402" s="1" t="n">
        <v>0.0654</v>
      </c>
    </row>
    <row r="1403" customFormat="false" ht="15" hidden="false" customHeight="false" outlineLevel="0" collapsed="false">
      <c r="A1403" s="1" t="s">
        <v>1438</v>
      </c>
      <c r="B1403" s="1" t="s">
        <v>26</v>
      </c>
      <c r="C1403" s="1" t="n">
        <v>2750000</v>
      </c>
      <c r="D1403" s="1" t="n">
        <v>2066.2</v>
      </c>
      <c r="E1403" s="1" t="n">
        <v>0.0114</v>
      </c>
      <c r="F1403" s="1" t="n">
        <v>0.1013</v>
      </c>
    </row>
    <row r="1404" customFormat="false" ht="15" hidden="false" customHeight="false" outlineLevel="0" collapsed="false">
      <c r="A1404" s="1" t="s">
        <v>1439</v>
      </c>
      <c r="B1404" s="1" t="s">
        <v>41</v>
      </c>
      <c r="C1404" s="1" t="n">
        <v>3140000</v>
      </c>
      <c r="D1404" s="1" t="n">
        <v>130944.5</v>
      </c>
      <c r="F1404" s="1" t="n">
        <v>0.051</v>
      </c>
    </row>
    <row r="1405" customFormat="false" ht="15" hidden="false" customHeight="false" outlineLevel="0" collapsed="false">
      <c r="A1405" s="1" t="s">
        <v>1440</v>
      </c>
      <c r="B1405" s="1" t="s">
        <v>81</v>
      </c>
      <c r="C1405" s="1" t="n">
        <v>2530000</v>
      </c>
      <c r="D1405" s="1" t="n">
        <v>24578.9</v>
      </c>
      <c r="E1405" s="1" t="n">
        <v>0.0184</v>
      </c>
      <c r="F1405" s="1" t="n">
        <v>0.1053</v>
      </c>
    </row>
    <row r="1406" customFormat="false" ht="15" hidden="false" customHeight="false" outlineLevel="0" collapsed="false">
      <c r="A1406" s="1" t="s">
        <v>1441</v>
      </c>
      <c r="B1406" s="1" t="s">
        <v>92</v>
      </c>
      <c r="C1406" s="1" t="n">
        <v>2190000</v>
      </c>
      <c r="D1406" s="1" t="n">
        <v>2994.8</v>
      </c>
      <c r="E1406" s="1" t="n">
        <v>0.0224</v>
      </c>
      <c r="F1406" s="1" t="n">
        <v>0.0937</v>
      </c>
    </row>
    <row r="1407" customFormat="false" ht="15" hidden="false" customHeight="false" outlineLevel="0" collapsed="false">
      <c r="A1407" s="1" t="s">
        <v>1442</v>
      </c>
      <c r="B1407" s="1" t="s">
        <v>30</v>
      </c>
      <c r="C1407" s="1" t="n">
        <v>2270000</v>
      </c>
      <c r="D1407" s="1" t="n">
        <v>365667.1</v>
      </c>
      <c r="E1407" s="1" t="n">
        <v>0.0267</v>
      </c>
      <c r="F1407" s="1" t="n">
        <v>0.0759</v>
      </c>
    </row>
    <row r="1408" customFormat="false" ht="15" hidden="false" customHeight="false" outlineLevel="0" collapsed="false">
      <c r="A1408" s="1" t="s">
        <v>1443</v>
      </c>
      <c r="B1408" s="1" t="s">
        <v>26</v>
      </c>
      <c r="C1408" s="1" t="n">
        <v>3690000</v>
      </c>
      <c r="D1408" s="1" t="n">
        <v>8204953.6</v>
      </c>
      <c r="E1408" s="1" t="n">
        <v>0.0204</v>
      </c>
      <c r="F1408" s="1" t="n">
        <v>0.0518</v>
      </c>
    </row>
    <row r="1409" customFormat="false" ht="15" hidden="false" customHeight="false" outlineLevel="0" collapsed="false">
      <c r="A1409" s="1" t="s">
        <v>1444</v>
      </c>
      <c r="B1409" s="1" t="s">
        <v>62</v>
      </c>
      <c r="C1409" s="1" t="n">
        <v>2310000</v>
      </c>
      <c r="D1409" s="1" t="n">
        <v>24912.9</v>
      </c>
      <c r="E1409" s="1" t="n">
        <v>0.0355</v>
      </c>
      <c r="F1409" s="1" t="n">
        <v>0.0951</v>
      </c>
    </row>
    <row r="1410" customFormat="false" ht="15" hidden="false" customHeight="false" outlineLevel="0" collapsed="false">
      <c r="A1410" s="1" t="s">
        <v>1445</v>
      </c>
      <c r="B1410" s="1" t="s">
        <v>26</v>
      </c>
      <c r="C1410" s="1" t="n">
        <v>2980000</v>
      </c>
      <c r="D1410" s="1" t="n">
        <v>63823.4</v>
      </c>
      <c r="E1410" s="1" t="n">
        <v>0.0109</v>
      </c>
      <c r="F1410" s="1" t="n">
        <v>0.1889</v>
      </c>
    </row>
    <row r="1411" customFormat="false" ht="15" hidden="false" customHeight="false" outlineLevel="0" collapsed="false">
      <c r="A1411" s="1" t="s">
        <v>1446</v>
      </c>
      <c r="B1411" s="1" t="s">
        <v>88</v>
      </c>
      <c r="C1411" s="1" t="n">
        <v>2290000</v>
      </c>
      <c r="D1411" s="1" t="n">
        <v>29954.6</v>
      </c>
      <c r="E1411" s="1" t="n">
        <v>0.046</v>
      </c>
      <c r="F1411" s="1" t="n">
        <v>0.0759</v>
      </c>
    </row>
    <row r="1412" customFormat="false" ht="15" hidden="false" customHeight="false" outlineLevel="0" collapsed="false">
      <c r="A1412" s="1" t="s">
        <v>1447</v>
      </c>
      <c r="B1412" s="1" t="s">
        <v>26</v>
      </c>
      <c r="C1412" s="1" t="n">
        <v>3540000</v>
      </c>
      <c r="D1412" s="1" t="n">
        <v>31.9</v>
      </c>
      <c r="E1412" s="1" t="n">
        <v>0.0021</v>
      </c>
      <c r="F1412" s="1" t="n">
        <v>0.2657</v>
      </c>
    </row>
    <row r="1413" customFormat="false" ht="15" hidden="false" customHeight="false" outlineLevel="0" collapsed="false">
      <c r="A1413" s="1" t="s">
        <v>1448</v>
      </c>
      <c r="B1413" s="1" t="s">
        <v>92</v>
      </c>
      <c r="C1413" s="1" t="n">
        <v>2500000</v>
      </c>
      <c r="D1413" s="1" t="n">
        <v>58316</v>
      </c>
      <c r="E1413" s="1" t="n">
        <v>0.0241</v>
      </c>
      <c r="F1413" s="1" t="n">
        <v>0.0759</v>
      </c>
    </row>
    <row r="1414" customFormat="false" ht="15" hidden="false" customHeight="false" outlineLevel="0" collapsed="false">
      <c r="A1414" s="1" t="s">
        <v>1449</v>
      </c>
      <c r="B1414" s="1" t="s">
        <v>41</v>
      </c>
      <c r="C1414" s="1" t="n">
        <v>2790000</v>
      </c>
      <c r="D1414" s="1" t="n">
        <v>1943.2</v>
      </c>
      <c r="E1414" s="1" t="n">
        <v>0.0284</v>
      </c>
      <c r="F1414" s="1" t="n">
        <v>0.1226</v>
      </c>
    </row>
    <row r="1415" customFormat="false" ht="15" hidden="false" customHeight="false" outlineLevel="0" collapsed="false">
      <c r="A1415" s="1" t="s">
        <v>1450</v>
      </c>
      <c r="B1415" s="1" t="s">
        <v>287</v>
      </c>
      <c r="C1415" s="1" t="n">
        <v>4450000</v>
      </c>
      <c r="D1415" s="1" t="n">
        <v>293953.5</v>
      </c>
      <c r="E1415" s="1" t="n">
        <v>0.0255</v>
      </c>
      <c r="F1415" s="1" t="n">
        <v>0.0409</v>
      </c>
    </row>
    <row r="1416" customFormat="false" ht="15" hidden="false" customHeight="false" outlineLevel="0" collapsed="false">
      <c r="A1416" s="1" t="s">
        <v>1451</v>
      </c>
      <c r="B1416" s="1" t="s">
        <v>53</v>
      </c>
      <c r="C1416" s="1" t="n">
        <v>2560000</v>
      </c>
      <c r="D1416" s="1" t="n">
        <v>19013.2</v>
      </c>
      <c r="E1416" s="1" t="n">
        <v>0.0375</v>
      </c>
      <c r="F1416" s="1" t="n">
        <v>0.0938</v>
      </c>
    </row>
    <row r="1417" customFormat="false" ht="15" hidden="false" customHeight="false" outlineLevel="0" collapsed="false">
      <c r="A1417" s="1" t="s">
        <v>1452</v>
      </c>
      <c r="B1417" s="1" t="s">
        <v>26</v>
      </c>
      <c r="C1417" s="1" t="n">
        <v>17900000</v>
      </c>
      <c r="D1417" s="1" t="n">
        <v>805030.2</v>
      </c>
      <c r="E1417" s="1" t="n">
        <v>0.0453</v>
      </c>
      <c r="F1417" s="1" t="n">
        <v>0.1043</v>
      </c>
    </row>
    <row r="1418" customFormat="false" ht="15" hidden="false" customHeight="false" outlineLevel="0" collapsed="false">
      <c r="A1418" s="1" t="s">
        <v>1453</v>
      </c>
      <c r="B1418" s="1" t="s">
        <v>195</v>
      </c>
      <c r="C1418" s="1" t="n">
        <v>2290000</v>
      </c>
      <c r="D1418" s="1" t="n">
        <v>3598.6</v>
      </c>
      <c r="E1418" s="1" t="n">
        <v>0.0144</v>
      </c>
      <c r="F1418" s="1" t="n">
        <v>0.1604</v>
      </c>
    </row>
    <row r="1419" customFormat="false" ht="15" hidden="false" customHeight="false" outlineLevel="0" collapsed="false">
      <c r="A1419" s="1" t="s">
        <v>1454</v>
      </c>
      <c r="B1419" s="1" t="s">
        <v>41</v>
      </c>
      <c r="C1419" s="1" t="n">
        <v>2680000</v>
      </c>
      <c r="D1419" s="1" t="n">
        <v>614.5</v>
      </c>
      <c r="E1419" s="1" t="n">
        <v>0.1139</v>
      </c>
      <c r="F1419" s="1" t="n">
        <v>0.6579</v>
      </c>
    </row>
    <row r="1420" customFormat="false" ht="15" hidden="false" customHeight="false" outlineLevel="0" collapsed="false">
      <c r="A1420" s="1" t="s">
        <v>1455</v>
      </c>
      <c r="B1420" s="1" t="s">
        <v>26</v>
      </c>
      <c r="C1420" s="1" t="n">
        <v>2080000</v>
      </c>
      <c r="D1420" s="1" t="n">
        <v>772.1</v>
      </c>
      <c r="E1420" s="1" t="n">
        <v>0.0241</v>
      </c>
      <c r="F1420" s="1" t="n">
        <v>0.0951</v>
      </c>
    </row>
    <row r="1421" customFormat="false" ht="15" hidden="false" customHeight="false" outlineLevel="0" collapsed="false">
      <c r="A1421" s="1" t="s">
        <v>1456</v>
      </c>
      <c r="B1421" s="1" t="s">
        <v>88</v>
      </c>
      <c r="C1421" s="1" t="n">
        <v>2250000</v>
      </c>
      <c r="D1421" s="1" t="n">
        <v>4965.5</v>
      </c>
      <c r="E1421" s="1" t="n">
        <v>0.0572</v>
      </c>
      <c r="F1421" s="1" t="n">
        <v>0.0759</v>
      </c>
    </row>
    <row r="1422" customFormat="false" ht="15" hidden="false" customHeight="false" outlineLevel="0" collapsed="false">
      <c r="A1422" s="1" t="s">
        <v>1457</v>
      </c>
      <c r="B1422" s="1" t="s">
        <v>62</v>
      </c>
      <c r="C1422" s="1" t="n">
        <v>2150000</v>
      </c>
      <c r="D1422" s="1" t="n">
        <v>5171.3</v>
      </c>
      <c r="E1422" s="1" t="n">
        <v>0.018</v>
      </c>
      <c r="F1422" s="1" t="n">
        <v>0.1053</v>
      </c>
    </row>
    <row r="1423" customFormat="false" ht="15" hidden="false" customHeight="false" outlineLevel="0" collapsed="false">
      <c r="A1423" s="1" t="s">
        <v>1458</v>
      </c>
      <c r="B1423" s="1" t="s">
        <v>71</v>
      </c>
      <c r="C1423" s="1" t="n">
        <v>2230000</v>
      </c>
      <c r="D1423" s="1" t="n">
        <v>28.1</v>
      </c>
      <c r="E1423" s="1" t="n">
        <v>0.0177</v>
      </c>
      <c r="F1423" s="1" t="n">
        <v>0.241</v>
      </c>
    </row>
    <row r="1424" customFormat="false" ht="15" hidden="false" customHeight="false" outlineLevel="0" collapsed="false">
      <c r="A1424" s="1" t="s">
        <v>1459</v>
      </c>
      <c r="B1424" s="1" t="s">
        <v>26</v>
      </c>
      <c r="C1424" s="1" t="n">
        <v>2410000</v>
      </c>
      <c r="D1424" s="1" t="n">
        <v>282839.4</v>
      </c>
      <c r="E1424" s="1" t="n">
        <v>0.0509</v>
      </c>
      <c r="F1424" s="1" t="n">
        <v>0.0938</v>
      </c>
    </row>
    <row r="1425" customFormat="false" ht="15" hidden="false" customHeight="false" outlineLevel="0" collapsed="false">
      <c r="A1425" s="1" t="s">
        <v>1460</v>
      </c>
      <c r="B1425" s="1" t="s">
        <v>21</v>
      </c>
      <c r="C1425" s="1" t="n">
        <v>3120000</v>
      </c>
      <c r="D1425" s="1" t="n">
        <v>7971106.7</v>
      </c>
      <c r="E1425" s="1" t="n">
        <v>0.0056</v>
      </c>
      <c r="F1425" s="1" t="n">
        <v>0.0822</v>
      </c>
    </row>
    <row r="1426" customFormat="false" ht="15" hidden="false" customHeight="false" outlineLevel="0" collapsed="false">
      <c r="A1426" s="1" t="s">
        <v>1461</v>
      </c>
      <c r="B1426" s="1" t="s">
        <v>26</v>
      </c>
      <c r="C1426" s="1" t="n">
        <v>2260000</v>
      </c>
      <c r="D1426" s="1" t="n">
        <v>1442.2</v>
      </c>
      <c r="F1426" s="1" t="n">
        <v>0.0938</v>
      </c>
    </row>
    <row r="1427" customFormat="false" ht="15" hidden="false" customHeight="false" outlineLevel="0" collapsed="false">
      <c r="A1427" s="1" t="s">
        <v>1462</v>
      </c>
      <c r="B1427" s="1" t="s">
        <v>26</v>
      </c>
      <c r="C1427" s="1" t="n">
        <v>2460000</v>
      </c>
      <c r="D1427" s="1" t="n">
        <v>133797.4</v>
      </c>
      <c r="E1427" s="1" t="n">
        <v>0.06</v>
      </c>
      <c r="F1427" s="1" t="n">
        <v>0.0938</v>
      </c>
    </row>
    <row r="1428" customFormat="false" ht="15" hidden="false" customHeight="false" outlineLevel="0" collapsed="false">
      <c r="A1428" s="1" t="s">
        <v>1463</v>
      </c>
      <c r="B1428" s="1" t="s">
        <v>26</v>
      </c>
      <c r="C1428" s="1" t="n">
        <v>2170000</v>
      </c>
      <c r="D1428" s="1" t="n">
        <v>59658.2</v>
      </c>
      <c r="E1428" s="1" t="n">
        <v>0.0577</v>
      </c>
      <c r="F1428" s="1" t="n">
        <v>0.0951</v>
      </c>
    </row>
    <row r="1429" customFormat="false" ht="15" hidden="false" customHeight="false" outlineLevel="0" collapsed="false">
      <c r="A1429" s="1" t="s">
        <v>1464</v>
      </c>
      <c r="B1429" s="1" t="s">
        <v>71</v>
      </c>
      <c r="C1429" s="1" t="n">
        <v>2170000</v>
      </c>
      <c r="D1429" s="1" t="n">
        <v>19758.1</v>
      </c>
      <c r="E1429" s="1" t="n">
        <v>0.0169</v>
      </c>
      <c r="F1429" s="1" t="n">
        <v>0.0585</v>
      </c>
    </row>
    <row r="1430" customFormat="false" ht="15" hidden="false" customHeight="false" outlineLevel="0" collapsed="false">
      <c r="A1430" s="1" t="s">
        <v>1465</v>
      </c>
      <c r="B1430" s="1" t="s">
        <v>24</v>
      </c>
      <c r="C1430" s="1" t="n">
        <v>2200000</v>
      </c>
      <c r="D1430" s="1" t="n">
        <v>12927.2</v>
      </c>
      <c r="E1430" s="1" t="n">
        <v>0.0553</v>
      </c>
      <c r="F1430" s="1" t="n">
        <v>0.0432</v>
      </c>
    </row>
    <row r="1431" customFormat="false" ht="15" hidden="false" customHeight="false" outlineLevel="0" collapsed="false">
      <c r="A1431" s="1" t="s">
        <v>1466</v>
      </c>
      <c r="B1431" s="1" t="s">
        <v>26</v>
      </c>
      <c r="C1431" s="1" t="n">
        <v>4510000</v>
      </c>
      <c r="D1431" s="1" t="n">
        <v>979067.8</v>
      </c>
      <c r="E1431" s="1" t="n">
        <v>0.0226</v>
      </c>
      <c r="F1431" s="1" t="n">
        <v>0.0518</v>
      </c>
    </row>
    <row r="1432" customFormat="false" ht="15" hidden="false" customHeight="false" outlineLevel="0" collapsed="false">
      <c r="A1432" s="1" t="s">
        <v>1467</v>
      </c>
      <c r="B1432" s="1" t="s">
        <v>26</v>
      </c>
      <c r="C1432" s="1" t="n">
        <v>2090000</v>
      </c>
      <c r="D1432" s="1" t="n">
        <v>681.8</v>
      </c>
      <c r="E1432" s="1" t="n">
        <v>0.0412</v>
      </c>
      <c r="F1432" s="1" t="n">
        <v>0.0759</v>
      </c>
    </row>
    <row r="1433" customFormat="false" ht="15" hidden="false" customHeight="false" outlineLevel="0" collapsed="false">
      <c r="A1433" s="1" t="s">
        <v>1468</v>
      </c>
      <c r="B1433" s="1" t="s">
        <v>21</v>
      </c>
      <c r="C1433" s="1" t="n">
        <v>2670000</v>
      </c>
      <c r="D1433" s="1" t="n">
        <v>1268490.8</v>
      </c>
      <c r="E1433" s="1" t="n">
        <v>0.0067</v>
      </c>
      <c r="F1433" s="1" t="n">
        <v>0.0828</v>
      </c>
    </row>
    <row r="1434" customFormat="false" ht="15" hidden="false" customHeight="false" outlineLevel="0" collapsed="false">
      <c r="A1434" s="1" t="s">
        <v>1469</v>
      </c>
      <c r="B1434" s="1" t="s">
        <v>21</v>
      </c>
      <c r="C1434" s="1" t="n">
        <v>2420000</v>
      </c>
      <c r="D1434" s="1" t="n">
        <v>16079.6</v>
      </c>
      <c r="E1434" s="1" t="n">
        <v>0.0382</v>
      </c>
      <c r="F1434" s="1" t="n">
        <v>0.051</v>
      </c>
    </row>
    <row r="1435" customFormat="false" ht="15" hidden="false" customHeight="false" outlineLevel="0" collapsed="false">
      <c r="A1435" s="1" t="s">
        <v>1470</v>
      </c>
      <c r="B1435" s="1" t="s">
        <v>26</v>
      </c>
      <c r="C1435" s="1" t="n">
        <v>969000</v>
      </c>
      <c r="D1435" s="1" t="n">
        <v>652684.3</v>
      </c>
      <c r="E1435" s="1" t="n">
        <v>0.0338</v>
      </c>
      <c r="F1435" s="1" t="n">
        <v>0.0951</v>
      </c>
    </row>
    <row r="1436" customFormat="false" ht="15" hidden="false" customHeight="false" outlineLevel="0" collapsed="false">
      <c r="A1436" s="1" t="s">
        <v>1471</v>
      </c>
      <c r="B1436" s="1" t="s">
        <v>24</v>
      </c>
      <c r="C1436" s="1" t="n">
        <v>3030000</v>
      </c>
      <c r="D1436" s="1" t="n">
        <v>14253.4</v>
      </c>
      <c r="E1436" s="1" t="n">
        <v>0.0121</v>
      </c>
      <c r="F1436" s="1" t="n">
        <v>0.0647</v>
      </c>
    </row>
    <row r="1437" customFormat="false" ht="15" hidden="false" customHeight="false" outlineLevel="0" collapsed="false">
      <c r="A1437" s="1" t="s">
        <v>1472</v>
      </c>
      <c r="B1437" s="1" t="s">
        <v>26</v>
      </c>
      <c r="C1437" s="1" t="n">
        <v>2510000</v>
      </c>
      <c r="D1437" s="1" t="n">
        <v>255772.3</v>
      </c>
      <c r="E1437" s="1" t="n">
        <v>0.0195</v>
      </c>
      <c r="F1437" s="1" t="n">
        <v>0.0585</v>
      </c>
    </row>
    <row r="1438" customFormat="false" ht="15" hidden="false" customHeight="false" outlineLevel="0" collapsed="false">
      <c r="A1438" s="1" t="s">
        <v>1473</v>
      </c>
      <c r="B1438" s="1" t="s">
        <v>287</v>
      </c>
      <c r="C1438" s="1" t="n">
        <v>3160000</v>
      </c>
      <c r="D1438" s="1" t="n">
        <v>177072.6</v>
      </c>
      <c r="E1438" s="1" t="n">
        <v>0.0124</v>
      </c>
      <c r="F1438" s="1" t="n">
        <v>0.0462</v>
      </c>
    </row>
    <row r="1439" customFormat="false" ht="15" hidden="false" customHeight="false" outlineLevel="0" collapsed="false">
      <c r="A1439" s="1" t="s">
        <v>1474</v>
      </c>
      <c r="B1439" s="1" t="s">
        <v>30</v>
      </c>
      <c r="C1439" s="1" t="n">
        <v>4820000</v>
      </c>
      <c r="D1439" s="1" t="n">
        <v>6261576.6</v>
      </c>
      <c r="E1439" s="1" t="n">
        <v>0.0232</v>
      </c>
      <c r="F1439" s="1" t="n">
        <v>0.0409</v>
      </c>
    </row>
    <row r="1440" customFormat="false" ht="15" hidden="false" customHeight="false" outlineLevel="0" collapsed="false">
      <c r="A1440" s="1" t="s">
        <v>1475</v>
      </c>
      <c r="B1440" s="1" t="s">
        <v>50</v>
      </c>
      <c r="C1440" s="1" t="n">
        <v>2620000</v>
      </c>
      <c r="D1440" s="1" t="n">
        <v>117873.9</v>
      </c>
      <c r="E1440" s="1" t="n">
        <v>0.0796</v>
      </c>
      <c r="F1440" s="1" t="n">
        <v>0.0938</v>
      </c>
    </row>
    <row r="1441" customFormat="false" ht="15" hidden="false" customHeight="false" outlineLevel="0" collapsed="false">
      <c r="A1441" s="1" t="s">
        <v>1476</v>
      </c>
      <c r="B1441" s="1" t="s">
        <v>41</v>
      </c>
      <c r="C1441" s="1" t="n">
        <v>2270000</v>
      </c>
      <c r="D1441" s="1" t="n">
        <v>507.6</v>
      </c>
      <c r="E1441" s="1" t="n">
        <v>0.0205</v>
      </c>
      <c r="F1441" s="1" t="n">
        <v>0.0462</v>
      </c>
    </row>
    <row r="1442" customFormat="false" ht="15" hidden="false" customHeight="false" outlineLevel="0" collapsed="false">
      <c r="A1442" s="1" t="s">
        <v>1477</v>
      </c>
      <c r="B1442" s="1" t="s">
        <v>41</v>
      </c>
      <c r="C1442" s="1" t="n">
        <v>2430000</v>
      </c>
      <c r="D1442" s="1" t="n">
        <v>5371.8</v>
      </c>
      <c r="E1442" s="1" t="n">
        <v>0.0653</v>
      </c>
      <c r="F1442" s="1" t="n">
        <v>0.0938</v>
      </c>
    </row>
    <row r="1443" customFormat="false" ht="15" hidden="false" customHeight="false" outlineLevel="0" collapsed="false">
      <c r="A1443" s="1" t="s">
        <v>1478</v>
      </c>
      <c r="B1443" s="1" t="s">
        <v>92</v>
      </c>
      <c r="C1443" s="1" t="n">
        <v>2490000</v>
      </c>
      <c r="D1443" s="1" t="n">
        <v>363369.4</v>
      </c>
      <c r="E1443" s="1" t="n">
        <v>0.0359</v>
      </c>
      <c r="F1443" s="1" t="n">
        <v>0.0409</v>
      </c>
    </row>
    <row r="1444" customFormat="false" ht="15" hidden="false" customHeight="false" outlineLevel="0" collapsed="false">
      <c r="A1444" s="1" t="s">
        <v>1479</v>
      </c>
      <c r="B1444" s="1" t="s">
        <v>214</v>
      </c>
      <c r="C1444" s="1" t="n">
        <v>2330000</v>
      </c>
      <c r="D1444" s="1" t="n">
        <v>19706</v>
      </c>
      <c r="E1444" s="1" t="n">
        <v>0.0124</v>
      </c>
      <c r="F1444" s="1" t="n">
        <v>0.1187</v>
      </c>
    </row>
    <row r="1445" customFormat="false" ht="15" hidden="false" customHeight="false" outlineLevel="0" collapsed="false">
      <c r="A1445" s="1" t="s">
        <v>1480</v>
      </c>
      <c r="B1445" s="1" t="s">
        <v>21</v>
      </c>
      <c r="C1445" s="1" t="n">
        <v>2210000</v>
      </c>
      <c r="D1445" s="1" t="n">
        <v>11258.7</v>
      </c>
      <c r="E1445" s="1" t="n">
        <v>0.0243</v>
      </c>
      <c r="F1445" s="1" t="n">
        <v>0.0409</v>
      </c>
    </row>
    <row r="1446" customFormat="false" ht="15" hidden="false" customHeight="false" outlineLevel="0" collapsed="false">
      <c r="A1446" s="1" t="s">
        <v>1481</v>
      </c>
      <c r="B1446" s="1" t="s">
        <v>30</v>
      </c>
      <c r="C1446" s="1" t="n">
        <v>4560000</v>
      </c>
      <c r="D1446" s="1" t="n">
        <v>12366051.9</v>
      </c>
      <c r="E1446" s="1" t="n">
        <v>0.0213</v>
      </c>
      <c r="F1446" s="1" t="n">
        <v>0.0616</v>
      </c>
    </row>
    <row r="1447" customFormat="false" ht="15" hidden="false" customHeight="false" outlineLevel="0" collapsed="false">
      <c r="A1447" s="1" t="s">
        <v>1482</v>
      </c>
      <c r="B1447" s="1" t="s">
        <v>24</v>
      </c>
      <c r="C1447" s="1" t="n">
        <v>2060000</v>
      </c>
      <c r="D1447" s="1" t="n">
        <v>274.1</v>
      </c>
      <c r="E1447" s="1" t="n">
        <v>0.0169</v>
      </c>
      <c r="F1447" s="1" t="n">
        <v>0.0585</v>
      </c>
    </row>
    <row r="1448" customFormat="false" ht="15" hidden="false" customHeight="false" outlineLevel="0" collapsed="false">
      <c r="A1448" s="1" t="s">
        <v>1483</v>
      </c>
      <c r="B1448" s="1" t="s">
        <v>21</v>
      </c>
      <c r="C1448" s="1" t="n">
        <v>7120000</v>
      </c>
      <c r="D1448" s="1" t="n">
        <v>10700.1</v>
      </c>
      <c r="E1448" s="1" t="n">
        <v>0.0187</v>
      </c>
      <c r="F1448" s="1" t="n">
        <v>0.0576</v>
      </c>
    </row>
    <row r="1449" customFormat="false" ht="15" hidden="false" customHeight="false" outlineLevel="0" collapsed="false">
      <c r="A1449" s="1" t="s">
        <v>1484</v>
      </c>
      <c r="B1449" s="1" t="s">
        <v>74</v>
      </c>
      <c r="C1449" s="1" t="n">
        <v>4010000</v>
      </c>
      <c r="D1449" s="1" t="n">
        <v>87658.3</v>
      </c>
      <c r="E1449" s="1" t="n">
        <v>0.0239</v>
      </c>
      <c r="F1449" s="1" t="n">
        <v>0.051</v>
      </c>
    </row>
    <row r="1450" customFormat="false" ht="15" hidden="false" customHeight="false" outlineLevel="0" collapsed="false">
      <c r="A1450" s="1" t="s">
        <v>1485</v>
      </c>
      <c r="B1450" s="1" t="s">
        <v>32</v>
      </c>
      <c r="C1450" s="1" t="n">
        <v>2720000</v>
      </c>
      <c r="D1450" s="1" t="n">
        <v>619.3</v>
      </c>
      <c r="E1450" s="1" t="n">
        <v>0.0078</v>
      </c>
      <c r="F1450" s="1" t="n">
        <v>0.0811</v>
      </c>
    </row>
    <row r="1451" customFormat="false" ht="15" hidden="false" customHeight="false" outlineLevel="0" collapsed="false">
      <c r="A1451" s="1" t="s">
        <v>1486</v>
      </c>
      <c r="B1451" s="1" t="s">
        <v>21</v>
      </c>
      <c r="C1451" s="1" t="n">
        <v>2160000</v>
      </c>
      <c r="F1451" s="1" t="n">
        <v>0.0759</v>
      </c>
    </row>
    <row r="1452" customFormat="false" ht="15" hidden="false" customHeight="false" outlineLevel="0" collapsed="false">
      <c r="A1452" s="1" t="s">
        <v>1487</v>
      </c>
      <c r="B1452" s="1" t="s">
        <v>41</v>
      </c>
      <c r="C1452" s="1" t="n">
        <v>2350000</v>
      </c>
      <c r="D1452" s="1" t="n">
        <v>182658.2</v>
      </c>
      <c r="E1452" s="1" t="n">
        <v>0.0486</v>
      </c>
      <c r="F1452" s="1" t="n">
        <v>0.0951</v>
      </c>
    </row>
    <row r="1453" customFormat="false" ht="15" hidden="false" customHeight="false" outlineLevel="0" collapsed="false">
      <c r="A1453" s="1" t="s">
        <v>1488</v>
      </c>
      <c r="B1453" s="1" t="s">
        <v>26</v>
      </c>
      <c r="C1453" s="1" t="n">
        <v>2100000</v>
      </c>
      <c r="D1453" s="1" t="n">
        <v>14636.6</v>
      </c>
      <c r="E1453" s="1" t="n">
        <v>0.0352</v>
      </c>
      <c r="F1453" s="1" t="n">
        <v>0.0409</v>
      </c>
    </row>
    <row r="1454" customFormat="false" ht="15" hidden="false" customHeight="false" outlineLevel="0" collapsed="false">
      <c r="A1454" s="1" t="s">
        <v>1489</v>
      </c>
      <c r="B1454" s="1" t="s">
        <v>32</v>
      </c>
      <c r="C1454" s="1" t="n">
        <v>6190000</v>
      </c>
      <c r="D1454" s="1" t="n">
        <v>37036.9</v>
      </c>
      <c r="E1454" s="1" t="n">
        <v>0.0124</v>
      </c>
      <c r="F1454" s="1" t="n">
        <v>0.0811</v>
      </c>
    </row>
    <row r="1455" customFormat="false" ht="15" hidden="false" customHeight="false" outlineLevel="0" collapsed="false">
      <c r="A1455" s="1" t="s">
        <v>1490</v>
      </c>
      <c r="B1455" s="1" t="s">
        <v>88</v>
      </c>
      <c r="C1455" s="1" t="n">
        <v>2100000</v>
      </c>
      <c r="D1455" s="1" t="n">
        <v>20322.7</v>
      </c>
      <c r="E1455" s="1" t="n">
        <v>0.0309</v>
      </c>
      <c r="F1455" s="1" t="n">
        <v>0.0951</v>
      </c>
    </row>
    <row r="1456" customFormat="false" ht="15" hidden="false" customHeight="false" outlineLevel="0" collapsed="false">
      <c r="A1456" s="1" t="s">
        <v>1491</v>
      </c>
      <c r="B1456" s="1" t="s">
        <v>26</v>
      </c>
      <c r="C1456" s="1" t="n">
        <v>2320000</v>
      </c>
      <c r="D1456" s="1" t="n">
        <v>240953</v>
      </c>
      <c r="E1456" s="1" t="n">
        <v>0.0269</v>
      </c>
      <c r="F1456" s="1" t="n">
        <v>0.0409</v>
      </c>
    </row>
    <row r="1457" customFormat="false" ht="15" hidden="false" customHeight="false" outlineLevel="0" collapsed="false">
      <c r="A1457" s="1" t="s">
        <v>1492</v>
      </c>
      <c r="B1457" s="1" t="s">
        <v>26</v>
      </c>
      <c r="C1457" s="1" t="n">
        <v>2090000</v>
      </c>
      <c r="D1457" s="1" t="n">
        <v>1872.4</v>
      </c>
      <c r="E1457" s="1" t="n">
        <v>0.0221</v>
      </c>
      <c r="F1457" s="1" t="n">
        <v>0.1067</v>
      </c>
    </row>
    <row r="1458" customFormat="false" ht="15" hidden="false" customHeight="false" outlineLevel="0" collapsed="false">
      <c r="A1458" s="1" t="s">
        <v>1493</v>
      </c>
      <c r="B1458" s="1" t="s">
        <v>74</v>
      </c>
      <c r="C1458" s="1" t="n">
        <v>3020000</v>
      </c>
      <c r="D1458" s="1" t="n">
        <v>96.8</v>
      </c>
      <c r="E1458" s="1" t="n">
        <v>0.0181</v>
      </c>
      <c r="F1458" s="1" t="n">
        <v>0.0576</v>
      </c>
    </row>
    <row r="1459" customFormat="false" ht="15" hidden="false" customHeight="false" outlineLevel="0" collapsed="false">
      <c r="A1459" s="1" t="s">
        <v>1494</v>
      </c>
      <c r="B1459" s="1" t="s">
        <v>214</v>
      </c>
      <c r="C1459" s="1" t="n">
        <v>1910000</v>
      </c>
      <c r="D1459" s="1" t="n">
        <v>5338</v>
      </c>
      <c r="E1459" s="1" t="n">
        <v>0.0199</v>
      </c>
      <c r="F1459" s="1" t="n">
        <v>0.1067</v>
      </c>
    </row>
    <row r="1460" customFormat="false" ht="15" hidden="false" customHeight="false" outlineLevel="0" collapsed="false">
      <c r="A1460" s="1" t="s">
        <v>1495</v>
      </c>
      <c r="B1460" s="1" t="s">
        <v>30</v>
      </c>
      <c r="C1460" s="1" t="n">
        <v>2630000</v>
      </c>
      <c r="D1460" s="1" t="n">
        <v>511165.7</v>
      </c>
      <c r="E1460" s="1" t="n">
        <v>0.0315</v>
      </c>
      <c r="F1460" s="1" t="n">
        <v>0.0759</v>
      </c>
    </row>
    <row r="1461" customFormat="false" ht="15" hidden="false" customHeight="false" outlineLevel="0" collapsed="false">
      <c r="A1461" s="1" t="s">
        <v>1496</v>
      </c>
      <c r="B1461" s="1" t="s">
        <v>62</v>
      </c>
      <c r="C1461" s="1" t="n">
        <v>2320000</v>
      </c>
      <c r="D1461" s="1" t="n">
        <v>109973.1</v>
      </c>
      <c r="E1461" s="1" t="n">
        <v>0.0554</v>
      </c>
      <c r="F1461" s="1" t="n">
        <v>0.0759</v>
      </c>
    </row>
    <row r="1462" customFormat="false" ht="15" hidden="false" customHeight="false" outlineLevel="0" collapsed="false">
      <c r="A1462" s="1" t="s">
        <v>1497</v>
      </c>
      <c r="B1462" s="1" t="s">
        <v>214</v>
      </c>
      <c r="C1462" s="1" t="n">
        <v>2150000</v>
      </c>
      <c r="D1462" s="1" t="n">
        <v>62426.1</v>
      </c>
      <c r="E1462" s="1" t="n">
        <v>0.0166</v>
      </c>
      <c r="F1462" s="1" t="n">
        <v>0.1067</v>
      </c>
    </row>
    <row r="1463" customFormat="false" ht="15" hidden="false" customHeight="false" outlineLevel="0" collapsed="false">
      <c r="A1463" s="1" t="s">
        <v>1498</v>
      </c>
      <c r="B1463" s="1" t="s">
        <v>26</v>
      </c>
      <c r="C1463" s="1" t="n">
        <v>2340000</v>
      </c>
      <c r="D1463" s="1" t="n">
        <v>173885.9</v>
      </c>
      <c r="E1463" s="1" t="n">
        <v>0.0203</v>
      </c>
      <c r="F1463" s="1" t="n">
        <v>0.051</v>
      </c>
    </row>
    <row r="1464" customFormat="false" ht="15" hidden="false" customHeight="false" outlineLevel="0" collapsed="false">
      <c r="A1464" s="1" t="s">
        <v>1499</v>
      </c>
      <c r="B1464" s="1" t="s">
        <v>21</v>
      </c>
      <c r="C1464" s="1" t="n">
        <v>2110000</v>
      </c>
      <c r="D1464" s="1" t="n">
        <v>33504700.7</v>
      </c>
      <c r="E1464" s="1" t="n">
        <v>0.0048</v>
      </c>
      <c r="F1464" s="1" t="n">
        <v>0.1027</v>
      </c>
    </row>
    <row r="1465" customFormat="false" ht="15" hidden="false" customHeight="false" outlineLevel="0" collapsed="false">
      <c r="A1465" s="1" t="s">
        <v>1500</v>
      </c>
      <c r="B1465" s="1" t="s">
        <v>21</v>
      </c>
      <c r="C1465" s="1" t="n">
        <v>2470000</v>
      </c>
      <c r="D1465" s="1" t="n">
        <v>94288.5</v>
      </c>
      <c r="E1465" s="1" t="n">
        <v>0.0985</v>
      </c>
      <c r="F1465" s="1" t="n">
        <v>0.051</v>
      </c>
    </row>
    <row r="1466" customFormat="false" ht="15" hidden="false" customHeight="false" outlineLevel="0" collapsed="false">
      <c r="A1466" s="1" t="s">
        <v>1501</v>
      </c>
      <c r="B1466" s="1" t="s">
        <v>62</v>
      </c>
      <c r="C1466" s="1" t="n">
        <v>2080000</v>
      </c>
      <c r="D1466" s="1" t="n">
        <v>180221.2</v>
      </c>
      <c r="E1466" s="1" t="n">
        <v>0.0336</v>
      </c>
      <c r="F1466" s="1" t="n">
        <v>0.0759</v>
      </c>
    </row>
    <row r="1467" customFormat="false" ht="15" hidden="false" customHeight="false" outlineLevel="0" collapsed="false">
      <c r="A1467" s="1" t="s">
        <v>1502</v>
      </c>
      <c r="B1467" s="1" t="s">
        <v>26</v>
      </c>
      <c r="C1467" s="1" t="n">
        <v>2650000</v>
      </c>
      <c r="D1467" s="1" t="n">
        <v>1502351.4</v>
      </c>
      <c r="E1467" s="1" t="n">
        <v>0.0376</v>
      </c>
      <c r="F1467" s="1" t="n">
        <v>0.0412</v>
      </c>
    </row>
    <row r="1468" customFormat="false" ht="15" hidden="false" customHeight="false" outlineLevel="0" collapsed="false">
      <c r="A1468" s="1" t="s">
        <v>1503</v>
      </c>
      <c r="B1468" s="1" t="s">
        <v>26</v>
      </c>
      <c r="C1468" s="1" t="n">
        <v>2070000</v>
      </c>
      <c r="D1468" s="1" t="n">
        <v>3753.9</v>
      </c>
      <c r="E1468" s="1" t="n">
        <v>0.0164</v>
      </c>
      <c r="F1468" s="1" t="n">
        <v>0.1067</v>
      </c>
    </row>
    <row r="1469" customFormat="false" ht="15" hidden="false" customHeight="false" outlineLevel="0" collapsed="false">
      <c r="A1469" s="1" t="s">
        <v>1504</v>
      </c>
      <c r="B1469" s="1" t="s">
        <v>26</v>
      </c>
      <c r="C1469" s="1" t="n">
        <v>2130000</v>
      </c>
      <c r="D1469" s="1" t="n">
        <v>98855.6</v>
      </c>
      <c r="E1469" s="1" t="n">
        <v>0.0468</v>
      </c>
      <c r="F1469" s="1" t="n">
        <v>0.0951</v>
      </c>
    </row>
    <row r="1470" customFormat="false" ht="15" hidden="false" customHeight="false" outlineLevel="0" collapsed="false">
      <c r="A1470" s="1" t="s">
        <v>1505</v>
      </c>
      <c r="B1470" s="1" t="s">
        <v>26</v>
      </c>
      <c r="C1470" s="1" t="n">
        <v>3340000</v>
      </c>
      <c r="D1470" s="1" t="n">
        <v>5370.8</v>
      </c>
      <c r="E1470" s="1" t="n">
        <v>0.0385</v>
      </c>
      <c r="F1470" s="1" t="n">
        <v>0.0759</v>
      </c>
    </row>
    <row r="1471" customFormat="false" ht="15" hidden="false" customHeight="false" outlineLevel="0" collapsed="false">
      <c r="A1471" s="1" t="s">
        <v>1506</v>
      </c>
      <c r="B1471" s="1" t="s">
        <v>32</v>
      </c>
      <c r="C1471" s="1" t="n">
        <v>2910000</v>
      </c>
      <c r="D1471" s="1" t="n">
        <v>23433.8</v>
      </c>
      <c r="E1471" s="1" t="n">
        <v>0.0402</v>
      </c>
      <c r="F1471" s="1" t="n">
        <v>0.0938</v>
      </c>
    </row>
    <row r="1472" customFormat="false" ht="15" hidden="false" customHeight="false" outlineLevel="0" collapsed="false">
      <c r="A1472" s="1" t="s">
        <v>1507</v>
      </c>
      <c r="B1472" s="1" t="s">
        <v>88</v>
      </c>
      <c r="C1472" s="1" t="n">
        <v>2410000</v>
      </c>
      <c r="D1472" s="1" t="n">
        <v>8702.6</v>
      </c>
      <c r="E1472" s="1" t="n">
        <v>0.0913</v>
      </c>
      <c r="F1472" s="1" t="n">
        <v>0.0938</v>
      </c>
    </row>
    <row r="1473" customFormat="false" ht="15" hidden="false" customHeight="false" outlineLevel="0" collapsed="false">
      <c r="A1473" s="1" t="s">
        <v>1508</v>
      </c>
      <c r="B1473" s="1" t="s">
        <v>74</v>
      </c>
      <c r="C1473" s="1" t="n">
        <v>2120000</v>
      </c>
      <c r="D1473" s="1" t="n">
        <v>2366.7</v>
      </c>
      <c r="E1473" s="1" t="n">
        <v>0.0236</v>
      </c>
      <c r="F1473" s="1" t="n">
        <v>0.0938</v>
      </c>
    </row>
    <row r="1474" customFormat="false" ht="15" hidden="false" customHeight="false" outlineLevel="0" collapsed="false">
      <c r="A1474" s="1" t="s">
        <v>1509</v>
      </c>
      <c r="B1474" s="1" t="s">
        <v>50</v>
      </c>
      <c r="C1474" s="1" t="n">
        <v>2230000</v>
      </c>
      <c r="D1474" s="1" t="n">
        <v>9870.1</v>
      </c>
      <c r="E1474" s="1" t="n">
        <v>0.0337</v>
      </c>
      <c r="F1474" s="1" t="n">
        <v>0.051</v>
      </c>
    </row>
    <row r="1475" customFormat="false" ht="15" hidden="false" customHeight="false" outlineLevel="0" collapsed="false">
      <c r="A1475" s="1" t="s">
        <v>1510</v>
      </c>
      <c r="B1475" s="1" t="s">
        <v>32</v>
      </c>
      <c r="C1475" s="1" t="n">
        <v>2720000</v>
      </c>
      <c r="D1475" s="1" t="n">
        <v>7248.5</v>
      </c>
      <c r="E1475" s="1" t="n">
        <v>0.0243</v>
      </c>
      <c r="F1475" s="1" t="n">
        <v>0.0938</v>
      </c>
    </row>
    <row r="1476" customFormat="false" ht="15" hidden="false" customHeight="false" outlineLevel="0" collapsed="false">
      <c r="A1476" s="1" t="s">
        <v>1511</v>
      </c>
      <c r="B1476" s="1" t="s">
        <v>62</v>
      </c>
      <c r="C1476" s="1" t="n">
        <v>2150000</v>
      </c>
      <c r="D1476" s="1" t="n">
        <v>773.6</v>
      </c>
      <c r="E1476" s="1" t="n">
        <v>0.0393</v>
      </c>
      <c r="F1476" s="1" t="n">
        <v>0.0938</v>
      </c>
    </row>
    <row r="1477" customFormat="false" ht="15" hidden="false" customHeight="false" outlineLevel="0" collapsed="false">
      <c r="A1477" s="1" t="s">
        <v>1512</v>
      </c>
      <c r="B1477" s="1" t="s">
        <v>62</v>
      </c>
      <c r="C1477" s="1" t="n">
        <v>2030000</v>
      </c>
      <c r="D1477" s="1" t="n">
        <v>215.1</v>
      </c>
      <c r="E1477" s="1" t="n">
        <v>0.0417</v>
      </c>
      <c r="F1477" s="1" t="n">
        <v>0.0938</v>
      </c>
    </row>
    <row r="1478" customFormat="false" ht="15" hidden="false" customHeight="false" outlineLevel="0" collapsed="false">
      <c r="A1478" s="1" t="s">
        <v>1513</v>
      </c>
      <c r="B1478" s="1" t="s">
        <v>74</v>
      </c>
      <c r="C1478" s="1" t="n">
        <v>3650000</v>
      </c>
      <c r="D1478" s="1" t="n">
        <v>39683.2</v>
      </c>
      <c r="E1478" s="1" t="n">
        <v>0.0797</v>
      </c>
      <c r="F1478" s="1" t="n">
        <v>0.0938</v>
      </c>
    </row>
    <row r="1479" customFormat="false" ht="15" hidden="false" customHeight="false" outlineLevel="0" collapsed="false">
      <c r="A1479" s="1" t="s">
        <v>1514</v>
      </c>
      <c r="B1479" s="1" t="s">
        <v>26</v>
      </c>
      <c r="C1479" s="1" t="n">
        <v>2060000</v>
      </c>
      <c r="D1479" s="1" t="n">
        <v>331987.3</v>
      </c>
      <c r="E1479" s="1" t="n">
        <v>0.0205</v>
      </c>
      <c r="F1479" s="1" t="n">
        <v>0.0518</v>
      </c>
    </row>
    <row r="1480" customFormat="false" ht="15" hidden="false" customHeight="false" outlineLevel="0" collapsed="false">
      <c r="A1480" s="1" t="s">
        <v>1515</v>
      </c>
      <c r="B1480" s="1" t="s">
        <v>41</v>
      </c>
      <c r="C1480" s="1" t="n">
        <v>2350000</v>
      </c>
      <c r="D1480" s="1" t="n">
        <v>186371.2</v>
      </c>
      <c r="E1480" s="1" t="n">
        <v>0.0024</v>
      </c>
      <c r="F1480" s="1" t="n">
        <v>0.0822</v>
      </c>
    </row>
    <row r="1481" customFormat="false" ht="15" hidden="false" customHeight="false" outlineLevel="0" collapsed="false">
      <c r="A1481" s="1" t="s">
        <v>1516</v>
      </c>
      <c r="B1481" s="1" t="s">
        <v>35</v>
      </c>
      <c r="C1481" s="1" t="n">
        <v>2410000</v>
      </c>
      <c r="D1481" s="1" t="n">
        <v>8385.2</v>
      </c>
      <c r="E1481" s="1" t="n">
        <v>0.0161</v>
      </c>
      <c r="F1481" s="1" t="n">
        <v>0.1053</v>
      </c>
    </row>
    <row r="1482" customFormat="false" ht="15" hidden="false" customHeight="false" outlineLevel="0" collapsed="false">
      <c r="A1482" s="1" t="s">
        <v>1517</v>
      </c>
      <c r="B1482" s="1" t="s">
        <v>30</v>
      </c>
      <c r="C1482" s="1" t="n">
        <v>2800000</v>
      </c>
      <c r="D1482" s="1" t="n">
        <v>90646.6</v>
      </c>
      <c r="E1482" s="1" t="n">
        <v>0.0316</v>
      </c>
      <c r="F1482" s="1" t="n">
        <v>0.0759</v>
      </c>
    </row>
    <row r="1483" customFormat="false" ht="15" hidden="false" customHeight="false" outlineLevel="0" collapsed="false">
      <c r="A1483" s="1" t="s">
        <v>1518</v>
      </c>
      <c r="B1483" s="1" t="s">
        <v>214</v>
      </c>
      <c r="C1483" s="1" t="n">
        <v>3520000</v>
      </c>
      <c r="D1483" s="1" t="n">
        <v>469031.4</v>
      </c>
      <c r="E1483" s="1" t="n">
        <v>0.003</v>
      </c>
      <c r="F1483" s="1" t="n">
        <v>0.0821</v>
      </c>
    </row>
    <row r="1484" customFormat="false" ht="15" hidden="false" customHeight="false" outlineLevel="0" collapsed="false">
      <c r="A1484" s="1" t="s">
        <v>1519</v>
      </c>
      <c r="B1484" s="1" t="s">
        <v>26</v>
      </c>
      <c r="C1484" s="1" t="n">
        <v>2060000</v>
      </c>
      <c r="D1484" s="1" t="n">
        <v>1540.4</v>
      </c>
      <c r="E1484" s="1" t="n">
        <v>0.0136</v>
      </c>
      <c r="F1484" s="1" t="n">
        <v>0.0911</v>
      </c>
    </row>
    <row r="1485" customFormat="false" ht="15" hidden="false" customHeight="false" outlineLevel="0" collapsed="false">
      <c r="A1485" s="1" t="s">
        <v>1520</v>
      </c>
      <c r="B1485" s="1" t="s">
        <v>32</v>
      </c>
      <c r="C1485" s="1" t="n">
        <v>2080000</v>
      </c>
      <c r="D1485" s="1" t="n">
        <v>120.4</v>
      </c>
      <c r="E1485" s="1" t="n">
        <v>0.0037</v>
      </c>
      <c r="F1485" s="1" t="n">
        <v>0.1779</v>
      </c>
    </row>
    <row r="1486" customFormat="false" ht="15" hidden="false" customHeight="false" outlineLevel="0" collapsed="false">
      <c r="A1486" s="1" t="s">
        <v>1521</v>
      </c>
      <c r="B1486" s="1" t="s">
        <v>26</v>
      </c>
      <c r="C1486" s="1" t="n">
        <v>2250000</v>
      </c>
      <c r="D1486" s="1" t="n">
        <v>958213.5</v>
      </c>
      <c r="E1486" s="1" t="n">
        <v>0.0358</v>
      </c>
      <c r="F1486" s="1" t="n">
        <v>0.0409</v>
      </c>
    </row>
    <row r="1487" customFormat="false" ht="15" hidden="false" customHeight="false" outlineLevel="0" collapsed="false">
      <c r="A1487" s="1" t="s">
        <v>1522</v>
      </c>
      <c r="B1487" s="1" t="s">
        <v>195</v>
      </c>
      <c r="C1487" s="1" t="n">
        <v>2450000</v>
      </c>
      <c r="D1487" s="1" t="n">
        <v>9453.1</v>
      </c>
      <c r="E1487" s="1" t="n">
        <v>0.0413</v>
      </c>
      <c r="F1487" s="1" t="n">
        <v>0.0938</v>
      </c>
    </row>
    <row r="1488" customFormat="false" ht="15" hidden="false" customHeight="false" outlineLevel="0" collapsed="false">
      <c r="A1488" s="1" t="s">
        <v>1523</v>
      </c>
      <c r="B1488" s="1" t="s">
        <v>26</v>
      </c>
      <c r="C1488" s="1" t="n">
        <v>2360000</v>
      </c>
      <c r="D1488" s="1" t="n">
        <v>205570.3</v>
      </c>
      <c r="E1488" s="1" t="n">
        <v>0.0373</v>
      </c>
      <c r="F1488" s="1" t="n">
        <v>0.0409</v>
      </c>
    </row>
    <row r="1489" customFormat="false" ht="15" hidden="false" customHeight="false" outlineLevel="0" collapsed="false">
      <c r="A1489" s="1" t="s">
        <v>1524</v>
      </c>
      <c r="B1489" s="1" t="s">
        <v>30</v>
      </c>
      <c r="C1489" s="1" t="n">
        <v>2880000</v>
      </c>
      <c r="D1489" s="1" t="n">
        <v>4591.6</v>
      </c>
      <c r="E1489" s="1" t="n">
        <v>0.0102</v>
      </c>
      <c r="F1489" s="1" t="n">
        <v>0.0811</v>
      </c>
    </row>
    <row r="1490" customFormat="false" ht="15" hidden="false" customHeight="false" outlineLevel="0" collapsed="false">
      <c r="A1490" s="1" t="s">
        <v>1525</v>
      </c>
      <c r="B1490" s="1" t="s">
        <v>26</v>
      </c>
      <c r="C1490" s="1" t="n">
        <v>5100000</v>
      </c>
      <c r="D1490" s="1" t="n">
        <v>153164.9</v>
      </c>
      <c r="F1490" s="1" t="n">
        <v>0.0409</v>
      </c>
    </row>
    <row r="1491" customFormat="false" ht="15" hidden="false" customHeight="false" outlineLevel="0" collapsed="false">
      <c r="A1491" s="1" t="s">
        <v>1526</v>
      </c>
      <c r="B1491" s="1" t="s">
        <v>30</v>
      </c>
      <c r="C1491" s="1" t="n">
        <v>3660000</v>
      </c>
      <c r="D1491" s="1" t="n">
        <v>474127</v>
      </c>
      <c r="E1491" s="1" t="n">
        <v>0.0245</v>
      </c>
      <c r="F1491" s="1" t="n">
        <v>0.0759</v>
      </c>
    </row>
    <row r="1492" customFormat="false" ht="15" hidden="false" customHeight="false" outlineLevel="0" collapsed="false">
      <c r="A1492" s="1" t="s">
        <v>1527</v>
      </c>
      <c r="B1492" s="1" t="s">
        <v>26</v>
      </c>
      <c r="C1492" s="1" t="n">
        <v>2150000</v>
      </c>
      <c r="D1492" s="1" t="n">
        <v>1551.2</v>
      </c>
      <c r="E1492" s="1" t="n">
        <v>0.0134</v>
      </c>
      <c r="F1492" s="1" t="n">
        <v>0.0726</v>
      </c>
    </row>
    <row r="1493" customFormat="false" ht="15" hidden="false" customHeight="false" outlineLevel="0" collapsed="false">
      <c r="A1493" s="1" t="s">
        <v>1528</v>
      </c>
      <c r="B1493" s="1" t="s">
        <v>30</v>
      </c>
      <c r="C1493" s="1" t="n">
        <v>2660000</v>
      </c>
      <c r="D1493" s="1" t="n">
        <v>111167.7</v>
      </c>
      <c r="E1493" s="1" t="n">
        <v>0.049</v>
      </c>
      <c r="F1493" s="1" t="n">
        <v>0.051</v>
      </c>
    </row>
    <row r="1494" customFormat="false" ht="15" hidden="false" customHeight="false" outlineLevel="0" collapsed="false">
      <c r="A1494" s="1" t="s">
        <v>1529</v>
      </c>
      <c r="B1494" s="1" t="s">
        <v>214</v>
      </c>
      <c r="C1494" s="1" t="n">
        <v>2180000</v>
      </c>
      <c r="D1494" s="1" t="n">
        <v>31695.6</v>
      </c>
      <c r="E1494" s="1" t="n">
        <v>0.0137</v>
      </c>
      <c r="F1494" s="1" t="n">
        <v>0.0462</v>
      </c>
    </row>
    <row r="1495" customFormat="false" ht="15" hidden="false" customHeight="false" outlineLevel="0" collapsed="false">
      <c r="A1495" s="1" t="s">
        <v>1530</v>
      </c>
      <c r="B1495" s="1" t="s">
        <v>26</v>
      </c>
      <c r="C1495" s="1" t="n">
        <v>2910000</v>
      </c>
      <c r="D1495" s="1" t="n">
        <v>78775.1</v>
      </c>
      <c r="E1495" s="1" t="n">
        <v>0.0117</v>
      </c>
      <c r="F1495" s="1" t="n">
        <v>0.0654</v>
      </c>
    </row>
    <row r="1496" customFormat="false" ht="15" hidden="false" customHeight="false" outlineLevel="0" collapsed="false">
      <c r="A1496" s="1" t="s">
        <v>1531</v>
      </c>
      <c r="B1496" s="1" t="s">
        <v>62</v>
      </c>
      <c r="C1496" s="1" t="n">
        <v>2140000</v>
      </c>
      <c r="D1496" s="1" t="n">
        <v>57575.2</v>
      </c>
      <c r="E1496" s="1" t="n">
        <v>0.0322</v>
      </c>
      <c r="F1496" s="1" t="n">
        <v>0.0759</v>
      </c>
    </row>
    <row r="1497" customFormat="false" ht="15" hidden="false" customHeight="false" outlineLevel="0" collapsed="false">
      <c r="A1497" s="1" t="s">
        <v>1532</v>
      </c>
      <c r="B1497" s="1" t="s">
        <v>62</v>
      </c>
      <c r="C1497" s="1" t="n">
        <v>2050000</v>
      </c>
      <c r="D1497" s="1" t="n">
        <v>2858.6</v>
      </c>
      <c r="E1497" s="1" t="n">
        <v>0.0298</v>
      </c>
      <c r="F1497" s="1" t="n">
        <v>0.0951</v>
      </c>
    </row>
    <row r="1498" customFormat="false" ht="15" hidden="false" customHeight="false" outlineLevel="0" collapsed="false">
      <c r="A1498" s="1" t="s">
        <v>1533</v>
      </c>
      <c r="B1498" s="1" t="s">
        <v>26</v>
      </c>
      <c r="C1498" s="1" t="n">
        <v>2470000</v>
      </c>
      <c r="D1498" s="1" t="n">
        <v>2729.9</v>
      </c>
      <c r="E1498" s="1" t="n">
        <v>0.0118</v>
      </c>
      <c r="F1498" s="1" t="n">
        <v>0.0576</v>
      </c>
    </row>
    <row r="1499" customFormat="false" ht="15" hidden="false" customHeight="false" outlineLevel="0" collapsed="false">
      <c r="A1499" s="1" t="s">
        <v>1534</v>
      </c>
      <c r="B1499" s="1" t="s">
        <v>26</v>
      </c>
      <c r="C1499" s="1" t="n">
        <v>1990000</v>
      </c>
      <c r="D1499" s="1" t="n">
        <v>1129.3</v>
      </c>
      <c r="E1499" s="1" t="n">
        <v>0.0325</v>
      </c>
      <c r="F1499" s="1" t="n">
        <v>0.0759</v>
      </c>
    </row>
    <row r="1500" customFormat="false" ht="15" hidden="false" customHeight="false" outlineLevel="0" collapsed="false">
      <c r="A1500" s="1" t="s">
        <v>1535</v>
      </c>
      <c r="B1500" s="1" t="s">
        <v>88</v>
      </c>
      <c r="C1500" s="1" t="n">
        <v>2220000</v>
      </c>
      <c r="D1500" s="1" t="n">
        <v>1304.8</v>
      </c>
      <c r="E1500" s="1" t="n">
        <v>0.0157</v>
      </c>
      <c r="F1500" s="1" t="n">
        <v>0.0765</v>
      </c>
    </row>
    <row r="1501" customFormat="false" ht="15" hidden="false" customHeight="false" outlineLevel="0" collapsed="false">
      <c r="A1501" s="1" t="s">
        <v>1536</v>
      </c>
      <c r="B1501" s="1" t="s">
        <v>62</v>
      </c>
      <c r="C1501" s="1" t="n">
        <v>2210000</v>
      </c>
      <c r="D1501" s="1" t="n">
        <v>1253.9</v>
      </c>
      <c r="E1501" s="1" t="n">
        <v>0.0339</v>
      </c>
      <c r="F1501" s="1" t="n">
        <v>0.0759</v>
      </c>
    </row>
    <row r="1502" customFormat="false" ht="15" hidden="false" customHeight="false" outlineLevel="0" collapsed="false">
      <c r="A1502" s="1" t="s">
        <v>1537</v>
      </c>
      <c r="B1502" s="1" t="s">
        <v>71</v>
      </c>
      <c r="C1502" s="1" t="n">
        <v>2530000</v>
      </c>
      <c r="D1502" s="1" t="n">
        <v>168907.9</v>
      </c>
      <c r="E1502" s="1" t="n">
        <v>0.0419</v>
      </c>
      <c r="F1502" s="1" t="n">
        <v>0.0938</v>
      </c>
    </row>
    <row r="1503" customFormat="false" ht="15" hidden="false" customHeight="false" outlineLevel="0" collapsed="false">
      <c r="A1503" s="1" t="s">
        <v>1538</v>
      </c>
      <c r="B1503" s="1" t="s">
        <v>53</v>
      </c>
      <c r="C1503" s="1" t="n">
        <v>3080000</v>
      </c>
      <c r="D1503" s="1" t="n">
        <v>4130.5</v>
      </c>
      <c r="F1503" s="1" t="n">
        <v>0.0409</v>
      </c>
    </row>
    <row r="1504" customFormat="false" ht="15" hidden="false" customHeight="false" outlineLevel="0" collapsed="false">
      <c r="A1504" s="1" t="s">
        <v>1539</v>
      </c>
      <c r="B1504" s="1" t="s">
        <v>26</v>
      </c>
      <c r="C1504" s="1" t="n">
        <v>2690000</v>
      </c>
      <c r="D1504" s="1" t="n">
        <v>310597.3</v>
      </c>
      <c r="E1504" s="1" t="n">
        <v>0.0247</v>
      </c>
      <c r="F1504" s="1" t="n">
        <v>0.0409</v>
      </c>
    </row>
    <row r="1505" customFormat="false" ht="15" hidden="false" customHeight="false" outlineLevel="0" collapsed="false">
      <c r="A1505" s="1" t="s">
        <v>1540</v>
      </c>
      <c r="B1505" s="1" t="s">
        <v>26</v>
      </c>
      <c r="C1505" s="1" t="n">
        <v>2340000</v>
      </c>
      <c r="D1505" s="1" t="n">
        <v>200843.9</v>
      </c>
      <c r="E1505" s="1" t="n">
        <v>0.046</v>
      </c>
      <c r="F1505" s="1" t="n">
        <v>0.0759</v>
      </c>
    </row>
    <row r="1506" customFormat="false" ht="15" hidden="false" customHeight="false" outlineLevel="0" collapsed="false">
      <c r="A1506" s="1" t="s">
        <v>1541</v>
      </c>
      <c r="B1506" s="1" t="s">
        <v>26</v>
      </c>
      <c r="C1506" s="1" t="n">
        <v>2050000</v>
      </c>
      <c r="D1506" s="1" t="n">
        <v>34409.8</v>
      </c>
      <c r="E1506" s="1" t="n">
        <v>0.0382</v>
      </c>
      <c r="F1506" s="1" t="n">
        <v>0.0409</v>
      </c>
    </row>
    <row r="1507" customFormat="false" ht="15" hidden="false" customHeight="false" outlineLevel="0" collapsed="false">
      <c r="A1507" s="1" t="s">
        <v>1542</v>
      </c>
      <c r="B1507" s="1" t="s">
        <v>287</v>
      </c>
      <c r="C1507" s="1" t="n">
        <v>2010000</v>
      </c>
      <c r="D1507" s="1" t="n">
        <v>3567.8</v>
      </c>
      <c r="E1507" s="1" t="n">
        <v>0.0117</v>
      </c>
      <c r="F1507" s="1" t="n">
        <v>0.0654</v>
      </c>
    </row>
    <row r="1508" customFormat="false" ht="15" hidden="false" customHeight="false" outlineLevel="0" collapsed="false">
      <c r="A1508" s="1" t="s">
        <v>1543</v>
      </c>
      <c r="B1508" s="1" t="s">
        <v>88</v>
      </c>
      <c r="C1508" s="1" t="n">
        <v>2340000</v>
      </c>
      <c r="D1508" s="1" t="n">
        <v>1460.4</v>
      </c>
      <c r="E1508" s="1" t="n">
        <v>0.035</v>
      </c>
      <c r="F1508" s="1" t="n">
        <v>0.0938</v>
      </c>
    </row>
    <row r="1509" customFormat="false" ht="15" hidden="false" customHeight="false" outlineLevel="0" collapsed="false">
      <c r="A1509" s="1" t="s">
        <v>1544</v>
      </c>
      <c r="B1509" s="1" t="s">
        <v>81</v>
      </c>
      <c r="C1509" s="1" t="n">
        <v>2350000</v>
      </c>
      <c r="D1509" s="1" t="n">
        <v>111469.5</v>
      </c>
      <c r="E1509" s="1" t="n">
        <v>0.034</v>
      </c>
      <c r="F1509" s="1" t="n">
        <v>0.0938</v>
      </c>
    </row>
    <row r="1510" customFormat="false" ht="15" hidden="false" customHeight="false" outlineLevel="0" collapsed="false">
      <c r="A1510" s="1" t="s">
        <v>1545</v>
      </c>
      <c r="B1510" s="1" t="s">
        <v>26</v>
      </c>
      <c r="C1510" s="1" t="n">
        <v>2700000</v>
      </c>
      <c r="D1510" s="1" t="n">
        <v>75117.1</v>
      </c>
      <c r="F1510" s="1" t="n">
        <v>0.0409</v>
      </c>
    </row>
    <row r="1511" customFormat="false" ht="15" hidden="false" customHeight="false" outlineLevel="0" collapsed="false">
      <c r="A1511" s="1" t="s">
        <v>1546</v>
      </c>
      <c r="B1511" s="1" t="s">
        <v>74</v>
      </c>
      <c r="C1511" s="1" t="n">
        <v>4870000</v>
      </c>
      <c r="D1511" s="1" t="n">
        <v>2138.6</v>
      </c>
      <c r="E1511" s="1" t="n">
        <v>0.0148</v>
      </c>
      <c r="F1511" s="1" t="n">
        <v>0.0726</v>
      </c>
    </row>
    <row r="1512" customFormat="false" ht="15" hidden="false" customHeight="false" outlineLevel="0" collapsed="false">
      <c r="A1512" s="1" t="s">
        <v>1547</v>
      </c>
      <c r="B1512" s="1" t="s">
        <v>24</v>
      </c>
      <c r="C1512" s="1" t="n">
        <v>2350000</v>
      </c>
      <c r="D1512" s="1" t="n">
        <v>4014.3</v>
      </c>
      <c r="E1512" s="1" t="n">
        <v>0.0113</v>
      </c>
      <c r="F1512" s="1" t="n">
        <v>0.0811</v>
      </c>
    </row>
    <row r="1513" customFormat="false" ht="15" hidden="false" customHeight="false" outlineLevel="0" collapsed="false">
      <c r="A1513" s="1" t="s">
        <v>1548</v>
      </c>
      <c r="B1513" s="1" t="s">
        <v>92</v>
      </c>
      <c r="C1513" s="1" t="n">
        <v>2070000</v>
      </c>
      <c r="D1513" s="1" t="n">
        <v>11101.6</v>
      </c>
      <c r="E1513" s="1" t="n">
        <v>0.0376</v>
      </c>
      <c r="F1513" s="1" t="n">
        <v>0.0759</v>
      </c>
    </row>
    <row r="1514" customFormat="false" ht="15" hidden="false" customHeight="false" outlineLevel="0" collapsed="false">
      <c r="A1514" s="1" t="s">
        <v>1549</v>
      </c>
      <c r="B1514" s="1" t="s">
        <v>214</v>
      </c>
      <c r="C1514" s="1" t="n">
        <v>2570000</v>
      </c>
      <c r="D1514" s="1" t="n">
        <v>3504.2</v>
      </c>
      <c r="E1514" s="1" t="n">
        <v>0.0035</v>
      </c>
      <c r="F1514" s="1" t="n">
        <v>0.0654</v>
      </c>
    </row>
    <row r="1515" customFormat="false" ht="15" hidden="false" customHeight="false" outlineLevel="0" collapsed="false">
      <c r="A1515" s="1" t="s">
        <v>1550</v>
      </c>
      <c r="B1515" s="1" t="s">
        <v>88</v>
      </c>
      <c r="C1515" s="1" t="n">
        <v>2140000</v>
      </c>
      <c r="D1515" s="1" t="n">
        <v>65504.2</v>
      </c>
      <c r="E1515" s="1" t="n">
        <v>0.0743</v>
      </c>
      <c r="F1515" s="1" t="n">
        <v>0.0938</v>
      </c>
    </row>
    <row r="1516" customFormat="false" ht="15" hidden="false" customHeight="false" outlineLevel="0" collapsed="false">
      <c r="A1516" s="1" t="s">
        <v>1551</v>
      </c>
      <c r="B1516" s="1" t="s">
        <v>26</v>
      </c>
      <c r="C1516" s="1" t="n">
        <v>2270000</v>
      </c>
      <c r="D1516" s="1" t="n">
        <v>177871.5</v>
      </c>
      <c r="E1516" s="1" t="n">
        <v>0.0201</v>
      </c>
      <c r="F1516" s="1" t="n">
        <v>0.0759</v>
      </c>
    </row>
    <row r="1517" customFormat="false" ht="15" hidden="false" customHeight="false" outlineLevel="0" collapsed="false">
      <c r="A1517" s="1" t="s">
        <v>1552</v>
      </c>
      <c r="B1517" s="1" t="s">
        <v>21</v>
      </c>
      <c r="C1517" s="1" t="n">
        <v>2170000</v>
      </c>
      <c r="D1517" s="1" t="n">
        <v>5418.7</v>
      </c>
      <c r="E1517" s="1" t="n">
        <v>0.0352</v>
      </c>
      <c r="F1517" s="1" t="n">
        <v>0.0409</v>
      </c>
    </row>
    <row r="1518" customFormat="false" ht="15" hidden="false" customHeight="false" outlineLevel="0" collapsed="false">
      <c r="A1518" s="1" t="s">
        <v>1553</v>
      </c>
      <c r="B1518" s="1" t="s">
        <v>92</v>
      </c>
      <c r="C1518" s="1" t="n">
        <v>2690000</v>
      </c>
      <c r="D1518" s="1" t="n">
        <v>1327492.4</v>
      </c>
      <c r="E1518" s="1" t="n">
        <v>0.0175</v>
      </c>
      <c r="F1518" s="1" t="n">
        <v>0.0462</v>
      </c>
    </row>
    <row r="1519" customFormat="false" ht="15" hidden="false" customHeight="false" outlineLevel="0" collapsed="false">
      <c r="A1519" s="1" t="s">
        <v>1554</v>
      </c>
      <c r="B1519" s="1" t="s">
        <v>26</v>
      </c>
      <c r="C1519" s="1" t="n">
        <v>976000</v>
      </c>
      <c r="D1519" s="1" t="n">
        <v>15815.2</v>
      </c>
      <c r="E1519" s="1" t="n">
        <v>0.0648</v>
      </c>
      <c r="F1519" s="1" t="n">
        <v>0.0672</v>
      </c>
    </row>
    <row r="1520" customFormat="false" ht="15" hidden="false" customHeight="false" outlineLevel="0" collapsed="false">
      <c r="A1520" s="1" t="s">
        <v>1555</v>
      </c>
      <c r="B1520" s="1" t="s">
        <v>41</v>
      </c>
      <c r="C1520" s="1" t="n">
        <v>2850000</v>
      </c>
      <c r="D1520" s="1" t="n">
        <v>22066.7</v>
      </c>
      <c r="E1520" s="1" t="n">
        <v>0.041</v>
      </c>
      <c r="F1520" s="1" t="n">
        <v>0.0938</v>
      </c>
    </row>
    <row r="1521" customFormat="false" ht="15" hidden="false" customHeight="false" outlineLevel="0" collapsed="false">
      <c r="A1521" s="1" t="s">
        <v>1556</v>
      </c>
      <c r="B1521" s="1" t="s">
        <v>41</v>
      </c>
      <c r="C1521" s="1" t="n">
        <v>2880000</v>
      </c>
      <c r="D1521" s="1" t="n">
        <v>53355.4</v>
      </c>
      <c r="E1521" s="1" t="n">
        <v>0.0624</v>
      </c>
      <c r="F1521" s="1" t="n">
        <v>0.0938</v>
      </c>
    </row>
    <row r="1522" customFormat="false" ht="15" hidden="false" customHeight="false" outlineLevel="0" collapsed="false">
      <c r="A1522" s="1" t="s">
        <v>1557</v>
      </c>
      <c r="B1522" s="1" t="s">
        <v>26</v>
      </c>
      <c r="C1522" s="1" t="n">
        <v>2860000</v>
      </c>
      <c r="D1522" s="1" t="n">
        <v>17314.3</v>
      </c>
      <c r="E1522" s="1" t="n">
        <v>0.0584</v>
      </c>
      <c r="F1522" s="1" t="n">
        <v>0.0938</v>
      </c>
    </row>
    <row r="1523" customFormat="false" ht="15" hidden="false" customHeight="false" outlineLevel="0" collapsed="false">
      <c r="A1523" s="1" t="s">
        <v>1558</v>
      </c>
      <c r="B1523" s="1" t="s">
        <v>24</v>
      </c>
      <c r="C1523" s="1" t="n">
        <v>2930000</v>
      </c>
      <c r="D1523" s="1" t="n">
        <v>327922.6</v>
      </c>
      <c r="E1523" s="1" t="n">
        <v>0.0426</v>
      </c>
      <c r="F1523" s="1" t="n">
        <v>0.0409</v>
      </c>
    </row>
    <row r="1524" customFormat="false" ht="15" hidden="false" customHeight="false" outlineLevel="0" collapsed="false">
      <c r="A1524" s="1" t="s">
        <v>1559</v>
      </c>
      <c r="B1524" s="1" t="s">
        <v>26</v>
      </c>
      <c r="C1524" s="1" t="n">
        <v>3980000</v>
      </c>
      <c r="D1524" s="1" t="n">
        <v>2213.2</v>
      </c>
      <c r="E1524" s="1" t="n">
        <v>0.0249</v>
      </c>
      <c r="F1524" s="1" t="n">
        <v>0.0938</v>
      </c>
    </row>
    <row r="1525" customFormat="false" ht="15" hidden="false" customHeight="false" outlineLevel="0" collapsed="false">
      <c r="A1525" s="1" t="s">
        <v>1560</v>
      </c>
      <c r="B1525" s="1" t="s">
        <v>41</v>
      </c>
      <c r="C1525" s="1" t="n">
        <v>3200000</v>
      </c>
      <c r="D1525" s="1" t="n">
        <v>11260.9</v>
      </c>
      <c r="E1525" s="1" t="n">
        <v>0.0422</v>
      </c>
      <c r="F1525" s="1" t="n">
        <v>0.0759</v>
      </c>
    </row>
    <row r="1526" customFormat="false" ht="15" hidden="false" customHeight="false" outlineLevel="0" collapsed="false">
      <c r="A1526" s="1" t="s">
        <v>1561</v>
      </c>
      <c r="B1526" s="1" t="s">
        <v>26</v>
      </c>
      <c r="C1526" s="1" t="n">
        <v>2530000</v>
      </c>
      <c r="D1526" s="1" t="n">
        <v>30592.3</v>
      </c>
      <c r="E1526" s="1" t="n">
        <v>0.0118</v>
      </c>
      <c r="F1526" s="1" t="n">
        <v>0.1187</v>
      </c>
    </row>
    <row r="1527" customFormat="false" ht="15" hidden="false" customHeight="false" outlineLevel="0" collapsed="false">
      <c r="A1527" s="1" t="s">
        <v>1562</v>
      </c>
      <c r="B1527" s="1" t="s">
        <v>26</v>
      </c>
      <c r="C1527" s="1" t="n">
        <v>2100000</v>
      </c>
      <c r="D1527" s="1" t="n">
        <v>5645.9</v>
      </c>
      <c r="E1527" s="1" t="n">
        <v>0.0289</v>
      </c>
      <c r="F1527" s="1" t="n">
        <v>0.0759</v>
      </c>
    </row>
    <row r="1528" customFormat="false" ht="15" hidden="false" customHeight="false" outlineLevel="0" collapsed="false">
      <c r="A1528" s="1" t="s">
        <v>1563</v>
      </c>
      <c r="B1528" s="1" t="s">
        <v>26</v>
      </c>
      <c r="C1528" s="1" t="n">
        <v>2260000</v>
      </c>
      <c r="D1528" s="1" t="n">
        <v>328927.8</v>
      </c>
      <c r="E1528" s="1" t="n">
        <v>0.0166</v>
      </c>
      <c r="F1528" s="1" t="n">
        <v>0.0462</v>
      </c>
    </row>
    <row r="1529" customFormat="false" ht="15" hidden="false" customHeight="false" outlineLevel="0" collapsed="false">
      <c r="A1529" s="1" t="s">
        <v>1564</v>
      </c>
      <c r="B1529" s="1" t="s">
        <v>30</v>
      </c>
      <c r="C1529" s="1" t="n">
        <v>3290000</v>
      </c>
      <c r="D1529" s="1" t="n">
        <v>3675247.3</v>
      </c>
      <c r="E1529" s="1" t="n">
        <v>0.0195</v>
      </c>
      <c r="F1529" s="1" t="n">
        <v>0.0462</v>
      </c>
    </row>
    <row r="1530" customFormat="false" ht="15" hidden="false" customHeight="false" outlineLevel="0" collapsed="false">
      <c r="A1530" s="1" t="s">
        <v>1565</v>
      </c>
      <c r="B1530" s="1" t="s">
        <v>41</v>
      </c>
      <c r="C1530" s="1" t="n">
        <v>2190000</v>
      </c>
      <c r="D1530" s="1" t="n">
        <v>4069.8</v>
      </c>
      <c r="F1530" s="1" t="n">
        <v>0.0938</v>
      </c>
    </row>
    <row r="1531" customFormat="false" ht="15" hidden="false" customHeight="false" outlineLevel="0" collapsed="false">
      <c r="A1531" s="1" t="s">
        <v>1566</v>
      </c>
      <c r="B1531" s="1" t="s">
        <v>24</v>
      </c>
      <c r="C1531" s="1" t="n">
        <v>2190000</v>
      </c>
      <c r="D1531" s="1" t="n">
        <v>49983.9</v>
      </c>
      <c r="E1531" s="1" t="n">
        <v>0.05</v>
      </c>
      <c r="F1531" s="1" t="n">
        <v>0.0951</v>
      </c>
    </row>
    <row r="1532" customFormat="false" ht="15" hidden="false" customHeight="false" outlineLevel="0" collapsed="false">
      <c r="A1532" s="1" t="s">
        <v>1567</v>
      </c>
      <c r="B1532" s="1" t="s">
        <v>62</v>
      </c>
      <c r="C1532" s="1" t="n">
        <v>2620000</v>
      </c>
      <c r="D1532" s="1" t="n">
        <v>8562.6</v>
      </c>
      <c r="E1532" s="1" t="n">
        <v>0.0528</v>
      </c>
      <c r="F1532" s="1" t="n">
        <v>0.0759</v>
      </c>
    </row>
    <row r="1533" customFormat="false" ht="15" hidden="false" customHeight="false" outlineLevel="0" collapsed="false">
      <c r="A1533" s="1" t="s">
        <v>1568</v>
      </c>
      <c r="B1533" s="1" t="s">
        <v>92</v>
      </c>
      <c r="C1533" s="1" t="n">
        <v>2400000</v>
      </c>
      <c r="D1533" s="1" t="n">
        <v>41414.1</v>
      </c>
      <c r="E1533" s="1" t="n">
        <v>0.0179</v>
      </c>
      <c r="F1533" s="1" t="n">
        <v>0.0757</v>
      </c>
    </row>
    <row r="1534" customFormat="false" ht="15" hidden="false" customHeight="false" outlineLevel="0" collapsed="false">
      <c r="A1534" s="1" t="s">
        <v>1569</v>
      </c>
      <c r="B1534" s="1" t="s">
        <v>214</v>
      </c>
      <c r="C1534" s="1" t="n">
        <v>2140000</v>
      </c>
      <c r="D1534" s="1" t="n">
        <v>379362.2</v>
      </c>
      <c r="E1534" s="1" t="n">
        <v>0.0061</v>
      </c>
      <c r="F1534" s="1" t="n">
        <v>0.1471</v>
      </c>
    </row>
    <row r="1535" customFormat="false" ht="15" hidden="false" customHeight="false" outlineLevel="0" collapsed="false">
      <c r="A1535" s="1" t="s">
        <v>1570</v>
      </c>
      <c r="B1535" s="1" t="s">
        <v>88</v>
      </c>
      <c r="C1535" s="1" t="n">
        <v>2000000</v>
      </c>
      <c r="D1535" s="1" t="n">
        <v>576.3</v>
      </c>
      <c r="E1535" s="1" t="n">
        <v>0.0353</v>
      </c>
      <c r="F1535" s="1" t="n">
        <v>0.0951</v>
      </c>
    </row>
    <row r="1536" customFormat="false" ht="15" hidden="false" customHeight="false" outlineLevel="0" collapsed="false">
      <c r="A1536" s="1" t="s">
        <v>1571</v>
      </c>
      <c r="B1536" s="1" t="s">
        <v>26</v>
      </c>
      <c r="C1536" s="1" t="n">
        <v>2890000</v>
      </c>
      <c r="D1536" s="1" t="n">
        <v>93827.9</v>
      </c>
      <c r="E1536" s="1" t="n">
        <v>0.0571</v>
      </c>
      <c r="F1536" s="1" t="n">
        <v>0.0759</v>
      </c>
    </row>
    <row r="1537" customFormat="false" ht="15" hidden="false" customHeight="false" outlineLevel="0" collapsed="false">
      <c r="A1537" s="1" t="s">
        <v>1572</v>
      </c>
      <c r="B1537" s="1" t="s">
        <v>30</v>
      </c>
      <c r="C1537" s="1" t="n">
        <v>2630000</v>
      </c>
      <c r="D1537" s="1" t="n">
        <v>315076.1</v>
      </c>
      <c r="E1537" s="1" t="n">
        <v>0.0066</v>
      </c>
      <c r="F1537" s="1" t="n">
        <v>0.0821</v>
      </c>
    </row>
    <row r="1538" customFormat="false" ht="15" hidden="false" customHeight="false" outlineLevel="0" collapsed="false">
      <c r="A1538" s="1" t="s">
        <v>1573</v>
      </c>
      <c r="B1538" s="1" t="s">
        <v>53</v>
      </c>
      <c r="C1538" s="1" t="n">
        <v>1960000</v>
      </c>
      <c r="D1538" s="1" t="n">
        <v>117608.1</v>
      </c>
      <c r="F1538" s="1" t="n">
        <v>0.0518</v>
      </c>
    </row>
    <row r="1539" customFormat="false" ht="15" hidden="false" customHeight="false" outlineLevel="0" collapsed="false">
      <c r="A1539" s="1" t="s">
        <v>1574</v>
      </c>
      <c r="B1539" s="1" t="s">
        <v>26</v>
      </c>
      <c r="C1539" s="1" t="n">
        <v>2230000</v>
      </c>
      <c r="D1539" s="1" t="n">
        <v>186462.2</v>
      </c>
      <c r="E1539" s="1" t="n">
        <v>0.0399</v>
      </c>
      <c r="F1539" s="1" t="n">
        <v>0.0759</v>
      </c>
    </row>
    <row r="1540" customFormat="false" ht="15" hidden="false" customHeight="false" outlineLevel="0" collapsed="false">
      <c r="A1540" s="1" t="s">
        <v>1575</v>
      </c>
      <c r="B1540" s="1" t="s">
        <v>26</v>
      </c>
      <c r="C1540" s="1" t="n">
        <v>1410000</v>
      </c>
      <c r="D1540" s="1" t="n">
        <v>133102.6</v>
      </c>
      <c r="E1540" s="1" t="n">
        <v>0.0305</v>
      </c>
      <c r="F1540" s="1" t="n">
        <v>0.0759</v>
      </c>
    </row>
    <row r="1541" customFormat="false" ht="15" hidden="false" customHeight="false" outlineLevel="0" collapsed="false">
      <c r="A1541" s="1" t="s">
        <v>1576</v>
      </c>
      <c r="B1541" s="1" t="s">
        <v>92</v>
      </c>
      <c r="C1541" s="1" t="n">
        <v>2270000</v>
      </c>
      <c r="D1541" s="1" t="n">
        <v>15650.9</v>
      </c>
      <c r="E1541" s="1" t="n">
        <v>0.0168</v>
      </c>
      <c r="F1541" s="1" t="n">
        <v>0.1053</v>
      </c>
    </row>
    <row r="1542" customFormat="false" ht="15" hidden="false" customHeight="false" outlineLevel="0" collapsed="false">
      <c r="A1542" s="1" t="s">
        <v>1577</v>
      </c>
      <c r="B1542" s="1" t="s">
        <v>26</v>
      </c>
      <c r="C1542" s="1" t="n">
        <v>3060000</v>
      </c>
      <c r="D1542" s="1" t="n">
        <v>128968.1</v>
      </c>
      <c r="E1542" s="1" t="n">
        <v>0.0119</v>
      </c>
      <c r="F1542" s="1" t="n">
        <v>0.0726</v>
      </c>
    </row>
    <row r="1543" customFormat="false" ht="15" hidden="false" customHeight="false" outlineLevel="0" collapsed="false">
      <c r="A1543" s="1" t="s">
        <v>1578</v>
      </c>
      <c r="B1543" s="1" t="s">
        <v>21</v>
      </c>
      <c r="C1543" s="1" t="n">
        <v>2430000</v>
      </c>
      <c r="D1543" s="1" t="n">
        <v>25696.5</v>
      </c>
      <c r="E1543" s="1" t="n">
        <v>0.0302</v>
      </c>
      <c r="F1543" s="1" t="n">
        <v>0.0759</v>
      </c>
    </row>
    <row r="1544" customFormat="false" ht="15" hidden="false" customHeight="false" outlineLevel="0" collapsed="false">
      <c r="A1544" s="1" t="s">
        <v>1579</v>
      </c>
      <c r="B1544" s="1" t="s">
        <v>214</v>
      </c>
      <c r="C1544" s="1" t="n">
        <v>2090000</v>
      </c>
      <c r="D1544" s="1" t="n">
        <v>3420.3</v>
      </c>
      <c r="E1544" s="1" t="n">
        <v>0.0227</v>
      </c>
      <c r="F1544" s="1" t="n">
        <v>0.0938</v>
      </c>
    </row>
    <row r="1545" customFormat="false" ht="15" hidden="false" customHeight="false" outlineLevel="0" collapsed="false">
      <c r="A1545" s="1" t="s">
        <v>1580</v>
      </c>
      <c r="B1545" s="1" t="s">
        <v>92</v>
      </c>
      <c r="C1545" s="1" t="n">
        <v>2210000</v>
      </c>
      <c r="D1545" s="1" t="n">
        <v>98430.7</v>
      </c>
      <c r="E1545" s="1" t="n">
        <v>0.0245</v>
      </c>
      <c r="F1545" s="1" t="n">
        <v>0.0518</v>
      </c>
    </row>
    <row r="1546" customFormat="false" ht="15" hidden="false" customHeight="false" outlineLevel="0" collapsed="false">
      <c r="A1546" s="1" t="s">
        <v>1581</v>
      </c>
      <c r="B1546" s="1" t="s">
        <v>26</v>
      </c>
      <c r="C1546" s="1" t="n">
        <v>2420000</v>
      </c>
      <c r="D1546" s="1" t="n">
        <v>2386088.1</v>
      </c>
      <c r="E1546" s="1" t="n">
        <v>0.0328</v>
      </c>
      <c r="F1546" s="1" t="n">
        <v>0.0951</v>
      </c>
    </row>
    <row r="1547" customFormat="false" ht="15" hidden="false" customHeight="false" outlineLevel="0" collapsed="false">
      <c r="A1547" s="1" t="s">
        <v>1582</v>
      </c>
      <c r="B1547" s="1" t="s">
        <v>50</v>
      </c>
      <c r="C1547" s="1" t="n">
        <v>3100000</v>
      </c>
      <c r="D1547" s="1" t="n">
        <v>26023.1</v>
      </c>
      <c r="E1547" s="1" t="n">
        <v>0.0071</v>
      </c>
      <c r="F1547" s="1" t="n">
        <v>0.0811</v>
      </c>
    </row>
    <row r="1548" customFormat="false" ht="15" hidden="false" customHeight="false" outlineLevel="0" collapsed="false">
      <c r="A1548" s="1" t="s">
        <v>1583</v>
      </c>
      <c r="B1548" s="1" t="s">
        <v>92</v>
      </c>
      <c r="C1548" s="1" t="n">
        <v>2770000</v>
      </c>
      <c r="D1548" s="1" t="n">
        <v>143996.1</v>
      </c>
      <c r="E1548" s="1" t="n">
        <v>0.0309</v>
      </c>
      <c r="F1548" s="1" t="n">
        <v>0.0759</v>
      </c>
    </row>
    <row r="1549" customFormat="false" ht="15" hidden="false" customHeight="false" outlineLevel="0" collapsed="false">
      <c r="A1549" s="1" t="s">
        <v>1584</v>
      </c>
      <c r="B1549" s="1" t="s">
        <v>62</v>
      </c>
      <c r="C1549" s="1" t="n">
        <v>2260000</v>
      </c>
      <c r="D1549" s="1" t="n">
        <v>5491.7</v>
      </c>
      <c r="E1549" s="1" t="n">
        <v>0.0072</v>
      </c>
      <c r="F1549" s="1" t="n">
        <v>0.0811</v>
      </c>
    </row>
    <row r="1550" customFormat="false" ht="15" hidden="false" customHeight="false" outlineLevel="0" collapsed="false">
      <c r="A1550" s="1" t="s">
        <v>1585</v>
      </c>
      <c r="B1550" s="1" t="s">
        <v>53</v>
      </c>
      <c r="C1550" s="1" t="n">
        <v>2470000</v>
      </c>
      <c r="D1550" s="1" t="n">
        <v>1633027.4</v>
      </c>
      <c r="E1550" s="1" t="n">
        <v>0.0208</v>
      </c>
      <c r="F1550" s="1" t="n">
        <v>0.0518</v>
      </c>
    </row>
    <row r="1551" customFormat="false" ht="15" hidden="false" customHeight="false" outlineLevel="0" collapsed="false">
      <c r="A1551" s="1" t="s">
        <v>1586</v>
      </c>
      <c r="B1551" s="1" t="s">
        <v>26</v>
      </c>
      <c r="C1551" s="1" t="n">
        <v>2140000</v>
      </c>
      <c r="D1551" s="1" t="n">
        <v>48396.8</v>
      </c>
      <c r="E1551" s="1" t="n">
        <v>0.0304</v>
      </c>
      <c r="F1551" s="1" t="n">
        <v>0.0759</v>
      </c>
    </row>
    <row r="1552" customFormat="false" ht="15" hidden="false" customHeight="false" outlineLevel="0" collapsed="false">
      <c r="A1552" s="1" t="s">
        <v>1587</v>
      </c>
      <c r="B1552" s="1" t="s">
        <v>214</v>
      </c>
      <c r="C1552" s="1" t="n">
        <v>2030000</v>
      </c>
      <c r="D1552" s="1" t="n">
        <v>9895777.7</v>
      </c>
      <c r="E1552" s="1" t="n">
        <v>0.0351</v>
      </c>
      <c r="F1552" s="1" t="n">
        <v>0.0546</v>
      </c>
    </row>
    <row r="1553" customFormat="false" ht="15" hidden="false" customHeight="false" outlineLevel="0" collapsed="false">
      <c r="A1553" s="1" t="s">
        <v>1588</v>
      </c>
      <c r="B1553" s="1" t="s">
        <v>24</v>
      </c>
      <c r="C1553" s="1" t="n">
        <v>2300000</v>
      </c>
      <c r="D1553" s="1" t="n">
        <v>11896.3</v>
      </c>
      <c r="E1553" s="1" t="n">
        <v>0.035</v>
      </c>
      <c r="F1553" s="1" t="n">
        <v>0.0538</v>
      </c>
    </row>
    <row r="1554" customFormat="false" ht="15" hidden="false" customHeight="false" outlineLevel="0" collapsed="false">
      <c r="A1554" s="1" t="s">
        <v>1589</v>
      </c>
      <c r="B1554" s="1" t="s">
        <v>214</v>
      </c>
      <c r="C1554" s="1" t="n">
        <v>2060000</v>
      </c>
      <c r="D1554" s="1" t="n">
        <v>11620.1</v>
      </c>
      <c r="E1554" s="1" t="n">
        <v>0.0083</v>
      </c>
      <c r="F1554" s="1" t="n">
        <v>0.1187</v>
      </c>
    </row>
    <row r="1555" customFormat="false" ht="15" hidden="false" customHeight="false" outlineLevel="0" collapsed="false">
      <c r="A1555" s="1" t="s">
        <v>1590</v>
      </c>
      <c r="B1555" s="1" t="s">
        <v>26</v>
      </c>
      <c r="C1555" s="1" t="n">
        <v>276000</v>
      </c>
      <c r="D1555" s="1" t="n">
        <v>614059.2</v>
      </c>
      <c r="F1555" s="1" t="n">
        <v>0.0518</v>
      </c>
    </row>
    <row r="1556" customFormat="false" ht="15" hidden="false" customHeight="false" outlineLevel="0" collapsed="false">
      <c r="A1556" s="1" t="s">
        <v>1591</v>
      </c>
      <c r="B1556" s="1" t="s">
        <v>24</v>
      </c>
      <c r="C1556" s="1" t="n">
        <v>3030000</v>
      </c>
      <c r="D1556" s="1" t="n">
        <v>1178.4</v>
      </c>
      <c r="E1556" s="1" t="n">
        <v>0.1261</v>
      </c>
      <c r="F1556" s="1" t="n">
        <v>0.0938</v>
      </c>
    </row>
    <row r="1557" customFormat="false" ht="15" hidden="false" customHeight="false" outlineLevel="0" collapsed="false">
      <c r="A1557" s="1" t="s">
        <v>1592</v>
      </c>
      <c r="B1557" s="1" t="s">
        <v>62</v>
      </c>
      <c r="C1557" s="1" t="n">
        <v>2090000</v>
      </c>
      <c r="D1557" s="1" t="n">
        <v>35395.1</v>
      </c>
      <c r="E1557" s="1" t="n">
        <v>0.0534</v>
      </c>
      <c r="F1557" s="1" t="n">
        <v>0.0759</v>
      </c>
    </row>
    <row r="1558" customFormat="false" ht="15" hidden="false" customHeight="false" outlineLevel="0" collapsed="false">
      <c r="A1558" s="1" t="s">
        <v>1593</v>
      </c>
      <c r="B1558" s="1" t="s">
        <v>26</v>
      </c>
      <c r="C1558" s="1" t="n">
        <v>2120000</v>
      </c>
      <c r="D1558" s="1" t="n">
        <v>12911.4</v>
      </c>
      <c r="E1558" s="1" t="n">
        <v>0.0323</v>
      </c>
      <c r="F1558" s="1" t="n">
        <v>0.0759</v>
      </c>
    </row>
    <row r="1559" customFormat="false" ht="15" hidden="false" customHeight="false" outlineLevel="0" collapsed="false">
      <c r="A1559" s="1" t="s">
        <v>1594</v>
      </c>
      <c r="B1559" s="1" t="s">
        <v>24</v>
      </c>
      <c r="C1559" s="1" t="n">
        <v>2420000</v>
      </c>
      <c r="D1559" s="1" t="n">
        <v>26082.9</v>
      </c>
      <c r="E1559" s="1" t="n">
        <v>0.0337</v>
      </c>
      <c r="F1559" s="1" t="n">
        <v>0.051</v>
      </c>
    </row>
    <row r="1560" customFormat="false" ht="15" hidden="false" customHeight="false" outlineLevel="0" collapsed="false">
      <c r="A1560" s="1" t="s">
        <v>1595</v>
      </c>
      <c r="B1560" s="1" t="s">
        <v>30</v>
      </c>
      <c r="C1560" s="1" t="n">
        <v>3390000</v>
      </c>
      <c r="D1560" s="1" t="n">
        <v>26896.1</v>
      </c>
      <c r="E1560" s="1" t="n">
        <v>0.0106</v>
      </c>
      <c r="F1560" s="1" t="n">
        <v>0.0811</v>
      </c>
    </row>
    <row r="1561" customFormat="false" ht="15" hidden="false" customHeight="false" outlineLevel="0" collapsed="false">
      <c r="A1561" s="1" t="s">
        <v>1596</v>
      </c>
      <c r="B1561" s="1" t="s">
        <v>214</v>
      </c>
      <c r="C1561" s="1" t="n">
        <v>2030000</v>
      </c>
      <c r="D1561" s="1" t="n">
        <v>99883.1</v>
      </c>
      <c r="E1561" s="1" t="n">
        <v>0.0192</v>
      </c>
      <c r="F1561" s="1" t="n">
        <v>0.095</v>
      </c>
    </row>
    <row r="1562" customFormat="false" ht="15" hidden="false" customHeight="false" outlineLevel="0" collapsed="false">
      <c r="A1562" s="1" t="s">
        <v>1597</v>
      </c>
      <c r="B1562" s="1" t="s">
        <v>26</v>
      </c>
      <c r="C1562" s="1" t="n">
        <v>2300000</v>
      </c>
      <c r="D1562" s="1" t="n">
        <v>1319.4</v>
      </c>
      <c r="E1562" s="1" t="n">
        <v>0.0093</v>
      </c>
      <c r="F1562" s="1" t="n">
        <v>0.1592</v>
      </c>
    </row>
    <row r="1563" customFormat="false" ht="15" hidden="false" customHeight="false" outlineLevel="0" collapsed="false">
      <c r="A1563" s="1" t="s">
        <v>1598</v>
      </c>
      <c r="B1563" s="1" t="s">
        <v>53</v>
      </c>
      <c r="C1563" s="1" t="n">
        <v>2400000</v>
      </c>
      <c r="D1563" s="1" t="n">
        <v>54222.9</v>
      </c>
      <c r="E1563" s="1" t="n">
        <v>0.005</v>
      </c>
      <c r="F1563" s="1" t="n">
        <v>0.0654</v>
      </c>
    </row>
    <row r="1564" customFormat="false" ht="15" hidden="false" customHeight="false" outlineLevel="0" collapsed="false">
      <c r="A1564" s="1" t="s">
        <v>1599</v>
      </c>
      <c r="B1564" s="1" t="s">
        <v>28</v>
      </c>
      <c r="C1564" s="1" t="n">
        <v>2320000</v>
      </c>
      <c r="D1564" s="1" t="n">
        <v>7970.8</v>
      </c>
      <c r="E1564" s="1" t="n">
        <v>0.0106</v>
      </c>
      <c r="F1564" s="1" t="n">
        <v>0.0654</v>
      </c>
    </row>
    <row r="1565" customFormat="false" ht="15" hidden="false" customHeight="false" outlineLevel="0" collapsed="false">
      <c r="A1565" s="1" t="s">
        <v>1600</v>
      </c>
      <c r="B1565" s="1" t="s">
        <v>41</v>
      </c>
      <c r="C1565" s="1" t="n">
        <v>2830000</v>
      </c>
      <c r="D1565" s="1" t="n">
        <v>3488.5</v>
      </c>
      <c r="E1565" s="1" t="n">
        <v>0.0181</v>
      </c>
      <c r="F1565" s="1" t="n">
        <v>0.5714</v>
      </c>
    </row>
    <row r="1566" customFormat="false" ht="15" hidden="false" customHeight="false" outlineLevel="0" collapsed="false">
      <c r="A1566" s="1" t="s">
        <v>1601</v>
      </c>
      <c r="B1566" s="1" t="s">
        <v>24</v>
      </c>
      <c r="C1566" s="1" t="n">
        <v>2170000</v>
      </c>
      <c r="D1566" s="1" t="n">
        <v>396566.9</v>
      </c>
      <c r="E1566" s="1" t="n">
        <v>0.0473</v>
      </c>
      <c r="F1566" s="1" t="n">
        <v>0.0759</v>
      </c>
    </row>
    <row r="1567" customFormat="false" ht="15" hidden="false" customHeight="false" outlineLevel="0" collapsed="false">
      <c r="A1567" s="1" t="s">
        <v>1602</v>
      </c>
      <c r="B1567" s="1" t="s">
        <v>26</v>
      </c>
      <c r="C1567" s="1" t="n">
        <v>1980000</v>
      </c>
      <c r="D1567" s="1" t="n">
        <v>278.7</v>
      </c>
      <c r="E1567" s="1" t="n">
        <v>0.0101</v>
      </c>
      <c r="F1567" s="1" t="n">
        <v>0.139</v>
      </c>
    </row>
    <row r="1568" customFormat="false" ht="15" hidden="false" customHeight="false" outlineLevel="0" collapsed="false">
      <c r="A1568" s="1" t="s">
        <v>1603</v>
      </c>
      <c r="B1568" s="1" t="s">
        <v>26</v>
      </c>
      <c r="C1568" s="1" t="n">
        <v>3140000</v>
      </c>
      <c r="D1568" s="1" t="n">
        <v>48428.6</v>
      </c>
      <c r="E1568" s="1" t="n">
        <v>0.0108</v>
      </c>
      <c r="F1568" s="1" t="n">
        <v>0.0811</v>
      </c>
    </row>
    <row r="1569" customFormat="false" ht="15" hidden="false" customHeight="false" outlineLevel="0" collapsed="false">
      <c r="A1569" s="1" t="s">
        <v>1604</v>
      </c>
      <c r="B1569" s="1" t="s">
        <v>92</v>
      </c>
      <c r="C1569" s="1" t="n">
        <v>2460000</v>
      </c>
      <c r="D1569" s="1" t="n">
        <v>15380.9</v>
      </c>
      <c r="E1569" s="1" t="n">
        <v>0.0259</v>
      </c>
      <c r="F1569" s="1" t="n">
        <v>0.3311</v>
      </c>
    </row>
    <row r="1570" customFormat="false" ht="15" hidden="false" customHeight="false" outlineLevel="0" collapsed="false">
      <c r="A1570" s="1" t="s">
        <v>1605</v>
      </c>
      <c r="B1570" s="1" t="s">
        <v>92</v>
      </c>
      <c r="C1570" s="1" t="n">
        <v>2530000</v>
      </c>
      <c r="D1570" s="1" t="n">
        <v>43242.1</v>
      </c>
      <c r="E1570" s="1" t="n">
        <v>0.0167</v>
      </c>
      <c r="F1570" s="1" t="n">
        <v>0.095</v>
      </c>
    </row>
    <row r="1571" customFormat="false" ht="15" hidden="false" customHeight="false" outlineLevel="0" collapsed="false">
      <c r="A1571" s="1" t="s">
        <v>1606</v>
      </c>
      <c r="B1571" s="1" t="s">
        <v>41</v>
      </c>
      <c r="C1571" s="1" t="n">
        <v>2110000</v>
      </c>
      <c r="D1571" s="1" t="n">
        <v>15591.8</v>
      </c>
      <c r="E1571" s="1" t="n">
        <v>0.0069</v>
      </c>
      <c r="F1571" s="1" t="n">
        <v>0.1015</v>
      </c>
    </row>
    <row r="1572" customFormat="false" ht="15" hidden="false" customHeight="false" outlineLevel="0" collapsed="false">
      <c r="A1572" s="1" t="s">
        <v>1607</v>
      </c>
      <c r="B1572" s="1" t="s">
        <v>28</v>
      </c>
      <c r="C1572" s="1" t="n">
        <v>2070000</v>
      </c>
      <c r="D1572" s="1" t="n">
        <v>91830.2</v>
      </c>
      <c r="E1572" s="1" t="n">
        <v>0.0042</v>
      </c>
      <c r="F1572" s="1" t="n">
        <v>0.0822</v>
      </c>
    </row>
    <row r="1573" customFormat="false" ht="15" hidden="false" customHeight="false" outlineLevel="0" collapsed="false">
      <c r="A1573" s="1" t="s">
        <v>1608</v>
      </c>
      <c r="B1573" s="1" t="s">
        <v>24</v>
      </c>
      <c r="C1573" s="1" t="n">
        <v>1470000</v>
      </c>
      <c r="D1573" s="1" t="n">
        <v>5402971.4</v>
      </c>
      <c r="E1573" s="1" t="n">
        <v>0.0245</v>
      </c>
      <c r="F1573" s="1" t="n">
        <v>0.0409</v>
      </c>
    </row>
    <row r="1574" customFormat="false" ht="15" hidden="false" customHeight="false" outlineLevel="0" collapsed="false">
      <c r="A1574" s="1" t="s">
        <v>1609</v>
      </c>
      <c r="B1574" s="1" t="s">
        <v>214</v>
      </c>
      <c r="C1574" s="1" t="n">
        <v>1970000</v>
      </c>
      <c r="D1574" s="1" t="n">
        <v>2082.3</v>
      </c>
      <c r="E1574" s="1" t="n">
        <v>0.0069</v>
      </c>
      <c r="F1574" s="1" t="n">
        <v>0.0822</v>
      </c>
    </row>
    <row r="1575" customFormat="false" ht="15" hidden="false" customHeight="false" outlineLevel="0" collapsed="false">
      <c r="A1575" s="1" t="s">
        <v>1610</v>
      </c>
      <c r="B1575" s="1" t="s">
        <v>62</v>
      </c>
      <c r="C1575" s="1" t="n">
        <v>2400000</v>
      </c>
      <c r="D1575" s="1" t="n">
        <v>4344.8</v>
      </c>
      <c r="E1575" s="1" t="n">
        <v>0.0099</v>
      </c>
      <c r="F1575" s="1" t="n">
        <v>0.0811</v>
      </c>
    </row>
    <row r="1576" customFormat="false" ht="15" hidden="false" customHeight="false" outlineLevel="0" collapsed="false">
      <c r="A1576" s="1" t="s">
        <v>1611</v>
      </c>
      <c r="B1576" s="1" t="s">
        <v>62</v>
      </c>
      <c r="C1576" s="1" t="n">
        <v>2090000</v>
      </c>
      <c r="D1576" s="1" t="n">
        <v>2394.7</v>
      </c>
      <c r="E1576" s="1" t="n">
        <v>0.0963</v>
      </c>
      <c r="F1576" s="1" t="n">
        <v>0.0938</v>
      </c>
    </row>
    <row r="1577" customFormat="false" ht="15" hidden="false" customHeight="false" outlineLevel="0" collapsed="false">
      <c r="A1577" s="1" t="s">
        <v>1612</v>
      </c>
      <c r="B1577" s="1" t="s">
        <v>26</v>
      </c>
      <c r="C1577" s="1" t="n">
        <v>1930000</v>
      </c>
      <c r="D1577" s="1" t="n">
        <v>1771</v>
      </c>
      <c r="E1577" s="1" t="n">
        <v>0.0078</v>
      </c>
      <c r="F1577" s="1" t="n">
        <v>0.1471</v>
      </c>
    </row>
    <row r="1578" customFormat="false" ht="15" hidden="false" customHeight="false" outlineLevel="0" collapsed="false">
      <c r="A1578" s="1" t="s">
        <v>1613</v>
      </c>
      <c r="B1578" s="1" t="s">
        <v>92</v>
      </c>
      <c r="C1578" s="1" t="n">
        <v>2270000</v>
      </c>
      <c r="D1578" s="1" t="n">
        <v>92780.4</v>
      </c>
      <c r="E1578" s="1" t="n">
        <v>0.0389</v>
      </c>
      <c r="F1578" s="1" t="n">
        <v>0.0938</v>
      </c>
    </row>
    <row r="1579" customFormat="false" ht="15" hidden="false" customHeight="false" outlineLevel="0" collapsed="false">
      <c r="A1579" s="1" t="s">
        <v>1614</v>
      </c>
      <c r="B1579" s="1" t="s">
        <v>24</v>
      </c>
      <c r="C1579" s="1" t="n">
        <v>3290000</v>
      </c>
      <c r="D1579" s="1" t="n">
        <v>393.2</v>
      </c>
      <c r="E1579" s="1" t="n">
        <v>0.0071</v>
      </c>
      <c r="F1579" s="1" t="n">
        <v>0.0811</v>
      </c>
    </row>
    <row r="1580" customFormat="false" ht="15" hidden="false" customHeight="false" outlineLevel="0" collapsed="false">
      <c r="A1580" s="1" t="s">
        <v>1615</v>
      </c>
      <c r="B1580" s="1" t="s">
        <v>41</v>
      </c>
      <c r="C1580" s="1" t="n">
        <v>1940000</v>
      </c>
      <c r="D1580" s="1" t="n">
        <v>6022.2</v>
      </c>
      <c r="E1580" s="1" t="n">
        <v>0.0043</v>
      </c>
      <c r="F1580" s="1" t="n">
        <v>0.1015</v>
      </c>
    </row>
    <row r="1581" customFormat="false" ht="15" hidden="false" customHeight="false" outlineLevel="0" collapsed="false">
      <c r="A1581" s="1" t="s">
        <v>1616</v>
      </c>
      <c r="B1581" s="1" t="s">
        <v>41</v>
      </c>
      <c r="C1581" s="1" t="n">
        <v>1810000</v>
      </c>
      <c r="D1581" s="1" t="n">
        <v>15655.4</v>
      </c>
      <c r="E1581" s="1" t="n">
        <v>0.0285</v>
      </c>
      <c r="F1581" s="1" t="n">
        <v>0.117</v>
      </c>
    </row>
    <row r="1582" customFormat="false" ht="15" hidden="false" customHeight="false" outlineLevel="0" collapsed="false">
      <c r="A1582" s="1" t="s">
        <v>1617</v>
      </c>
      <c r="B1582" s="1" t="s">
        <v>30</v>
      </c>
      <c r="C1582" s="1" t="n">
        <v>2110000</v>
      </c>
      <c r="D1582" s="1" t="n">
        <v>1822244.5</v>
      </c>
      <c r="E1582" s="1" t="n">
        <v>0.0242</v>
      </c>
      <c r="F1582" s="1" t="n">
        <v>0.0518</v>
      </c>
    </row>
    <row r="1583" customFormat="false" ht="15" hidden="false" customHeight="false" outlineLevel="0" collapsed="false">
      <c r="A1583" s="1" t="s">
        <v>1618</v>
      </c>
      <c r="B1583" s="1" t="s">
        <v>26</v>
      </c>
      <c r="C1583" s="1" t="n">
        <v>2180000</v>
      </c>
      <c r="D1583" s="1" t="n">
        <v>250156.5</v>
      </c>
      <c r="E1583" s="1" t="n">
        <v>0.0315</v>
      </c>
      <c r="F1583" s="1" t="n">
        <v>0.0409</v>
      </c>
    </row>
    <row r="1584" customFormat="false" ht="15" hidden="false" customHeight="false" outlineLevel="0" collapsed="false">
      <c r="A1584" s="1" t="s">
        <v>1619</v>
      </c>
      <c r="B1584" s="1" t="s">
        <v>53</v>
      </c>
      <c r="C1584" s="1" t="n">
        <v>5030000</v>
      </c>
      <c r="D1584" s="1" t="n">
        <v>27273.7</v>
      </c>
      <c r="E1584" s="1" t="n">
        <v>0.0223</v>
      </c>
      <c r="F1584" s="1" t="n">
        <v>0.051</v>
      </c>
    </row>
    <row r="1585" customFormat="false" ht="15" hidden="false" customHeight="false" outlineLevel="0" collapsed="false">
      <c r="A1585" s="1" t="s">
        <v>1620</v>
      </c>
      <c r="B1585" s="1" t="s">
        <v>30</v>
      </c>
      <c r="C1585" s="1" t="n">
        <v>2080000</v>
      </c>
      <c r="D1585" s="1" t="n">
        <v>38422.1</v>
      </c>
      <c r="E1585" s="1" t="n">
        <v>0.0187</v>
      </c>
      <c r="F1585" s="1" t="n">
        <v>0.0937</v>
      </c>
    </row>
    <row r="1586" customFormat="false" ht="15" hidden="false" customHeight="false" outlineLevel="0" collapsed="false">
      <c r="A1586" s="1" t="s">
        <v>1621</v>
      </c>
      <c r="B1586" s="1" t="s">
        <v>24</v>
      </c>
      <c r="C1586" s="1" t="n">
        <v>2900000</v>
      </c>
      <c r="D1586" s="1" t="n">
        <v>343404.4</v>
      </c>
      <c r="E1586" s="1" t="n">
        <v>0.0187</v>
      </c>
      <c r="F1586" s="1" t="n">
        <v>0.0462</v>
      </c>
    </row>
    <row r="1587" customFormat="false" ht="15" hidden="false" customHeight="false" outlineLevel="0" collapsed="false">
      <c r="A1587" s="1" t="s">
        <v>1622</v>
      </c>
      <c r="B1587" s="1" t="s">
        <v>26</v>
      </c>
      <c r="C1587" s="1" t="n">
        <v>1900000</v>
      </c>
      <c r="D1587" s="1" t="n">
        <v>5057.8</v>
      </c>
      <c r="E1587" s="1" t="n">
        <v>0.0377</v>
      </c>
      <c r="F1587" s="1" t="n">
        <v>0.0951</v>
      </c>
    </row>
    <row r="1588" customFormat="false" ht="15" hidden="false" customHeight="false" outlineLevel="0" collapsed="false">
      <c r="A1588" s="1" t="s">
        <v>1623</v>
      </c>
      <c r="B1588" s="1" t="s">
        <v>92</v>
      </c>
      <c r="C1588" s="1" t="n">
        <v>2750000</v>
      </c>
      <c r="D1588" s="1" t="n">
        <v>15026</v>
      </c>
      <c r="E1588" s="1" t="n">
        <v>0.0111</v>
      </c>
      <c r="F1588" s="1" t="n">
        <v>0.0584</v>
      </c>
    </row>
    <row r="1589" customFormat="false" ht="15" hidden="false" customHeight="false" outlineLevel="0" collapsed="false">
      <c r="A1589" s="1" t="s">
        <v>1624</v>
      </c>
      <c r="B1589" s="1" t="s">
        <v>53</v>
      </c>
      <c r="C1589" s="1" t="n">
        <v>2230000</v>
      </c>
      <c r="D1589" s="1" t="n">
        <v>13864.3</v>
      </c>
      <c r="E1589" s="1" t="n">
        <v>0.0167</v>
      </c>
      <c r="F1589" s="1" t="n">
        <v>0.0576</v>
      </c>
    </row>
    <row r="1590" customFormat="false" ht="15" hidden="false" customHeight="false" outlineLevel="0" collapsed="false">
      <c r="A1590" s="1" t="s">
        <v>1625</v>
      </c>
      <c r="B1590" s="1" t="s">
        <v>35</v>
      </c>
      <c r="C1590" s="1" t="n">
        <v>2660000</v>
      </c>
      <c r="D1590" s="1" t="n">
        <v>252104.7</v>
      </c>
      <c r="E1590" s="1" t="n">
        <v>0.0566</v>
      </c>
      <c r="F1590" s="1" t="n">
        <v>0.0759</v>
      </c>
    </row>
    <row r="1591" customFormat="false" ht="15" hidden="false" customHeight="false" outlineLevel="0" collapsed="false">
      <c r="A1591" s="1" t="s">
        <v>1626</v>
      </c>
      <c r="B1591" s="1" t="s">
        <v>24</v>
      </c>
      <c r="C1591" s="1" t="n">
        <v>1930000</v>
      </c>
      <c r="D1591" s="1" t="n">
        <v>1047.6</v>
      </c>
      <c r="E1591" s="1" t="n">
        <v>0.013</v>
      </c>
      <c r="F1591" s="1" t="n">
        <v>0.0616</v>
      </c>
    </row>
    <row r="1592" customFormat="false" ht="15" hidden="false" customHeight="false" outlineLevel="0" collapsed="false">
      <c r="A1592" s="1" t="s">
        <v>1627</v>
      </c>
      <c r="B1592" s="1" t="s">
        <v>26</v>
      </c>
      <c r="C1592" s="1" t="n">
        <v>5890000</v>
      </c>
      <c r="D1592" s="1" t="n">
        <v>2354574.3</v>
      </c>
      <c r="E1592" s="1" t="n">
        <v>0.0569</v>
      </c>
      <c r="F1592" s="1" t="n">
        <v>0.0409</v>
      </c>
    </row>
    <row r="1593" customFormat="false" ht="15" hidden="false" customHeight="false" outlineLevel="0" collapsed="false">
      <c r="A1593" s="1" t="s">
        <v>1628</v>
      </c>
      <c r="B1593" s="1" t="s">
        <v>92</v>
      </c>
      <c r="C1593" s="1" t="n">
        <v>2230000</v>
      </c>
      <c r="D1593" s="1" t="n">
        <v>25917.4</v>
      </c>
      <c r="E1593" s="1" t="n">
        <v>0.0112</v>
      </c>
      <c r="F1593" s="1" t="n">
        <v>0.0811</v>
      </c>
    </row>
    <row r="1594" customFormat="false" ht="15" hidden="false" customHeight="false" outlineLevel="0" collapsed="false">
      <c r="A1594" s="1" t="s">
        <v>1629</v>
      </c>
      <c r="B1594" s="1" t="s">
        <v>81</v>
      </c>
      <c r="C1594" s="1" t="n">
        <v>1920000</v>
      </c>
      <c r="D1594" s="1" t="n">
        <v>78488.5</v>
      </c>
      <c r="E1594" s="1" t="n">
        <v>0.0415</v>
      </c>
      <c r="F1594" s="1" t="n">
        <v>0.0759</v>
      </c>
    </row>
    <row r="1595" customFormat="false" ht="15" hidden="false" customHeight="false" outlineLevel="0" collapsed="false">
      <c r="A1595" s="1" t="s">
        <v>1630</v>
      </c>
      <c r="B1595" s="1" t="s">
        <v>24</v>
      </c>
      <c r="C1595" s="1" t="n">
        <v>2190000</v>
      </c>
      <c r="D1595" s="1" t="n">
        <v>14220</v>
      </c>
      <c r="E1595" s="1" t="n">
        <v>0.0106</v>
      </c>
      <c r="F1595" s="1" t="n">
        <v>0.0654</v>
      </c>
    </row>
    <row r="1596" customFormat="false" ht="15" hidden="false" customHeight="false" outlineLevel="0" collapsed="false">
      <c r="A1596" s="1" t="s">
        <v>1631</v>
      </c>
      <c r="B1596" s="1" t="s">
        <v>30</v>
      </c>
      <c r="C1596" s="1" t="n">
        <v>2490000</v>
      </c>
      <c r="D1596" s="1" t="n">
        <v>188126</v>
      </c>
      <c r="E1596" s="1" t="n">
        <v>0.0731</v>
      </c>
      <c r="F1596" s="1" t="n">
        <v>0.0938</v>
      </c>
    </row>
    <row r="1597" customFormat="false" ht="15" hidden="false" customHeight="false" outlineLevel="0" collapsed="false">
      <c r="A1597" s="1" t="s">
        <v>1632</v>
      </c>
      <c r="B1597" s="1" t="s">
        <v>92</v>
      </c>
      <c r="C1597" s="1" t="n">
        <v>1960000</v>
      </c>
      <c r="D1597" s="1" t="n">
        <v>7936.5</v>
      </c>
      <c r="E1597" s="1" t="n">
        <v>0.0139</v>
      </c>
      <c r="F1597" s="1" t="n">
        <v>0.1192</v>
      </c>
    </row>
    <row r="1598" customFormat="false" ht="15" hidden="false" customHeight="false" outlineLevel="0" collapsed="false">
      <c r="A1598" s="1" t="s">
        <v>1633</v>
      </c>
      <c r="B1598" s="1" t="s">
        <v>71</v>
      </c>
      <c r="C1598" s="1" t="n">
        <v>2090000</v>
      </c>
      <c r="D1598" s="1" t="n">
        <v>73068.7</v>
      </c>
      <c r="E1598" s="1" t="n">
        <v>0.0291</v>
      </c>
      <c r="F1598" s="1" t="n">
        <v>0.0938</v>
      </c>
    </row>
    <row r="1599" customFormat="false" ht="15" hidden="false" customHeight="false" outlineLevel="0" collapsed="false">
      <c r="A1599" s="1" t="s">
        <v>1634</v>
      </c>
      <c r="B1599" s="1" t="s">
        <v>30</v>
      </c>
      <c r="C1599" s="1" t="n">
        <v>2830000</v>
      </c>
      <c r="D1599" s="1" t="n">
        <v>975787.6</v>
      </c>
      <c r="E1599" s="1" t="n">
        <v>0.0259</v>
      </c>
      <c r="F1599" s="1" t="n">
        <v>0.0585</v>
      </c>
    </row>
    <row r="1600" customFormat="false" ht="15" hidden="false" customHeight="false" outlineLevel="0" collapsed="false">
      <c r="A1600" s="1" t="s">
        <v>1635</v>
      </c>
      <c r="B1600" s="1" t="s">
        <v>92</v>
      </c>
      <c r="C1600" s="1" t="n">
        <v>2150000</v>
      </c>
      <c r="D1600" s="1" t="n">
        <v>13384.5</v>
      </c>
      <c r="E1600" s="1" t="n">
        <v>0.0402</v>
      </c>
      <c r="F1600" s="1" t="n">
        <v>0.0938</v>
      </c>
    </row>
    <row r="1601" customFormat="false" ht="15" hidden="false" customHeight="false" outlineLevel="0" collapsed="false">
      <c r="A1601" s="1" t="s">
        <v>1636</v>
      </c>
      <c r="B1601" s="1" t="s">
        <v>26</v>
      </c>
      <c r="C1601" s="1" t="n">
        <v>6450000</v>
      </c>
      <c r="D1601" s="1" t="n">
        <v>2136237.7</v>
      </c>
      <c r="E1601" s="1" t="n">
        <v>0.0146</v>
      </c>
      <c r="F1601" s="1" t="n">
        <v>0.0462</v>
      </c>
    </row>
    <row r="1602" customFormat="false" ht="15" hidden="false" customHeight="false" outlineLevel="0" collapsed="false">
      <c r="A1602" s="1" t="s">
        <v>1637</v>
      </c>
      <c r="B1602" s="1" t="s">
        <v>30</v>
      </c>
      <c r="C1602" s="1" t="n">
        <v>2550000</v>
      </c>
      <c r="D1602" s="1" t="n">
        <v>202523</v>
      </c>
      <c r="E1602" s="1" t="n">
        <v>0.0065</v>
      </c>
      <c r="F1602" s="1" t="n">
        <v>0.1187</v>
      </c>
    </row>
    <row r="1603" customFormat="false" ht="15" hidden="false" customHeight="false" outlineLevel="0" collapsed="false">
      <c r="A1603" s="1" t="s">
        <v>1638</v>
      </c>
      <c r="B1603" s="1" t="s">
        <v>24</v>
      </c>
      <c r="C1603" s="1" t="n">
        <v>1960000</v>
      </c>
      <c r="D1603" s="1" t="n">
        <v>1371104.7</v>
      </c>
      <c r="E1603" s="1" t="n">
        <v>0.0158</v>
      </c>
      <c r="F1603" s="1" t="n">
        <v>0.0585</v>
      </c>
    </row>
    <row r="1604" customFormat="false" ht="15" hidden="false" customHeight="false" outlineLevel="0" collapsed="false">
      <c r="A1604" s="1" t="s">
        <v>1639</v>
      </c>
      <c r="B1604" s="1" t="s">
        <v>26</v>
      </c>
      <c r="C1604" s="1" t="n">
        <v>1970000</v>
      </c>
      <c r="D1604" s="1" t="n">
        <v>8028.2</v>
      </c>
      <c r="E1604" s="1" t="n">
        <v>0.0137</v>
      </c>
      <c r="F1604" s="1" t="n">
        <v>0.0726</v>
      </c>
    </row>
    <row r="1605" customFormat="false" ht="15" hidden="false" customHeight="false" outlineLevel="0" collapsed="false">
      <c r="A1605" s="1" t="s">
        <v>1640</v>
      </c>
      <c r="B1605" s="1" t="s">
        <v>24</v>
      </c>
      <c r="C1605" s="1" t="n">
        <v>2590000</v>
      </c>
      <c r="D1605" s="1" t="n">
        <v>111660785.9</v>
      </c>
      <c r="E1605" s="1" t="n">
        <v>0.0078</v>
      </c>
      <c r="F1605" s="1" t="n">
        <v>0.0822</v>
      </c>
    </row>
    <row r="1606" customFormat="false" ht="15" hidden="false" customHeight="false" outlineLevel="0" collapsed="false">
      <c r="A1606" s="1" t="s">
        <v>1641</v>
      </c>
      <c r="B1606" s="1" t="s">
        <v>53</v>
      </c>
      <c r="C1606" s="1" t="n">
        <v>2380000</v>
      </c>
      <c r="D1606" s="1" t="n">
        <v>6788.7</v>
      </c>
      <c r="E1606" s="1" t="n">
        <v>0.0421</v>
      </c>
      <c r="F1606" s="1" t="n">
        <v>0.0759</v>
      </c>
    </row>
    <row r="1607" customFormat="false" ht="15" hidden="false" customHeight="false" outlineLevel="0" collapsed="false">
      <c r="A1607" s="1" t="s">
        <v>1642</v>
      </c>
      <c r="B1607" s="1" t="s">
        <v>26</v>
      </c>
      <c r="C1607" s="1" t="n">
        <v>2010000</v>
      </c>
      <c r="D1607" s="1" t="n">
        <v>11029.2</v>
      </c>
      <c r="E1607" s="1" t="n">
        <v>0.0137</v>
      </c>
      <c r="F1607" s="1" t="n">
        <v>0.0937</v>
      </c>
    </row>
    <row r="1608" customFormat="false" ht="15" hidden="false" customHeight="false" outlineLevel="0" collapsed="false">
      <c r="A1608" s="1" t="s">
        <v>1643</v>
      </c>
      <c r="B1608" s="1" t="s">
        <v>41</v>
      </c>
      <c r="C1608" s="1" t="n">
        <v>2450000</v>
      </c>
      <c r="D1608" s="1" t="n">
        <v>25722.8</v>
      </c>
      <c r="E1608" s="1" t="n">
        <v>0.0749</v>
      </c>
      <c r="F1608" s="1" t="n">
        <v>0.0938</v>
      </c>
    </row>
    <row r="1609" customFormat="false" ht="15" hidden="false" customHeight="false" outlineLevel="0" collapsed="false">
      <c r="A1609" s="1" t="s">
        <v>1644</v>
      </c>
      <c r="B1609" s="1" t="s">
        <v>26</v>
      </c>
      <c r="C1609" s="1" t="n">
        <v>2230000</v>
      </c>
      <c r="D1609" s="1" t="n">
        <v>228068.5</v>
      </c>
      <c r="E1609" s="1" t="n">
        <v>0.0613</v>
      </c>
      <c r="F1609" s="1" t="n">
        <v>0.0759</v>
      </c>
    </row>
    <row r="1610" customFormat="false" ht="15" hidden="false" customHeight="false" outlineLevel="0" collapsed="false">
      <c r="A1610" s="1" t="s">
        <v>1645</v>
      </c>
      <c r="B1610" s="1" t="s">
        <v>26</v>
      </c>
      <c r="C1610" s="1" t="n">
        <v>3280000</v>
      </c>
      <c r="D1610" s="1" t="n">
        <v>476342</v>
      </c>
      <c r="E1610" s="1" t="n">
        <v>0.0235</v>
      </c>
      <c r="F1610" s="1" t="n">
        <v>0.0409</v>
      </c>
    </row>
    <row r="1611" customFormat="false" ht="15" hidden="false" customHeight="false" outlineLevel="0" collapsed="false">
      <c r="A1611" s="1" t="s">
        <v>1646</v>
      </c>
      <c r="B1611" s="1" t="s">
        <v>26</v>
      </c>
      <c r="C1611" s="1" t="n">
        <v>2070000</v>
      </c>
      <c r="D1611" s="1" t="n">
        <v>5176.6</v>
      </c>
      <c r="E1611" s="1" t="n">
        <v>0.0158</v>
      </c>
      <c r="F1611" s="1" t="n">
        <v>0.0462</v>
      </c>
    </row>
    <row r="1612" customFormat="false" ht="15" hidden="false" customHeight="false" outlineLevel="0" collapsed="false">
      <c r="A1612" s="1" t="s">
        <v>1647</v>
      </c>
      <c r="B1612" s="1" t="s">
        <v>62</v>
      </c>
      <c r="C1612" s="1" t="n">
        <v>2030000</v>
      </c>
      <c r="D1612" s="1" t="n">
        <v>1036.5</v>
      </c>
      <c r="F1612" s="1" t="n">
        <v>0.0938</v>
      </c>
    </row>
    <row r="1613" customFormat="false" ht="15" hidden="false" customHeight="false" outlineLevel="0" collapsed="false">
      <c r="A1613" s="1" t="s">
        <v>1648</v>
      </c>
      <c r="B1613" s="1" t="s">
        <v>214</v>
      </c>
      <c r="C1613" s="1" t="n">
        <v>2430000</v>
      </c>
      <c r="D1613" s="1" t="n">
        <v>104934.1</v>
      </c>
      <c r="E1613" s="1" t="n">
        <v>0.0455</v>
      </c>
      <c r="F1613" s="1" t="n">
        <v>0.0759</v>
      </c>
    </row>
    <row r="1614" customFormat="false" ht="15" hidden="false" customHeight="false" outlineLevel="0" collapsed="false">
      <c r="A1614" s="1" t="s">
        <v>1649</v>
      </c>
      <c r="B1614" s="1" t="s">
        <v>26</v>
      </c>
      <c r="C1614" s="1" t="n">
        <v>2930000</v>
      </c>
      <c r="D1614" s="1" t="n">
        <v>14469.9</v>
      </c>
      <c r="E1614" s="1" t="n">
        <v>0.0803</v>
      </c>
      <c r="F1614" s="1" t="n">
        <v>0.0759</v>
      </c>
    </row>
    <row r="1615" customFormat="false" ht="15" hidden="false" customHeight="false" outlineLevel="0" collapsed="false">
      <c r="A1615" s="1" t="s">
        <v>1650</v>
      </c>
      <c r="B1615" s="1" t="s">
        <v>26</v>
      </c>
      <c r="C1615" s="1" t="n">
        <v>1870000</v>
      </c>
      <c r="D1615" s="1" t="n">
        <v>52812.5</v>
      </c>
      <c r="E1615" s="1" t="n">
        <v>0.0375</v>
      </c>
      <c r="F1615" s="1" t="n">
        <v>0.0759</v>
      </c>
    </row>
    <row r="1616" customFormat="false" ht="15" hidden="false" customHeight="false" outlineLevel="0" collapsed="false">
      <c r="A1616" s="1" t="s">
        <v>1651</v>
      </c>
      <c r="B1616" s="1" t="s">
        <v>26</v>
      </c>
      <c r="C1616" s="1" t="n">
        <v>2290000</v>
      </c>
      <c r="D1616" s="1" t="n">
        <v>34740</v>
      </c>
      <c r="E1616" s="1" t="n">
        <v>0.0065</v>
      </c>
      <c r="F1616" s="1" t="n">
        <v>0.0654</v>
      </c>
    </row>
    <row r="1617" customFormat="false" ht="15" hidden="false" customHeight="false" outlineLevel="0" collapsed="false">
      <c r="A1617" s="1" t="s">
        <v>1652</v>
      </c>
      <c r="B1617" s="1" t="s">
        <v>214</v>
      </c>
      <c r="C1617" s="1" t="n">
        <v>2860000</v>
      </c>
      <c r="D1617" s="1" t="n">
        <v>20733</v>
      </c>
      <c r="E1617" s="1" t="n">
        <v>0.0221</v>
      </c>
      <c r="F1617" s="1" t="n">
        <v>0.1308</v>
      </c>
    </row>
    <row r="1618" customFormat="false" ht="15" hidden="false" customHeight="false" outlineLevel="0" collapsed="false">
      <c r="A1618" s="1" t="s">
        <v>1653</v>
      </c>
      <c r="B1618" s="1" t="s">
        <v>26</v>
      </c>
      <c r="C1618" s="1" t="n">
        <v>2470000</v>
      </c>
      <c r="D1618" s="1" t="n">
        <v>25224.3</v>
      </c>
      <c r="E1618" s="1" t="n">
        <v>0.0123</v>
      </c>
      <c r="F1618" s="1" t="n">
        <v>0.0584</v>
      </c>
    </row>
    <row r="1619" customFormat="false" ht="15" hidden="false" customHeight="false" outlineLevel="0" collapsed="false">
      <c r="A1619" s="1" t="s">
        <v>1654</v>
      </c>
      <c r="B1619" s="1" t="s">
        <v>62</v>
      </c>
      <c r="C1619" s="1" t="n">
        <v>2150000</v>
      </c>
      <c r="D1619" s="1" t="n">
        <v>2450.4</v>
      </c>
      <c r="F1619" s="1" t="n">
        <v>0.0759</v>
      </c>
    </row>
    <row r="1620" customFormat="false" ht="15" hidden="false" customHeight="false" outlineLevel="0" collapsed="false">
      <c r="A1620" s="1" t="s">
        <v>1655</v>
      </c>
      <c r="B1620" s="1" t="s">
        <v>214</v>
      </c>
      <c r="C1620" s="1" t="n">
        <v>5580000</v>
      </c>
      <c r="D1620" s="1" t="n">
        <v>5346058.9</v>
      </c>
      <c r="E1620" s="1" t="n">
        <v>0.0094</v>
      </c>
      <c r="F1620" s="1" t="n">
        <v>0.0654</v>
      </c>
    </row>
    <row r="1621" customFormat="false" ht="15" hidden="false" customHeight="false" outlineLevel="0" collapsed="false">
      <c r="A1621" s="1" t="s">
        <v>1656</v>
      </c>
      <c r="B1621" s="1" t="s">
        <v>26</v>
      </c>
      <c r="C1621" s="1" t="n">
        <v>1830000</v>
      </c>
      <c r="D1621" s="1" t="n">
        <v>2945</v>
      </c>
      <c r="E1621" s="1" t="n">
        <v>0.0102</v>
      </c>
      <c r="F1621" s="1" t="n">
        <v>0.1471</v>
      </c>
    </row>
    <row r="1622" customFormat="false" ht="15" hidden="false" customHeight="false" outlineLevel="0" collapsed="false">
      <c r="A1622" s="1" t="s">
        <v>1657</v>
      </c>
      <c r="B1622" s="1" t="s">
        <v>26</v>
      </c>
      <c r="C1622" s="1" t="n">
        <v>1970000</v>
      </c>
      <c r="D1622" s="1" t="n">
        <v>2135.9</v>
      </c>
      <c r="E1622" s="1" t="n">
        <v>0.0352</v>
      </c>
      <c r="F1622" s="1" t="n">
        <v>0.0759</v>
      </c>
    </row>
    <row r="1623" customFormat="false" ht="15" hidden="false" customHeight="false" outlineLevel="0" collapsed="false">
      <c r="A1623" s="1" t="s">
        <v>1658</v>
      </c>
      <c r="B1623" s="1" t="s">
        <v>214</v>
      </c>
      <c r="C1623" s="1" t="n">
        <v>2250000</v>
      </c>
      <c r="D1623" s="1" t="n">
        <v>45374.1</v>
      </c>
      <c r="E1623" s="1" t="n">
        <v>0.0372</v>
      </c>
      <c r="F1623" s="1" t="n">
        <v>0.0938</v>
      </c>
    </row>
    <row r="1624" customFormat="false" ht="15" hidden="false" customHeight="false" outlineLevel="0" collapsed="false">
      <c r="A1624" s="1" t="s">
        <v>1659</v>
      </c>
      <c r="B1624" s="1" t="s">
        <v>71</v>
      </c>
      <c r="C1624" s="1" t="n">
        <v>1920000</v>
      </c>
      <c r="D1624" s="1" t="n">
        <v>517.7</v>
      </c>
      <c r="E1624" s="1" t="n">
        <v>0.0466</v>
      </c>
      <c r="F1624" s="1" t="n">
        <v>0.0938</v>
      </c>
    </row>
    <row r="1625" customFormat="false" ht="15" hidden="false" customHeight="false" outlineLevel="0" collapsed="false">
      <c r="A1625" s="1" t="s">
        <v>1660</v>
      </c>
      <c r="B1625" s="1" t="s">
        <v>26</v>
      </c>
      <c r="C1625" s="1" t="n">
        <v>2210000</v>
      </c>
      <c r="D1625" s="1" t="n">
        <v>1008167.6</v>
      </c>
      <c r="E1625" s="1" t="n">
        <v>0.0075</v>
      </c>
      <c r="F1625" s="1" t="n">
        <v>0.0822</v>
      </c>
    </row>
    <row r="1626" customFormat="false" ht="15" hidden="false" customHeight="false" outlineLevel="0" collapsed="false">
      <c r="A1626" s="1" t="s">
        <v>1661</v>
      </c>
      <c r="B1626" s="1" t="s">
        <v>62</v>
      </c>
      <c r="C1626" s="1" t="n">
        <v>3050000</v>
      </c>
      <c r="D1626" s="1" t="n">
        <v>59120.6</v>
      </c>
      <c r="E1626" s="1" t="n">
        <v>0.0293</v>
      </c>
      <c r="F1626" s="1" t="n">
        <v>0.0672</v>
      </c>
    </row>
    <row r="1627" customFormat="false" ht="15" hidden="false" customHeight="false" outlineLevel="0" collapsed="false">
      <c r="A1627" s="1" t="s">
        <v>1662</v>
      </c>
      <c r="B1627" s="1" t="s">
        <v>41</v>
      </c>
      <c r="C1627" s="1" t="n">
        <v>1960000</v>
      </c>
      <c r="D1627" s="1" t="n">
        <v>3836.9</v>
      </c>
      <c r="E1627" s="1" t="n">
        <v>0.07</v>
      </c>
      <c r="F1627" s="1" t="n">
        <v>0.0938</v>
      </c>
    </row>
    <row r="1628" customFormat="false" ht="15" hidden="false" customHeight="false" outlineLevel="0" collapsed="false">
      <c r="A1628" s="1" t="s">
        <v>1663</v>
      </c>
      <c r="B1628" s="1" t="s">
        <v>195</v>
      </c>
      <c r="C1628" s="1" t="n">
        <v>2110000</v>
      </c>
      <c r="D1628" s="1" t="n">
        <v>38544.4</v>
      </c>
      <c r="E1628" s="1" t="n">
        <v>0.0221</v>
      </c>
      <c r="F1628" s="1" t="n">
        <v>0.058</v>
      </c>
    </row>
    <row r="1629" customFormat="false" ht="15" hidden="false" customHeight="false" outlineLevel="0" collapsed="false">
      <c r="A1629" s="1" t="s">
        <v>1664</v>
      </c>
      <c r="B1629" s="1" t="s">
        <v>53</v>
      </c>
      <c r="C1629" s="1" t="n">
        <v>2240000</v>
      </c>
      <c r="D1629" s="1" t="n">
        <v>16365.3</v>
      </c>
      <c r="E1629" s="1" t="n">
        <v>0.0668</v>
      </c>
      <c r="F1629" s="1" t="n">
        <v>0.0759</v>
      </c>
    </row>
    <row r="1630" customFormat="false" ht="15" hidden="false" customHeight="false" outlineLevel="0" collapsed="false">
      <c r="A1630" s="1" t="s">
        <v>1665</v>
      </c>
      <c r="B1630" s="1" t="s">
        <v>26</v>
      </c>
      <c r="C1630" s="1" t="n">
        <v>2310000</v>
      </c>
      <c r="D1630" s="1" t="n">
        <v>36591.5</v>
      </c>
      <c r="E1630" s="1" t="n">
        <v>0.0069</v>
      </c>
      <c r="F1630" s="1" t="n">
        <v>0.0811</v>
      </c>
    </row>
    <row r="1631" customFormat="false" ht="15" hidden="false" customHeight="false" outlineLevel="0" collapsed="false">
      <c r="A1631" s="1" t="s">
        <v>1666</v>
      </c>
      <c r="B1631" s="1" t="s">
        <v>30</v>
      </c>
      <c r="C1631" s="1" t="n">
        <v>2050000</v>
      </c>
      <c r="D1631" s="1" t="n">
        <v>75847.1</v>
      </c>
      <c r="E1631" s="1" t="n">
        <v>0.0261</v>
      </c>
      <c r="F1631" s="1" t="n">
        <v>0.0951</v>
      </c>
    </row>
    <row r="1632" customFormat="false" ht="15" hidden="false" customHeight="false" outlineLevel="0" collapsed="false">
      <c r="A1632" s="1" t="s">
        <v>1667</v>
      </c>
      <c r="B1632" s="1" t="s">
        <v>53</v>
      </c>
      <c r="C1632" s="1" t="n">
        <v>2100000</v>
      </c>
      <c r="D1632" s="1" t="n">
        <v>464288.9</v>
      </c>
      <c r="E1632" s="1" t="n">
        <v>0.0066</v>
      </c>
      <c r="F1632" s="1" t="n">
        <v>0.0654</v>
      </c>
    </row>
    <row r="1633" customFormat="false" ht="15" hidden="false" customHeight="false" outlineLevel="0" collapsed="false">
      <c r="A1633" s="1" t="s">
        <v>1668</v>
      </c>
      <c r="B1633" s="1" t="s">
        <v>74</v>
      </c>
      <c r="C1633" s="1" t="n">
        <v>2120000</v>
      </c>
      <c r="D1633" s="1" t="n">
        <v>177322.1</v>
      </c>
      <c r="E1633" s="1" t="n">
        <v>0.054</v>
      </c>
      <c r="F1633" s="1" t="n">
        <v>0.0759</v>
      </c>
    </row>
    <row r="1634" customFormat="false" ht="15" hidden="false" customHeight="false" outlineLevel="0" collapsed="false">
      <c r="A1634" s="1" t="s">
        <v>1669</v>
      </c>
      <c r="B1634" s="1" t="s">
        <v>195</v>
      </c>
      <c r="C1634" s="1" t="n">
        <v>2080000</v>
      </c>
      <c r="D1634" s="1" t="n">
        <v>1376.4</v>
      </c>
      <c r="E1634" s="1" t="n">
        <v>0.0087</v>
      </c>
      <c r="F1634" s="1" t="n">
        <v>0.1058</v>
      </c>
    </row>
    <row r="1635" customFormat="false" ht="15" hidden="false" customHeight="false" outlineLevel="0" collapsed="false">
      <c r="A1635" s="1" t="s">
        <v>1670</v>
      </c>
      <c r="B1635" s="1" t="s">
        <v>24</v>
      </c>
      <c r="C1635" s="1" t="n">
        <v>2850000</v>
      </c>
      <c r="D1635" s="1" t="n">
        <v>240275.8</v>
      </c>
      <c r="E1635" s="1" t="n">
        <v>0.029</v>
      </c>
      <c r="F1635" s="1" t="n">
        <v>0.0759</v>
      </c>
    </row>
    <row r="1636" customFormat="false" ht="15" hidden="false" customHeight="false" outlineLevel="0" collapsed="false">
      <c r="A1636" s="1" t="s">
        <v>1671</v>
      </c>
      <c r="B1636" s="1" t="s">
        <v>26</v>
      </c>
      <c r="C1636" s="1" t="n">
        <v>2030000</v>
      </c>
      <c r="D1636" s="1" t="n">
        <v>10144.5</v>
      </c>
      <c r="F1636" s="1" t="n">
        <v>0.051</v>
      </c>
    </row>
    <row r="1637" customFormat="false" ht="15" hidden="false" customHeight="false" outlineLevel="0" collapsed="false">
      <c r="A1637" s="1" t="s">
        <v>1672</v>
      </c>
      <c r="B1637" s="1" t="s">
        <v>30</v>
      </c>
      <c r="C1637" s="1" t="n">
        <v>1910000</v>
      </c>
      <c r="D1637" s="1" t="n">
        <v>545682.3</v>
      </c>
      <c r="E1637" s="1" t="n">
        <v>0.0225</v>
      </c>
      <c r="F1637" s="1" t="n">
        <v>0.0409</v>
      </c>
    </row>
    <row r="1638" customFormat="false" ht="15" hidden="false" customHeight="false" outlineLevel="0" collapsed="false">
      <c r="A1638" s="1" t="s">
        <v>1673</v>
      </c>
      <c r="B1638" s="1" t="s">
        <v>41</v>
      </c>
      <c r="C1638" s="1" t="n">
        <v>2170000</v>
      </c>
      <c r="D1638" s="1" t="n">
        <v>105638.3</v>
      </c>
      <c r="E1638" s="1" t="n">
        <v>0.0229</v>
      </c>
      <c r="F1638" s="1" t="n">
        <v>0.0938</v>
      </c>
    </row>
    <row r="1639" customFormat="false" ht="15" hidden="false" customHeight="false" outlineLevel="0" collapsed="false">
      <c r="A1639" s="1" t="s">
        <v>1674</v>
      </c>
      <c r="B1639" s="1" t="s">
        <v>26</v>
      </c>
      <c r="C1639" s="1" t="n">
        <v>2350000</v>
      </c>
      <c r="D1639" s="1" t="n">
        <v>89325</v>
      </c>
      <c r="E1639" s="1" t="n">
        <v>0.0345</v>
      </c>
      <c r="F1639" s="1" t="n">
        <v>0.0938</v>
      </c>
    </row>
    <row r="1640" customFormat="false" ht="15" hidden="false" customHeight="false" outlineLevel="0" collapsed="false">
      <c r="A1640" s="1" t="s">
        <v>1675</v>
      </c>
      <c r="B1640" s="1" t="s">
        <v>32</v>
      </c>
      <c r="C1640" s="1" t="n">
        <v>2630000</v>
      </c>
      <c r="D1640" s="1" t="n">
        <v>267603.9</v>
      </c>
      <c r="E1640" s="1" t="n">
        <v>0.005</v>
      </c>
      <c r="F1640" s="1" t="n">
        <v>0.0822</v>
      </c>
    </row>
    <row r="1641" customFormat="false" ht="15" hidden="false" customHeight="false" outlineLevel="0" collapsed="false">
      <c r="A1641" s="1" t="s">
        <v>1676</v>
      </c>
      <c r="B1641" s="1" t="s">
        <v>214</v>
      </c>
      <c r="C1641" s="1" t="n">
        <v>2290000</v>
      </c>
      <c r="D1641" s="1" t="n">
        <v>194345.2</v>
      </c>
      <c r="E1641" s="1" t="n">
        <v>0.0174</v>
      </c>
      <c r="F1641" s="1" t="n">
        <v>0.0585</v>
      </c>
    </row>
    <row r="1642" customFormat="false" ht="15" hidden="false" customHeight="false" outlineLevel="0" collapsed="false">
      <c r="A1642" s="1" t="s">
        <v>1677</v>
      </c>
      <c r="B1642" s="1" t="s">
        <v>92</v>
      </c>
      <c r="C1642" s="1" t="n">
        <v>2080000</v>
      </c>
      <c r="D1642" s="1" t="n">
        <v>36576.5</v>
      </c>
      <c r="E1642" s="1" t="n">
        <v>0.0196</v>
      </c>
      <c r="F1642" s="1" t="n">
        <v>0.0854</v>
      </c>
    </row>
    <row r="1643" customFormat="false" ht="15" hidden="false" customHeight="false" outlineLevel="0" collapsed="false">
      <c r="A1643" s="1" t="s">
        <v>1678</v>
      </c>
      <c r="B1643" s="1" t="s">
        <v>24</v>
      </c>
      <c r="C1643" s="1" t="n">
        <v>2340000</v>
      </c>
      <c r="D1643" s="1" t="n">
        <v>1904</v>
      </c>
      <c r="E1643" s="1" t="n">
        <v>0.0338</v>
      </c>
      <c r="F1643" s="1" t="n">
        <v>0.0938</v>
      </c>
    </row>
    <row r="1644" customFormat="false" ht="15" hidden="false" customHeight="false" outlineLevel="0" collapsed="false">
      <c r="A1644" s="1" t="s">
        <v>1679</v>
      </c>
      <c r="B1644" s="1" t="s">
        <v>50</v>
      </c>
      <c r="C1644" s="1" t="n">
        <v>2270000</v>
      </c>
      <c r="D1644" s="1" t="n">
        <v>114439.8</v>
      </c>
      <c r="E1644" s="1" t="n">
        <v>0.0121</v>
      </c>
      <c r="F1644" s="1" t="n">
        <v>0.0775</v>
      </c>
    </row>
    <row r="1645" customFormat="false" ht="15" hidden="false" customHeight="false" outlineLevel="0" collapsed="false">
      <c r="A1645" s="1" t="s">
        <v>1680</v>
      </c>
      <c r="B1645" s="1" t="s">
        <v>26</v>
      </c>
      <c r="C1645" s="1" t="n">
        <v>2320000</v>
      </c>
      <c r="D1645" s="1" t="n">
        <v>3432.7</v>
      </c>
      <c r="E1645" s="1" t="n">
        <v>0.0193</v>
      </c>
      <c r="F1645" s="1" t="n">
        <v>0.0854</v>
      </c>
    </row>
    <row r="1646" customFormat="false" ht="15" hidden="false" customHeight="false" outlineLevel="0" collapsed="false">
      <c r="A1646" s="1" t="s">
        <v>1681</v>
      </c>
      <c r="B1646" s="1" t="s">
        <v>62</v>
      </c>
      <c r="C1646" s="1" t="n">
        <v>3470000</v>
      </c>
      <c r="D1646" s="1" t="n">
        <v>103083.4</v>
      </c>
      <c r="E1646" s="1" t="n">
        <v>0.0208</v>
      </c>
      <c r="F1646" s="1" t="n">
        <v>0.0462</v>
      </c>
    </row>
    <row r="1647" customFormat="false" ht="15" hidden="false" customHeight="false" outlineLevel="0" collapsed="false">
      <c r="A1647" s="1" t="s">
        <v>1682</v>
      </c>
      <c r="B1647" s="1" t="s">
        <v>92</v>
      </c>
      <c r="C1647" s="1" t="n">
        <v>1830000</v>
      </c>
      <c r="D1647" s="1" t="n">
        <v>558</v>
      </c>
      <c r="E1647" s="1" t="n">
        <v>0.0294</v>
      </c>
      <c r="F1647" s="1" t="n">
        <v>0.0759</v>
      </c>
    </row>
    <row r="1648" customFormat="false" ht="15" hidden="false" customHeight="false" outlineLevel="0" collapsed="false">
      <c r="A1648" s="1" t="s">
        <v>1683</v>
      </c>
      <c r="B1648" s="1" t="s">
        <v>41</v>
      </c>
      <c r="C1648" s="1" t="n">
        <v>3180000</v>
      </c>
      <c r="D1648" s="1" t="n">
        <v>4023.7</v>
      </c>
      <c r="E1648" s="1" t="n">
        <v>0.0934</v>
      </c>
      <c r="F1648" s="1" t="n">
        <v>0.1516</v>
      </c>
    </row>
    <row r="1649" customFormat="false" ht="15" hidden="false" customHeight="false" outlineLevel="0" collapsed="false">
      <c r="A1649" s="1" t="s">
        <v>1684</v>
      </c>
      <c r="B1649" s="1" t="s">
        <v>26</v>
      </c>
      <c r="C1649" s="1" t="n">
        <v>3620000</v>
      </c>
      <c r="D1649" s="1" t="n">
        <v>839862.5</v>
      </c>
      <c r="E1649" s="1" t="n">
        <v>0.0354</v>
      </c>
      <c r="F1649" s="1" t="n">
        <v>0.0409</v>
      </c>
    </row>
    <row r="1650" customFormat="false" ht="15" hidden="false" customHeight="false" outlineLevel="0" collapsed="false">
      <c r="A1650" s="1" t="s">
        <v>1685</v>
      </c>
      <c r="B1650" s="1" t="s">
        <v>41</v>
      </c>
      <c r="C1650" s="1" t="n">
        <v>2210000</v>
      </c>
      <c r="D1650" s="1" t="n">
        <v>709.8</v>
      </c>
      <c r="E1650" s="1" t="n">
        <v>0.0125</v>
      </c>
      <c r="F1650" s="1" t="n">
        <v>0.0811</v>
      </c>
    </row>
    <row r="1651" customFormat="false" ht="15" hidden="false" customHeight="false" outlineLevel="0" collapsed="false">
      <c r="A1651" s="1" t="s">
        <v>1686</v>
      </c>
      <c r="B1651" s="1" t="s">
        <v>26</v>
      </c>
      <c r="C1651" s="1" t="n">
        <v>2790000</v>
      </c>
      <c r="D1651" s="1" t="n">
        <v>57913.1</v>
      </c>
      <c r="E1651" s="1" t="n">
        <v>0.0281</v>
      </c>
      <c r="F1651" s="1" t="n">
        <v>0.0938</v>
      </c>
    </row>
    <row r="1652" customFormat="false" ht="15" hidden="false" customHeight="false" outlineLevel="0" collapsed="false">
      <c r="A1652" s="1" t="s">
        <v>1687</v>
      </c>
      <c r="B1652" s="1" t="s">
        <v>81</v>
      </c>
      <c r="C1652" s="1" t="n">
        <v>2340000</v>
      </c>
      <c r="D1652" s="1" t="n">
        <v>84317.2</v>
      </c>
      <c r="E1652" s="1" t="n">
        <v>0.0011</v>
      </c>
      <c r="F1652" s="1" t="n">
        <v>0.0654</v>
      </c>
    </row>
    <row r="1653" customFormat="false" ht="15" hidden="false" customHeight="false" outlineLevel="0" collapsed="false">
      <c r="A1653" s="1" t="s">
        <v>1688</v>
      </c>
      <c r="B1653" s="1" t="s">
        <v>26</v>
      </c>
      <c r="C1653" s="1" t="n">
        <v>2100000</v>
      </c>
      <c r="D1653" s="1" t="n">
        <v>139709.1</v>
      </c>
      <c r="E1653" s="1" t="n">
        <v>0.0348</v>
      </c>
      <c r="F1653" s="1" t="n">
        <v>0.0518</v>
      </c>
    </row>
    <row r="1654" customFormat="false" ht="15" hidden="false" customHeight="false" outlineLevel="0" collapsed="false">
      <c r="A1654" s="1" t="s">
        <v>1689</v>
      </c>
      <c r="B1654" s="1" t="s">
        <v>24</v>
      </c>
      <c r="C1654" s="1" t="n">
        <v>1780000</v>
      </c>
      <c r="D1654" s="1" t="n">
        <v>40593.4</v>
      </c>
      <c r="E1654" s="1" t="n">
        <v>0.0172</v>
      </c>
      <c r="F1654" s="1" t="n">
        <v>0.0585</v>
      </c>
    </row>
    <row r="1655" customFormat="false" ht="15" hidden="false" customHeight="false" outlineLevel="0" collapsed="false">
      <c r="A1655" s="1" t="s">
        <v>1690</v>
      </c>
      <c r="B1655" s="1" t="s">
        <v>41</v>
      </c>
      <c r="C1655" s="1" t="n">
        <v>2070000</v>
      </c>
      <c r="D1655" s="1" t="n">
        <v>15115.3</v>
      </c>
      <c r="E1655" s="1" t="n">
        <v>0.0559</v>
      </c>
      <c r="F1655" s="1" t="n">
        <v>0.0938</v>
      </c>
    </row>
    <row r="1656" customFormat="false" ht="15" hidden="false" customHeight="false" outlineLevel="0" collapsed="false">
      <c r="A1656" s="1" t="s">
        <v>1691</v>
      </c>
      <c r="B1656" s="1" t="s">
        <v>26</v>
      </c>
      <c r="C1656" s="1" t="n">
        <v>1820000</v>
      </c>
      <c r="D1656" s="1" t="n">
        <v>1350491.4</v>
      </c>
      <c r="E1656" s="1" t="n">
        <v>0.0601</v>
      </c>
      <c r="F1656" s="1" t="n">
        <v>0.0951</v>
      </c>
    </row>
    <row r="1657" customFormat="false" ht="15" hidden="false" customHeight="false" outlineLevel="0" collapsed="false">
      <c r="A1657" s="1" t="s">
        <v>1692</v>
      </c>
      <c r="B1657" s="1" t="s">
        <v>41</v>
      </c>
      <c r="C1657" s="1" t="n">
        <v>2670000</v>
      </c>
      <c r="D1657" s="1" t="n">
        <v>6340.5</v>
      </c>
      <c r="E1657" s="1" t="n">
        <v>0.0073</v>
      </c>
      <c r="F1657" s="1" t="n">
        <v>0.0811</v>
      </c>
    </row>
    <row r="1658" customFormat="false" ht="15" hidden="false" customHeight="false" outlineLevel="0" collapsed="false">
      <c r="A1658" s="1" t="s">
        <v>1693</v>
      </c>
      <c r="B1658" s="1" t="s">
        <v>41</v>
      </c>
      <c r="C1658" s="1" t="n">
        <v>2290000</v>
      </c>
      <c r="D1658" s="1" t="n">
        <v>8738.1</v>
      </c>
      <c r="E1658" s="1" t="n">
        <v>0.0245</v>
      </c>
      <c r="F1658" s="1" t="n">
        <v>0.1053</v>
      </c>
    </row>
    <row r="1659" customFormat="false" ht="15" hidden="false" customHeight="false" outlineLevel="0" collapsed="false">
      <c r="A1659" s="1" t="s">
        <v>1694</v>
      </c>
      <c r="B1659" s="1" t="s">
        <v>62</v>
      </c>
      <c r="C1659" s="1" t="n">
        <v>1870000</v>
      </c>
      <c r="D1659" s="1" t="n">
        <v>221909.8</v>
      </c>
      <c r="E1659" s="1" t="n">
        <v>0.0023</v>
      </c>
      <c r="F1659" s="1" t="n">
        <v>0.0915</v>
      </c>
    </row>
    <row r="1660" customFormat="false" ht="15" hidden="false" customHeight="false" outlineLevel="0" collapsed="false">
      <c r="A1660" s="1" t="s">
        <v>1695</v>
      </c>
      <c r="B1660" s="1" t="s">
        <v>88</v>
      </c>
      <c r="C1660" s="1" t="n">
        <v>2410000</v>
      </c>
      <c r="D1660" s="1" t="n">
        <v>29672</v>
      </c>
      <c r="E1660" s="1" t="n">
        <v>0.0499</v>
      </c>
      <c r="F1660" s="1" t="n">
        <v>0.0938</v>
      </c>
    </row>
    <row r="1661" customFormat="false" ht="15" hidden="false" customHeight="false" outlineLevel="0" collapsed="false">
      <c r="A1661" s="1" t="s">
        <v>1696</v>
      </c>
      <c r="B1661" s="1" t="s">
        <v>41</v>
      </c>
      <c r="C1661" s="1" t="n">
        <v>2310000</v>
      </c>
      <c r="D1661" s="1" t="n">
        <v>8409.7</v>
      </c>
      <c r="E1661" s="1" t="n">
        <v>0.0821</v>
      </c>
      <c r="F1661" s="1" t="n">
        <v>0.0938</v>
      </c>
    </row>
    <row r="1662" customFormat="false" ht="15" hidden="false" customHeight="false" outlineLevel="0" collapsed="false">
      <c r="A1662" s="1" t="s">
        <v>1697</v>
      </c>
      <c r="B1662" s="1" t="s">
        <v>62</v>
      </c>
      <c r="C1662" s="1" t="n">
        <v>2630000</v>
      </c>
      <c r="D1662" s="1" t="n">
        <v>231264</v>
      </c>
      <c r="F1662" s="1" t="n">
        <v>0.0409</v>
      </c>
    </row>
    <row r="1663" customFormat="false" ht="15" hidden="false" customHeight="false" outlineLevel="0" collapsed="false">
      <c r="A1663" s="1" t="s">
        <v>1698</v>
      </c>
      <c r="B1663" s="1" t="s">
        <v>21</v>
      </c>
      <c r="C1663" s="1" t="n">
        <v>4090000</v>
      </c>
      <c r="D1663" s="1" t="n">
        <v>891.5</v>
      </c>
      <c r="F1663" s="1" t="n">
        <v>0.0409</v>
      </c>
    </row>
    <row r="1664" customFormat="false" ht="15" hidden="false" customHeight="false" outlineLevel="0" collapsed="false">
      <c r="A1664" s="1" t="s">
        <v>1699</v>
      </c>
      <c r="B1664" s="1" t="s">
        <v>92</v>
      </c>
      <c r="C1664" s="1" t="n">
        <v>1890000</v>
      </c>
      <c r="D1664" s="1" t="n">
        <v>7229</v>
      </c>
      <c r="E1664" s="1" t="n">
        <v>0.0305</v>
      </c>
      <c r="F1664" s="1" t="n">
        <v>0.0938</v>
      </c>
    </row>
    <row r="1665" customFormat="false" ht="15" hidden="false" customHeight="false" outlineLevel="0" collapsed="false">
      <c r="A1665" s="1" t="s">
        <v>1700</v>
      </c>
      <c r="B1665" s="1" t="s">
        <v>26</v>
      </c>
      <c r="C1665" s="1" t="n">
        <v>2480000</v>
      </c>
      <c r="D1665" s="1" t="n">
        <v>1258056.6</v>
      </c>
      <c r="E1665" s="1" t="n">
        <v>0.084</v>
      </c>
      <c r="F1665" s="1" t="n">
        <v>0.1241</v>
      </c>
    </row>
    <row r="1666" customFormat="false" ht="15" hidden="false" customHeight="false" outlineLevel="0" collapsed="false">
      <c r="A1666" s="1" t="s">
        <v>1701</v>
      </c>
      <c r="B1666" s="1" t="s">
        <v>71</v>
      </c>
      <c r="C1666" s="1" t="n">
        <v>1830000</v>
      </c>
      <c r="D1666" s="1" t="n">
        <v>43324.4</v>
      </c>
      <c r="E1666" s="1" t="n">
        <v>0.0201</v>
      </c>
      <c r="F1666" s="1" t="n">
        <v>0.0938</v>
      </c>
    </row>
    <row r="1667" customFormat="false" ht="15" hidden="false" customHeight="false" outlineLevel="0" collapsed="false">
      <c r="A1667" s="1" t="s">
        <v>1702</v>
      </c>
      <c r="B1667" s="1" t="s">
        <v>28</v>
      </c>
      <c r="C1667" s="1" t="n">
        <v>3000000</v>
      </c>
      <c r="D1667" s="1" t="n">
        <v>1957228.7</v>
      </c>
      <c r="E1667" s="1" t="n">
        <v>0.0278</v>
      </c>
      <c r="F1667" s="1" t="n">
        <v>0.0409</v>
      </c>
    </row>
    <row r="1668" customFormat="false" ht="15" hidden="false" customHeight="false" outlineLevel="0" collapsed="false">
      <c r="A1668" s="1" t="s">
        <v>1703</v>
      </c>
      <c r="B1668" s="1" t="s">
        <v>41</v>
      </c>
      <c r="C1668" s="1" t="n">
        <v>1780000</v>
      </c>
      <c r="D1668" s="1" t="n">
        <v>58022.5</v>
      </c>
      <c r="E1668" s="1" t="n">
        <v>0.0157</v>
      </c>
      <c r="F1668" s="1" t="n">
        <v>0.139</v>
      </c>
    </row>
    <row r="1669" customFormat="false" ht="15" hidden="false" customHeight="false" outlineLevel="0" collapsed="false">
      <c r="A1669" s="1" t="s">
        <v>1704</v>
      </c>
      <c r="B1669" s="1" t="s">
        <v>41</v>
      </c>
      <c r="C1669" s="1" t="n">
        <v>2310000</v>
      </c>
      <c r="D1669" s="1" t="n">
        <v>348.7</v>
      </c>
      <c r="E1669" s="1" t="n">
        <v>0.0273</v>
      </c>
      <c r="F1669" s="1" t="n">
        <v>0.0938</v>
      </c>
    </row>
    <row r="1670" customFormat="false" ht="15" hidden="false" customHeight="false" outlineLevel="0" collapsed="false">
      <c r="A1670" s="1" t="s">
        <v>1705</v>
      </c>
      <c r="B1670" s="1" t="s">
        <v>26</v>
      </c>
      <c r="C1670" s="1" t="n">
        <v>2370000</v>
      </c>
      <c r="D1670" s="1" t="n">
        <v>1269873.8</v>
      </c>
      <c r="E1670" s="1" t="n">
        <v>0.026</v>
      </c>
      <c r="F1670" s="1" t="n">
        <v>0.0409</v>
      </c>
    </row>
    <row r="1671" customFormat="false" ht="15" hidden="false" customHeight="false" outlineLevel="0" collapsed="false">
      <c r="A1671" s="1" t="s">
        <v>1706</v>
      </c>
      <c r="B1671" s="1" t="s">
        <v>26</v>
      </c>
      <c r="C1671" s="1" t="n">
        <v>1930000</v>
      </c>
      <c r="D1671" s="1" t="n">
        <v>53404.4</v>
      </c>
      <c r="E1671" s="1" t="n">
        <v>0.0392</v>
      </c>
      <c r="F1671" s="1" t="n">
        <v>0.0759</v>
      </c>
    </row>
    <row r="1672" customFormat="false" ht="15" hidden="false" customHeight="false" outlineLevel="0" collapsed="false">
      <c r="A1672" s="1" t="s">
        <v>1707</v>
      </c>
      <c r="B1672" s="1" t="s">
        <v>26</v>
      </c>
      <c r="C1672" s="1" t="n">
        <v>5090000</v>
      </c>
      <c r="D1672" s="1" t="n">
        <v>59061.3</v>
      </c>
      <c r="E1672" s="1" t="n">
        <v>0.0082</v>
      </c>
      <c r="F1672" s="1" t="n">
        <v>0.0811</v>
      </c>
    </row>
    <row r="1673" customFormat="false" ht="15" hidden="false" customHeight="false" outlineLevel="0" collapsed="false">
      <c r="A1673" s="1" t="s">
        <v>1708</v>
      </c>
      <c r="B1673" s="1" t="s">
        <v>26</v>
      </c>
      <c r="C1673" s="1" t="n">
        <v>2460000</v>
      </c>
      <c r="D1673" s="1" t="n">
        <v>85415.4</v>
      </c>
      <c r="E1673" s="1" t="n">
        <v>0.0404</v>
      </c>
      <c r="F1673" s="1" t="n">
        <v>0.0759</v>
      </c>
    </row>
    <row r="1674" customFormat="false" ht="15" hidden="false" customHeight="false" outlineLevel="0" collapsed="false">
      <c r="A1674" s="1" t="s">
        <v>1709</v>
      </c>
      <c r="B1674" s="1" t="s">
        <v>26</v>
      </c>
      <c r="C1674" s="1" t="n">
        <v>2110000</v>
      </c>
      <c r="D1674" s="1" t="n">
        <v>61913.6</v>
      </c>
      <c r="E1674" s="1" t="n">
        <v>0.0292</v>
      </c>
      <c r="F1674" s="1" t="n">
        <v>0.0938</v>
      </c>
    </row>
    <row r="1675" customFormat="false" ht="15" hidden="false" customHeight="false" outlineLevel="0" collapsed="false">
      <c r="A1675" s="1" t="s">
        <v>1710</v>
      </c>
      <c r="B1675" s="1" t="s">
        <v>81</v>
      </c>
      <c r="C1675" s="1" t="n">
        <v>2450000</v>
      </c>
      <c r="D1675" s="1" t="n">
        <v>150223.7</v>
      </c>
      <c r="E1675" s="1" t="n">
        <v>0.0463</v>
      </c>
      <c r="F1675" s="1" t="n">
        <v>0.0938</v>
      </c>
    </row>
    <row r="1676" customFormat="false" ht="15" hidden="false" customHeight="false" outlineLevel="0" collapsed="false">
      <c r="A1676" s="1" t="s">
        <v>1711</v>
      </c>
      <c r="B1676" s="1" t="s">
        <v>26</v>
      </c>
      <c r="C1676" s="1" t="n">
        <v>2520000</v>
      </c>
      <c r="D1676" s="1" t="n">
        <v>2370230.6</v>
      </c>
      <c r="E1676" s="1" t="n">
        <v>0.0127</v>
      </c>
      <c r="F1676" s="1" t="n">
        <v>0.0462</v>
      </c>
    </row>
    <row r="1677" customFormat="false" ht="15" hidden="false" customHeight="false" outlineLevel="0" collapsed="false">
      <c r="A1677" s="1" t="s">
        <v>1712</v>
      </c>
      <c r="B1677" s="1" t="s">
        <v>71</v>
      </c>
      <c r="C1677" s="1" t="n">
        <v>4350000</v>
      </c>
      <c r="D1677" s="1" t="n">
        <v>10098.5</v>
      </c>
      <c r="E1677" s="1" t="n">
        <v>0.0069</v>
      </c>
      <c r="F1677" s="1" t="n">
        <v>0.0811</v>
      </c>
    </row>
    <row r="1678" customFormat="false" ht="15" hidden="false" customHeight="false" outlineLevel="0" collapsed="false">
      <c r="A1678" s="1" t="s">
        <v>1713</v>
      </c>
      <c r="B1678" s="1" t="s">
        <v>26</v>
      </c>
      <c r="C1678" s="1" t="n">
        <v>1870000</v>
      </c>
      <c r="D1678" s="1" t="n">
        <v>3998.8</v>
      </c>
      <c r="E1678" s="1" t="n">
        <v>0.0137</v>
      </c>
      <c r="F1678" s="1" t="n">
        <v>0.0949</v>
      </c>
    </row>
    <row r="1679" customFormat="false" ht="15" hidden="false" customHeight="false" outlineLevel="0" collapsed="false">
      <c r="A1679" s="1" t="s">
        <v>1714</v>
      </c>
      <c r="B1679" s="1" t="s">
        <v>26</v>
      </c>
      <c r="C1679" s="1" t="n">
        <v>2930000</v>
      </c>
      <c r="D1679" s="1" t="n">
        <v>242943.3</v>
      </c>
      <c r="E1679" s="1" t="n">
        <v>0.0339</v>
      </c>
      <c r="F1679" s="1" t="n">
        <v>0.0409</v>
      </c>
    </row>
    <row r="1680" customFormat="false" ht="15" hidden="false" customHeight="false" outlineLevel="0" collapsed="false">
      <c r="A1680" s="1" t="s">
        <v>1715</v>
      </c>
      <c r="B1680" s="1" t="s">
        <v>26</v>
      </c>
      <c r="C1680" s="1" t="n">
        <v>4590000</v>
      </c>
      <c r="D1680" s="1" t="n">
        <v>4280087.5</v>
      </c>
      <c r="E1680" s="1" t="n">
        <v>0.0299</v>
      </c>
      <c r="F1680" s="1" t="n">
        <v>0.0951</v>
      </c>
    </row>
    <row r="1681" customFormat="false" ht="15" hidden="false" customHeight="false" outlineLevel="0" collapsed="false">
      <c r="A1681" s="1" t="s">
        <v>1716</v>
      </c>
      <c r="B1681" s="1" t="s">
        <v>41</v>
      </c>
      <c r="C1681" s="1" t="n">
        <v>2520000</v>
      </c>
      <c r="D1681" s="1" t="n">
        <v>7763.5</v>
      </c>
      <c r="E1681" s="1" t="n">
        <v>0.0495</v>
      </c>
      <c r="F1681" s="1" t="n">
        <v>0.0938</v>
      </c>
    </row>
    <row r="1682" customFormat="false" ht="15" hidden="false" customHeight="false" outlineLevel="0" collapsed="false">
      <c r="A1682" s="1" t="s">
        <v>1717</v>
      </c>
      <c r="B1682" s="1" t="s">
        <v>26</v>
      </c>
      <c r="C1682" s="1" t="n">
        <v>1920000</v>
      </c>
      <c r="D1682" s="1" t="n">
        <v>628882</v>
      </c>
      <c r="E1682" s="1" t="n">
        <v>0.073</v>
      </c>
      <c r="F1682" s="1" t="n">
        <v>0.0518</v>
      </c>
    </row>
    <row r="1683" customFormat="false" ht="15" hidden="false" customHeight="false" outlineLevel="0" collapsed="false">
      <c r="A1683" s="1" t="s">
        <v>1718</v>
      </c>
      <c r="B1683" s="1" t="s">
        <v>41</v>
      </c>
      <c r="C1683" s="1" t="n">
        <v>1950000</v>
      </c>
      <c r="D1683" s="1" t="n">
        <v>1063.9</v>
      </c>
      <c r="E1683" s="1" t="n">
        <v>0.0111</v>
      </c>
      <c r="F1683" s="1" t="n">
        <v>0.0726</v>
      </c>
    </row>
    <row r="1684" customFormat="false" ht="15" hidden="false" customHeight="false" outlineLevel="0" collapsed="false">
      <c r="A1684" s="1" t="s">
        <v>1719</v>
      </c>
      <c r="B1684" s="1" t="s">
        <v>28</v>
      </c>
      <c r="C1684" s="1" t="n">
        <v>2670000</v>
      </c>
      <c r="D1684" s="1" t="n">
        <v>1982.7</v>
      </c>
      <c r="E1684" s="1" t="n">
        <v>0.0193</v>
      </c>
      <c r="F1684" s="1" t="n">
        <v>0.0854</v>
      </c>
    </row>
    <row r="1685" customFormat="false" ht="15" hidden="false" customHeight="false" outlineLevel="0" collapsed="false">
      <c r="A1685" s="1" t="s">
        <v>1720</v>
      </c>
      <c r="B1685" s="1" t="s">
        <v>32</v>
      </c>
      <c r="C1685" s="1" t="n">
        <v>2300000</v>
      </c>
      <c r="D1685" s="1" t="n">
        <v>29802.8</v>
      </c>
      <c r="E1685" s="1" t="n">
        <v>0.016</v>
      </c>
      <c r="F1685" s="1" t="n">
        <v>0.1013</v>
      </c>
    </row>
    <row r="1686" customFormat="false" ht="15" hidden="false" customHeight="false" outlineLevel="0" collapsed="false">
      <c r="A1686" s="1" t="s">
        <v>1721</v>
      </c>
      <c r="B1686" s="1" t="s">
        <v>490</v>
      </c>
      <c r="C1686" s="1" t="n">
        <v>1820000</v>
      </c>
      <c r="D1686" s="1" t="n">
        <v>464</v>
      </c>
      <c r="E1686" s="1" t="n">
        <v>0.0035</v>
      </c>
      <c r="F1686" s="1" t="n">
        <v>0.0811</v>
      </c>
    </row>
    <row r="1687" customFormat="false" ht="15" hidden="false" customHeight="false" outlineLevel="0" collapsed="false">
      <c r="A1687" s="1" t="s">
        <v>1722</v>
      </c>
      <c r="B1687" s="1" t="s">
        <v>53</v>
      </c>
      <c r="C1687" s="1" t="n">
        <v>1890000</v>
      </c>
      <c r="D1687" s="1" t="n">
        <v>101235.5</v>
      </c>
      <c r="E1687" s="1" t="n">
        <v>0.0394</v>
      </c>
      <c r="F1687" s="1" t="n">
        <v>0.0951</v>
      </c>
    </row>
    <row r="1688" customFormat="false" ht="15" hidden="false" customHeight="false" outlineLevel="0" collapsed="false">
      <c r="A1688" s="1" t="s">
        <v>1723</v>
      </c>
      <c r="B1688" s="1" t="s">
        <v>50</v>
      </c>
      <c r="C1688" s="1" t="n">
        <v>1890000</v>
      </c>
      <c r="D1688" s="1" t="n">
        <v>2297</v>
      </c>
      <c r="E1688" s="1" t="n">
        <v>0.0067</v>
      </c>
      <c r="F1688" s="1" t="n">
        <v>0.1015</v>
      </c>
    </row>
    <row r="1689" customFormat="false" ht="15" hidden="false" customHeight="false" outlineLevel="0" collapsed="false">
      <c r="A1689" s="1" t="s">
        <v>1724</v>
      </c>
      <c r="B1689" s="1" t="s">
        <v>32</v>
      </c>
      <c r="C1689" s="1" t="n">
        <v>2040000</v>
      </c>
      <c r="D1689" s="1" t="n">
        <v>7624.3</v>
      </c>
      <c r="E1689" s="1" t="n">
        <v>0.017</v>
      </c>
      <c r="F1689" s="1" t="n">
        <v>0.1372</v>
      </c>
    </row>
    <row r="1690" customFormat="false" ht="15" hidden="false" customHeight="false" outlineLevel="0" collapsed="false">
      <c r="A1690" s="1" t="s">
        <v>1725</v>
      </c>
      <c r="B1690" s="1" t="s">
        <v>88</v>
      </c>
      <c r="C1690" s="1" t="n">
        <v>3270000</v>
      </c>
      <c r="D1690" s="1" t="n">
        <v>113944.4</v>
      </c>
      <c r="E1690" s="1" t="n">
        <v>0.0443</v>
      </c>
      <c r="F1690" s="1" t="n">
        <v>0.0938</v>
      </c>
    </row>
    <row r="1691" customFormat="false" ht="15" hidden="false" customHeight="false" outlineLevel="0" collapsed="false">
      <c r="A1691" s="1" t="s">
        <v>1726</v>
      </c>
      <c r="B1691" s="1" t="s">
        <v>41</v>
      </c>
      <c r="C1691" s="1" t="n">
        <v>2020000</v>
      </c>
      <c r="D1691" s="1" t="n">
        <v>224.7</v>
      </c>
      <c r="E1691" s="1" t="n">
        <v>0.0102</v>
      </c>
      <c r="F1691" s="1" t="n">
        <v>0.0726</v>
      </c>
    </row>
    <row r="1692" customFormat="false" ht="15" hidden="false" customHeight="false" outlineLevel="0" collapsed="false">
      <c r="A1692" s="1" t="s">
        <v>1727</v>
      </c>
      <c r="B1692" s="1" t="s">
        <v>88</v>
      </c>
      <c r="C1692" s="1" t="n">
        <v>2030000</v>
      </c>
      <c r="D1692" s="1" t="n">
        <v>18394.5</v>
      </c>
      <c r="E1692" s="1" t="n">
        <v>0.0444</v>
      </c>
      <c r="F1692" s="1" t="n">
        <v>0.0938</v>
      </c>
    </row>
    <row r="1693" customFormat="false" ht="15" hidden="false" customHeight="false" outlineLevel="0" collapsed="false">
      <c r="A1693" s="1" t="s">
        <v>1728</v>
      </c>
      <c r="B1693" s="1" t="s">
        <v>26</v>
      </c>
      <c r="C1693" s="1" t="n">
        <v>3140000</v>
      </c>
      <c r="D1693" s="1" t="n">
        <v>236277.3</v>
      </c>
      <c r="E1693" s="1" t="n">
        <v>0.053</v>
      </c>
      <c r="F1693" s="1" t="n">
        <v>0.0759</v>
      </c>
    </row>
    <row r="1694" customFormat="false" ht="15" hidden="false" customHeight="false" outlineLevel="0" collapsed="false">
      <c r="A1694" s="1" t="s">
        <v>1729</v>
      </c>
      <c r="B1694" s="1" t="s">
        <v>50</v>
      </c>
      <c r="C1694" s="1" t="n">
        <v>1970000</v>
      </c>
      <c r="D1694" s="1" t="n">
        <v>2566.9</v>
      </c>
      <c r="E1694" s="1" t="n">
        <v>0.0093</v>
      </c>
      <c r="F1694" s="1" t="n">
        <v>0.0811</v>
      </c>
    </row>
    <row r="1695" customFormat="false" ht="15" hidden="false" customHeight="false" outlineLevel="0" collapsed="false">
      <c r="A1695" s="1" t="s">
        <v>1730</v>
      </c>
      <c r="B1695" s="1" t="s">
        <v>92</v>
      </c>
      <c r="C1695" s="1" t="n">
        <v>1780000</v>
      </c>
      <c r="D1695" s="1" t="n">
        <v>6860</v>
      </c>
      <c r="E1695" s="1" t="n">
        <v>0.0063</v>
      </c>
      <c r="F1695" s="1" t="n">
        <v>0.0822</v>
      </c>
    </row>
    <row r="1696" customFormat="false" ht="15" hidden="false" customHeight="false" outlineLevel="0" collapsed="false">
      <c r="A1696" s="1" t="s">
        <v>1731</v>
      </c>
      <c r="B1696" s="1" t="s">
        <v>92</v>
      </c>
      <c r="C1696" s="1" t="n">
        <v>1800000</v>
      </c>
      <c r="D1696" s="1" t="n">
        <v>4887.6</v>
      </c>
      <c r="E1696" s="1" t="n">
        <v>0.0274</v>
      </c>
      <c r="F1696" s="1" t="n">
        <v>0.0951</v>
      </c>
    </row>
    <row r="1697" customFormat="false" ht="15" hidden="false" customHeight="false" outlineLevel="0" collapsed="false">
      <c r="A1697" s="1" t="s">
        <v>1732</v>
      </c>
      <c r="B1697" s="1" t="s">
        <v>92</v>
      </c>
      <c r="C1697" s="1" t="n">
        <v>2520000</v>
      </c>
      <c r="D1697" s="1" t="n">
        <v>364964.4</v>
      </c>
      <c r="E1697" s="1" t="n">
        <v>0.0201</v>
      </c>
      <c r="F1697" s="1" t="n">
        <v>0.0462</v>
      </c>
    </row>
    <row r="1698" customFormat="false" ht="15" hidden="false" customHeight="false" outlineLevel="0" collapsed="false">
      <c r="A1698" s="1" t="s">
        <v>1733</v>
      </c>
      <c r="B1698" s="1" t="s">
        <v>62</v>
      </c>
      <c r="C1698" s="1" t="n">
        <v>1710000</v>
      </c>
      <c r="D1698" s="1" t="n">
        <v>6826</v>
      </c>
      <c r="E1698" s="1" t="n">
        <v>0.0155</v>
      </c>
      <c r="F1698" s="1" t="n">
        <v>0.0585</v>
      </c>
    </row>
    <row r="1699" customFormat="false" ht="15" hidden="false" customHeight="false" outlineLevel="0" collapsed="false">
      <c r="A1699" s="1" t="s">
        <v>1734</v>
      </c>
      <c r="B1699" s="1" t="s">
        <v>214</v>
      </c>
      <c r="C1699" s="1" t="n">
        <v>1770000</v>
      </c>
      <c r="D1699" s="1" t="n">
        <v>4148.9</v>
      </c>
      <c r="E1699" s="1" t="n">
        <v>0.0105</v>
      </c>
      <c r="F1699" s="1" t="n">
        <v>0.0822</v>
      </c>
    </row>
    <row r="1700" customFormat="false" ht="15" hidden="false" customHeight="false" outlineLevel="0" collapsed="false">
      <c r="A1700" s="1" t="s">
        <v>1735</v>
      </c>
      <c r="B1700" s="1" t="s">
        <v>88</v>
      </c>
      <c r="C1700" s="1" t="n">
        <v>2880000</v>
      </c>
      <c r="D1700" s="1" t="n">
        <v>5344.1</v>
      </c>
      <c r="E1700" s="1" t="n">
        <v>0.0388</v>
      </c>
      <c r="F1700" s="1" t="n">
        <v>0.0759</v>
      </c>
    </row>
    <row r="1701" customFormat="false" ht="15" hidden="false" customHeight="false" outlineLevel="0" collapsed="false">
      <c r="A1701" s="1" t="s">
        <v>1736</v>
      </c>
      <c r="B1701" s="1" t="s">
        <v>74</v>
      </c>
      <c r="C1701" s="1" t="n">
        <v>2040000</v>
      </c>
      <c r="D1701" s="1" t="n">
        <v>36594.4</v>
      </c>
      <c r="E1701" s="1" t="n">
        <v>0.1045</v>
      </c>
      <c r="F1701" s="1" t="n">
        <v>0.0938</v>
      </c>
    </row>
    <row r="1702" customFormat="false" ht="15" hidden="false" customHeight="false" outlineLevel="0" collapsed="false">
      <c r="A1702" s="1" t="s">
        <v>1737</v>
      </c>
      <c r="B1702" s="1" t="s">
        <v>41</v>
      </c>
      <c r="C1702" s="1" t="n">
        <v>2100000</v>
      </c>
      <c r="D1702" s="1" t="n">
        <v>169705.1</v>
      </c>
      <c r="E1702" s="1" t="n">
        <v>0.0143</v>
      </c>
      <c r="F1702" s="1" t="n">
        <v>0.052</v>
      </c>
    </row>
    <row r="1703" customFormat="false" ht="15" hidden="false" customHeight="false" outlineLevel="0" collapsed="false">
      <c r="A1703" s="1" t="s">
        <v>1738</v>
      </c>
      <c r="B1703" s="1" t="s">
        <v>26</v>
      </c>
      <c r="C1703" s="1" t="n">
        <v>1940000</v>
      </c>
      <c r="D1703" s="1" t="n">
        <v>71824.9</v>
      </c>
      <c r="E1703" s="1" t="n">
        <v>0.0437</v>
      </c>
      <c r="F1703" s="1" t="n">
        <v>0.0759</v>
      </c>
    </row>
    <row r="1704" customFormat="false" ht="15" hidden="false" customHeight="false" outlineLevel="0" collapsed="false">
      <c r="A1704" s="1" t="s">
        <v>1739</v>
      </c>
      <c r="B1704" s="1" t="s">
        <v>53</v>
      </c>
      <c r="C1704" s="1" t="n">
        <v>2740000</v>
      </c>
      <c r="D1704" s="1" t="n">
        <v>8375.7</v>
      </c>
      <c r="E1704" s="1" t="n">
        <v>0.0412</v>
      </c>
      <c r="F1704" s="1" t="n">
        <v>0.0938</v>
      </c>
    </row>
    <row r="1705" customFormat="false" ht="15" hidden="false" customHeight="false" outlineLevel="0" collapsed="false">
      <c r="A1705" s="1" t="s">
        <v>1740</v>
      </c>
      <c r="B1705" s="1" t="s">
        <v>24</v>
      </c>
      <c r="C1705" s="1" t="n">
        <v>1180000</v>
      </c>
      <c r="D1705" s="1" t="n">
        <v>9259.6</v>
      </c>
      <c r="E1705" s="1" t="n">
        <v>0.0644</v>
      </c>
      <c r="F1705" s="1" t="n">
        <v>0.0759</v>
      </c>
    </row>
    <row r="1706" customFormat="false" ht="15" hidden="false" customHeight="false" outlineLevel="0" collapsed="false">
      <c r="A1706" s="1" t="s">
        <v>1741</v>
      </c>
      <c r="B1706" s="1" t="s">
        <v>88</v>
      </c>
      <c r="C1706" s="1" t="n">
        <v>2400000</v>
      </c>
      <c r="D1706" s="1" t="n">
        <v>1621.9</v>
      </c>
      <c r="E1706" s="1" t="n">
        <v>0.1234</v>
      </c>
      <c r="F1706" s="1" t="n">
        <v>0.0938</v>
      </c>
    </row>
    <row r="1707" customFormat="false" ht="15" hidden="false" customHeight="false" outlineLevel="0" collapsed="false">
      <c r="A1707" s="1" t="s">
        <v>1742</v>
      </c>
      <c r="B1707" s="1" t="s">
        <v>26</v>
      </c>
      <c r="C1707" s="1" t="n">
        <v>1970000</v>
      </c>
      <c r="D1707" s="1" t="n">
        <v>141112.2</v>
      </c>
      <c r="E1707" s="1" t="n">
        <v>0.0718</v>
      </c>
      <c r="F1707" s="1" t="n">
        <v>0.0672</v>
      </c>
    </row>
    <row r="1708" customFormat="false" ht="15" hidden="false" customHeight="false" outlineLevel="0" collapsed="false">
      <c r="A1708" s="1" t="s">
        <v>1743</v>
      </c>
      <c r="B1708" s="1" t="s">
        <v>74</v>
      </c>
      <c r="C1708" s="1" t="n">
        <v>1790000</v>
      </c>
      <c r="D1708" s="1" t="n">
        <v>107420.9</v>
      </c>
      <c r="E1708" s="1" t="n">
        <v>0.0152</v>
      </c>
      <c r="F1708" s="1" t="n">
        <v>0.0576</v>
      </c>
    </row>
    <row r="1709" customFormat="false" ht="15" hidden="false" customHeight="false" outlineLevel="0" collapsed="false">
      <c r="A1709" s="1" t="s">
        <v>1744</v>
      </c>
      <c r="B1709" s="1" t="s">
        <v>32</v>
      </c>
      <c r="C1709" s="1" t="n">
        <v>3190000</v>
      </c>
      <c r="D1709" s="1" t="n">
        <v>65435.4</v>
      </c>
      <c r="E1709" s="1" t="n">
        <v>0.0138</v>
      </c>
      <c r="F1709" s="1" t="n">
        <v>0.1866</v>
      </c>
    </row>
    <row r="1710" customFormat="false" ht="15" hidden="false" customHeight="false" outlineLevel="0" collapsed="false">
      <c r="A1710" s="1" t="s">
        <v>1745</v>
      </c>
      <c r="B1710" s="1" t="s">
        <v>92</v>
      </c>
      <c r="C1710" s="1" t="n">
        <v>2370000</v>
      </c>
      <c r="D1710" s="1" t="n">
        <v>132174.3</v>
      </c>
      <c r="E1710" s="1" t="n">
        <v>0.0174</v>
      </c>
      <c r="F1710" s="1" t="n">
        <v>0.0937</v>
      </c>
    </row>
    <row r="1711" customFormat="false" ht="15" hidden="false" customHeight="false" outlineLevel="0" collapsed="false">
      <c r="A1711" s="1" t="s">
        <v>1746</v>
      </c>
      <c r="B1711" s="1" t="s">
        <v>287</v>
      </c>
      <c r="C1711" s="1" t="n">
        <v>1810000</v>
      </c>
      <c r="D1711" s="1" t="n">
        <v>106224.8</v>
      </c>
      <c r="E1711" s="1" t="n">
        <v>0.0181</v>
      </c>
      <c r="F1711" s="1" t="n">
        <v>0.0585</v>
      </c>
    </row>
    <row r="1712" customFormat="false" ht="15" hidden="false" customHeight="false" outlineLevel="0" collapsed="false">
      <c r="A1712" s="1" t="s">
        <v>1747</v>
      </c>
      <c r="B1712" s="1" t="s">
        <v>26</v>
      </c>
      <c r="C1712" s="1" t="n">
        <v>1840000</v>
      </c>
      <c r="D1712" s="1" t="n">
        <v>9575.1</v>
      </c>
      <c r="E1712" s="1" t="n">
        <v>0.0356</v>
      </c>
      <c r="F1712" s="1" t="n">
        <v>0.0833</v>
      </c>
    </row>
    <row r="1713" customFormat="false" ht="15" hidden="false" customHeight="false" outlineLevel="0" collapsed="false">
      <c r="A1713" s="1" t="s">
        <v>1748</v>
      </c>
      <c r="B1713" s="1" t="s">
        <v>53</v>
      </c>
      <c r="C1713" s="1" t="n">
        <v>3320000</v>
      </c>
      <c r="D1713" s="1" t="n">
        <v>317191.8</v>
      </c>
      <c r="F1713" s="1" t="n">
        <v>0.0409</v>
      </c>
    </row>
    <row r="1714" customFormat="false" ht="15" hidden="false" customHeight="false" outlineLevel="0" collapsed="false">
      <c r="A1714" s="1" t="s">
        <v>1749</v>
      </c>
      <c r="B1714" s="1" t="s">
        <v>81</v>
      </c>
      <c r="C1714" s="1" t="n">
        <v>1820000</v>
      </c>
      <c r="D1714" s="1" t="n">
        <v>19929</v>
      </c>
      <c r="E1714" s="1" t="n">
        <v>0.0456</v>
      </c>
      <c r="F1714" s="1" t="n">
        <v>0.0938</v>
      </c>
    </row>
    <row r="1715" customFormat="false" ht="15" hidden="false" customHeight="false" outlineLevel="0" collapsed="false">
      <c r="A1715" s="1" t="s">
        <v>1750</v>
      </c>
      <c r="B1715" s="1" t="s">
        <v>35</v>
      </c>
      <c r="C1715" s="1" t="n">
        <v>2030000</v>
      </c>
      <c r="D1715" s="1" t="n">
        <v>348430.7</v>
      </c>
      <c r="E1715" s="1" t="n">
        <v>0.0192</v>
      </c>
      <c r="F1715" s="1" t="n">
        <v>0.0854</v>
      </c>
    </row>
    <row r="1716" customFormat="false" ht="15" hidden="false" customHeight="false" outlineLevel="0" collapsed="false">
      <c r="A1716" s="1" t="s">
        <v>1751</v>
      </c>
      <c r="B1716" s="1" t="s">
        <v>26</v>
      </c>
      <c r="C1716" s="1" t="n">
        <v>1780000</v>
      </c>
      <c r="D1716" s="1" t="n">
        <v>2268913.3</v>
      </c>
      <c r="E1716" s="1" t="n">
        <v>0.036</v>
      </c>
      <c r="F1716" s="1" t="n">
        <v>0.0518</v>
      </c>
    </row>
    <row r="1717" customFormat="false" ht="15" hidden="false" customHeight="false" outlineLevel="0" collapsed="false">
      <c r="A1717" s="1" t="s">
        <v>1752</v>
      </c>
      <c r="B1717" s="1" t="s">
        <v>41</v>
      </c>
      <c r="C1717" s="1" t="n">
        <v>2090000</v>
      </c>
      <c r="D1717" s="1" t="n">
        <v>1903.9</v>
      </c>
      <c r="E1717" s="1" t="n">
        <v>0.0153</v>
      </c>
      <c r="F1717" s="1" t="n">
        <v>0.0576</v>
      </c>
    </row>
    <row r="1718" customFormat="false" ht="15" hidden="false" customHeight="false" outlineLevel="0" collapsed="false">
      <c r="A1718" s="1" t="s">
        <v>1753</v>
      </c>
      <c r="B1718" s="1" t="s">
        <v>24</v>
      </c>
      <c r="C1718" s="1" t="n">
        <v>1900000</v>
      </c>
      <c r="D1718" s="1" t="n">
        <v>4989.8</v>
      </c>
      <c r="E1718" s="1" t="n">
        <v>0.0377</v>
      </c>
      <c r="F1718" s="1" t="n">
        <v>0.0538</v>
      </c>
    </row>
    <row r="1719" customFormat="false" ht="15" hidden="false" customHeight="false" outlineLevel="0" collapsed="false">
      <c r="A1719" s="1" t="s">
        <v>1754</v>
      </c>
      <c r="B1719" s="1" t="s">
        <v>26</v>
      </c>
      <c r="C1719" s="1" t="n">
        <v>255000</v>
      </c>
      <c r="D1719" s="1" t="n">
        <v>10643</v>
      </c>
      <c r="E1719" s="1" t="n">
        <v>0.0332</v>
      </c>
      <c r="F1719" s="1" t="n">
        <v>0.0951</v>
      </c>
    </row>
    <row r="1720" customFormat="false" ht="15" hidden="false" customHeight="false" outlineLevel="0" collapsed="false">
      <c r="A1720" s="1" t="s">
        <v>1755</v>
      </c>
      <c r="B1720" s="1" t="s">
        <v>50</v>
      </c>
      <c r="C1720" s="1" t="n">
        <v>3630000</v>
      </c>
      <c r="D1720" s="1" t="n">
        <v>48078.2</v>
      </c>
      <c r="E1720" s="1" t="n">
        <v>0.0256</v>
      </c>
      <c r="F1720" s="1" t="n">
        <v>0.0759</v>
      </c>
    </row>
    <row r="1721" customFormat="false" ht="15" hidden="false" customHeight="false" outlineLevel="0" collapsed="false">
      <c r="A1721" s="1" t="s">
        <v>1756</v>
      </c>
      <c r="B1721" s="1" t="s">
        <v>32</v>
      </c>
      <c r="C1721" s="1" t="n">
        <v>1960000</v>
      </c>
      <c r="D1721" s="1" t="n">
        <v>118858.5</v>
      </c>
      <c r="E1721" s="1" t="n">
        <v>0.0268</v>
      </c>
      <c r="F1721" s="1" t="n">
        <v>0.0546</v>
      </c>
    </row>
    <row r="1722" customFormat="false" ht="15" hidden="false" customHeight="false" outlineLevel="0" collapsed="false">
      <c r="A1722" s="1" t="s">
        <v>1757</v>
      </c>
      <c r="B1722" s="1" t="s">
        <v>26</v>
      </c>
      <c r="C1722" s="1" t="n">
        <v>2050000</v>
      </c>
      <c r="D1722" s="1" t="n">
        <v>378395.2</v>
      </c>
      <c r="E1722" s="1" t="n">
        <v>0.0228</v>
      </c>
      <c r="F1722" s="1" t="n">
        <v>0.0462</v>
      </c>
    </row>
    <row r="1723" customFormat="false" ht="15" hidden="false" customHeight="false" outlineLevel="0" collapsed="false">
      <c r="A1723" s="1" t="s">
        <v>1758</v>
      </c>
      <c r="B1723" s="1" t="s">
        <v>81</v>
      </c>
      <c r="C1723" s="1" t="n">
        <v>1770000</v>
      </c>
      <c r="D1723" s="1" t="n">
        <v>68434</v>
      </c>
      <c r="E1723" s="1" t="n">
        <v>0.0579</v>
      </c>
      <c r="F1723" s="1" t="n">
        <v>0.0951</v>
      </c>
    </row>
    <row r="1724" customFormat="false" ht="15" hidden="false" customHeight="false" outlineLevel="0" collapsed="false">
      <c r="A1724" s="1" t="s">
        <v>1759</v>
      </c>
      <c r="B1724" s="1" t="s">
        <v>24</v>
      </c>
      <c r="C1724" s="1" t="n">
        <v>3700000</v>
      </c>
      <c r="D1724" s="1" t="n">
        <v>294599.2</v>
      </c>
      <c r="E1724" s="1" t="n">
        <v>0.0382</v>
      </c>
      <c r="F1724" s="1" t="n">
        <v>0.0759</v>
      </c>
    </row>
    <row r="1725" customFormat="false" ht="15" hidden="false" customHeight="false" outlineLevel="0" collapsed="false">
      <c r="A1725" s="1" t="s">
        <v>1760</v>
      </c>
      <c r="B1725" s="1" t="s">
        <v>62</v>
      </c>
      <c r="C1725" s="1" t="n">
        <v>2170000</v>
      </c>
      <c r="D1725" s="1" t="n">
        <v>64648.9</v>
      </c>
      <c r="E1725" s="1" t="n">
        <v>0.0313</v>
      </c>
      <c r="F1725" s="1" t="n">
        <v>0.0409</v>
      </c>
    </row>
    <row r="1726" customFormat="false" ht="15" hidden="false" customHeight="false" outlineLevel="0" collapsed="false">
      <c r="A1726" s="1" t="s">
        <v>1761</v>
      </c>
      <c r="B1726" s="1" t="s">
        <v>26</v>
      </c>
      <c r="C1726" s="1" t="n">
        <v>2710000</v>
      </c>
      <c r="D1726" s="1" t="n">
        <v>5349.6</v>
      </c>
      <c r="E1726" s="1" t="n">
        <v>0.0391</v>
      </c>
      <c r="F1726" s="1" t="n">
        <v>0.0951</v>
      </c>
    </row>
    <row r="1727" customFormat="false" ht="15" hidden="false" customHeight="false" outlineLevel="0" collapsed="false">
      <c r="A1727" s="1" t="s">
        <v>1762</v>
      </c>
      <c r="B1727" s="1" t="s">
        <v>92</v>
      </c>
      <c r="C1727" s="1" t="n">
        <v>2020000</v>
      </c>
      <c r="D1727" s="1" t="n">
        <v>3806.2</v>
      </c>
      <c r="E1727" s="1" t="n">
        <v>0.0109</v>
      </c>
      <c r="F1727" s="1" t="n">
        <v>0.0654</v>
      </c>
    </row>
    <row r="1728" customFormat="false" ht="15" hidden="false" customHeight="false" outlineLevel="0" collapsed="false">
      <c r="A1728" s="1" t="s">
        <v>1763</v>
      </c>
      <c r="B1728" s="1" t="s">
        <v>50</v>
      </c>
      <c r="C1728" s="1" t="n">
        <v>2570000</v>
      </c>
      <c r="D1728" s="1" t="n">
        <v>4849.5</v>
      </c>
      <c r="E1728" s="1" t="n">
        <v>0.0222</v>
      </c>
      <c r="F1728" s="1" t="n">
        <v>0.117</v>
      </c>
    </row>
    <row r="1729" customFormat="false" ht="15" hidden="false" customHeight="false" outlineLevel="0" collapsed="false">
      <c r="A1729" s="1" t="s">
        <v>1764</v>
      </c>
      <c r="B1729" s="1" t="s">
        <v>71</v>
      </c>
      <c r="C1729" s="1" t="n">
        <v>1810000</v>
      </c>
      <c r="D1729" s="1" t="n">
        <v>20551</v>
      </c>
      <c r="E1729" s="1" t="n">
        <v>0.044</v>
      </c>
      <c r="F1729" s="1" t="n">
        <v>0.0938</v>
      </c>
    </row>
    <row r="1730" customFormat="false" ht="15" hidden="false" customHeight="false" outlineLevel="0" collapsed="false">
      <c r="A1730" s="1" t="s">
        <v>1765</v>
      </c>
      <c r="B1730" s="1" t="s">
        <v>88</v>
      </c>
      <c r="C1730" s="1" t="n">
        <v>2010000</v>
      </c>
      <c r="D1730" s="1" t="n">
        <v>866.2</v>
      </c>
      <c r="E1730" s="1" t="n">
        <v>0.0057</v>
      </c>
      <c r="F1730" s="1" t="n">
        <v>0.0811</v>
      </c>
    </row>
    <row r="1731" customFormat="false" ht="15" hidden="false" customHeight="false" outlineLevel="0" collapsed="false">
      <c r="A1731" s="1" t="s">
        <v>1766</v>
      </c>
      <c r="B1731" s="1" t="s">
        <v>26</v>
      </c>
      <c r="C1731" s="1" t="n">
        <v>1670000</v>
      </c>
      <c r="D1731" s="1" t="n">
        <v>694.8</v>
      </c>
      <c r="F1731" s="1" t="n">
        <v>0.0951</v>
      </c>
    </row>
    <row r="1732" customFormat="false" ht="15" hidden="false" customHeight="false" outlineLevel="0" collapsed="false">
      <c r="A1732" s="1" t="s">
        <v>1767</v>
      </c>
      <c r="B1732" s="1" t="s">
        <v>24</v>
      </c>
      <c r="C1732" s="1" t="n">
        <v>2270000</v>
      </c>
      <c r="D1732" s="1" t="n">
        <v>1650.9</v>
      </c>
      <c r="E1732" s="1" t="n">
        <v>0.0569</v>
      </c>
      <c r="F1732" s="1" t="n">
        <v>0.0938</v>
      </c>
    </row>
    <row r="1733" customFormat="false" ht="15" hidden="false" customHeight="false" outlineLevel="0" collapsed="false">
      <c r="A1733" s="1" t="s">
        <v>1768</v>
      </c>
      <c r="B1733" s="1" t="s">
        <v>26</v>
      </c>
      <c r="C1733" s="1" t="n">
        <v>2190000</v>
      </c>
      <c r="D1733" s="1" t="n">
        <v>28435.7</v>
      </c>
      <c r="E1733" s="1" t="n">
        <v>0.0365</v>
      </c>
      <c r="F1733" s="1" t="n">
        <v>0.0938</v>
      </c>
    </row>
    <row r="1734" customFormat="false" ht="15" hidden="false" customHeight="false" outlineLevel="0" collapsed="false">
      <c r="A1734" s="1" t="s">
        <v>1769</v>
      </c>
      <c r="B1734" s="1" t="s">
        <v>88</v>
      </c>
      <c r="C1734" s="1" t="n">
        <v>2030000</v>
      </c>
      <c r="D1734" s="1" t="n">
        <v>186154.2</v>
      </c>
      <c r="E1734" s="1" t="n">
        <v>0.0374</v>
      </c>
      <c r="F1734" s="1" t="n">
        <v>0.0759</v>
      </c>
    </row>
    <row r="1735" customFormat="false" ht="15" hidden="false" customHeight="false" outlineLevel="0" collapsed="false">
      <c r="A1735" s="1" t="s">
        <v>1770</v>
      </c>
      <c r="B1735" s="1" t="s">
        <v>26</v>
      </c>
      <c r="C1735" s="1" t="n">
        <v>1980000</v>
      </c>
      <c r="D1735" s="1" t="n">
        <v>127405.8</v>
      </c>
      <c r="E1735" s="1" t="n">
        <v>0.0072</v>
      </c>
      <c r="F1735" s="1" t="n">
        <v>0.0654</v>
      </c>
    </row>
    <row r="1736" customFormat="false" ht="15" hidden="false" customHeight="false" outlineLevel="0" collapsed="false">
      <c r="A1736" s="1" t="s">
        <v>1771</v>
      </c>
      <c r="B1736" s="1" t="s">
        <v>32</v>
      </c>
      <c r="C1736" s="1" t="n">
        <v>3000000</v>
      </c>
      <c r="D1736" s="1" t="n">
        <v>2949.7</v>
      </c>
      <c r="E1736" s="1" t="n">
        <v>0.0087</v>
      </c>
      <c r="F1736" s="1" t="n">
        <v>0.0654</v>
      </c>
    </row>
    <row r="1737" customFormat="false" ht="15" hidden="false" customHeight="false" outlineLevel="0" collapsed="false">
      <c r="A1737" s="1" t="s">
        <v>1772</v>
      </c>
      <c r="B1737" s="1" t="s">
        <v>71</v>
      </c>
      <c r="C1737" s="1" t="n">
        <v>1750000</v>
      </c>
      <c r="D1737" s="1" t="n">
        <v>7038.7</v>
      </c>
      <c r="E1737" s="1" t="n">
        <v>0.0255</v>
      </c>
      <c r="F1737" s="1" t="n">
        <v>0.0759</v>
      </c>
    </row>
    <row r="1738" customFormat="false" ht="15" hidden="false" customHeight="false" outlineLevel="0" collapsed="false">
      <c r="A1738" s="1" t="s">
        <v>1773</v>
      </c>
      <c r="B1738" s="1" t="s">
        <v>26</v>
      </c>
      <c r="C1738" s="1" t="n">
        <v>1960000</v>
      </c>
      <c r="D1738" s="1" t="n">
        <v>995319</v>
      </c>
      <c r="E1738" s="1" t="n">
        <v>0.0426</v>
      </c>
      <c r="F1738" s="1" t="n">
        <v>0.0518</v>
      </c>
    </row>
    <row r="1739" customFormat="false" ht="15" hidden="false" customHeight="false" outlineLevel="0" collapsed="false">
      <c r="A1739" s="1" t="s">
        <v>1774</v>
      </c>
      <c r="B1739" s="1" t="s">
        <v>41</v>
      </c>
      <c r="C1739" s="1" t="n">
        <v>2280000</v>
      </c>
      <c r="D1739" s="1" t="n">
        <v>513.2</v>
      </c>
      <c r="E1739" s="1" t="n">
        <v>0.0137</v>
      </c>
      <c r="F1739" s="1" t="n">
        <v>0.0811</v>
      </c>
    </row>
    <row r="1740" customFormat="false" ht="15" hidden="false" customHeight="false" outlineLevel="0" collapsed="false">
      <c r="A1740" s="1" t="s">
        <v>1775</v>
      </c>
      <c r="B1740" s="1" t="s">
        <v>24</v>
      </c>
      <c r="C1740" s="1" t="n">
        <v>2750000</v>
      </c>
      <c r="D1740" s="1" t="n">
        <v>318491.9</v>
      </c>
      <c r="E1740" s="1" t="n">
        <v>0.0054</v>
      </c>
      <c r="F1740" s="1" t="n">
        <v>0.0811</v>
      </c>
    </row>
    <row r="1741" customFormat="false" ht="15" hidden="false" customHeight="false" outlineLevel="0" collapsed="false">
      <c r="A1741" s="1" t="s">
        <v>1776</v>
      </c>
      <c r="B1741" s="1" t="s">
        <v>26</v>
      </c>
      <c r="C1741" s="1" t="n">
        <v>1700000</v>
      </c>
      <c r="D1741" s="1" t="n">
        <v>15111</v>
      </c>
      <c r="E1741" s="1" t="n">
        <v>0.082</v>
      </c>
      <c r="F1741" s="1" t="n">
        <v>0.0951</v>
      </c>
    </row>
    <row r="1742" customFormat="false" ht="15" hidden="false" customHeight="false" outlineLevel="0" collapsed="false">
      <c r="A1742" s="1" t="s">
        <v>1777</v>
      </c>
      <c r="B1742" s="1" t="s">
        <v>26</v>
      </c>
      <c r="C1742" s="1" t="n">
        <v>3420000</v>
      </c>
      <c r="D1742" s="1" t="n">
        <v>76324.9</v>
      </c>
      <c r="E1742" s="1" t="n">
        <v>0.0123</v>
      </c>
      <c r="F1742" s="1" t="n">
        <v>0.1309</v>
      </c>
    </row>
    <row r="1743" customFormat="false" ht="15" hidden="false" customHeight="false" outlineLevel="0" collapsed="false">
      <c r="A1743" s="1" t="s">
        <v>1778</v>
      </c>
      <c r="B1743" s="1" t="s">
        <v>41</v>
      </c>
      <c r="C1743" s="1" t="n">
        <v>2810000</v>
      </c>
      <c r="D1743" s="1" t="n">
        <v>32011.7</v>
      </c>
      <c r="E1743" s="1" t="n">
        <v>0.0206</v>
      </c>
      <c r="F1743" s="1" t="n">
        <v>0.0576</v>
      </c>
    </row>
    <row r="1744" customFormat="false" ht="15" hidden="false" customHeight="false" outlineLevel="0" collapsed="false">
      <c r="A1744" s="1" t="s">
        <v>1779</v>
      </c>
      <c r="B1744" s="1" t="s">
        <v>26</v>
      </c>
      <c r="C1744" s="1" t="n">
        <v>2660000</v>
      </c>
      <c r="D1744" s="1" t="n">
        <v>71753</v>
      </c>
      <c r="E1744" s="1" t="n">
        <v>0.004</v>
      </c>
      <c r="F1744" s="1" t="n">
        <v>0.0654</v>
      </c>
    </row>
    <row r="1745" customFormat="false" ht="15" hidden="false" customHeight="false" outlineLevel="0" collapsed="false">
      <c r="A1745" s="1" t="s">
        <v>1780</v>
      </c>
      <c r="B1745" s="1" t="s">
        <v>26</v>
      </c>
      <c r="C1745" s="1" t="n">
        <v>1740000</v>
      </c>
      <c r="D1745" s="1" t="n">
        <v>167097.2</v>
      </c>
      <c r="E1745" s="1" t="n">
        <v>0.024</v>
      </c>
      <c r="F1745" s="1" t="n">
        <v>0.0409</v>
      </c>
    </row>
    <row r="1746" customFormat="false" ht="15" hidden="false" customHeight="false" outlineLevel="0" collapsed="false">
      <c r="A1746" s="1" t="s">
        <v>1781</v>
      </c>
      <c r="B1746" s="1" t="s">
        <v>26</v>
      </c>
      <c r="C1746" s="1" t="n">
        <v>1710000</v>
      </c>
      <c r="D1746" s="1" t="n">
        <v>263141.3</v>
      </c>
      <c r="E1746" s="1" t="n">
        <v>0.065</v>
      </c>
      <c r="F1746" s="1" t="n">
        <v>0.0409</v>
      </c>
    </row>
    <row r="1747" customFormat="false" ht="15" hidden="false" customHeight="false" outlineLevel="0" collapsed="false">
      <c r="A1747" s="1" t="s">
        <v>1782</v>
      </c>
      <c r="B1747" s="1" t="s">
        <v>71</v>
      </c>
      <c r="C1747" s="1" t="n">
        <v>1720000</v>
      </c>
      <c r="D1747" s="1" t="n">
        <v>7215.1</v>
      </c>
      <c r="E1747" s="1" t="n">
        <v>0.0214</v>
      </c>
      <c r="F1747" s="1" t="n">
        <v>0.0951</v>
      </c>
    </row>
    <row r="1748" customFormat="false" ht="15" hidden="false" customHeight="false" outlineLevel="0" collapsed="false">
      <c r="A1748" s="1" t="s">
        <v>1783</v>
      </c>
      <c r="B1748" s="1" t="s">
        <v>92</v>
      </c>
      <c r="C1748" s="1" t="n">
        <v>2020000</v>
      </c>
      <c r="D1748" s="1" t="n">
        <v>28727.8</v>
      </c>
      <c r="E1748" s="1" t="n">
        <v>0.0236</v>
      </c>
      <c r="F1748" s="1" t="n">
        <v>0.0938</v>
      </c>
    </row>
    <row r="1749" customFormat="false" ht="15" hidden="false" customHeight="false" outlineLevel="0" collapsed="false">
      <c r="A1749" s="1" t="s">
        <v>1784</v>
      </c>
      <c r="B1749" s="1" t="s">
        <v>287</v>
      </c>
      <c r="C1749" s="1" t="n">
        <v>2140000</v>
      </c>
      <c r="D1749" s="1" t="n">
        <v>4858.2</v>
      </c>
      <c r="E1749" s="1" t="n">
        <v>0.0108</v>
      </c>
      <c r="F1749" s="1" t="n">
        <v>0.0811</v>
      </c>
    </row>
    <row r="1750" customFormat="false" ht="15" hidden="false" customHeight="false" outlineLevel="0" collapsed="false">
      <c r="A1750" s="1" t="s">
        <v>1785</v>
      </c>
      <c r="B1750" s="1" t="s">
        <v>32</v>
      </c>
      <c r="C1750" s="1" t="n">
        <v>2230000</v>
      </c>
      <c r="D1750" s="1" t="n">
        <v>31105.8</v>
      </c>
      <c r="E1750" s="1" t="n">
        <v>0.0167</v>
      </c>
      <c r="F1750" s="1" t="n">
        <v>0.3832</v>
      </c>
    </row>
    <row r="1751" customFormat="false" ht="15" hidden="false" customHeight="false" outlineLevel="0" collapsed="false">
      <c r="A1751" s="1" t="s">
        <v>1786</v>
      </c>
      <c r="B1751" s="1" t="s">
        <v>41</v>
      </c>
      <c r="C1751" s="1" t="n">
        <v>1840000</v>
      </c>
      <c r="D1751" s="1" t="n">
        <v>15657.4</v>
      </c>
      <c r="E1751" s="1" t="n">
        <v>0.0056</v>
      </c>
      <c r="F1751" s="1" t="n">
        <v>0.0811</v>
      </c>
    </row>
    <row r="1752" customFormat="false" ht="15" hidden="false" customHeight="false" outlineLevel="0" collapsed="false">
      <c r="A1752" s="1" t="s">
        <v>1787</v>
      </c>
      <c r="B1752" s="1" t="s">
        <v>74</v>
      </c>
      <c r="C1752" s="1" t="n">
        <v>2670000</v>
      </c>
      <c r="D1752" s="1" t="n">
        <v>149286.4</v>
      </c>
      <c r="E1752" s="1" t="n">
        <v>0.0763</v>
      </c>
      <c r="F1752" s="1" t="n">
        <v>0.0938</v>
      </c>
    </row>
    <row r="1753" customFormat="false" ht="15" hidden="false" customHeight="false" outlineLevel="0" collapsed="false">
      <c r="A1753" s="1" t="s">
        <v>1788</v>
      </c>
      <c r="B1753" s="1" t="s">
        <v>26</v>
      </c>
      <c r="C1753" s="1" t="n">
        <v>1850000</v>
      </c>
      <c r="D1753" s="1" t="n">
        <v>55079.5</v>
      </c>
      <c r="E1753" s="1" t="n">
        <v>0.0467</v>
      </c>
      <c r="F1753" s="1" t="n">
        <v>0.0412</v>
      </c>
    </row>
    <row r="1754" customFormat="false" ht="15" hidden="false" customHeight="false" outlineLevel="0" collapsed="false">
      <c r="A1754" s="1" t="s">
        <v>1789</v>
      </c>
      <c r="B1754" s="1" t="s">
        <v>26</v>
      </c>
      <c r="C1754" s="1" t="n">
        <v>2070000</v>
      </c>
      <c r="D1754" s="1" t="n">
        <v>225667.2</v>
      </c>
      <c r="E1754" s="1" t="n">
        <v>0.0246</v>
      </c>
      <c r="F1754" s="1" t="n">
        <v>0.0951</v>
      </c>
    </row>
    <row r="1755" customFormat="false" ht="15" hidden="false" customHeight="false" outlineLevel="0" collapsed="false">
      <c r="A1755" s="1" t="s">
        <v>1790</v>
      </c>
      <c r="B1755" s="1" t="s">
        <v>214</v>
      </c>
      <c r="C1755" s="1" t="n">
        <v>1990000</v>
      </c>
      <c r="D1755" s="1" t="n">
        <v>436686.8</v>
      </c>
      <c r="E1755" s="1" t="n">
        <v>0.0165</v>
      </c>
      <c r="F1755" s="1" t="n">
        <v>0.0616</v>
      </c>
    </row>
    <row r="1756" customFormat="false" ht="15" hidden="false" customHeight="false" outlineLevel="0" collapsed="false">
      <c r="A1756" s="1" t="s">
        <v>1791</v>
      </c>
      <c r="B1756" s="1" t="s">
        <v>41</v>
      </c>
      <c r="C1756" s="1" t="n">
        <v>2020000</v>
      </c>
      <c r="D1756" s="1" t="n">
        <v>2938.4</v>
      </c>
      <c r="E1756" s="1" t="n">
        <v>0.0576</v>
      </c>
      <c r="F1756" s="1" t="n">
        <v>0.0938</v>
      </c>
    </row>
    <row r="1757" customFormat="false" ht="15" hidden="false" customHeight="false" outlineLevel="0" collapsed="false">
      <c r="A1757" s="1" t="s">
        <v>1792</v>
      </c>
      <c r="B1757" s="1" t="s">
        <v>88</v>
      </c>
      <c r="C1757" s="1" t="n">
        <v>1720000</v>
      </c>
      <c r="D1757" s="1" t="n">
        <v>17614</v>
      </c>
      <c r="E1757" s="1" t="n">
        <v>0.0864</v>
      </c>
      <c r="F1757" s="1" t="n">
        <v>0.0951</v>
      </c>
    </row>
    <row r="1758" customFormat="false" ht="15" hidden="false" customHeight="false" outlineLevel="0" collapsed="false">
      <c r="A1758" s="1" t="s">
        <v>1793</v>
      </c>
      <c r="B1758" s="1" t="s">
        <v>50</v>
      </c>
      <c r="C1758" s="1" t="n">
        <v>1960000</v>
      </c>
      <c r="D1758" s="1" t="n">
        <v>141452</v>
      </c>
      <c r="E1758" s="1" t="n">
        <v>0.0071</v>
      </c>
      <c r="F1758" s="1" t="n">
        <v>0.1015</v>
      </c>
    </row>
    <row r="1759" customFormat="false" ht="15" hidden="false" customHeight="false" outlineLevel="0" collapsed="false">
      <c r="A1759" s="1" t="s">
        <v>1794</v>
      </c>
      <c r="B1759" s="1" t="s">
        <v>26</v>
      </c>
      <c r="C1759" s="1" t="n">
        <v>1910000</v>
      </c>
      <c r="D1759" s="1" t="n">
        <v>368022</v>
      </c>
      <c r="E1759" s="1" t="n">
        <v>0.0074</v>
      </c>
      <c r="F1759" s="1" t="n">
        <v>0.0654</v>
      </c>
    </row>
    <row r="1760" customFormat="false" ht="15" hidden="false" customHeight="false" outlineLevel="0" collapsed="false">
      <c r="A1760" s="1" t="s">
        <v>1795</v>
      </c>
      <c r="B1760" s="1" t="s">
        <v>214</v>
      </c>
      <c r="C1760" s="1" t="n">
        <v>2080000</v>
      </c>
      <c r="D1760" s="1" t="n">
        <v>77154.9</v>
      </c>
      <c r="E1760" s="1" t="n">
        <v>0.0105</v>
      </c>
      <c r="F1760" s="1" t="n">
        <v>0.1068</v>
      </c>
    </row>
    <row r="1761" customFormat="false" ht="15" hidden="false" customHeight="false" outlineLevel="0" collapsed="false">
      <c r="A1761" s="1" t="s">
        <v>1796</v>
      </c>
      <c r="B1761" s="1" t="s">
        <v>24</v>
      </c>
      <c r="C1761" s="1" t="n">
        <v>2250000</v>
      </c>
      <c r="D1761" s="1" t="n">
        <v>17821.6</v>
      </c>
      <c r="E1761" s="1" t="n">
        <v>0.0173</v>
      </c>
      <c r="F1761" s="1" t="n">
        <v>0.0576</v>
      </c>
    </row>
    <row r="1762" customFormat="false" ht="15" hidden="false" customHeight="false" outlineLevel="0" collapsed="false">
      <c r="A1762" s="1" t="s">
        <v>1797</v>
      </c>
      <c r="B1762" s="1" t="s">
        <v>26</v>
      </c>
      <c r="C1762" s="1" t="n">
        <v>1750000</v>
      </c>
      <c r="D1762" s="1" t="n">
        <v>1841.3</v>
      </c>
      <c r="E1762" s="1" t="n">
        <v>0.0745</v>
      </c>
      <c r="F1762" s="1" t="n">
        <v>0.0951</v>
      </c>
    </row>
    <row r="1763" customFormat="false" ht="15" hidden="false" customHeight="false" outlineLevel="0" collapsed="false">
      <c r="A1763" s="1" t="s">
        <v>1798</v>
      </c>
      <c r="B1763" s="1" t="s">
        <v>88</v>
      </c>
      <c r="C1763" s="1" t="n">
        <v>2550000</v>
      </c>
      <c r="D1763" s="1" t="n">
        <v>24500.7</v>
      </c>
      <c r="E1763" s="1" t="n">
        <v>0.0548</v>
      </c>
      <c r="F1763" s="1" t="n">
        <v>0.0759</v>
      </c>
    </row>
    <row r="1764" customFormat="false" ht="15" hidden="false" customHeight="false" outlineLevel="0" collapsed="false">
      <c r="A1764" s="1" t="s">
        <v>1799</v>
      </c>
      <c r="B1764" s="1" t="s">
        <v>30</v>
      </c>
      <c r="C1764" s="1" t="n">
        <v>5180000</v>
      </c>
      <c r="D1764" s="1" t="n">
        <v>28335</v>
      </c>
      <c r="F1764" s="1" t="n">
        <v>0.0938</v>
      </c>
    </row>
    <row r="1765" customFormat="false" ht="15" hidden="false" customHeight="false" outlineLevel="0" collapsed="false">
      <c r="A1765" s="1" t="s">
        <v>1800</v>
      </c>
      <c r="B1765" s="1" t="s">
        <v>88</v>
      </c>
      <c r="C1765" s="1" t="n">
        <v>2490000</v>
      </c>
      <c r="D1765" s="1" t="n">
        <v>111340.9</v>
      </c>
      <c r="E1765" s="1" t="n">
        <v>0.0488</v>
      </c>
      <c r="F1765" s="1" t="n">
        <v>0.0938</v>
      </c>
    </row>
    <row r="1766" customFormat="false" ht="15" hidden="false" customHeight="false" outlineLevel="0" collapsed="false">
      <c r="A1766" s="1" t="s">
        <v>1801</v>
      </c>
      <c r="B1766" s="1" t="s">
        <v>53</v>
      </c>
      <c r="C1766" s="1" t="n">
        <v>2440000</v>
      </c>
      <c r="D1766" s="1" t="n">
        <v>14689.4</v>
      </c>
      <c r="E1766" s="1" t="n">
        <v>0.0052</v>
      </c>
      <c r="F1766" s="1" t="n">
        <v>0.0822</v>
      </c>
    </row>
    <row r="1767" customFormat="false" ht="15" hidden="false" customHeight="false" outlineLevel="0" collapsed="false">
      <c r="A1767" s="1" t="s">
        <v>1802</v>
      </c>
      <c r="B1767" s="1" t="s">
        <v>26</v>
      </c>
      <c r="C1767" s="1" t="n">
        <v>2270000</v>
      </c>
      <c r="D1767" s="1" t="n">
        <v>2524.7</v>
      </c>
      <c r="E1767" s="1" t="n">
        <v>0.0913</v>
      </c>
      <c r="F1767" s="1" t="n">
        <v>0.2747</v>
      </c>
    </row>
    <row r="1768" customFormat="false" ht="15" hidden="false" customHeight="false" outlineLevel="0" collapsed="false">
      <c r="A1768" s="1" t="s">
        <v>1803</v>
      </c>
      <c r="B1768" s="1" t="s">
        <v>26</v>
      </c>
      <c r="C1768" s="1" t="n">
        <v>2110000</v>
      </c>
      <c r="D1768" s="1" t="n">
        <v>567146.2</v>
      </c>
      <c r="E1768" s="1" t="n">
        <v>0.0243</v>
      </c>
      <c r="F1768" s="1" t="n">
        <v>0.0518</v>
      </c>
    </row>
    <row r="1769" customFormat="false" ht="15" hidden="false" customHeight="false" outlineLevel="0" collapsed="false">
      <c r="A1769" s="1" t="s">
        <v>1804</v>
      </c>
      <c r="B1769" s="1" t="s">
        <v>92</v>
      </c>
      <c r="C1769" s="1" t="n">
        <v>1670000</v>
      </c>
      <c r="D1769" s="1" t="n">
        <v>263.8</v>
      </c>
      <c r="E1769" s="1" t="n">
        <v>0.0071</v>
      </c>
      <c r="F1769" s="1" t="n">
        <v>0.0811</v>
      </c>
    </row>
    <row r="1770" customFormat="false" ht="15" hidden="false" customHeight="false" outlineLevel="0" collapsed="false">
      <c r="A1770" s="1" t="s">
        <v>1805</v>
      </c>
      <c r="B1770" s="1" t="s">
        <v>41</v>
      </c>
      <c r="C1770" s="1" t="n">
        <v>2730000</v>
      </c>
      <c r="D1770" s="1" t="n">
        <v>1217.3</v>
      </c>
      <c r="E1770" s="1" t="n">
        <v>0.0233</v>
      </c>
      <c r="F1770" s="1" t="n">
        <v>0.0938</v>
      </c>
    </row>
    <row r="1771" customFormat="false" ht="15" hidden="false" customHeight="false" outlineLevel="0" collapsed="false">
      <c r="A1771" s="1" t="s">
        <v>1806</v>
      </c>
      <c r="B1771" s="1" t="s">
        <v>30</v>
      </c>
      <c r="C1771" s="1" t="n">
        <v>2430000</v>
      </c>
      <c r="D1771" s="1" t="n">
        <v>5282.3</v>
      </c>
      <c r="E1771" s="1" t="n">
        <v>0.0089</v>
      </c>
      <c r="F1771" s="1" t="n">
        <v>0.0811</v>
      </c>
    </row>
    <row r="1772" customFormat="false" ht="15" hidden="false" customHeight="false" outlineLevel="0" collapsed="false">
      <c r="A1772" s="1" t="s">
        <v>1807</v>
      </c>
      <c r="B1772" s="1" t="s">
        <v>62</v>
      </c>
      <c r="C1772" s="1" t="n">
        <v>1890000</v>
      </c>
      <c r="D1772" s="1" t="n">
        <v>10782.6</v>
      </c>
      <c r="E1772" s="1" t="n">
        <v>0.0183</v>
      </c>
      <c r="F1772" s="1" t="n">
        <v>0.0462</v>
      </c>
    </row>
    <row r="1773" customFormat="false" ht="15" hidden="false" customHeight="false" outlineLevel="0" collapsed="false">
      <c r="A1773" s="1" t="s">
        <v>1808</v>
      </c>
      <c r="B1773" s="1" t="s">
        <v>50</v>
      </c>
      <c r="C1773" s="1" t="n">
        <v>1960000</v>
      </c>
      <c r="D1773" s="1" t="n">
        <v>88319.2</v>
      </c>
      <c r="E1773" s="1" t="n">
        <v>0.0535</v>
      </c>
      <c r="F1773" s="1" t="n">
        <v>0.0759</v>
      </c>
    </row>
    <row r="1774" customFormat="false" ht="15" hidden="false" customHeight="false" outlineLevel="0" collapsed="false">
      <c r="A1774" s="1" t="s">
        <v>1809</v>
      </c>
      <c r="B1774" s="1" t="s">
        <v>195</v>
      </c>
      <c r="C1774" s="1" t="n">
        <v>3450000</v>
      </c>
      <c r="D1774" s="1" t="n">
        <v>7325.8</v>
      </c>
      <c r="E1774" s="1" t="n">
        <v>0.0299</v>
      </c>
      <c r="F1774" s="1" t="n">
        <v>0.0759</v>
      </c>
    </row>
    <row r="1775" customFormat="false" ht="15" hidden="false" customHeight="false" outlineLevel="0" collapsed="false">
      <c r="A1775" s="1" t="s">
        <v>1810</v>
      </c>
      <c r="B1775" s="1" t="s">
        <v>26</v>
      </c>
      <c r="C1775" s="1" t="n">
        <v>2310000</v>
      </c>
      <c r="F1775" s="1" t="n">
        <v>0.0759</v>
      </c>
    </row>
    <row r="1776" customFormat="false" ht="15" hidden="false" customHeight="false" outlineLevel="0" collapsed="false">
      <c r="A1776" s="1" t="s">
        <v>1811</v>
      </c>
      <c r="B1776" s="1" t="s">
        <v>41</v>
      </c>
      <c r="C1776" s="1" t="n">
        <v>1840000</v>
      </c>
      <c r="D1776" s="1" t="n">
        <v>4012.9</v>
      </c>
      <c r="E1776" s="1" t="n">
        <v>0.0171</v>
      </c>
      <c r="F1776" s="1" t="n">
        <v>0.0608</v>
      </c>
    </row>
    <row r="1777" customFormat="false" ht="15" hidden="false" customHeight="false" outlineLevel="0" collapsed="false">
      <c r="A1777" s="1" t="s">
        <v>1812</v>
      </c>
      <c r="B1777" s="1" t="s">
        <v>92</v>
      </c>
      <c r="C1777" s="1" t="n">
        <v>2640000</v>
      </c>
      <c r="D1777" s="1" t="n">
        <v>25068.5</v>
      </c>
      <c r="E1777" s="1" t="n">
        <v>0.0058</v>
      </c>
      <c r="F1777" s="1" t="n">
        <v>0.1866</v>
      </c>
    </row>
    <row r="1778" customFormat="false" ht="15" hidden="false" customHeight="false" outlineLevel="0" collapsed="false">
      <c r="A1778" s="1" t="s">
        <v>1813</v>
      </c>
      <c r="B1778" s="1" t="s">
        <v>26</v>
      </c>
      <c r="C1778" s="1" t="n">
        <v>1710000</v>
      </c>
      <c r="D1778" s="1" t="n">
        <v>46448.7</v>
      </c>
      <c r="E1778" s="1" t="n">
        <v>0.0423</v>
      </c>
      <c r="F1778" s="1" t="n">
        <v>0.0546</v>
      </c>
    </row>
    <row r="1779" customFormat="false" ht="15" hidden="false" customHeight="false" outlineLevel="0" collapsed="false">
      <c r="A1779" s="1" t="s">
        <v>1814</v>
      </c>
      <c r="B1779" s="1" t="s">
        <v>24</v>
      </c>
      <c r="C1779" s="1" t="n">
        <v>1800000</v>
      </c>
      <c r="D1779" s="1" t="n">
        <v>56905.7</v>
      </c>
      <c r="E1779" s="1" t="n">
        <v>0.0148</v>
      </c>
      <c r="F1779" s="1" t="n">
        <v>0.0854</v>
      </c>
    </row>
    <row r="1780" customFormat="false" ht="15" hidden="false" customHeight="false" outlineLevel="0" collapsed="false">
      <c r="A1780" s="1" t="s">
        <v>1815</v>
      </c>
      <c r="B1780" s="1" t="s">
        <v>24</v>
      </c>
      <c r="C1780" s="1" t="n">
        <v>1990000</v>
      </c>
      <c r="D1780" s="1" t="n">
        <v>37055.2</v>
      </c>
      <c r="E1780" s="1" t="n">
        <v>0.0705</v>
      </c>
      <c r="F1780" s="1" t="n">
        <v>0.0672</v>
      </c>
    </row>
    <row r="1781" customFormat="false" ht="15" hidden="false" customHeight="false" outlineLevel="0" collapsed="false">
      <c r="A1781" s="1" t="s">
        <v>1816</v>
      </c>
      <c r="B1781" s="1" t="s">
        <v>92</v>
      </c>
      <c r="C1781" s="1" t="n">
        <v>1650000</v>
      </c>
      <c r="D1781" s="1" t="n">
        <v>414.7</v>
      </c>
      <c r="E1781" s="1" t="n">
        <v>0.0114</v>
      </c>
      <c r="F1781" s="1" t="n">
        <v>0.0736</v>
      </c>
    </row>
    <row r="1782" customFormat="false" ht="15" hidden="false" customHeight="false" outlineLevel="0" collapsed="false">
      <c r="A1782" s="1" t="s">
        <v>1817</v>
      </c>
      <c r="B1782" s="1" t="s">
        <v>92</v>
      </c>
      <c r="C1782" s="1" t="n">
        <v>2060000</v>
      </c>
      <c r="D1782" s="1" t="n">
        <v>3767.1</v>
      </c>
      <c r="E1782" s="1" t="n">
        <v>0.0139</v>
      </c>
      <c r="F1782" s="1" t="n">
        <v>0.1187</v>
      </c>
    </row>
    <row r="1783" customFormat="false" ht="15" hidden="false" customHeight="false" outlineLevel="0" collapsed="false">
      <c r="A1783" s="1" t="s">
        <v>1818</v>
      </c>
      <c r="B1783" s="1" t="s">
        <v>24</v>
      </c>
      <c r="C1783" s="1" t="n">
        <v>2550000</v>
      </c>
      <c r="D1783" s="1" t="n">
        <v>219447.8</v>
      </c>
      <c r="E1783" s="1" t="n">
        <v>0.0388</v>
      </c>
      <c r="F1783" s="1" t="n">
        <v>0.0951</v>
      </c>
    </row>
    <row r="1784" customFormat="false" ht="15" hidden="false" customHeight="false" outlineLevel="0" collapsed="false">
      <c r="A1784" s="1" t="s">
        <v>1819</v>
      </c>
      <c r="B1784" s="1" t="s">
        <v>26</v>
      </c>
      <c r="C1784" s="1" t="n">
        <v>1820000</v>
      </c>
      <c r="D1784" s="1" t="n">
        <v>96571.1</v>
      </c>
      <c r="E1784" s="1" t="n">
        <v>0.0612</v>
      </c>
      <c r="F1784" s="1" t="n">
        <v>0.0409</v>
      </c>
    </row>
    <row r="1785" customFormat="false" ht="15" hidden="false" customHeight="false" outlineLevel="0" collapsed="false">
      <c r="A1785" s="1" t="s">
        <v>1820</v>
      </c>
      <c r="B1785" s="1" t="s">
        <v>26</v>
      </c>
      <c r="C1785" s="1" t="n">
        <v>1770000</v>
      </c>
      <c r="D1785" s="1" t="n">
        <v>205405.3</v>
      </c>
      <c r="E1785" s="1" t="n">
        <v>0.0351</v>
      </c>
      <c r="F1785" s="1" t="n">
        <v>0.0759</v>
      </c>
    </row>
    <row r="1786" customFormat="false" ht="15" hidden="false" customHeight="false" outlineLevel="0" collapsed="false">
      <c r="A1786" s="1" t="s">
        <v>1821</v>
      </c>
      <c r="B1786" s="1" t="s">
        <v>88</v>
      </c>
      <c r="C1786" s="1" t="n">
        <v>1650000</v>
      </c>
      <c r="D1786" s="1" t="n">
        <v>6820.9</v>
      </c>
      <c r="E1786" s="1" t="n">
        <v>0.02</v>
      </c>
      <c r="F1786" s="1" t="n">
        <v>0.1067</v>
      </c>
    </row>
    <row r="1787" customFormat="false" ht="15" hidden="false" customHeight="false" outlineLevel="0" collapsed="false">
      <c r="A1787" s="1" t="s">
        <v>1822</v>
      </c>
      <c r="B1787" s="1" t="s">
        <v>26</v>
      </c>
      <c r="C1787" s="1" t="n">
        <v>1050000</v>
      </c>
      <c r="D1787" s="1" t="n">
        <v>150.5</v>
      </c>
      <c r="E1787" s="1" t="n">
        <v>0.0525</v>
      </c>
      <c r="F1787" s="1" t="n">
        <v>0.0759</v>
      </c>
    </row>
    <row r="1788" customFormat="false" ht="15" hidden="false" customHeight="false" outlineLevel="0" collapsed="false">
      <c r="A1788" s="1" t="s">
        <v>1823</v>
      </c>
      <c r="B1788" s="1" t="s">
        <v>88</v>
      </c>
      <c r="C1788" s="1" t="n">
        <v>2020000</v>
      </c>
      <c r="D1788" s="1" t="n">
        <v>13324.3</v>
      </c>
      <c r="E1788" s="1" t="n">
        <v>0.0485</v>
      </c>
      <c r="F1788" s="1" t="n">
        <v>0.0938</v>
      </c>
    </row>
    <row r="1789" customFormat="false" ht="15" hidden="false" customHeight="false" outlineLevel="0" collapsed="false">
      <c r="A1789" s="1" t="s">
        <v>1824</v>
      </c>
      <c r="B1789" s="1" t="s">
        <v>88</v>
      </c>
      <c r="C1789" s="1" t="n">
        <v>1790000</v>
      </c>
      <c r="D1789" s="1" t="n">
        <v>54707.6</v>
      </c>
      <c r="E1789" s="1" t="n">
        <v>0.0248</v>
      </c>
      <c r="F1789" s="1" t="n">
        <v>0.0409</v>
      </c>
    </row>
    <row r="1790" customFormat="false" ht="15" hidden="false" customHeight="false" outlineLevel="0" collapsed="false">
      <c r="A1790" s="1" t="s">
        <v>1825</v>
      </c>
      <c r="B1790" s="1" t="s">
        <v>24</v>
      </c>
      <c r="C1790" s="1" t="n">
        <v>2140000</v>
      </c>
      <c r="D1790" s="1" t="n">
        <v>7165.1</v>
      </c>
      <c r="E1790" s="1" t="n">
        <v>0.0141</v>
      </c>
      <c r="F1790" s="1" t="n">
        <v>0.0616</v>
      </c>
    </row>
    <row r="1791" customFormat="false" ht="15" hidden="false" customHeight="false" outlineLevel="0" collapsed="false">
      <c r="A1791" s="1" t="s">
        <v>1826</v>
      </c>
      <c r="B1791" s="1" t="s">
        <v>26</v>
      </c>
      <c r="C1791" s="1" t="n">
        <v>1980000</v>
      </c>
      <c r="D1791" s="1" t="n">
        <v>3149.2</v>
      </c>
      <c r="E1791" s="1" t="n">
        <v>0.0207</v>
      </c>
      <c r="F1791" s="1" t="n">
        <v>0.0938</v>
      </c>
    </row>
    <row r="1792" customFormat="false" ht="15" hidden="false" customHeight="false" outlineLevel="0" collapsed="false">
      <c r="A1792" s="1" t="s">
        <v>1827</v>
      </c>
      <c r="B1792" s="1" t="s">
        <v>26</v>
      </c>
      <c r="C1792" s="1" t="n">
        <v>3030000</v>
      </c>
      <c r="D1792" s="1" t="n">
        <v>49221.7</v>
      </c>
      <c r="E1792" s="1" t="n">
        <v>0.0189</v>
      </c>
      <c r="F1792" s="1" t="n">
        <v>0.0462</v>
      </c>
    </row>
    <row r="1793" customFormat="false" ht="15" hidden="false" customHeight="false" outlineLevel="0" collapsed="false">
      <c r="A1793" s="1" t="s">
        <v>1828</v>
      </c>
      <c r="B1793" s="1" t="s">
        <v>26</v>
      </c>
      <c r="C1793" s="1" t="n">
        <v>1990000</v>
      </c>
      <c r="D1793" s="1" t="n">
        <v>21383</v>
      </c>
      <c r="E1793" s="1" t="n">
        <v>0.0334</v>
      </c>
      <c r="F1793" s="1" t="n">
        <v>0.0759</v>
      </c>
    </row>
    <row r="1794" customFormat="false" ht="15" hidden="false" customHeight="false" outlineLevel="0" collapsed="false">
      <c r="A1794" s="1" t="s">
        <v>1829</v>
      </c>
      <c r="B1794" s="1" t="s">
        <v>26</v>
      </c>
      <c r="C1794" s="1" t="n">
        <v>1770000</v>
      </c>
      <c r="D1794" s="1" t="n">
        <v>227994.3</v>
      </c>
      <c r="E1794" s="1" t="n">
        <v>0.0214</v>
      </c>
      <c r="F1794" s="1" t="n">
        <v>0.117</v>
      </c>
    </row>
    <row r="1795" customFormat="false" ht="15" hidden="false" customHeight="false" outlineLevel="0" collapsed="false">
      <c r="A1795" s="1" t="s">
        <v>1830</v>
      </c>
      <c r="B1795" s="1" t="s">
        <v>26</v>
      </c>
      <c r="C1795" s="1" t="n">
        <v>1850000</v>
      </c>
      <c r="D1795" s="1" t="n">
        <v>57779.5</v>
      </c>
      <c r="E1795" s="1" t="n">
        <v>0.0427</v>
      </c>
      <c r="F1795" s="1" t="n">
        <v>0.0759</v>
      </c>
    </row>
    <row r="1796" customFormat="false" ht="15" hidden="false" customHeight="false" outlineLevel="0" collapsed="false">
      <c r="A1796" s="1" t="s">
        <v>1831</v>
      </c>
      <c r="B1796" s="1" t="s">
        <v>88</v>
      </c>
      <c r="C1796" s="1" t="n">
        <v>1710000</v>
      </c>
      <c r="D1796" s="1" t="n">
        <v>322</v>
      </c>
      <c r="E1796" s="1" t="n">
        <v>0.034</v>
      </c>
      <c r="F1796" s="1" t="n">
        <v>0.0759</v>
      </c>
    </row>
    <row r="1797" customFormat="false" ht="15" hidden="false" customHeight="false" outlineLevel="0" collapsed="false">
      <c r="A1797" s="1" t="s">
        <v>1832</v>
      </c>
      <c r="B1797" s="1" t="s">
        <v>287</v>
      </c>
      <c r="C1797" s="1" t="n">
        <v>1260000</v>
      </c>
      <c r="D1797" s="1" t="n">
        <v>128038.3</v>
      </c>
      <c r="E1797" s="1" t="n">
        <v>0.0284</v>
      </c>
      <c r="F1797" s="1" t="n">
        <v>0.0409</v>
      </c>
    </row>
    <row r="1798" customFormat="false" ht="15" hidden="false" customHeight="false" outlineLevel="0" collapsed="false">
      <c r="A1798" s="1" t="s">
        <v>1833</v>
      </c>
      <c r="B1798" s="1" t="s">
        <v>26</v>
      </c>
      <c r="C1798" s="1" t="n">
        <v>1750000</v>
      </c>
      <c r="D1798" s="1" t="n">
        <v>2242.6</v>
      </c>
      <c r="E1798" s="1" t="n">
        <v>0.0076</v>
      </c>
      <c r="F1798" s="1" t="n">
        <v>0.0822</v>
      </c>
    </row>
    <row r="1799" customFormat="false" ht="15" hidden="false" customHeight="false" outlineLevel="0" collapsed="false">
      <c r="A1799" s="1" t="s">
        <v>1834</v>
      </c>
      <c r="B1799" s="1" t="s">
        <v>92</v>
      </c>
      <c r="C1799" s="1" t="n">
        <v>4030000</v>
      </c>
      <c r="D1799" s="1" t="n">
        <v>379590.1</v>
      </c>
      <c r="E1799" s="1" t="n">
        <v>0.0298</v>
      </c>
      <c r="F1799" s="1" t="n">
        <v>0.051</v>
      </c>
    </row>
    <row r="1800" customFormat="false" ht="15" hidden="false" customHeight="false" outlineLevel="0" collapsed="false">
      <c r="A1800" s="1" t="s">
        <v>1835</v>
      </c>
      <c r="B1800" s="1" t="s">
        <v>74</v>
      </c>
      <c r="C1800" s="1" t="n">
        <v>1680000</v>
      </c>
      <c r="D1800" s="1" t="n">
        <v>17651.7</v>
      </c>
      <c r="E1800" s="1" t="n">
        <v>0.0096</v>
      </c>
      <c r="F1800" s="1" t="n">
        <v>0.0822</v>
      </c>
    </row>
    <row r="1801" customFormat="false" ht="15" hidden="false" customHeight="false" outlineLevel="0" collapsed="false">
      <c r="A1801" s="1" t="s">
        <v>1836</v>
      </c>
      <c r="B1801" s="1" t="s">
        <v>21</v>
      </c>
      <c r="C1801" s="1" t="n">
        <v>2510000</v>
      </c>
      <c r="D1801" s="1" t="n">
        <v>446555.2</v>
      </c>
      <c r="E1801" s="1" t="n">
        <v>0.0116</v>
      </c>
      <c r="F1801" s="1" t="n">
        <v>0.0584</v>
      </c>
    </row>
    <row r="1802" customFormat="false" ht="15" hidden="false" customHeight="false" outlineLevel="0" collapsed="false">
      <c r="A1802" s="1" t="s">
        <v>1837</v>
      </c>
      <c r="B1802" s="1" t="s">
        <v>41</v>
      </c>
      <c r="C1802" s="1" t="n">
        <v>1720000</v>
      </c>
      <c r="D1802" s="1" t="n">
        <v>1157549.7</v>
      </c>
      <c r="E1802" s="1" t="n">
        <v>0.0194</v>
      </c>
      <c r="F1802" s="1" t="n">
        <v>0.0462</v>
      </c>
    </row>
    <row r="1803" customFormat="false" ht="15" hidden="false" customHeight="false" outlineLevel="0" collapsed="false">
      <c r="A1803" s="1" t="s">
        <v>1838</v>
      </c>
      <c r="B1803" s="1" t="s">
        <v>24</v>
      </c>
      <c r="C1803" s="1" t="n">
        <v>1860000</v>
      </c>
      <c r="D1803" s="1" t="n">
        <v>949.2</v>
      </c>
      <c r="E1803" s="1" t="n">
        <v>0.1118</v>
      </c>
      <c r="F1803" s="1" t="n">
        <v>0.0938</v>
      </c>
    </row>
    <row r="1804" customFormat="false" ht="15" hidden="false" customHeight="false" outlineLevel="0" collapsed="false">
      <c r="A1804" s="1" t="s">
        <v>1839</v>
      </c>
      <c r="B1804" s="1" t="s">
        <v>21</v>
      </c>
      <c r="C1804" s="1" t="n">
        <v>1930000</v>
      </c>
      <c r="D1804" s="1" t="n">
        <v>889842.9</v>
      </c>
      <c r="E1804" s="1" t="n">
        <v>0.0153</v>
      </c>
      <c r="F1804" s="1" t="n">
        <v>0.0462</v>
      </c>
    </row>
    <row r="1805" customFormat="false" ht="15" hidden="false" customHeight="false" outlineLevel="0" collapsed="false">
      <c r="A1805" s="1" t="s">
        <v>1840</v>
      </c>
      <c r="B1805" s="1" t="s">
        <v>88</v>
      </c>
      <c r="C1805" s="1" t="n">
        <v>3200000</v>
      </c>
      <c r="D1805" s="1" t="n">
        <v>61993.5</v>
      </c>
      <c r="E1805" s="1" t="n">
        <v>0.0217</v>
      </c>
      <c r="F1805" s="1" t="n">
        <v>0.0759</v>
      </c>
    </row>
    <row r="1806" customFormat="false" ht="15" hidden="false" customHeight="false" outlineLevel="0" collapsed="false">
      <c r="A1806" s="1" t="s">
        <v>1841</v>
      </c>
      <c r="B1806" s="1" t="s">
        <v>53</v>
      </c>
      <c r="C1806" s="1" t="n">
        <v>1890000</v>
      </c>
      <c r="D1806" s="1" t="n">
        <v>176453.9</v>
      </c>
      <c r="E1806" s="1" t="n">
        <v>0.0832</v>
      </c>
      <c r="F1806" s="1" t="n">
        <v>0.117</v>
      </c>
    </row>
    <row r="1807" customFormat="false" ht="15" hidden="false" customHeight="false" outlineLevel="0" collapsed="false">
      <c r="A1807" s="1" t="s">
        <v>1842</v>
      </c>
      <c r="B1807" s="1" t="s">
        <v>62</v>
      </c>
      <c r="C1807" s="1" t="n">
        <v>2780000</v>
      </c>
      <c r="D1807" s="1" t="n">
        <v>124941.1</v>
      </c>
      <c r="E1807" s="1" t="n">
        <v>0.0444</v>
      </c>
      <c r="F1807" s="1" t="n">
        <v>0.0759</v>
      </c>
    </row>
    <row r="1808" customFormat="false" ht="15" hidden="false" customHeight="false" outlineLevel="0" collapsed="false">
      <c r="A1808" s="1" t="s">
        <v>1843</v>
      </c>
      <c r="B1808" s="1" t="s">
        <v>53</v>
      </c>
      <c r="C1808" s="1" t="n">
        <v>2360000</v>
      </c>
      <c r="D1808" s="1" t="n">
        <v>57986</v>
      </c>
      <c r="E1808" s="1" t="n">
        <v>0.0528</v>
      </c>
      <c r="F1808" s="1" t="n">
        <v>0.0759</v>
      </c>
    </row>
    <row r="1809" customFormat="false" ht="15" hidden="false" customHeight="false" outlineLevel="0" collapsed="false">
      <c r="A1809" s="1" t="s">
        <v>1844</v>
      </c>
      <c r="B1809" s="1" t="s">
        <v>26</v>
      </c>
      <c r="C1809" s="1" t="n">
        <v>2020000</v>
      </c>
      <c r="D1809" s="1" t="n">
        <v>2195.6</v>
      </c>
      <c r="E1809" s="1" t="n">
        <v>0.0403</v>
      </c>
      <c r="F1809" s="1" t="n">
        <v>0.0938</v>
      </c>
    </row>
    <row r="1810" customFormat="false" ht="15" hidden="false" customHeight="false" outlineLevel="0" collapsed="false">
      <c r="A1810" s="1" t="s">
        <v>1845</v>
      </c>
      <c r="B1810" s="1" t="s">
        <v>41</v>
      </c>
      <c r="C1810" s="1" t="n">
        <v>1910000</v>
      </c>
      <c r="D1810" s="1" t="n">
        <v>2944</v>
      </c>
      <c r="E1810" s="1" t="n">
        <v>0.0113</v>
      </c>
      <c r="F1810" s="1" t="n">
        <v>0.0647</v>
      </c>
    </row>
    <row r="1811" customFormat="false" ht="15" hidden="false" customHeight="false" outlineLevel="0" collapsed="false">
      <c r="A1811" s="1" t="s">
        <v>1846</v>
      </c>
      <c r="B1811" s="1" t="s">
        <v>30</v>
      </c>
      <c r="C1811" s="1" t="n">
        <v>3960000</v>
      </c>
      <c r="D1811" s="1" t="n">
        <v>407074.2</v>
      </c>
      <c r="E1811" s="1" t="n">
        <v>0.0361</v>
      </c>
      <c r="F1811" s="1" t="n">
        <v>0.0432</v>
      </c>
    </row>
    <row r="1812" customFormat="false" ht="15" hidden="false" customHeight="false" outlineLevel="0" collapsed="false">
      <c r="A1812" s="1" t="s">
        <v>1847</v>
      </c>
      <c r="B1812" s="1" t="s">
        <v>24</v>
      </c>
      <c r="C1812" s="1" t="n">
        <v>2140000</v>
      </c>
      <c r="D1812" s="1" t="n">
        <v>1426.6</v>
      </c>
      <c r="E1812" s="1" t="n">
        <v>0.0084</v>
      </c>
      <c r="F1812" s="1" t="n">
        <v>0.0821</v>
      </c>
    </row>
    <row r="1813" customFormat="false" ht="15" hidden="false" customHeight="false" outlineLevel="0" collapsed="false">
      <c r="A1813" s="1" t="s">
        <v>1848</v>
      </c>
      <c r="B1813" s="1" t="s">
        <v>53</v>
      </c>
      <c r="C1813" s="1" t="n">
        <v>2350000</v>
      </c>
      <c r="D1813" s="1" t="n">
        <v>609622.1</v>
      </c>
      <c r="E1813" s="1" t="n">
        <v>0.0703</v>
      </c>
      <c r="F1813" s="1" t="n">
        <v>0.0409</v>
      </c>
    </row>
    <row r="1814" customFormat="false" ht="15" hidden="false" customHeight="false" outlineLevel="0" collapsed="false">
      <c r="A1814" s="1" t="s">
        <v>1849</v>
      </c>
      <c r="B1814" s="1" t="s">
        <v>214</v>
      </c>
      <c r="C1814" s="1" t="n">
        <v>1870000</v>
      </c>
      <c r="D1814" s="1" t="n">
        <v>559538.8</v>
      </c>
      <c r="E1814" s="1" t="n">
        <v>0.0092</v>
      </c>
      <c r="F1814" s="1" t="n">
        <v>0.0822</v>
      </c>
    </row>
    <row r="1815" customFormat="false" ht="15" hidden="false" customHeight="false" outlineLevel="0" collapsed="false">
      <c r="A1815" s="1" t="s">
        <v>1850</v>
      </c>
      <c r="B1815" s="1" t="s">
        <v>24</v>
      </c>
      <c r="C1815" s="1" t="n">
        <v>2200000</v>
      </c>
      <c r="D1815" s="1" t="n">
        <v>3441.2</v>
      </c>
      <c r="E1815" s="1" t="n">
        <v>0.1118</v>
      </c>
      <c r="F1815" s="1" t="n">
        <v>0.0938</v>
      </c>
    </row>
    <row r="1816" customFormat="false" ht="15" hidden="false" customHeight="false" outlineLevel="0" collapsed="false">
      <c r="A1816" s="1" t="s">
        <v>1851</v>
      </c>
      <c r="B1816" s="1" t="s">
        <v>41</v>
      </c>
      <c r="C1816" s="1" t="n">
        <v>1740000</v>
      </c>
      <c r="D1816" s="1" t="n">
        <v>24720.6</v>
      </c>
      <c r="E1816" s="1" t="n">
        <v>0.0421</v>
      </c>
      <c r="F1816" s="1" t="n">
        <v>0.0938</v>
      </c>
    </row>
    <row r="1817" customFormat="false" ht="15" hidden="false" customHeight="false" outlineLevel="0" collapsed="false">
      <c r="A1817" s="1" t="s">
        <v>1852</v>
      </c>
      <c r="B1817" s="1" t="s">
        <v>26</v>
      </c>
      <c r="C1817" s="1" t="n">
        <v>1990000</v>
      </c>
      <c r="D1817" s="1" t="n">
        <v>495871.7</v>
      </c>
      <c r="E1817" s="1" t="n">
        <v>0.0528</v>
      </c>
      <c r="F1817" s="1" t="n">
        <v>0.051</v>
      </c>
    </row>
    <row r="1818" customFormat="false" ht="15" hidden="false" customHeight="false" outlineLevel="0" collapsed="false">
      <c r="A1818" s="1" t="s">
        <v>1853</v>
      </c>
      <c r="B1818" s="1" t="s">
        <v>26</v>
      </c>
      <c r="C1818" s="1" t="n">
        <v>1890000</v>
      </c>
      <c r="D1818" s="1" t="n">
        <v>30505.6</v>
      </c>
      <c r="E1818" s="1" t="n">
        <v>0.0518</v>
      </c>
      <c r="F1818" s="1" t="n">
        <v>0.0518</v>
      </c>
    </row>
    <row r="1819" customFormat="false" ht="15" hidden="false" customHeight="false" outlineLevel="0" collapsed="false">
      <c r="A1819" s="1" t="s">
        <v>1854</v>
      </c>
      <c r="B1819" s="1" t="s">
        <v>81</v>
      </c>
      <c r="C1819" s="1" t="n">
        <v>2130000</v>
      </c>
      <c r="D1819" s="1" t="n">
        <v>133125.7</v>
      </c>
      <c r="E1819" s="1" t="n">
        <v>0.0319</v>
      </c>
      <c r="F1819" s="1" t="n">
        <v>0.0759</v>
      </c>
    </row>
    <row r="1820" customFormat="false" ht="15" hidden="false" customHeight="false" outlineLevel="0" collapsed="false">
      <c r="A1820" s="1" t="s">
        <v>1855</v>
      </c>
      <c r="B1820" s="1" t="s">
        <v>26</v>
      </c>
      <c r="C1820" s="1" t="n">
        <v>3150000</v>
      </c>
      <c r="D1820" s="1" t="n">
        <v>470512</v>
      </c>
      <c r="E1820" s="1" t="n">
        <v>0.0391</v>
      </c>
      <c r="F1820" s="1" t="n">
        <v>0.0409</v>
      </c>
    </row>
    <row r="1821" customFormat="false" ht="15" hidden="false" customHeight="false" outlineLevel="0" collapsed="false">
      <c r="A1821" s="1" t="s">
        <v>1856</v>
      </c>
      <c r="B1821" s="1" t="s">
        <v>26</v>
      </c>
      <c r="C1821" s="1" t="n">
        <v>2170000</v>
      </c>
      <c r="D1821" s="1" t="n">
        <v>39399.8</v>
      </c>
      <c r="E1821" s="1" t="n">
        <v>0.0514</v>
      </c>
      <c r="F1821" s="1" t="n">
        <v>0.0759</v>
      </c>
    </row>
    <row r="1822" customFormat="false" ht="15" hidden="false" customHeight="false" outlineLevel="0" collapsed="false">
      <c r="A1822" s="1" t="s">
        <v>1857</v>
      </c>
      <c r="B1822" s="1" t="s">
        <v>26</v>
      </c>
      <c r="C1822" s="1" t="n">
        <v>981000</v>
      </c>
      <c r="D1822" s="1" t="n">
        <v>11084.1</v>
      </c>
      <c r="E1822" s="1" t="n">
        <v>0.0191</v>
      </c>
      <c r="F1822" s="1" t="n">
        <v>0.1067</v>
      </c>
    </row>
    <row r="1823" customFormat="false" ht="15" hidden="false" customHeight="false" outlineLevel="0" collapsed="false">
      <c r="A1823" s="1" t="s">
        <v>1858</v>
      </c>
      <c r="B1823" s="1" t="s">
        <v>41</v>
      </c>
      <c r="C1823" s="1" t="n">
        <v>1920000</v>
      </c>
      <c r="D1823" s="1" t="n">
        <v>258563.3</v>
      </c>
      <c r="E1823" s="1" t="n">
        <v>0.0182</v>
      </c>
      <c r="F1823" s="1" t="n">
        <v>0.0462</v>
      </c>
    </row>
    <row r="1824" customFormat="false" ht="15" hidden="false" customHeight="false" outlineLevel="0" collapsed="false">
      <c r="A1824" s="1" t="s">
        <v>1859</v>
      </c>
      <c r="B1824" s="1" t="s">
        <v>26</v>
      </c>
      <c r="C1824" s="1" t="n">
        <v>1800000</v>
      </c>
      <c r="D1824" s="1" t="n">
        <v>39199.2</v>
      </c>
      <c r="E1824" s="1" t="n">
        <v>0.0179</v>
      </c>
      <c r="F1824" s="1" t="n">
        <v>0.0462</v>
      </c>
    </row>
    <row r="1825" customFormat="false" ht="15" hidden="false" customHeight="false" outlineLevel="0" collapsed="false">
      <c r="A1825" s="1" t="s">
        <v>1860</v>
      </c>
      <c r="B1825" s="1" t="s">
        <v>26</v>
      </c>
      <c r="C1825" s="1" t="n">
        <v>2320000</v>
      </c>
      <c r="D1825" s="1" t="n">
        <v>1208632.3</v>
      </c>
      <c r="E1825" s="1" t="n">
        <v>0.0205</v>
      </c>
      <c r="F1825" s="1" t="n">
        <v>0.0462</v>
      </c>
    </row>
    <row r="1826" customFormat="false" ht="15" hidden="false" customHeight="false" outlineLevel="0" collapsed="false">
      <c r="A1826" s="1" t="s">
        <v>1861</v>
      </c>
      <c r="B1826" s="1" t="s">
        <v>26</v>
      </c>
      <c r="C1826" s="1" t="n">
        <v>1790000</v>
      </c>
      <c r="D1826" s="1" t="n">
        <v>187735.2</v>
      </c>
      <c r="E1826" s="1" t="n">
        <v>0.0164</v>
      </c>
      <c r="F1826" s="1" t="n">
        <v>0.0462</v>
      </c>
    </row>
    <row r="1827" customFormat="false" ht="15" hidden="false" customHeight="false" outlineLevel="0" collapsed="false">
      <c r="A1827" s="1" t="s">
        <v>1862</v>
      </c>
      <c r="B1827" s="1" t="s">
        <v>92</v>
      </c>
      <c r="C1827" s="1" t="n">
        <v>1980000</v>
      </c>
      <c r="D1827" s="1" t="n">
        <v>133608.6</v>
      </c>
      <c r="E1827" s="1" t="n">
        <v>0.0277</v>
      </c>
      <c r="F1827" s="1" t="n">
        <v>0.0759</v>
      </c>
    </row>
    <row r="1828" customFormat="false" ht="15" hidden="false" customHeight="false" outlineLevel="0" collapsed="false">
      <c r="A1828" s="1" t="s">
        <v>1863</v>
      </c>
      <c r="B1828" s="1" t="s">
        <v>74</v>
      </c>
      <c r="C1828" s="1" t="n">
        <v>1620000</v>
      </c>
      <c r="D1828" s="1" t="n">
        <v>398.6</v>
      </c>
      <c r="E1828" s="1" t="n">
        <v>0.016</v>
      </c>
      <c r="F1828" s="1" t="n">
        <v>0.0585</v>
      </c>
    </row>
    <row r="1829" customFormat="false" ht="15" hidden="false" customHeight="false" outlineLevel="0" collapsed="false">
      <c r="A1829" s="1" t="s">
        <v>1864</v>
      </c>
      <c r="B1829" s="1" t="s">
        <v>26</v>
      </c>
      <c r="C1829" s="1" t="n">
        <v>1720000</v>
      </c>
      <c r="D1829" s="1" t="n">
        <v>40101.1</v>
      </c>
      <c r="E1829" s="1" t="n">
        <v>0.0591</v>
      </c>
      <c r="F1829" s="1" t="n">
        <v>0.0951</v>
      </c>
    </row>
    <row r="1830" customFormat="false" ht="15" hidden="false" customHeight="false" outlineLevel="0" collapsed="false">
      <c r="A1830" s="1" t="s">
        <v>1865</v>
      </c>
      <c r="B1830" s="1" t="s">
        <v>26</v>
      </c>
      <c r="C1830" s="1" t="n">
        <v>2300000</v>
      </c>
      <c r="D1830" s="1" t="n">
        <v>208105.6</v>
      </c>
      <c r="E1830" s="1" t="n">
        <v>0.0234</v>
      </c>
      <c r="F1830" s="1" t="n">
        <v>0.0409</v>
      </c>
    </row>
    <row r="1831" customFormat="false" ht="15" hidden="false" customHeight="false" outlineLevel="0" collapsed="false">
      <c r="A1831" s="1" t="s">
        <v>1866</v>
      </c>
      <c r="B1831" s="1" t="s">
        <v>26</v>
      </c>
      <c r="C1831" s="1" t="n">
        <v>2070000</v>
      </c>
      <c r="D1831" s="1" t="n">
        <v>14336.8</v>
      </c>
      <c r="E1831" s="1" t="n">
        <v>0.0423</v>
      </c>
      <c r="F1831" s="1" t="n">
        <v>0.1168</v>
      </c>
    </row>
    <row r="1832" customFormat="false" ht="15" hidden="false" customHeight="false" outlineLevel="0" collapsed="false">
      <c r="A1832" s="1" t="s">
        <v>1867</v>
      </c>
      <c r="B1832" s="1" t="s">
        <v>41</v>
      </c>
      <c r="C1832" s="1" t="n">
        <v>1930000</v>
      </c>
      <c r="D1832" s="1" t="n">
        <v>14490.1</v>
      </c>
      <c r="E1832" s="1" t="n">
        <v>0.043</v>
      </c>
      <c r="F1832" s="1" t="n">
        <v>0.0938</v>
      </c>
    </row>
    <row r="1833" customFormat="false" ht="15" hidden="false" customHeight="false" outlineLevel="0" collapsed="false">
      <c r="A1833" s="1" t="s">
        <v>1868</v>
      </c>
      <c r="B1833" s="1" t="s">
        <v>53</v>
      </c>
      <c r="C1833" s="1" t="n">
        <v>1840000</v>
      </c>
      <c r="D1833" s="1" t="n">
        <v>22743</v>
      </c>
      <c r="E1833" s="1" t="n">
        <v>0.0309</v>
      </c>
      <c r="F1833" s="1" t="n">
        <v>0.117</v>
      </c>
    </row>
    <row r="1834" customFormat="false" ht="15" hidden="false" customHeight="false" outlineLevel="0" collapsed="false">
      <c r="A1834" s="1" t="s">
        <v>1869</v>
      </c>
      <c r="B1834" s="1" t="s">
        <v>50</v>
      </c>
      <c r="C1834" s="1" t="n">
        <v>1750000</v>
      </c>
      <c r="D1834" s="1" t="n">
        <v>2492.2</v>
      </c>
      <c r="E1834" s="1" t="n">
        <v>0.0152</v>
      </c>
      <c r="F1834" s="1" t="n">
        <v>0.0726</v>
      </c>
    </row>
    <row r="1835" customFormat="false" ht="15" hidden="false" customHeight="false" outlineLevel="0" collapsed="false">
      <c r="A1835" s="1" t="s">
        <v>1870</v>
      </c>
      <c r="B1835" s="1" t="s">
        <v>92</v>
      </c>
      <c r="C1835" s="1" t="n">
        <v>1920000</v>
      </c>
      <c r="D1835" s="1" t="n">
        <v>3919.3</v>
      </c>
      <c r="F1835" s="1" t="n">
        <v>0.0938</v>
      </c>
    </row>
    <row r="1836" customFormat="false" ht="15" hidden="false" customHeight="false" outlineLevel="0" collapsed="false">
      <c r="A1836" s="1" t="s">
        <v>1871</v>
      </c>
      <c r="B1836" s="1" t="s">
        <v>88</v>
      </c>
      <c r="C1836" s="1" t="n">
        <v>1850000</v>
      </c>
      <c r="D1836" s="1" t="n">
        <v>53393.9</v>
      </c>
      <c r="E1836" s="1" t="n">
        <v>0.0298</v>
      </c>
      <c r="F1836" s="1" t="n">
        <v>0.0951</v>
      </c>
    </row>
    <row r="1837" customFormat="false" ht="15" hidden="false" customHeight="false" outlineLevel="0" collapsed="false">
      <c r="A1837" s="1" t="s">
        <v>1872</v>
      </c>
      <c r="B1837" s="1" t="s">
        <v>26</v>
      </c>
      <c r="C1837" s="1" t="n">
        <v>2240000</v>
      </c>
      <c r="D1837" s="1" t="n">
        <v>89035.2</v>
      </c>
      <c r="E1837" s="1" t="n">
        <v>0.0792</v>
      </c>
      <c r="F1837" s="1" t="n">
        <v>0.0938</v>
      </c>
    </row>
    <row r="1838" customFormat="false" ht="15" hidden="false" customHeight="false" outlineLevel="0" collapsed="false">
      <c r="A1838" s="1" t="s">
        <v>1873</v>
      </c>
      <c r="B1838" s="1" t="s">
        <v>81</v>
      </c>
      <c r="C1838" s="1" t="n">
        <v>1810000</v>
      </c>
      <c r="D1838" s="1" t="n">
        <v>523993.7</v>
      </c>
      <c r="E1838" s="1" t="n">
        <v>0.024</v>
      </c>
      <c r="F1838" s="1" t="n">
        <v>0.0759</v>
      </c>
    </row>
    <row r="1839" customFormat="false" ht="15" hidden="false" customHeight="false" outlineLevel="0" collapsed="false">
      <c r="A1839" s="1" t="s">
        <v>1874</v>
      </c>
      <c r="B1839" s="1" t="s">
        <v>92</v>
      </c>
      <c r="C1839" s="1" t="n">
        <v>1920000</v>
      </c>
      <c r="D1839" s="1" t="n">
        <v>71311.2</v>
      </c>
      <c r="E1839" s="1" t="n">
        <v>0.0311</v>
      </c>
      <c r="F1839" s="1" t="n">
        <v>0.0759</v>
      </c>
    </row>
    <row r="1840" customFormat="false" ht="15" hidden="false" customHeight="false" outlineLevel="0" collapsed="false">
      <c r="A1840" s="1" t="s">
        <v>1875</v>
      </c>
      <c r="B1840" s="1" t="s">
        <v>74</v>
      </c>
      <c r="C1840" s="1" t="n">
        <v>2120000</v>
      </c>
      <c r="D1840" s="1" t="n">
        <v>6611</v>
      </c>
      <c r="E1840" s="1" t="n">
        <v>0.0388</v>
      </c>
      <c r="F1840" s="1" t="n">
        <v>0.0938</v>
      </c>
    </row>
    <row r="1841" customFormat="false" ht="15" hidden="false" customHeight="false" outlineLevel="0" collapsed="false">
      <c r="A1841" s="1" t="s">
        <v>1876</v>
      </c>
      <c r="B1841" s="1" t="s">
        <v>88</v>
      </c>
      <c r="C1841" s="1" t="n">
        <v>1660000</v>
      </c>
      <c r="D1841" s="1" t="n">
        <v>436.4</v>
      </c>
      <c r="E1841" s="1" t="n">
        <v>0.0284</v>
      </c>
      <c r="F1841" s="1" t="n">
        <v>0.0951</v>
      </c>
    </row>
    <row r="1842" customFormat="false" ht="15" hidden="false" customHeight="false" outlineLevel="0" collapsed="false">
      <c r="A1842" s="1" t="s">
        <v>1877</v>
      </c>
      <c r="B1842" s="1" t="s">
        <v>24</v>
      </c>
      <c r="C1842" s="1" t="n">
        <v>1850000</v>
      </c>
      <c r="D1842" s="1" t="n">
        <v>95154.4</v>
      </c>
      <c r="E1842" s="1" t="n">
        <v>0.0049</v>
      </c>
      <c r="F1842" s="1" t="n">
        <v>0.0654</v>
      </c>
    </row>
    <row r="1843" customFormat="false" ht="15" hidden="false" customHeight="false" outlineLevel="0" collapsed="false">
      <c r="A1843" s="1" t="s">
        <v>1878</v>
      </c>
      <c r="B1843" s="1" t="s">
        <v>26</v>
      </c>
      <c r="C1843" s="1" t="n">
        <v>1690000</v>
      </c>
      <c r="D1843" s="1" t="n">
        <v>8546.7</v>
      </c>
      <c r="E1843" s="1" t="n">
        <v>0.0074</v>
      </c>
      <c r="F1843" s="1" t="n">
        <v>0.1013</v>
      </c>
    </row>
    <row r="1844" customFormat="false" ht="15" hidden="false" customHeight="false" outlineLevel="0" collapsed="false">
      <c r="A1844" s="1" t="s">
        <v>1879</v>
      </c>
      <c r="B1844" s="1" t="s">
        <v>24</v>
      </c>
      <c r="C1844" s="1" t="n">
        <v>2110000</v>
      </c>
      <c r="D1844" s="1" t="n">
        <v>1366.8</v>
      </c>
      <c r="E1844" s="1" t="n">
        <v>0.0911</v>
      </c>
      <c r="F1844" s="1" t="n">
        <v>0.0938</v>
      </c>
    </row>
    <row r="1845" customFormat="false" ht="15" hidden="false" customHeight="false" outlineLevel="0" collapsed="false">
      <c r="A1845" s="1" t="s">
        <v>1880</v>
      </c>
      <c r="B1845" s="1" t="s">
        <v>26</v>
      </c>
      <c r="C1845" s="1" t="n">
        <v>1870000</v>
      </c>
      <c r="D1845" s="1" t="n">
        <v>423861.2</v>
      </c>
      <c r="E1845" s="1" t="n">
        <v>0.0238</v>
      </c>
      <c r="F1845" s="1" t="n">
        <v>0.0951</v>
      </c>
    </row>
    <row r="1846" customFormat="false" ht="15" hidden="false" customHeight="false" outlineLevel="0" collapsed="false">
      <c r="A1846" s="1" t="s">
        <v>1881</v>
      </c>
      <c r="B1846" s="1" t="s">
        <v>71</v>
      </c>
      <c r="C1846" s="1" t="n">
        <v>1920000</v>
      </c>
      <c r="D1846" s="1" t="n">
        <v>36462.5</v>
      </c>
      <c r="E1846" s="1" t="n">
        <v>0.0383</v>
      </c>
      <c r="F1846" s="1" t="n">
        <v>0.0409</v>
      </c>
    </row>
    <row r="1847" customFormat="false" ht="15" hidden="false" customHeight="false" outlineLevel="0" collapsed="false">
      <c r="A1847" s="1" t="s">
        <v>1882</v>
      </c>
      <c r="B1847" s="1" t="s">
        <v>41</v>
      </c>
      <c r="C1847" s="1" t="n">
        <v>3900000</v>
      </c>
      <c r="D1847" s="1" t="n">
        <v>693.5</v>
      </c>
      <c r="E1847" s="1" t="n">
        <v>0.0129</v>
      </c>
      <c r="F1847" s="1" t="n">
        <v>0.2267</v>
      </c>
    </row>
    <row r="1848" customFormat="false" ht="15" hidden="false" customHeight="false" outlineLevel="0" collapsed="false">
      <c r="A1848" s="1" t="s">
        <v>1883</v>
      </c>
      <c r="B1848" s="1" t="s">
        <v>26</v>
      </c>
      <c r="C1848" s="1" t="n">
        <v>1640000</v>
      </c>
      <c r="D1848" s="1" t="n">
        <v>5061.5</v>
      </c>
      <c r="E1848" s="1" t="n">
        <v>0.0068</v>
      </c>
      <c r="F1848" s="1" t="n">
        <v>0.1471</v>
      </c>
    </row>
    <row r="1849" customFormat="false" ht="15" hidden="false" customHeight="false" outlineLevel="0" collapsed="false">
      <c r="A1849" s="1" t="s">
        <v>1884</v>
      </c>
      <c r="B1849" s="1" t="s">
        <v>74</v>
      </c>
      <c r="C1849" s="1" t="n">
        <v>2050000</v>
      </c>
      <c r="D1849" s="1" t="n">
        <v>11379.5</v>
      </c>
      <c r="E1849" s="1" t="n">
        <v>0.017</v>
      </c>
      <c r="F1849" s="1" t="n">
        <v>0.0821</v>
      </c>
    </row>
    <row r="1850" customFormat="false" ht="15" hidden="false" customHeight="false" outlineLevel="0" collapsed="false">
      <c r="A1850" s="1" t="s">
        <v>1885</v>
      </c>
      <c r="B1850" s="1" t="s">
        <v>71</v>
      </c>
      <c r="C1850" s="1" t="n">
        <v>1650000</v>
      </c>
      <c r="D1850" s="1" t="n">
        <v>1963.9</v>
      </c>
      <c r="E1850" s="1" t="n">
        <v>0.0274</v>
      </c>
      <c r="F1850" s="1" t="n">
        <v>0.0938</v>
      </c>
    </row>
    <row r="1851" customFormat="false" ht="15" hidden="false" customHeight="false" outlineLevel="0" collapsed="false">
      <c r="A1851" s="1" t="s">
        <v>1886</v>
      </c>
      <c r="B1851" s="1" t="s">
        <v>24</v>
      </c>
      <c r="C1851" s="1" t="n">
        <v>1930000</v>
      </c>
      <c r="D1851" s="1" t="n">
        <v>579.3</v>
      </c>
      <c r="E1851" s="1" t="n">
        <v>0.0286</v>
      </c>
      <c r="F1851" s="1" t="n">
        <v>0.117</v>
      </c>
    </row>
    <row r="1852" customFormat="false" ht="15" hidden="false" customHeight="false" outlineLevel="0" collapsed="false">
      <c r="A1852" s="1" t="s">
        <v>1887</v>
      </c>
      <c r="B1852" s="1" t="s">
        <v>195</v>
      </c>
      <c r="C1852" s="1" t="n">
        <v>1810000</v>
      </c>
      <c r="D1852" s="1" t="n">
        <v>32913.4</v>
      </c>
      <c r="E1852" s="1" t="n">
        <v>0.0306</v>
      </c>
      <c r="F1852" s="1" t="n">
        <v>0.051</v>
      </c>
    </row>
    <row r="1853" customFormat="false" ht="15" hidden="false" customHeight="false" outlineLevel="0" collapsed="false">
      <c r="A1853" s="1" t="s">
        <v>1888</v>
      </c>
      <c r="B1853" s="1" t="s">
        <v>21</v>
      </c>
      <c r="C1853" s="1" t="n">
        <v>1780000</v>
      </c>
      <c r="D1853" s="1" t="n">
        <v>8619</v>
      </c>
      <c r="E1853" s="1" t="n">
        <v>0.0388</v>
      </c>
      <c r="F1853" s="1" t="n">
        <v>0.0938</v>
      </c>
    </row>
    <row r="1854" customFormat="false" ht="15" hidden="false" customHeight="false" outlineLevel="0" collapsed="false">
      <c r="A1854" s="1" t="s">
        <v>1889</v>
      </c>
      <c r="B1854" s="1" t="s">
        <v>24</v>
      </c>
      <c r="C1854" s="1" t="n">
        <v>2210000</v>
      </c>
      <c r="D1854" s="1" t="n">
        <v>6360.8</v>
      </c>
      <c r="E1854" s="1" t="n">
        <v>0.0048</v>
      </c>
      <c r="F1854" s="1" t="n">
        <v>0.0811</v>
      </c>
    </row>
    <row r="1855" customFormat="false" ht="15" hidden="false" customHeight="false" outlineLevel="0" collapsed="false">
      <c r="A1855" s="1" t="s">
        <v>1890</v>
      </c>
      <c r="B1855" s="1" t="s">
        <v>41</v>
      </c>
      <c r="C1855" s="1" t="n">
        <v>2000000</v>
      </c>
      <c r="D1855" s="1" t="n">
        <v>159715.1</v>
      </c>
      <c r="E1855" s="1" t="n">
        <v>0.0366</v>
      </c>
      <c r="F1855" s="1" t="n">
        <v>0.0759</v>
      </c>
    </row>
    <row r="1856" customFormat="false" ht="15" hidden="false" customHeight="false" outlineLevel="0" collapsed="false">
      <c r="A1856" s="1" t="s">
        <v>1891</v>
      </c>
      <c r="B1856" s="1" t="s">
        <v>26</v>
      </c>
      <c r="C1856" s="1" t="n">
        <v>3310000</v>
      </c>
      <c r="D1856" s="1" t="n">
        <v>4009086</v>
      </c>
      <c r="E1856" s="1" t="n">
        <v>0.0146</v>
      </c>
      <c r="F1856" s="1" t="n">
        <v>0.0462</v>
      </c>
    </row>
    <row r="1857" customFormat="false" ht="15" hidden="false" customHeight="false" outlineLevel="0" collapsed="false">
      <c r="A1857" s="1" t="s">
        <v>1892</v>
      </c>
      <c r="B1857" s="1" t="s">
        <v>92</v>
      </c>
      <c r="C1857" s="1" t="n">
        <v>1790000</v>
      </c>
      <c r="D1857" s="1" t="n">
        <v>48475.3</v>
      </c>
      <c r="E1857" s="1" t="n">
        <v>0.0378</v>
      </c>
      <c r="F1857" s="1" t="n">
        <v>0.0759</v>
      </c>
    </row>
    <row r="1858" customFormat="false" ht="15" hidden="false" customHeight="false" outlineLevel="0" collapsed="false">
      <c r="A1858" s="1" t="s">
        <v>1893</v>
      </c>
      <c r="B1858" s="1" t="s">
        <v>21</v>
      </c>
      <c r="C1858" s="1" t="n">
        <v>1980000</v>
      </c>
      <c r="D1858" s="1" t="n">
        <v>9006.5</v>
      </c>
      <c r="E1858" s="1" t="n">
        <v>0.0639</v>
      </c>
      <c r="F1858" s="1" t="n">
        <v>0.051</v>
      </c>
    </row>
    <row r="1859" customFormat="false" ht="15" hidden="false" customHeight="false" outlineLevel="0" collapsed="false">
      <c r="A1859" s="1" t="s">
        <v>1894</v>
      </c>
      <c r="B1859" s="1" t="s">
        <v>32</v>
      </c>
      <c r="C1859" s="1" t="n">
        <v>1930000</v>
      </c>
      <c r="D1859" s="1" t="n">
        <v>183079.7</v>
      </c>
      <c r="E1859" s="1" t="n">
        <v>0.0264</v>
      </c>
      <c r="F1859" s="1" t="n">
        <v>0.1226</v>
      </c>
    </row>
    <row r="1860" customFormat="false" ht="15" hidden="false" customHeight="false" outlineLevel="0" collapsed="false">
      <c r="A1860" s="1" t="s">
        <v>1895</v>
      </c>
      <c r="B1860" s="1" t="s">
        <v>26</v>
      </c>
      <c r="C1860" s="1" t="n">
        <v>1830000</v>
      </c>
      <c r="D1860" s="1" t="n">
        <v>51084.4</v>
      </c>
      <c r="E1860" s="1" t="n">
        <v>0.0452</v>
      </c>
      <c r="F1860" s="1" t="n">
        <v>0.0951</v>
      </c>
    </row>
    <row r="1861" customFormat="false" ht="15" hidden="false" customHeight="false" outlineLevel="0" collapsed="false">
      <c r="A1861" s="1" t="s">
        <v>1896</v>
      </c>
      <c r="B1861" s="1" t="s">
        <v>21</v>
      </c>
      <c r="C1861" s="1" t="n">
        <v>1960000</v>
      </c>
      <c r="D1861" s="1" t="n">
        <v>43610.1</v>
      </c>
      <c r="E1861" s="1" t="n">
        <v>0.0054</v>
      </c>
      <c r="F1861" s="1" t="n">
        <v>0.0811</v>
      </c>
    </row>
    <row r="1862" customFormat="false" ht="15" hidden="false" customHeight="false" outlineLevel="0" collapsed="false">
      <c r="A1862" s="1" t="s">
        <v>1897</v>
      </c>
      <c r="B1862" s="1" t="s">
        <v>26</v>
      </c>
      <c r="C1862" s="1" t="n">
        <v>2650000</v>
      </c>
      <c r="D1862" s="1" t="n">
        <v>514262.2</v>
      </c>
      <c r="E1862" s="1" t="n">
        <v>0.0102</v>
      </c>
      <c r="F1862" s="1" t="n">
        <v>0.0866</v>
      </c>
    </row>
    <row r="1863" customFormat="false" ht="15" hidden="false" customHeight="false" outlineLevel="0" collapsed="false">
      <c r="A1863" s="1" t="s">
        <v>1898</v>
      </c>
      <c r="B1863" s="1" t="s">
        <v>88</v>
      </c>
      <c r="C1863" s="1" t="n">
        <v>1800000</v>
      </c>
      <c r="D1863" s="1" t="n">
        <v>495.9</v>
      </c>
      <c r="E1863" s="1" t="n">
        <v>0.0292</v>
      </c>
      <c r="F1863" s="1" t="n">
        <v>0.0938</v>
      </c>
    </row>
    <row r="1864" customFormat="false" ht="15" hidden="false" customHeight="false" outlineLevel="0" collapsed="false">
      <c r="A1864" s="1" t="s">
        <v>1899</v>
      </c>
      <c r="B1864" s="1" t="s">
        <v>490</v>
      </c>
      <c r="C1864" s="1" t="n">
        <v>1690000</v>
      </c>
      <c r="D1864" s="1" t="n">
        <v>2292.1</v>
      </c>
      <c r="E1864" s="1" t="n">
        <v>0.0082</v>
      </c>
      <c r="F1864" s="1" t="n">
        <v>0.1187</v>
      </c>
    </row>
    <row r="1865" customFormat="false" ht="15" hidden="false" customHeight="false" outlineLevel="0" collapsed="false">
      <c r="A1865" s="1" t="s">
        <v>1900</v>
      </c>
      <c r="B1865" s="1" t="s">
        <v>81</v>
      </c>
      <c r="C1865" s="1" t="n">
        <v>2860000</v>
      </c>
      <c r="D1865" s="1" t="n">
        <v>355256.8</v>
      </c>
      <c r="E1865" s="1" t="n">
        <v>0.0234</v>
      </c>
      <c r="F1865" s="1" t="n">
        <v>0.0432</v>
      </c>
    </row>
    <row r="1866" customFormat="false" ht="15" hidden="false" customHeight="false" outlineLevel="0" collapsed="false">
      <c r="A1866" s="1" t="s">
        <v>1901</v>
      </c>
      <c r="B1866" s="1" t="s">
        <v>26</v>
      </c>
      <c r="C1866" s="1" t="n">
        <v>2640000</v>
      </c>
      <c r="D1866" s="1" t="n">
        <v>115922</v>
      </c>
      <c r="E1866" s="1" t="n">
        <v>0.0163</v>
      </c>
      <c r="F1866" s="1" t="n">
        <v>0.0585</v>
      </c>
    </row>
    <row r="1867" customFormat="false" ht="15" hidden="false" customHeight="false" outlineLevel="0" collapsed="false">
      <c r="A1867" s="1" t="s">
        <v>1902</v>
      </c>
      <c r="B1867" s="1" t="s">
        <v>32</v>
      </c>
      <c r="C1867" s="1" t="n">
        <v>1660000</v>
      </c>
      <c r="D1867" s="1" t="n">
        <v>1668929.6</v>
      </c>
      <c r="E1867" s="1" t="n">
        <v>0.0246</v>
      </c>
      <c r="F1867" s="1" t="n">
        <v>0.0735</v>
      </c>
    </row>
    <row r="1868" customFormat="false" ht="15" hidden="false" customHeight="false" outlineLevel="0" collapsed="false">
      <c r="A1868" s="1" t="s">
        <v>1903</v>
      </c>
      <c r="B1868" s="1" t="s">
        <v>35</v>
      </c>
      <c r="C1868" s="1" t="n">
        <v>2260000</v>
      </c>
      <c r="D1868" s="1" t="n">
        <v>600263.7</v>
      </c>
      <c r="E1868" s="1" t="n">
        <v>0.0329</v>
      </c>
      <c r="F1868" s="1" t="n">
        <v>0.0409</v>
      </c>
    </row>
    <row r="1869" customFormat="false" ht="15" hidden="false" customHeight="false" outlineLevel="0" collapsed="false">
      <c r="A1869" s="1" t="s">
        <v>1904</v>
      </c>
      <c r="B1869" s="1" t="s">
        <v>21</v>
      </c>
      <c r="C1869" s="1" t="n">
        <v>5150000</v>
      </c>
      <c r="D1869" s="1" t="n">
        <v>406157.4</v>
      </c>
      <c r="E1869" s="1" t="n">
        <v>0.1178</v>
      </c>
      <c r="F1869" s="1" t="n">
        <v>0.0759</v>
      </c>
    </row>
    <row r="1870" customFormat="false" ht="15" hidden="false" customHeight="false" outlineLevel="0" collapsed="false">
      <c r="A1870" s="1" t="s">
        <v>1905</v>
      </c>
      <c r="B1870" s="1" t="s">
        <v>21</v>
      </c>
      <c r="C1870" s="1" t="n">
        <v>1650000</v>
      </c>
      <c r="D1870" s="1" t="n">
        <v>3748742.6</v>
      </c>
      <c r="E1870" s="1" t="n">
        <v>0.0463</v>
      </c>
      <c r="F1870" s="1" t="n">
        <v>0.0951</v>
      </c>
    </row>
    <row r="1871" customFormat="false" ht="15" hidden="false" customHeight="false" outlineLevel="0" collapsed="false">
      <c r="A1871" s="1" t="s">
        <v>1906</v>
      </c>
      <c r="B1871" s="1" t="s">
        <v>92</v>
      </c>
      <c r="C1871" s="1" t="n">
        <v>1710000</v>
      </c>
      <c r="D1871" s="1" t="n">
        <v>7507.6</v>
      </c>
      <c r="E1871" s="1" t="n">
        <v>0.0375</v>
      </c>
      <c r="F1871" s="1" t="n">
        <v>0.0938</v>
      </c>
    </row>
    <row r="1872" customFormat="false" ht="15" hidden="false" customHeight="false" outlineLevel="0" collapsed="false">
      <c r="A1872" s="1" t="s">
        <v>1907</v>
      </c>
      <c r="B1872" s="1" t="s">
        <v>71</v>
      </c>
      <c r="C1872" s="1" t="n">
        <v>1570000</v>
      </c>
      <c r="D1872" s="1" t="n">
        <v>4215.2</v>
      </c>
      <c r="E1872" s="1" t="n">
        <v>0.0176</v>
      </c>
      <c r="F1872" s="1" t="n">
        <v>0.1067</v>
      </c>
    </row>
    <row r="1873" customFormat="false" ht="15" hidden="false" customHeight="false" outlineLevel="0" collapsed="false">
      <c r="A1873" s="1" t="s">
        <v>1908</v>
      </c>
      <c r="B1873" s="1" t="s">
        <v>53</v>
      </c>
      <c r="C1873" s="1" t="n">
        <v>1750000</v>
      </c>
      <c r="D1873" s="1" t="n">
        <v>636926.8</v>
      </c>
      <c r="E1873" s="1" t="n">
        <v>0.0277</v>
      </c>
      <c r="F1873" s="1" t="n">
        <v>0.0845</v>
      </c>
    </row>
    <row r="1874" customFormat="false" ht="15" hidden="false" customHeight="false" outlineLevel="0" collapsed="false">
      <c r="A1874" s="1" t="s">
        <v>1909</v>
      </c>
      <c r="B1874" s="1" t="s">
        <v>214</v>
      </c>
      <c r="C1874" s="1" t="n">
        <v>3140000</v>
      </c>
      <c r="D1874" s="1" t="n">
        <v>363996.8</v>
      </c>
      <c r="E1874" s="1" t="n">
        <v>0.0091</v>
      </c>
      <c r="F1874" s="1" t="n">
        <v>0.1315</v>
      </c>
    </row>
    <row r="1875" customFormat="false" ht="15" hidden="false" customHeight="false" outlineLevel="0" collapsed="false">
      <c r="A1875" s="1" t="s">
        <v>1910</v>
      </c>
      <c r="B1875" s="1" t="s">
        <v>41</v>
      </c>
      <c r="C1875" s="1" t="n">
        <v>1620000</v>
      </c>
      <c r="D1875" s="1" t="n">
        <v>4162.8</v>
      </c>
      <c r="E1875" s="1" t="n">
        <v>0.0467</v>
      </c>
      <c r="F1875" s="1" t="n">
        <v>0.0759</v>
      </c>
    </row>
    <row r="1876" customFormat="false" ht="15" hidden="false" customHeight="false" outlineLevel="0" collapsed="false">
      <c r="A1876" s="1" t="s">
        <v>1911</v>
      </c>
      <c r="B1876" s="1" t="s">
        <v>88</v>
      </c>
      <c r="C1876" s="1" t="n">
        <v>1810000</v>
      </c>
      <c r="D1876" s="1" t="n">
        <v>196.5</v>
      </c>
      <c r="E1876" s="1" t="n">
        <v>0.0243</v>
      </c>
      <c r="F1876" s="1" t="n">
        <v>0.051</v>
      </c>
    </row>
    <row r="1877" customFormat="false" ht="15" hidden="false" customHeight="false" outlineLevel="0" collapsed="false">
      <c r="A1877" s="1" t="s">
        <v>1912</v>
      </c>
      <c r="B1877" s="1" t="s">
        <v>26</v>
      </c>
      <c r="C1877" s="1" t="n">
        <v>3650000</v>
      </c>
      <c r="D1877" s="1" t="n">
        <v>400857.4</v>
      </c>
      <c r="E1877" s="1" t="n">
        <v>0.0217</v>
      </c>
      <c r="F1877" s="1" t="n">
        <v>0.0759</v>
      </c>
    </row>
    <row r="1878" customFormat="false" ht="15" hidden="false" customHeight="false" outlineLevel="0" collapsed="false">
      <c r="A1878" s="1" t="s">
        <v>1913</v>
      </c>
      <c r="B1878" s="1" t="s">
        <v>62</v>
      </c>
      <c r="C1878" s="1" t="n">
        <v>2180000</v>
      </c>
      <c r="D1878" s="1" t="n">
        <v>384136.1</v>
      </c>
      <c r="E1878" s="1" t="n">
        <v>0.0557</v>
      </c>
      <c r="F1878" s="1" t="n">
        <v>0.0759</v>
      </c>
    </row>
    <row r="1879" customFormat="false" ht="15" hidden="false" customHeight="false" outlineLevel="0" collapsed="false">
      <c r="A1879" s="1" t="s">
        <v>1914</v>
      </c>
      <c r="B1879" s="1" t="s">
        <v>53</v>
      </c>
      <c r="C1879" s="1" t="n">
        <v>2330000</v>
      </c>
      <c r="D1879" s="1" t="n">
        <v>129965</v>
      </c>
      <c r="E1879" s="1" t="n">
        <v>0.0389</v>
      </c>
      <c r="F1879" s="1" t="n">
        <v>0.0409</v>
      </c>
    </row>
    <row r="1880" customFormat="false" ht="15" hidden="false" customHeight="false" outlineLevel="0" collapsed="false">
      <c r="A1880" s="1" t="s">
        <v>1915</v>
      </c>
      <c r="B1880" s="1" t="s">
        <v>24</v>
      </c>
      <c r="C1880" s="1" t="n">
        <v>1920000</v>
      </c>
      <c r="D1880" s="1" t="n">
        <v>2926.3</v>
      </c>
      <c r="E1880" s="1" t="n">
        <v>0.0276</v>
      </c>
      <c r="F1880" s="1" t="n">
        <v>0.0725</v>
      </c>
    </row>
    <row r="1881" customFormat="false" ht="15" hidden="false" customHeight="false" outlineLevel="0" collapsed="false">
      <c r="A1881" s="1" t="s">
        <v>1916</v>
      </c>
      <c r="B1881" s="1" t="s">
        <v>26</v>
      </c>
      <c r="C1881" s="1" t="n">
        <v>1750000</v>
      </c>
      <c r="D1881" s="1" t="n">
        <v>10012</v>
      </c>
      <c r="E1881" s="1" t="n">
        <v>0.0759</v>
      </c>
      <c r="F1881" s="1" t="n">
        <v>0.0759</v>
      </c>
    </row>
    <row r="1882" customFormat="false" ht="15" hidden="false" customHeight="false" outlineLevel="0" collapsed="false">
      <c r="A1882" s="1" t="s">
        <v>1917</v>
      </c>
      <c r="B1882" s="1" t="s">
        <v>41</v>
      </c>
      <c r="C1882" s="1" t="n">
        <v>2830000</v>
      </c>
      <c r="D1882" s="1" t="n">
        <v>346.7</v>
      </c>
      <c r="E1882" s="1" t="n">
        <v>0.188</v>
      </c>
      <c r="F1882" s="1" t="n">
        <v>0.0938</v>
      </c>
    </row>
    <row r="1883" customFormat="false" ht="15" hidden="false" customHeight="false" outlineLevel="0" collapsed="false">
      <c r="A1883" s="1" t="s">
        <v>1918</v>
      </c>
      <c r="B1883" s="1" t="s">
        <v>214</v>
      </c>
      <c r="C1883" s="1" t="n">
        <v>2790000</v>
      </c>
      <c r="D1883" s="1" t="n">
        <v>2221521.3</v>
      </c>
      <c r="E1883" s="1" t="n">
        <v>0.0245</v>
      </c>
      <c r="F1883" s="1" t="n">
        <v>0.0518</v>
      </c>
    </row>
    <row r="1884" customFormat="false" ht="15" hidden="false" customHeight="false" outlineLevel="0" collapsed="false">
      <c r="A1884" s="1" t="s">
        <v>1919</v>
      </c>
      <c r="B1884" s="1" t="s">
        <v>41</v>
      </c>
      <c r="C1884" s="1" t="n">
        <v>2800000</v>
      </c>
      <c r="D1884" s="1" t="n">
        <v>764.4</v>
      </c>
      <c r="E1884" s="1" t="n">
        <v>0.0361</v>
      </c>
      <c r="F1884" s="1" t="n">
        <v>0.1226</v>
      </c>
    </row>
    <row r="1885" customFormat="false" ht="15" hidden="false" customHeight="false" outlineLevel="0" collapsed="false">
      <c r="A1885" s="1" t="s">
        <v>1920</v>
      </c>
      <c r="B1885" s="1" t="s">
        <v>214</v>
      </c>
      <c r="C1885" s="1" t="n">
        <v>1500000</v>
      </c>
      <c r="D1885" s="1" t="n">
        <v>66831.9</v>
      </c>
      <c r="E1885" s="1" t="n">
        <v>0.0457</v>
      </c>
      <c r="F1885" s="1" t="n">
        <v>0.0518</v>
      </c>
    </row>
    <row r="1886" customFormat="false" ht="15" hidden="false" customHeight="false" outlineLevel="0" collapsed="false">
      <c r="A1886" s="1" t="s">
        <v>1921</v>
      </c>
      <c r="B1886" s="1" t="s">
        <v>88</v>
      </c>
      <c r="C1886" s="1" t="n">
        <v>1670000</v>
      </c>
      <c r="D1886" s="1" t="n">
        <v>3607.2</v>
      </c>
      <c r="E1886" s="1" t="n">
        <v>0.0569</v>
      </c>
      <c r="F1886" s="1" t="n">
        <v>0.0938</v>
      </c>
    </row>
    <row r="1887" customFormat="false" ht="15" hidden="false" customHeight="false" outlineLevel="0" collapsed="false">
      <c r="A1887" s="1" t="s">
        <v>1922</v>
      </c>
      <c r="B1887" s="1" t="s">
        <v>41</v>
      </c>
      <c r="C1887" s="1" t="n">
        <v>1950000</v>
      </c>
      <c r="D1887" s="1" t="n">
        <v>2831.9</v>
      </c>
      <c r="E1887" s="1" t="n">
        <v>0.0192</v>
      </c>
      <c r="F1887" s="1" t="n">
        <v>0.5714</v>
      </c>
    </row>
    <row r="1888" customFormat="false" ht="15" hidden="false" customHeight="false" outlineLevel="0" collapsed="false">
      <c r="A1888" s="1" t="s">
        <v>1923</v>
      </c>
      <c r="B1888" s="1" t="s">
        <v>26</v>
      </c>
      <c r="C1888" s="1" t="n">
        <v>1750000</v>
      </c>
      <c r="D1888" s="1" t="n">
        <v>2852.7</v>
      </c>
      <c r="E1888" s="1" t="n">
        <v>0.0196</v>
      </c>
      <c r="F1888" s="1" t="n">
        <v>0.1053</v>
      </c>
    </row>
    <row r="1889" customFormat="false" ht="15" hidden="false" customHeight="false" outlineLevel="0" collapsed="false">
      <c r="A1889" s="1" t="s">
        <v>1924</v>
      </c>
      <c r="B1889" s="1" t="s">
        <v>287</v>
      </c>
      <c r="C1889" s="1" t="n">
        <v>3140000</v>
      </c>
      <c r="D1889" s="1" t="n">
        <v>13043.6</v>
      </c>
      <c r="E1889" s="1" t="n">
        <v>0.0215</v>
      </c>
      <c r="F1889" s="1" t="n">
        <v>0.0462</v>
      </c>
    </row>
    <row r="1890" customFormat="false" ht="15" hidden="false" customHeight="false" outlineLevel="0" collapsed="false">
      <c r="A1890" s="1" t="s">
        <v>1925</v>
      </c>
      <c r="B1890" s="1" t="s">
        <v>53</v>
      </c>
      <c r="C1890" s="1" t="n">
        <v>1930000</v>
      </c>
      <c r="D1890" s="1" t="n">
        <v>19080.5</v>
      </c>
      <c r="E1890" s="1" t="n">
        <v>0.0632</v>
      </c>
      <c r="F1890" s="1" t="n">
        <v>0.5309</v>
      </c>
    </row>
    <row r="1891" customFormat="false" ht="15" hidden="false" customHeight="false" outlineLevel="0" collapsed="false">
      <c r="A1891" s="1" t="s">
        <v>1926</v>
      </c>
      <c r="B1891" s="1" t="s">
        <v>26</v>
      </c>
      <c r="C1891" s="1" t="n">
        <v>2010000</v>
      </c>
      <c r="D1891" s="1" t="n">
        <v>85108.5</v>
      </c>
      <c r="E1891" s="1" t="n">
        <v>0.0448</v>
      </c>
      <c r="F1891" s="1" t="n">
        <v>0.1057</v>
      </c>
    </row>
    <row r="1892" customFormat="false" ht="15" hidden="false" customHeight="false" outlineLevel="0" collapsed="false">
      <c r="A1892" s="1" t="s">
        <v>1927</v>
      </c>
      <c r="B1892" s="1" t="s">
        <v>26</v>
      </c>
      <c r="C1892" s="1" t="n">
        <v>1670000</v>
      </c>
      <c r="D1892" s="1" t="n">
        <v>3548.7</v>
      </c>
      <c r="E1892" s="1" t="n">
        <v>0.045</v>
      </c>
      <c r="F1892" s="1" t="n">
        <v>0.0951</v>
      </c>
    </row>
    <row r="1893" customFormat="false" ht="15" hidden="false" customHeight="false" outlineLevel="0" collapsed="false">
      <c r="A1893" s="1" t="s">
        <v>1928</v>
      </c>
      <c r="B1893" s="1" t="s">
        <v>41</v>
      </c>
      <c r="C1893" s="1" t="n">
        <v>157000</v>
      </c>
      <c r="D1893" s="1" t="n">
        <v>283.4</v>
      </c>
      <c r="E1893" s="1" t="n">
        <v>0.0089</v>
      </c>
      <c r="F1893" s="1" t="n">
        <v>0.4026</v>
      </c>
    </row>
    <row r="1894" customFormat="false" ht="15" hidden="false" customHeight="false" outlineLevel="0" collapsed="false">
      <c r="A1894" s="1" t="s">
        <v>1929</v>
      </c>
      <c r="B1894" s="1" t="s">
        <v>26</v>
      </c>
      <c r="C1894" s="1" t="n">
        <v>1850000</v>
      </c>
      <c r="D1894" s="1" t="n">
        <v>12557.4</v>
      </c>
      <c r="E1894" s="1" t="n">
        <v>0.0354</v>
      </c>
      <c r="F1894" s="1" t="n">
        <v>0.0759</v>
      </c>
    </row>
    <row r="1895" customFormat="false" ht="15" hidden="false" customHeight="false" outlineLevel="0" collapsed="false">
      <c r="A1895" s="1" t="s">
        <v>1930</v>
      </c>
      <c r="B1895" s="1" t="s">
        <v>92</v>
      </c>
      <c r="C1895" s="1" t="n">
        <v>2370000</v>
      </c>
      <c r="D1895" s="1" t="n">
        <v>575725.2</v>
      </c>
      <c r="E1895" s="1" t="n">
        <v>0.0293</v>
      </c>
      <c r="F1895" s="1" t="n">
        <v>0.0409</v>
      </c>
    </row>
    <row r="1896" customFormat="false" ht="15" hidden="false" customHeight="false" outlineLevel="0" collapsed="false">
      <c r="A1896" s="1" t="s">
        <v>1931</v>
      </c>
      <c r="B1896" s="1" t="s">
        <v>24</v>
      </c>
      <c r="C1896" s="1" t="n">
        <v>1740000</v>
      </c>
      <c r="D1896" s="1" t="n">
        <v>4864.8</v>
      </c>
      <c r="F1896" s="1" t="n">
        <v>0.0759</v>
      </c>
    </row>
    <row r="1897" customFormat="false" ht="15" hidden="false" customHeight="false" outlineLevel="0" collapsed="false">
      <c r="A1897" s="1" t="s">
        <v>1932</v>
      </c>
      <c r="B1897" s="1" t="s">
        <v>26</v>
      </c>
      <c r="C1897" s="1" t="n">
        <v>2030000</v>
      </c>
      <c r="D1897" s="1" t="n">
        <v>359392.5</v>
      </c>
      <c r="E1897" s="1" t="n">
        <v>0.0197</v>
      </c>
      <c r="F1897" s="1" t="n">
        <v>0.1067</v>
      </c>
    </row>
    <row r="1898" customFormat="false" ht="15" hidden="false" customHeight="false" outlineLevel="0" collapsed="false">
      <c r="A1898" s="1" t="s">
        <v>1933</v>
      </c>
      <c r="B1898" s="1" t="s">
        <v>26</v>
      </c>
      <c r="C1898" s="1" t="n">
        <v>1610000</v>
      </c>
      <c r="D1898" s="1" t="n">
        <v>8634.2</v>
      </c>
      <c r="E1898" s="1" t="n">
        <v>0.081</v>
      </c>
      <c r="F1898" s="1" t="n">
        <v>0.0951</v>
      </c>
    </row>
    <row r="1899" customFormat="false" ht="15" hidden="false" customHeight="false" outlineLevel="0" collapsed="false">
      <c r="A1899" s="1" t="s">
        <v>1934</v>
      </c>
      <c r="B1899" s="1" t="s">
        <v>88</v>
      </c>
      <c r="C1899" s="1" t="n">
        <v>1910000</v>
      </c>
      <c r="D1899" s="1" t="n">
        <v>3842.9</v>
      </c>
      <c r="E1899" s="1" t="n">
        <v>0.0469</v>
      </c>
      <c r="F1899" s="1" t="n">
        <v>0.0938</v>
      </c>
    </row>
    <row r="1900" customFormat="false" ht="15" hidden="false" customHeight="false" outlineLevel="0" collapsed="false">
      <c r="A1900" s="1" t="s">
        <v>1935</v>
      </c>
      <c r="B1900" s="1" t="s">
        <v>88</v>
      </c>
      <c r="C1900" s="1" t="n">
        <v>3280000</v>
      </c>
      <c r="D1900" s="1" t="n">
        <v>395406.2</v>
      </c>
      <c r="E1900" s="1" t="n">
        <v>0.0411</v>
      </c>
      <c r="F1900" s="1" t="n">
        <v>0.0538</v>
      </c>
    </row>
    <row r="1901" customFormat="false" ht="15" hidden="false" customHeight="false" outlineLevel="0" collapsed="false">
      <c r="A1901" s="1" t="s">
        <v>1936</v>
      </c>
      <c r="B1901" s="1" t="s">
        <v>88</v>
      </c>
      <c r="C1901" s="1" t="n">
        <v>1950000</v>
      </c>
      <c r="D1901" s="1" t="n">
        <v>787.6</v>
      </c>
      <c r="E1901" s="1" t="n">
        <v>0.0084</v>
      </c>
      <c r="F1901" s="1" t="n">
        <v>0.0654</v>
      </c>
    </row>
    <row r="1902" customFormat="false" ht="15" hidden="false" customHeight="false" outlineLevel="0" collapsed="false">
      <c r="A1902" s="1" t="s">
        <v>1937</v>
      </c>
      <c r="B1902" s="1" t="s">
        <v>30</v>
      </c>
      <c r="C1902" s="1" t="n">
        <v>3000000</v>
      </c>
      <c r="D1902" s="1" t="n">
        <v>48326.7</v>
      </c>
      <c r="E1902" s="1" t="n">
        <v>0.0688</v>
      </c>
      <c r="F1902" s="1" t="n">
        <v>0.051</v>
      </c>
    </row>
    <row r="1903" customFormat="false" ht="15" hidden="false" customHeight="false" outlineLevel="0" collapsed="false">
      <c r="A1903" s="1" t="s">
        <v>1938</v>
      </c>
      <c r="B1903" s="1" t="s">
        <v>41</v>
      </c>
      <c r="C1903" s="1" t="n">
        <v>3090000</v>
      </c>
      <c r="D1903" s="1" t="n">
        <v>1110457.7</v>
      </c>
      <c r="E1903" s="1" t="n">
        <v>0.0611</v>
      </c>
      <c r="F1903" s="1" t="n">
        <v>0.0938</v>
      </c>
    </row>
    <row r="1904" customFormat="false" ht="15" hidden="false" customHeight="false" outlineLevel="0" collapsed="false">
      <c r="A1904" s="1" t="s">
        <v>1939</v>
      </c>
      <c r="B1904" s="1" t="s">
        <v>88</v>
      </c>
      <c r="C1904" s="1" t="n">
        <v>1830000</v>
      </c>
      <c r="D1904" s="1" t="n">
        <v>3129.8</v>
      </c>
      <c r="E1904" s="1" t="n">
        <v>0.0316</v>
      </c>
      <c r="F1904" s="1" t="n">
        <v>0.0938</v>
      </c>
    </row>
    <row r="1905" customFormat="false" ht="15" hidden="false" customHeight="false" outlineLevel="0" collapsed="false">
      <c r="A1905" s="1" t="s">
        <v>1940</v>
      </c>
      <c r="B1905" s="1" t="s">
        <v>26</v>
      </c>
      <c r="C1905" s="1" t="n">
        <v>1640000</v>
      </c>
      <c r="D1905" s="1" t="n">
        <v>9823</v>
      </c>
      <c r="E1905" s="1" t="n">
        <v>0.0423</v>
      </c>
      <c r="F1905" s="1" t="n">
        <v>0.0759</v>
      </c>
    </row>
    <row r="1906" customFormat="false" ht="15" hidden="false" customHeight="false" outlineLevel="0" collapsed="false">
      <c r="A1906" s="1" t="s">
        <v>1941</v>
      </c>
      <c r="B1906" s="1" t="s">
        <v>88</v>
      </c>
      <c r="C1906" s="1" t="n">
        <v>7830000</v>
      </c>
      <c r="D1906" s="1" t="n">
        <v>789296.2</v>
      </c>
      <c r="E1906" s="1" t="n">
        <v>0.0554</v>
      </c>
      <c r="F1906" s="1" t="n">
        <v>0.0951</v>
      </c>
    </row>
    <row r="1907" customFormat="false" ht="15" hidden="false" customHeight="false" outlineLevel="0" collapsed="false">
      <c r="A1907" s="1" t="s">
        <v>1942</v>
      </c>
      <c r="B1907" s="1" t="s">
        <v>26</v>
      </c>
      <c r="C1907" s="1" t="n">
        <v>1780000</v>
      </c>
      <c r="D1907" s="1" t="n">
        <v>25162.1</v>
      </c>
      <c r="E1907" s="1" t="n">
        <v>0.0051</v>
      </c>
      <c r="F1907" s="1" t="n">
        <v>0.0654</v>
      </c>
    </row>
    <row r="1908" customFormat="false" ht="15" hidden="false" customHeight="false" outlineLevel="0" collapsed="false">
      <c r="A1908" s="1" t="s">
        <v>1943</v>
      </c>
      <c r="B1908" s="1" t="s">
        <v>41</v>
      </c>
      <c r="C1908" s="1" t="n">
        <v>1620000</v>
      </c>
      <c r="D1908" s="1" t="n">
        <v>4786.3</v>
      </c>
      <c r="E1908" s="1" t="n">
        <v>0.0193</v>
      </c>
      <c r="F1908" s="1" t="n">
        <v>0.1168</v>
      </c>
    </row>
    <row r="1909" customFormat="false" ht="15" hidden="false" customHeight="false" outlineLevel="0" collapsed="false">
      <c r="A1909" s="1" t="s">
        <v>1944</v>
      </c>
      <c r="B1909" s="1" t="s">
        <v>88</v>
      </c>
      <c r="C1909" s="1" t="n">
        <v>2060000</v>
      </c>
      <c r="D1909" s="1" t="n">
        <v>1442.9</v>
      </c>
      <c r="E1909" s="1" t="n">
        <v>0.0706</v>
      </c>
      <c r="F1909" s="1" t="n">
        <v>0.0938</v>
      </c>
    </row>
    <row r="1910" customFormat="false" ht="15" hidden="false" customHeight="false" outlineLevel="0" collapsed="false">
      <c r="A1910" s="1" t="s">
        <v>1945</v>
      </c>
      <c r="B1910" s="1" t="s">
        <v>26</v>
      </c>
      <c r="C1910" s="1" t="n">
        <v>1680000</v>
      </c>
      <c r="D1910" s="1" t="n">
        <v>420896.5</v>
      </c>
      <c r="E1910" s="1" t="n">
        <v>0.0367</v>
      </c>
      <c r="F1910" s="1" t="n">
        <v>0.0409</v>
      </c>
    </row>
    <row r="1911" customFormat="false" ht="15" hidden="false" customHeight="false" outlineLevel="0" collapsed="false">
      <c r="A1911" s="1" t="s">
        <v>1946</v>
      </c>
      <c r="B1911" s="1" t="s">
        <v>92</v>
      </c>
      <c r="C1911" s="1" t="n">
        <v>2550000</v>
      </c>
      <c r="D1911" s="1" t="n">
        <v>120482.8</v>
      </c>
      <c r="E1911" s="1" t="n">
        <v>0.021</v>
      </c>
      <c r="F1911" s="1" t="n">
        <v>0.0759</v>
      </c>
    </row>
    <row r="1912" customFormat="false" ht="15" hidden="false" customHeight="false" outlineLevel="0" collapsed="false">
      <c r="A1912" s="1" t="s">
        <v>1947</v>
      </c>
      <c r="B1912" s="1" t="s">
        <v>26</v>
      </c>
      <c r="C1912" s="1" t="n">
        <v>2360000</v>
      </c>
      <c r="D1912" s="1" t="n">
        <v>61167.3</v>
      </c>
      <c r="E1912" s="1" t="n">
        <v>0.0464</v>
      </c>
      <c r="F1912" s="1" t="n">
        <v>0.0938</v>
      </c>
    </row>
    <row r="1913" customFormat="false" ht="15" hidden="false" customHeight="false" outlineLevel="0" collapsed="false">
      <c r="A1913" s="1" t="s">
        <v>1948</v>
      </c>
      <c r="B1913" s="1" t="s">
        <v>88</v>
      </c>
      <c r="C1913" s="1" t="n">
        <v>1870000</v>
      </c>
      <c r="D1913" s="1" t="n">
        <v>10315.7</v>
      </c>
      <c r="E1913" s="1" t="n">
        <v>0.0321</v>
      </c>
      <c r="F1913" s="1" t="n">
        <v>0.0951</v>
      </c>
    </row>
    <row r="1914" customFormat="false" ht="15" hidden="false" customHeight="false" outlineLevel="0" collapsed="false">
      <c r="A1914" s="1" t="s">
        <v>1949</v>
      </c>
      <c r="B1914" s="1" t="s">
        <v>26</v>
      </c>
      <c r="C1914" s="1" t="n">
        <v>1690000</v>
      </c>
      <c r="D1914" s="1" t="n">
        <v>7111.3</v>
      </c>
      <c r="E1914" s="1" t="n">
        <v>0.0284</v>
      </c>
      <c r="F1914" s="1" t="n">
        <v>0.0759</v>
      </c>
    </row>
    <row r="1915" customFormat="false" ht="15" hidden="false" customHeight="false" outlineLevel="0" collapsed="false">
      <c r="A1915" s="1" t="s">
        <v>1950</v>
      </c>
      <c r="B1915" s="1" t="s">
        <v>41</v>
      </c>
      <c r="C1915" s="1" t="n">
        <v>2670000</v>
      </c>
      <c r="D1915" s="1" t="n">
        <v>12614.9</v>
      </c>
      <c r="E1915" s="1" t="n">
        <v>0.0496</v>
      </c>
      <c r="F1915" s="1" t="n">
        <v>0.0938</v>
      </c>
    </row>
    <row r="1916" customFormat="false" ht="15" hidden="false" customHeight="false" outlineLevel="0" collapsed="false">
      <c r="A1916" s="1" t="s">
        <v>1951</v>
      </c>
      <c r="B1916" s="1" t="s">
        <v>24</v>
      </c>
      <c r="C1916" s="1" t="n">
        <v>1650000</v>
      </c>
      <c r="D1916" s="1" t="n">
        <v>263.4</v>
      </c>
      <c r="E1916" s="1" t="n">
        <v>0.0713</v>
      </c>
      <c r="F1916" s="1" t="n">
        <v>0.0409</v>
      </c>
    </row>
    <row r="1917" customFormat="false" ht="15" hidden="false" customHeight="false" outlineLevel="0" collapsed="false">
      <c r="A1917" s="1" t="s">
        <v>1952</v>
      </c>
      <c r="B1917" s="1" t="s">
        <v>41</v>
      </c>
      <c r="C1917" s="1" t="n">
        <v>1820000</v>
      </c>
      <c r="D1917" s="1" t="n">
        <v>5240.3</v>
      </c>
      <c r="E1917" s="1" t="n">
        <v>0.0796</v>
      </c>
      <c r="F1917" s="1" t="n">
        <v>0.1272</v>
      </c>
    </row>
    <row r="1918" customFormat="false" ht="15" hidden="false" customHeight="false" outlineLevel="0" collapsed="false">
      <c r="A1918" s="1" t="s">
        <v>1953</v>
      </c>
      <c r="B1918" s="1" t="s">
        <v>287</v>
      </c>
      <c r="C1918" s="1" t="n">
        <v>1770000</v>
      </c>
      <c r="D1918" s="1" t="n">
        <v>1871.5</v>
      </c>
      <c r="E1918" s="1" t="n">
        <v>0.0098</v>
      </c>
      <c r="F1918" s="1" t="n">
        <v>0.0811</v>
      </c>
    </row>
    <row r="1919" customFormat="false" ht="15" hidden="false" customHeight="false" outlineLevel="0" collapsed="false">
      <c r="A1919" s="1" t="s">
        <v>1954</v>
      </c>
      <c r="B1919" s="1" t="s">
        <v>24</v>
      </c>
      <c r="C1919" s="1" t="n">
        <v>1920000</v>
      </c>
      <c r="D1919" s="1" t="n">
        <v>4943.6</v>
      </c>
      <c r="E1919" s="1" t="n">
        <v>0.0056</v>
      </c>
      <c r="F1919" s="1" t="n">
        <v>0.0822</v>
      </c>
    </row>
    <row r="1920" customFormat="false" ht="15" hidden="false" customHeight="false" outlineLevel="0" collapsed="false">
      <c r="A1920" s="1" t="s">
        <v>1955</v>
      </c>
      <c r="B1920" s="1" t="s">
        <v>24</v>
      </c>
      <c r="C1920" s="1" t="n">
        <v>2150000</v>
      </c>
      <c r="D1920" s="1" t="n">
        <v>696657.8</v>
      </c>
      <c r="E1920" s="1" t="n">
        <v>0.0339</v>
      </c>
      <c r="F1920" s="1" t="n">
        <v>0.0409</v>
      </c>
    </row>
    <row r="1921" customFormat="false" ht="15" hidden="false" customHeight="false" outlineLevel="0" collapsed="false">
      <c r="A1921" s="1" t="s">
        <v>1956</v>
      </c>
      <c r="B1921" s="1" t="s">
        <v>26</v>
      </c>
      <c r="C1921" s="1" t="n">
        <v>1580000</v>
      </c>
      <c r="D1921" s="1" t="n">
        <v>64891.1</v>
      </c>
      <c r="E1921" s="1" t="n">
        <v>0.044</v>
      </c>
      <c r="F1921" s="1" t="n">
        <v>0.0759</v>
      </c>
    </row>
    <row r="1922" customFormat="false" ht="15" hidden="false" customHeight="false" outlineLevel="0" collapsed="false">
      <c r="A1922" s="1" t="s">
        <v>1957</v>
      </c>
      <c r="B1922" s="1" t="s">
        <v>53</v>
      </c>
      <c r="C1922" s="1" t="n">
        <v>1680000</v>
      </c>
      <c r="D1922" s="1" t="n">
        <v>10095.7</v>
      </c>
      <c r="E1922" s="1" t="n">
        <v>0.0323</v>
      </c>
      <c r="F1922" s="1" t="n">
        <v>0.0938</v>
      </c>
    </row>
    <row r="1923" customFormat="false" ht="15" hidden="false" customHeight="false" outlineLevel="0" collapsed="false">
      <c r="A1923" s="1" t="s">
        <v>1958</v>
      </c>
      <c r="B1923" s="1" t="s">
        <v>26</v>
      </c>
      <c r="C1923" s="1" t="n">
        <v>1940000</v>
      </c>
      <c r="D1923" s="1" t="n">
        <v>631924.1</v>
      </c>
      <c r="E1923" s="1" t="n">
        <v>0.033</v>
      </c>
      <c r="F1923" s="1" t="n">
        <v>0.0518</v>
      </c>
    </row>
    <row r="1924" customFormat="false" ht="15" hidden="false" customHeight="false" outlineLevel="0" collapsed="false">
      <c r="A1924" s="1" t="s">
        <v>1959</v>
      </c>
      <c r="B1924" s="1" t="s">
        <v>88</v>
      </c>
      <c r="C1924" s="1" t="n">
        <v>2340000</v>
      </c>
      <c r="D1924" s="1" t="n">
        <v>6804</v>
      </c>
      <c r="E1924" s="1" t="n">
        <v>0.1024</v>
      </c>
      <c r="F1924" s="1" t="n">
        <v>0.0938</v>
      </c>
    </row>
    <row r="1925" customFormat="false" ht="15" hidden="false" customHeight="false" outlineLevel="0" collapsed="false">
      <c r="A1925" s="1" t="s">
        <v>1960</v>
      </c>
      <c r="B1925" s="1" t="s">
        <v>53</v>
      </c>
      <c r="C1925" s="1" t="n">
        <v>1730000</v>
      </c>
      <c r="D1925" s="1" t="n">
        <v>22753.5</v>
      </c>
      <c r="E1925" s="1" t="n">
        <v>0.075</v>
      </c>
      <c r="F1925" s="1" t="n">
        <v>0.0759</v>
      </c>
    </row>
    <row r="1926" customFormat="false" ht="15" hidden="false" customHeight="false" outlineLevel="0" collapsed="false">
      <c r="A1926" s="1" t="s">
        <v>1961</v>
      </c>
      <c r="B1926" s="1" t="s">
        <v>24</v>
      </c>
      <c r="C1926" s="1" t="n">
        <v>2100000</v>
      </c>
      <c r="D1926" s="1" t="n">
        <v>34036.7</v>
      </c>
      <c r="E1926" s="1" t="n">
        <v>0.0415</v>
      </c>
      <c r="F1926" s="1" t="n">
        <v>0.0432</v>
      </c>
    </row>
    <row r="1927" customFormat="false" ht="15" hidden="false" customHeight="false" outlineLevel="0" collapsed="false">
      <c r="A1927" s="1" t="s">
        <v>1962</v>
      </c>
      <c r="B1927" s="1" t="s">
        <v>26</v>
      </c>
      <c r="C1927" s="1" t="n">
        <v>2180000</v>
      </c>
      <c r="D1927" s="1" t="n">
        <v>1276845.7</v>
      </c>
      <c r="E1927" s="1" t="n">
        <v>0.0166</v>
      </c>
      <c r="F1927" s="1" t="n">
        <v>0.1067</v>
      </c>
    </row>
    <row r="1928" customFormat="false" ht="15" hidden="false" customHeight="false" outlineLevel="0" collapsed="false">
      <c r="A1928" s="1" t="s">
        <v>1963</v>
      </c>
      <c r="B1928" s="1" t="s">
        <v>21</v>
      </c>
      <c r="C1928" s="1" t="n">
        <v>1580000</v>
      </c>
      <c r="D1928" s="1" t="n">
        <v>57910.1</v>
      </c>
      <c r="E1928" s="1" t="n">
        <v>0.066</v>
      </c>
      <c r="F1928" s="1" t="n">
        <v>0.0951</v>
      </c>
    </row>
    <row r="1929" customFormat="false" ht="15" hidden="false" customHeight="false" outlineLevel="0" collapsed="false">
      <c r="A1929" s="1" t="s">
        <v>1964</v>
      </c>
      <c r="B1929" s="1" t="s">
        <v>26</v>
      </c>
      <c r="C1929" s="1" t="n">
        <v>2280000</v>
      </c>
      <c r="D1929" s="1" t="n">
        <v>43854.2</v>
      </c>
      <c r="E1929" s="1" t="n">
        <v>0.0164</v>
      </c>
      <c r="F1929" s="1" t="n">
        <v>0.0462</v>
      </c>
    </row>
    <row r="1930" customFormat="false" ht="15" hidden="false" customHeight="false" outlineLevel="0" collapsed="false">
      <c r="A1930" s="1" t="s">
        <v>1965</v>
      </c>
      <c r="B1930" s="1" t="s">
        <v>53</v>
      </c>
      <c r="C1930" s="1" t="n">
        <v>1600000</v>
      </c>
      <c r="D1930" s="1" t="n">
        <v>654.9</v>
      </c>
      <c r="E1930" s="1" t="n">
        <v>0.0453</v>
      </c>
      <c r="F1930" s="1" t="n">
        <v>0.0759</v>
      </c>
    </row>
    <row r="1931" customFormat="false" ht="15" hidden="false" customHeight="false" outlineLevel="0" collapsed="false">
      <c r="A1931" s="1" t="s">
        <v>1966</v>
      </c>
      <c r="B1931" s="1" t="s">
        <v>28</v>
      </c>
      <c r="C1931" s="1" t="n">
        <v>3940000</v>
      </c>
      <c r="D1931" s="1" t="n">
        <v>17953.9</v>
      </c>
      <c r="E1931" s="1" t="n">
        <v>0.006</v>
      </c>
      <c r="F1931" s="1" t="n">
        <v>0.0654</v>
      </c>
    </row>
    <row r="1932" customFormat="false" ht="15" hidden="false" customHeight="false" outlineLevel="0" collapsed="false">
      <c r="A1932" s="1" t="s">
        <v>1967</v>
      </c>
      <c r="B1932" s="1" t="s">
        <v>62</v>
      </c>
      <c r="C1932" s="1" t="n">
        <v>2150000</v>
      </c>
      <c r="D1932" s="1" t="n">
        <v>7705.5</v>
      </c>
      <c r="E1932" s="1" t="n">
        <v>0.0096</v>
      </c>
      <c r="F1932" s="1" t="n">
        <v>0.0811</v>
      </c>
    </row>
    <row r="1933" customFormat="false" ht="15" hidden="false" customHeight="false" outlineLevel="0" collapsed="false">
      <c r="A1933" s="1" t="s">
        <v>1968</v>
      </c>
      <c r="B1933" s="1" t="s">
        <v>26</v>
      </c>
      <c r="C1933" s="1" t="n">
        <v>1770000</v>
      </c>
      <c r="D1933" s="1" t="n">
        <v>99.8</v>
      </c>
      <c r="E1933" s="1" t="n">
        <v>0.0185</v>
      </c>
      <c r="F1933" s="1" t="n">
        <v>0.0576</v>
      </c>
    </row>
    <row r="1934" customFormat="false" ht="15" hidden="false" customHeight="false" outlineLevel="0" collapsed="false">
      <c r="A1934" s="1" t="s">
        <v>1969</v>
      </c>
      <c r="B1934" s="1" t="s">
        <v>26</v>
      </c>
      <c r="C1934" s="1" t="n">
        <v>2000000</v>
      </c>
      <c r="F1934" s="1" t="n">
        <v>0.0759</v>
      </c>
    </row>
    <row r="1935" customFormat="false" ht="15" hidden="false" customHeight="false" outlineLevel="0" collapsed="false">
      <c r="A1935" s="1" t="s">
        <v>1970</v>
      </c>
      <c r="B1935" s="1" t="s">
        <v>21</v>
      </c>
      <c r="C1935" s="1" t="n">
        <v>304000</v>
      </c>
      <c r="D1935" s="1" t="n">
        <v>11162.5</v>
      </c>
      <c r="E1935" s="1" t="n">
        <v>0.0277</v>
      </c>
      <c r="F1935" s="1" t="n">
        <v>0.0759</v>
      </c>
    </row>
    <row r="1936" customFormat="false" ht="15" hidden="false" customHeight="false" outlineLevel="0" collapsed="false">
      <c r="A1936" s="1" t="s">
        <v>1971</v>
      </c>
      <c r="B1936" s="1" t="s">
        <v>214</v>
      </c>
      <c r="C1936" s="1" t="n">
        <v>2430000</v>
      </c>
      <c r="D1936" s="1" t="n">
        <v>2104949.9</v>
      </c>
      <c r="E1936" s="1" t="n">
        <v>0.0166</v>
      </c>
      <c r="F1936" s="1" t="n">
        <v>0.0585</v>
      </c>
    </row>
    <row r="1937" customFormat="false" ht="15" hidden="false" customHeight="false" outlineLevel="0" collapsed="false">
      <c r="A1937" s="1" t="s">
        <v>1972</v>
      </c>
      <c r="B1937" s="1" t="s">
        <v>195</v>
      </c>
      <c r="C1937" s="1" t="n">
        <v>1590000</v>
      </c>
      <c r="D1937" s="1" t="n">
        <v>103216.2</v>
      </c>
      <c r="E1937" s="1" t="n">
        <v>0.0165</v>
      </c>
      <c r="F1937" s="1" t="n">
        <v>0.0585</v>
      </c>
    </row>
    <row r="1938" customFormat="false" ht="15" hidden="false" customHeight="false" outlineLevel="0" collapsed="false">
      <c r="A1938" s="1" t="s">
        <v>1973</v>
      </c>
      <c r="B1938" s="1" t="s">
        <v>21</v>
      </c>
      <c r="C1938" s="1" t="n">
        <v>1680000</v>
      </c>
      <c r="D1938" s="1" t="n">
        <v>9662.8</v>
      </c>
      <c r="E1938" s="1" t="n">
        <v>0.0585</v>
      </c>
      <c r="F1938" s="1" t="n">
        <v>0.0938</v>
      </c>
    </row>
    <row r="1939" customFormat="false" ht="15" hidden="false" customHeight="false" outlineLevel="0" collapsed="false">
      <c r="A1939" s="1" t="s">
        <v>1974</v>
      </c>
      <c r="B1939" s="1" t="s">
        <v>32</v>
      </c>
      <c r="C1939" s="1" t="n">
        <v>1760000</v>
      </c>
      <c r="D1939" s="1" t="n">
        <v>3377.2</v>
      </c>
      <c r="E1939" s="1" t="n">
        <v>0.0094</v>
      </c>
      <c r="F1939" s="1" t="n">
        <v>0.0811</v>
      </c>
    </row>
    <row r="1940" customFormat="false" ht="15" hidden="false" customHeight="false" outlineLevel="0" collapsed="false">
      <c r="A1940" s="1" t="s">
        <v>1975</v>
      </c>
      <c r="B1940" s="1" t="s">
        <v>26</v>
      </c>
      <c r="C1940" s="1" t="n">
        <v>1780000</v>
      </c>
      <c r="D1940" s="1" t="n">
        <v>2865.6</v>
      </c>
      <c r="F1940" s="1" t="n">
        <v>0.051</v>
      </c>
    </row>
    <row r="1941" customFormat="false" ht="15" hidden="false" customHeight="false" outlineLevel="0" collapsed="false">
      <c r="A1941" s="1" t="s">
        <v>1976</v>
      </c>
      <c r="B1941" s="1" t="s">
        <v>26</v>
      </c>
      <c r="C1941" s="1" t="n">
        <v>2090000</v>
      </c>
      <c r="D1941" s="1" t="n">
        <v>163105.4</v>
      </c>
      <c r="E1941" s="1" t="n">
        <v>0.0282</v>
      </c>
      <c r="F1941" s="1" t="n">
        <v>0.1387</v>
      </c>
    </row>
    <row r="1942" customFormat="false" ht="15" hidden="false" customHeight="false" outlineLevel="0" collapsed="false">
      <c r="A1942" s="1" t="s">
        <v>1977</v>
      </c>
      <c r="B1942" s="1" t="s">
        <v>62</v>
      </c>
      <c r="C1942" s="1" t="n">
        <v>1670000</v>
      </c>
      <c r="D1942" s="1" t="n">
        <v>3752.9</v>
      </c>
      <c r="E1942" s="1" t="n">
        <v>0.029</v>
      </c>
      <c r="F1942" s="1" t="n">
        <v>0.0759</v>
      </c>
    </row>
    <row r="1943" customFormat="false" ht="15" hidden="false" customHeight="false" outlineLevel="0" collapsed="false">
      <c r="A1943" s="1" t="s">
        <v>1978</v>
      </c>
      <c r="B1943" s="1" t="s">
        <v>88</v>
      </c>
      <c r="C1943" s="1" t="n">
        <v>1740000</v>
      </c>
      <c r="D1943" s="1" t="n">
        <v>1456</v>
      </c>
      <c r="E1943" s="1" t="n">
        <v>0.0064</v>
      </c>
      <c r="F1943" s="1" t="n">
        <v>0.0811</v>
      </c>
    </row>
    <row r="1944" customFormat="false" ht="15" hidden="false" customHeight="false" outlineLevel="0" collapsed="false">
      <c r="A1944" s="1" t="s">
        <v>1979</v>
      </c>
      <c r="B1944" s="1" t="s">
        <v>26</v>
      </c>
      <c r="C1944" s="1" t="n">
        <v>1700000</v>
      </c>
      <c r="D1944" s="1" t="n">
        <v>85144.3</v>
      </c>
      <c r="E1944" s="1" t="n">
        <v>0.0406</v>
      </c>
      <c r="F1944" s="1" t="n">
        <v>0.0759</v>
      </c>
    </row>
    <row r="1945" customFormat="false" ht="15" hidden="false" customHeight="false" outlineLevel="0" collapsed="false">
      <c r="A1945" s="1" t="s">
        <v>1980</v>
      </c>
      <c r="B1945" s="1" t="s">
        <v>62</v>
      </c>
      <c r="C1945" s="1" t="n">
        <v>1710000</v>
      </c>
      <c r="D1945" s="1" t="n">
        <v>27846.7</v>
      </c>
      <c r="E1945" s="1" t="n">
        <v>0.0131</v>
      </c>
      <c r="F1945" s="1" t="n">
        <v>0.0657</v>
      </c>
    </row>
    <row r="1946" customFormat="false" ht="15" hidden="false" customHeight="false" outlineLevel="0" collapsed="false">
      <c r="A1946" s="1" t="s">
        <v>1981</v>
      </c>
      <c r="B1946" s="1" t="s">
        <v>50</v>
      </c>
      <c r="C1946" s="1" t="n">
        <v>4480000</v>
      </c>
      <c r="D1946" s="1" t="n">
        <v>3693.5</v>
      </c>
      <c r="E1946" s="1" t="n">
        <v>0.0059</v>
      </c>
      <c r="F1946" s="1" t="n">
        <v>0.0811</v>
      </c>
    </row>
    <row r="1947" customFormat="false" ht="15" hidden="false" customHeight="false" outlineLevel="0" collapsed="false">
      <c r="A1947" s="1" t="s">
        <v>1982</v>
      </c>
      <c r="B1947" s="1" t="s">
        <v>30</v>
      </c>
      <c r="C1947" s="1" t="n">
        <v>1930000</v>
      </c>
      <c r="D1947" s="1" t="n">
        <v>28720.1</v>
      </c>
      <c r="F1947" s="1" t="n">
        <v>0.0518</v>
      </c>
    </row>
    <row r="1948" customFormat="false" ht="15" hidden="false" customHeight="false" outlineLevel="0" collapsed="false">
      <c r="A1948" s="1" t="s">
        <v>1983</v>
      </c>
      <c r="B1948" s="1" t="s">
        <v>490</v>
      </c>
      <c r="C1948" s="1" t="n">
        <v>1550000</v>
      </c>
      <c r="D1948" s="1" t="n">
        <v>19904.5</v>
      </c>
      <c r="E1948" s="1" t="n">
        <v>0.0206</v>
      </c>
      <c r="F1948" s="1" t="n">
        <v>0.0951</v>
      </c>
    </row>
    <row r="1949" customFormat="false" ht="15" hidden="false" customHeight="false" outlineLevel="0" collapsed="false">
      <c r="A1949" s="1" t="s">
        <v>1984</v>
      </c>
      <c r="B1949" s="1" t="s">
        <v>26</v>
      </c>
      <c r="C1949" s="1" t="n">
        <v>1670000</v>
      </c>
      <c r="D1949" s="1" t="n">
        <v>1548.9</v>
      </c>
      <c r="E1949" s="1" t="n">
        <v>0.0106</v>
      </c>
      <c r="F1949" s="1" t="n">
        <v>0.0654</v>
      </c>
    </row>
    <row r="1950" customFormat="false" ht="15" hidden="false" customHeight="false" outlineLevel="0" collapsed="false">
      <c r="A1950" s="1" t="s">
        <v>1985</v>
      </c>
      <c r="B1950" s="1" t="s">
        <v>32</v>
      </c>
      <c r="C1950" s="1" t="n">
        <v>1980000</v>
      </c>
      <c r="D1950" s="1" t="n">
        <v>1947.9</v>
      </c>
      <c r="E1950" s="1" t="n">
        <v>0.0145</v>
      </c>
      <c r="F1950" s="1" t="n">
        <v>0.0821</v>
      </c>
    </row>
    <row r="1951" customFormat="false" ht="15" hidden="false" customHeight="false" outlineLevel="0" collapsed="false">
      <c r="A1951" s="1" t="s">
        <v>1986</v>
      </c>
      <c r="B1951" s="1" t="s">
        <v>53</v>
      </c>
      <c r="C1951" s="1" t="n">
        <v>2620000</v>
      </c>
      <c r="D1951" s="1" t="n">
        <v>361363.6</v>
      </c>
      <c r="E1951" s="1" t="n">
        <v>0.0622</v>
      </c>
      <c r="F1951" s="1" t="n">
        <v>0.051</v>
      </c>
    </row>
    <row r="1952" customFormat="false" ht="15" hidden="false" customHeight="false" outlineLevel="0" collapsed="false">
      <c r="A1952" s="1" t="s">
        <v>1987</v>
      </c>
      <c r="B1952" s="1" t="s">
        <v>32</v>
      </c>
      <c r="C1952" s="1" t="n">
        <v>1700000</v>
      </c>
      <c r="D1952" s="1" t="n">
        <v>1921.4</v>
      </c>
      <c r="E1952" s="1" t="n">
        <v>0.0326</v>
      </c>
      <c r="F1952" s="1" t="n">
        <v>0.1109</v>
      </c>
    </row>
    <row r="1953" customFormat="false" ht="15" hidden="false" customHeight="false" outlineLevel="0" collapsed="false">
      <c r="A1953" s="1" t="s">
        <v>1988</v>
      </c>
      <c r="B1953" s="1" t="s">
        <v>26</v>
      </c>
      <c r="C1953" s="1" t="n">
        <v>2720000</v>
      </c>
      <c r="D1953" s="1" t="n">
        <v>1505933.4</v>
      </c>
      <c r="E1953" s="1" t="n">
        <v>0.0491</v>
      </c>
      <c r="F1953" s="1" t="n">
        <v>0.0409</v>
      </c>
    </row>
    <row r="1954" customFormat="false" ht="15" hidden="false" customHeight="false" outlineLevel="0" collapsed="false">
      <c r="A1954" s="1" t="s">
        <v>1989</v>
      </c>
      <c r="B1954" s="1" t="s">
        <v>41</v>
      </c>
      <c r="C1954" s="1" t="n">
        <v>1610000</v>
      </c>
      <c r="D1954" s="1" t="n">
        <v>1111</v>
      </c>
      <c r="E1954" s="1" t="n">
        <v>0.0099</v>
      </c>
      <c r="F1954" s="1" t="n">
        <v>0.1015</v>
      </c>
    </row>
    <row r="1955" customFormat="false" ht="15" hidden="false" customHeight="false" outlineLevel="0" collapsed="false">
      <c r="A1955" s="1" t="s">
        <v>1990</v>
      </c>
      <c r="B1955" s="1" t="s">
        <v>26</v>
      </c>
      <c r="C1955" s="1" t="n">
        <v>1830000</v>
      </c>
      <c r="D1955" s="1" t="n">
        <v>22501.8</v>
      </c>
      <c r="F1955" s="1" t="n">
        <v>0.0409</v>
      </c>
    </row>
    <row r="1956" customFormat="false" ht="15" hidden="false" customHeight="false" outlineLevel="0" collapsed="false">
      <c r="A1956" s="1" t="s">
        <v>1991</v>
      </c>
      <c r="B1956" s="1" t="s">
        <v>26</v>
      </c>
      <c r="C1956" s="1" t="n">
        <v>1550000</v>
      </c>
      <c r="D1956" s="1" t="n">
        <v>37931.2</v>
      </c>
      <c r="E1956" s="1" t="n">
        <v>0.0167</v>
      </c>
      <c r="F1956" s="1" t="n">
        <v>0.0585</v>
      </c>
    </row>
    <row r="1957" customFormat="false" ht="15" hidden="false" customHeight="false" outlineLevel="0" collapsed="false">
      <c r="A1957" s="1" t="s">
        <v>1992</v>
      </c>
      <c r="B1957" s="1" t="s">
        <v>53</v>
      </c>
      <c r="C1957" s="1" t="n">
        <v>1880000</v>
      </c>
      <c r="D1957" s="1" t="n">
        <v>25694.2</v>
      </c>
      <c r="E1957" s="1" t="n">
        <v>0.009</v>
      </c>
      <c r="F1957" s="1" t="n">
        <v>0.0654</v>
      </c>
    </row>
    <row r="1958" customFormat="false" ht="15" hidden="false" customHeight="false" outlineLevel="0" collapsed="false">
      <c r="A1958" s="1" t="s">
        <v>1993</v>
      </c>
      <c r="B1958" s="1" t="s">
        <v>26</v>
      </c>
      <c r="C1958" s="1" t="n">
        <v>1930000</v>
      </c>
      <c r="D1958" s="1" t="n">
        <v>515302.6</v>
      </c>
      <c r="E1958" s="1" t="n">
        <v>0.0357</v>
      </c>
      <c r="F1958" s="1" t="n">
        <v>0.0518</v>
      </c>
    </row>
    <row r="1959" customFormat="false" ht="15" hidden="false" customHeight="false" outlineLevel="0" collapsed="false">
      <c r="A1959" s="1" t="s">
        <v>1994</v>
      </c>
      <c r="B1959" s="1" t="s">
        <v>26</v>
      </c>
      <c r="C1959" s="1" t="n">
        <v>2290000</v>
      </c>
      <c r="D1959" s="1" t="n">
        <v>275304.3</v>
      </c>
      <c r="E1959" s="1" t="n">
        <v>0.0414</v>
      </c>
      <c r="F1959" s="1" t="n">
        <v>0.0409</v>
      </c>
    </row>
    <row r="1960" customFormat="false" ht="15" hidden="false" customHeight="false" outlineLevel="0" collapsed="false">
      <c r="A1960" s="1" t="s">
        <v>1995</v>
      </c>
      <c r="B1960" s="1" t="s">
        <v>30</v>
      </c>
      <c r="C1960" s="1" t="n">
        <v>1590000</v>
      </c>
      <c r="D1960" s="1" t="n">
        <v>292443.7</v>
      </c>
      <c r="E1960" s="1" t="n">
        <v>0.0023</v>
      </c>
      <c r="F1960" s="1" t="n">
        <v>0.0654</v>
      </c>
    </row>
    <row r="1961" customFormat="false" ht="15" hidden="false" customHeight="false" outlineLevel="0" collapsed="false">
      <c r="A1961" s="1" t="s">
        <v>1996</v>
      </c>
      <c r="B1961" s="1" t="s">
        <v>41</v>
      </c>
      <c r="C1961" s="1" t="n">
        <v>2190000</v>
      </c>
      <c r="D1961" s="1" t="n">
        <v>559.9</v>
      </c>
      <c r="E1961" s="1" t="n">
        <v>0.0042</v>
      </c>
      <c r="F1961" s="1" t="n">
        <v>0.377</v>
      </c>
    </row>
    <row r="1962" customFormat="false" ht="15" hidden="false" customHeight="false" outlineLevel="0" collapsed="false">
      <c r="A1962" s="1" t="s">
        <v>1997</v>
      </c>
      <c r="B1962" s="1" t="s">
        <v>26</v>
      </c>
      <c r="C1962" s="1" t="n">
        <v>1820000</v>
      </c>
      <c r="D1962" s="1" t="n">
        <v>68694.2</v>
      </c>
      <c r="E1962" s="1" t="n">
        <v>0.0117</v>
      </c>
      <c r="F1962" s="1" t="n">
        <v>0.0903</v>
      </c>
    </row>
    <row r="1963" customFormat="false" ht="15" hidden="false" customHeight="false" outlineLevel="0" collapsed="false">
      <c r="A1963" s="1" t="s">
        <v>1998</v>
      </c>
      <c r="B1963" s="1" t="s">
        <v>92</v>
      </c>
      <c r="C1963" s="1" t="n">
        <v>3730000</v>
      </c>
      <c r="D1963" s="1" t="n">
        <v>84274.4</v>
      </c>
      <c r="E1963" s="1" t="n">
        <v>0.0398</v>
      </c>
      <c r="F1963" s="1" t="n">
        <v>0.0759</v>
      </c>
    </row>
    <row r="1964" customFormat="false" ht="15" hidden="false" customHeight="false" outlineLevel="0" collapsed="false">
      <c r="A1964" s="1" t="s">
        <v>1999</v>
      </c>
      <c r="B1964" s="1" t="s">
        <v>88</v>
      </c>
      <c r="C1964" s="1" t="n">
        <v>2070000</v>
      </c>
      <c r="D1964" s="1" t="n">
        <v>4445.1</v>
      </c>
      <c r="E1964" s="1" t="n">
        <v>0.0349</v>
      </c>
      <c r="F1964" s="1" t="n">
        <v>0.0759</v>
      </c>
    </row>
    <row r="1965" customFormat="false" ht="15" hidden="false" customHeight="false" outlineLevel="0" collapsed="false">
      <c r="A1965" s="1" t="s">
        <v>2000</v>
      </c>
      <c r="B1965" s="1" t="s">
        <v>24</v>
      </c>
      <c r="C1965" s="1" t="n">
        <v>1790000</v>
      </c>
      <c r="D1965" s="1" t="n">
        <v>22496.6</v>
      </c>
      <c r="E1965" s="1" t="n">
        <v>0.0982</v>
      </c>
      <c r="F1965" s="1" t="n">
        <v>0.0938</v>
      </c>
    </row>
    <row r="1966" customFormat="false" ht="15" hidden="false" customHeight="false" outlineLevel="0" collapsed="false">
      <c r="A1966" s="1" t="s">
        <v>2001</v>
      </c>
      <c r="B1966" s="1" t="s">
        <v>26</v>
      </c>
      <c r="C1966" s="1" t="n">
        <v>1530000</v>
      </c>
      <c r="D1966" s="1" t="n">
        <v>6319.5</v>
      </c>
      <c r="E1966" s="1" t="n">
        <v>0.0206</v>
      </c>
      <c r="F1966" s="1" t="n">
        <v>0.0518</v>
      </c>
    </row>
    <row r="1967" customFormat="false" ht="15" hidden="false" customHeight="false" outlineLevel="0" collapsed="false">
      <c r="A1967" s="1" t="s">
        <v>2002</v>
      </c>
      <c r="B1967" s="1" t="s">
        <v>24</v>
      </c>
      <c r="C1967" s="1" t="n">
        <v>1540000</v>
      </c>
      <c r="D1967" s="1" t="n">
        <v>5010.3</v>
      </c>
      <c r="F1967" s="1" t="n">
        <v>0.0679</v>
      </c>
    </row>
    <row r="1968" customFormat="false" ht="15" hidden="false" customHeight="false" outlineLevel="0" collapsed="false">
      <c r="A1968" s="1" t="s">
        <v>2003</v>
      </c>
      <c r="B1968" s="1" t="s">
        <v>88</v>
      </c>
      <c r="C1968" s="1" t="n">
        <v>1640000</v>
      </c>
      <c r="D1968" s="1" t="n">
        <v>2510.2</v>
      </c>
      <c r="E1968" s="1" t="n">
        <v>0.0203</v>
      </c>
      <c r="F1968" s="1" t="n">
        <v>0.0951</v>
      </c>
    </row>
    <row r="1969" customFormat="false" ht="15" hidden="false" customHeight="false" outlineLevel="0" collapsed="false">
      <c r="A1969" s="1" t="s">
        <v>2004</v>
      </c>
      <c r="B1969" s="1" t="s">
        <v>62</v>
      </c>
      <c r="C1969" s="1" t="n">
        <v>1760000</v>
      </c>
      <c r="D1969" s="1" t="n">
        <v>3667.7</v>
      </c>
      <c r="E1969" s="1" t="n">
        <v>0.0501</v>
      </c>
      <c r="F1969" s="1" t="n">
        <v>0.0938</v>
      </c>
    </row>
    <row r="1970" customFormat="false" ht="15" hidden="false" customHeight="false" outlineLevel="0" collapsed="false">
      <c r="A1970" s="1" t="s">
        <v>2005</v>
      </c>
      <c r="B1970" s="1" t="s">
        <v>26</v>
      </c>
      <c r="C1970" s="1" t="n">
        <v>1540000</v>
      </c>
      <c r="D1970" s="1" t="n">
        <v>3536.2</v>
      </c>
      <c r="E1970" s="1" t="n">
        <v>0.0062</v>
      </c>
      <c r="F1970" s="1" t="n">
        <v>0.0811</v>
      </c>
    </row>
    <row r="1971" customFormat="false" ht="15" hidden="false" customHeight="false" outlineLevel="0" collapsed="false">
      <c r="A1971" s="1" t="s">
        <v>2006</v>
      </c>
      <c r="B1971" s="1" t="s">
        <v>53</v>
      </c>
      <c r="C1971" s="1" t="n">
        <v>1610000</v>
      </c>
      <c r="D1971" s="1" t="n">
        <v>67628.5</v>
      </c>
      <c r="E1971" s="1" t="n">
        <v>0.0469</v>
      </c>
      <c r="F1971" s="1" t="n">
        <v>0.0759</v>
      </c>
    </row>
    <row r="1972" customFormat="false" ht="15" hidden="false" customHeight="false" outlineLevel="0" collapsed="false">
      <c r="A1972" s="1" t="s">
        <v>2007</v>
      </c>
      <c r="B1972" s="1" t="s">
        <v>214</v>
      </c>
      <c r="C1972" s="1" t="n">
        <v>2360000</v>
      </c>
      <c r="D1972" s="1" t="n">
        <v>354294.6</v>
      </c>
      <c r="E1972" s="1" t="n">
        <v>0.0385</v>
      </c>
      <c r="F1972" s="1" t="n">
        <v>0.1226</v>
      </c>
    </row>
    <row r="1973" customFormat="false" ht="15" hidden="false" customHeight="false" outlineLevel="0" collapsed="false">
      <c r="A1973" s="1" t="s">
        <v>2008</v>
      </c>
      <c r="B1973" s="1" t="s">
        <v>30</v>
      </c>
      <c r="C1973" s="1" t="n">
        <v>1670000</v>
      </c>
      <c r="D1973" s="1" t="n">
        <v>238950.5</v>
      </c>
      <c r="E1973" s="1" t="n">
        <v>0.0439</v>
      </c>
      <c r="F1973" s="1" t="n">
        <v>0.0951</v>
      </c>
    </row>
    <row r="1974" customFormat="false" ht="15" hidden="false" customHeight="false" outlineLevel="0" collapsed="false">
      <c r="A1974" s="1" t="s">
        <v>2009</v>
      </c>
      <c r="B1974" s="1" t="s">
        <v>92</v>
      </c>
      <c r="C1974" s="1" t="n">
        <v>1760000</v>
      </c>
      <c r="D1974" s="1" t="n">
        <v>26544.1</v>
      </c>
      <c r="E1974" s="1" t="n">
        <v>0.0162</v>
      </c>
      <c r="F1974" s="1" t="n">
        <v>0.0576</v>
      </c>
    </row>
    <row r="1975" customFormat="false" ht="15" hidden="false" customHeight="false" outlineLevel="0" collapsed="false">
      <c r="A1975" s="1" t="s">
        <v>2010</v>
      </c>
      <c r="B1975" s="1" t="s">
        <v>28</v>
      </c>
      <c r="C1975" s="1" t="n">
        <v>2470000</v>
      </c>
      <c r="D1975" s="1" t="n">
        <v>350569.4</v>
      </c>
      <c r="E1975" s="1" t="n">
        <v>0.0087</v>
      </c>
      <c r="F1975" s="1" t="n">
        <v>0.0654</v>
      </c>
    </row>
    <row r="1976" customFormat="false" ht="15" hidden="false" customHeight="false" outlineLevel="0" collapsed="false">
      <c r="A1976" s="1" t="s">
        <v>2011</v>
      </c>
      <c r="B1976" s="1" t="s">
        <v>30</v>
      </c>
      <c r="C1976" s="1" t="n">
        <v>1700000</v>
      </c>
      <c r="D1976" s="1" t="n">
        <v>12024</v>
      </c>
      <c r="E1976" s="1" t="n">
        <v>0.0106</v>
      </c>
      <c r="F1976" s="1" t="n">
        <v>0.0654</v>
      </c>
    </row>
    <row r="1977" customFormat="false" ht="15" hidden="false" customHeight="false" outlineLevel="0" collapsed="false">
      <c r="A1977" s="1" t="s">
        <v>2012</v>
      </c>
      <c r="B1977" s="1" t="s">
        <v>88</v>
      </c>
      <c r="C1977" s="1" t="n">
        <v>1530000</v>
      </c>
      <c r="D1977" s="1" t="n">
        <v>66087.9</v>
      </c>
      <c r="E1977" s="1" t="n">
        <v>0.0214</v>
      </c>
      <c r="F1977" s="1" t="n">
        <v>0.1067</v>
      </c>
    </row>
    <row r="1978" customFormat="false" ht="15" hidden="false" customHeight="false" outlineLevel="0" collapsed="false">
      <c r="A1978" s="1" t="s">
        <v>2013</v>
      </c>
      <c r="B1978" s="1" t="s">
        <v>26</v>
      </c>
      <c r="C1978" s="1" t="n">
        <v>1580000</v>
      </c>
      <c r="D1978" s="1" t="n">
        <v>24252.6</v>
      </c>
      <c r="E1978" s="1" t="n">
        <v>0.0456</v>
      </c>
      <c r="F1978" s="1" t="n">
        <v>0.0672</v>
      </c>
    </row>
    <row r="1979" customFormat="false" ht="15" hidden="false" customHeight="false" outlineLevel="0" collapsed="false">
      <c r="A1979" s="1" t="s">
        <v>2014</v>
      </c>
      <c r="B1979" s="1" t="s">
        <v>88</v>
      </c>
      <c r="C1979" s="1" t="n">
        <v>1800000</v>
      </c>
      <c r="D1979" s="1" t="n">
        <v>10975.9</v>
      </c>
      <c r="E1979" s="1" t="n">
        <v>0.0525</v>
      </c>
      <c r="F1979" s="1" t="n">
        <v>0.0938</v>
      </c>
    </row>
    <row r="1980" customFormat="false" ht="15" hidden="false" customHeight="false" outlineLevel="0" collapsed="false">
      <c r="A1980" s="1" t="s">
        <v>2015</v>
      </c>
      <c r="B1980" s="1" t="s">
        <v>71</v>
      </c>
      <c r="C1980" s="1" t="n">
        <v>1640000</v>
      </c>
      <c r="D1980" s="1" t="n">
        <v>17294.5</v>
      </c>
      <c r="E1980" s="1" t="n">
        <v>0.0075</v>
      </c>
      <c r="F1980" s="1" t="n">
        <v>0.0654</v>
      </c>
    </row>
    <row r="1981" customFormat="false" ht="15" hidden="false" customHeight="false" outlineLevel="0" collapsed="false">
      <c r="A1981" s="1" t="s">
        <v>2016</v>
      </c>
      <c r="B1981" s="1" t="s">
        <v>24</v>
      </c>
      <c r="C1981" s="1" t="n">
        <v>1880000</v>
      </c>
      <c r="D1981" s="1" t="n">
        <v>90094.9</v>
      </c>
      <c r="E1981" s="1" t="n">
        <v>0.0182</v>
      </c>
      <c r="F1981" s="1" t="n">
        <v>0.0757</v>
      </c>
    </row>
    <row r="1982" customFormat="false" ht="15" hidden="false" customHeight="false" outlineLevel="0" collapsed="false">
      <c r="A1982" s="1" t="s">
        <v>2017</v>
      </c>
      <c r="B1982" s="1" t="s">
        <v>74</v>
      </c>
      <c r="C1982" s="1" t="n">
        <v>1790000</v>
      </c>
      <c r="D1982" s="1" t="n">
        <v>116431.5</v>
      </c>
      <c r="E1982" s="1" t="n">
        <v>0.0476</v>
      </c>
      <c r="F1982" s="1" t="n">
        <v>0.0938</v>
      </c>
    </row>
    <row r="1983" customFormat="false" ht="15" hidden="false" customHeight="false" outlineLevel="0" collapsed="false">
      <c r="A1983" s="1" t="s">
        <v>2018</v>
      </c>
      <c r="B1983" s="1" t="s">
        <v>26</v>
      </c>
      <c r="C1983" s="1" t="n">
        <v>1610000</v>
      </c>
      <c r="D1983" s="1" t="n">
        <v>64307.5</v>
      </c>
      <c r="E1983" s="1" t="n">
        <v>0.0521</v>
      </c>
      <c r="F1983" s="1" t="n">
        <v>0.0759</v>
      </c>
    </row>
    <row r="1984" customFormat="false" ht="15" hidden="false" customHeight="false" outlineLevel="0" collapsed="false">
      <c r="A1984" s="1" t="s">
        <v>2019</v>
      </c>
      <c r="B1984" s="1" t="s">
        <v>195</v>
      </c>
      <c r="C1984" s="1" t="n">
        <v>1740000</v>
      </c>
      <c r="D1984" s="1" t="n">
        <v>27198.4</v>
      </c>
      <c r="E1984" s="1" t="n">
        <v>0.0477</v>
      </c>
      <c r="F1984" s="1" t="n">
        <v>0.0938</v>
      </c>
    </row>
    <row r="1985" customFormat="false" ht="15" hidden="false" customHeight="false" outlineLevel="0" collapsed="false">
      <c r="A1985" s="1" t="s">
        <v>2020</v>
      </c>
      <c r="B1985" s="1" t="s">
        <v>26</v>
      </c>
      <c r="C1985" s="1" t="n">
        <v>1700000</v>
      </c>
      <c r="D1985" s="1" t="n">
        <v>19661</v>
      </c>
      <c r="E1985" s="1" t="n">
        <v>0.0488</v>
      </c>
      <c r="F1985" s="1" t="n">
        <v>0.0759</v>
      </c>
    </row>
    <row r="1986" customFormat="false" ht="15" hidden="false" customHeight="false" outlineLevel="0" collapsed="false">
      <c r="A1986" s="1" t="s">
        <v>2021</v>
      </c>
      <c r="B1986" s="1" t="s">
        <v>195</v>
      </c>
      <c r="C1986" s="1" t="n">
        <v>1540000</v>
      </c>
      <c r="D1986" s="1" t="n">
        <v>115123.9</v>
      </c>
      <c r="E1986" s="1" t="n">
        <v>0.0459</v>
      </c>
      <c r="F1986" s="1" t="n">
        <v>0.0951</v>
      </c>
    </row>
    <row r="1987" customFormat="false" ht="15" hidden="false" customHeight="false" outlineLevel="0" collapsed="false">
      <c r="A1987" s="1" t="s">
        <v>2022</v>
      </c>
      <c r="B1987" s="1" t="s">
        <v>88</v>
      </c>
      <c r="C1987" s="1" t="n">
        <v>1810000</v>
      </c>
      <c r="D1987" s="1" t="n">
        <v>6097.3</v>
      </c>
      <c r="E1987" s="1" t="n">
        <v>0.0875</v>
      </c>
      <c r="F1987" s="1" t="n">
        <v>0.0938</v>
      </c>
    </row>
    <row r="1988" customFormat="false" ht="15" hidden="false" customHeight="false" outlineLevel="0" collapsed="false">
      <c r="A1988" s="1" t="s">
        <v>2023</v>
      </c>
      <c r="B1988" s="1" t="s">
        <v>26</v>
      </c>
      <c r="C1988" s="1" t="n">
        <v>1770000</v>
      </c>
      <c r="D1988" s="1" t="n">
        <v>73152.2</v>
      </c>
      <c r="E1988" s="1" t="n">
        <v>0.0369</v>
      </c>
      <c r="F1988" s="1" t="n">
        <v>0.0951</v>
      </c>
    </row>
    <row r="1989" customFormat="false" ht="15" hidden="false" customHeight="false" outlineLevel="0" collapsed="false">
      <c r="A1989" s="1" t="s">
        <v>2024</v>
      </c>
      <c r="B1989" s="1" t="s">
        <v>88</v>
      </c>
      <c r="C1989" s="1" t="n">
        <v>2100000</v>
      </c>
      <c r="D1989" s="1" t="n">
        <v>24740.4</v>
      </c>
      <c r="E1989" s="1" t="n">
        <v>0.0369</v>
      </c>
      <c r="F1989" s="1" t="n">
        <v>0.0759</v>
      </c>
    </row>
    <row r="1990" customFormat="false" ht="15" hidden="false" customHeight="false" outlineLevel="0" collapsed="false">
      <c r="A1990" s="1" t="s">
        <v>2025</v>
      </c>
      <c r="B1990" s="1" t="s">
        <v>30</v>
      </c>
      <c r="C1990" s="1" t="n">
        <v>1600000</v>
      </c>
      <c r="D1990" s="1" t="n">
        <v>273238.3</v>
      </c>
      <c r="E1990" s="1" t="n">
        <v>0.0087</v>
      </c>
      <c r="F1990" s="1" t="n">
        <v>0.0822</v>
      </c>
    </row>
    <row r="1991" customFormat="false" ht="15" hidden="false" customHeight="false" outlineLevel="0" collapsed="false">
      <c r="A1991" s="1" t="s">
        <v>2026</v>
      </c>
      <c r="B1991" s="1" t="s">
        <v>26</v>
      </c>
      <c r="C1991" s="1" t="n">
        <v>2690000</v>
      </c>
      <c r="D1991" s="1" t="n">
        <v>27804.3</v>
      </c>
      <c r="E1991" s="1" t="n">
        <v>0.0274</v>
      </c>
      <c r="F1991" s="1" t="n">
        <v>0.0538</v>
      </c>
    </row>
    <row r="1992" customFormat="false" ht="15" hidden="false" customHeight="false" outlineLevel="0" collapsed="false">
      <c r="A1992" s="1" t="s">
        <v>2027</v>
      </c>
      <c r="B1992" s="1" t="s">
        <v>41</v>
      </c>
      <c r="C1992" s="1" t="n">
        <v>4810000</v>
      </c>
      <c r="D1992" s="1" t="n">
        <v>5566.8</v>
      </c>
      <c r="E1992" s="1" t="n">
        <v>0.0184</v>
      </c>
      <c r="F1992" s="1" t="n">
        <v>0.0608</v>
      </c>
    </row>
    <row r="1993" customFormat="false" ht="15" hidden="false" customHeight="false" outlineLevel="0" collapsed="false">
      <c r="A1993" s="1" t="s">
        <v>2028</v>
      </c>
      <c r="B1993" s="1" t="s">
        <v>26</v>
      </c>
      <c r="C1993" s="1" t="n">
        <v>2090000</v>
      </c>
      <c r="D1993" s="1" t="n">
        <v>63420</v>
      </c>
      <c r="E1993" s="1" t="n">
        <v>0.0172</v>
      </c>
      <c r="F1993" s="1" t="n">
        <v>0.0466</v>
      </c>
    </row>
    <row r="1994" customFormat="false" ht="15" hidden="false" customHeight="false" outlineLevel="0" collapsed="false">
      <c r="A1994" s="1" t="s">
        <v>2029</v>
      </c>
      <c r="B1994" s="1" t="s">
        <v>24</v>
      </c>
      <c r="C1994" s="1" t="n">
        <v>1570000</v>
      </c>
      <c r="D1994" s="1" t="n">
        <v>75849.7</v>
      </c>
      <c r="E1994" s="1" t="n">
        <v>0.0162</v>
      </c>
      <c r="F1994" s="1" t="n">
        <v>0.0462</v>
      </c>
    </row>
    <row r="1995" customFormat="false" ht="15" hidden="false" customHeight="false" outlineLevel="0" collapsed="false">
      <c r="A1995" s="1" t="s">
        <v>2030</v>
      </c>
      <c r="B1995" s="1" t="s">
        <v>92</v>
      </c>
      <c r="C1995" s="1" t="n">
        <v>3820000</v>
      </c>
      <c r="D1995" s="1" t="n">
        <v>1452396.4</v>
      </c>
      <c r="E1995" s="1" t="n">
        <v>0.0229</v>
      </c>
      <c r="F1995" s="1" t="n">
        <v>0.0409</v>
      </c>
    </row>
    <row r="1996" customFormat="false" ht="15" hidden="false" customHeight="false" outlineLevel="0" collapsed="false">
      <c r="A1996" s="1" t="s">
        <v>2031</v>
      </c>
      <c r="B1996" s="1" t="s">
        <v>21</v>
      </c>
      <c r="C1996" s="1" t="n">
        <v>2120000</v>
      </c>
      <c r="D1996" s="1" t="n">
        <v>22222.9</v>
      </c>
      <c r="E1996" s="1" t="n">
        <v>0.0092</v>
      </c>
      <c r="F1996" s="1" t="n">
        <v>0.0654</v>
      </c>
    </row>
    <row r="1997" customFormat="false" ht="15" hidden="false" customHeight="false" outlineLevel="0" collapsed="false">
      <c r="A1997" s="1" t="s">
        <v>2032</v>
      </c>
      <c r="B1997" s="1" t="s">
        <v>26</v>
      </c>
      <c r="C1997" s="1" t="n">
        <v>1880000</v>
      </c>
      <c r="D1997" s="1" t="n">
        <v>161814.9</v>
      </c>
      <c r="E1997" s="1" t="n">
        <v>0.0441</v>
      </c>
      <c r="F1997" s="1" t="n">
        <v>0.0759</v>
      </c>
    </row>
    <row r="1998" customFormat="false" ht="15" hidden="false" customHeight="false" outlineLevel="0" collapsed="false">
      <c r="A1998" s="1" t="s">
        <v>2033</v>
      </c>
      <c r="B1998" s="1" t="s">
        <v>74</v>
      </c>
      <c r="C1998" s="1" t="n">
        <v>1800000</v>
      </c>
      <c r="D1998" s="1" t="n">
        <v>37162.9</v>
      </c>
      <c r="E1998" s="1" t="n">
        <v>0.0693</v>
      </c>
      <c r="F1998" s="1" t="n">
        <v>0.0951</v>
      </c>
    </row>
    <row r="1999" customFormat="false" ht="15" hidden="false" customHeight="false" outlineLevel="0" collapsed="false">
      <c r="A1999" s="1" t="s">
        <v>2034</v>
      </c>
      <c r="B1999" s="1" t="s">
        <v>26</v>
      </c>
      <c r="C1999" s="1" t="n">
        <v>1870000</v>
      </c>
      <c r="D1999" s="1" t="n">
        <v>3354.9</v>
      </c>
      <c r="E1999" s="1" t="n">
        <v>0.021</v>
      </c>
      <c r="F1999" s="1" t="n">
        <v>0.0576</v>
      </c>
    </row>
    <row r="2000" customFormat="false" ht="15" hidden="false" customHeight="false" outlineLevel="0" collapsed="false">
      <c r="A2000" s="1" t="s">
        <v>2035</v>
      </c>
      <c r="B2000" s="1" t="s">
        <v>88</v>
      </c>
      <c r="C2000" s="1" t="n">
        <v>1620000</v>
      </c>
      <c r="D2000" s="1" t="n">
        <v>81606.9</v>
      </c>
      <c r="E2000" s="1" t="n">
        <v>0.0528</v>
      </c>
      <c r="F2000" s="1" t="n">
        <v>0.0951</v>
      </c>
    </row>
    <row r="2001" customFormat="false" ht="15" hidden="false" customHeight="false" outlineLevel="0" collapsed="false">
      <c r="A2001" s="1" t="s">
        <v>2036</v>
      </c>
      <c r="B2001" s="1" t="s">
        <v>26</v>
      </c>
      <c r="C2001" s="1" t="n">
        <v>1540000</v>
      </c>
      <c r="D2001" s="1" t="n">
        <v>62018</v>
      </c>
      <c r="E2001" s="1" t="n">
        <v>0.0549</v>
      </c>
      <c r="F2001" s="1" t="n">
        <v>0.0951</v>
      </c>
    </row>
    <row r="2002" customFormat="false" ht="15" hidden="false" customHeight="false" outlineLevel="0" collapsed="false">
      <c r="A2002" s="1" t="s">
        <v>2037</v>
      </c>
      <c r="B2002" s="1" t="s">
        <v>92</v>
      </c>
      <c r="C2002" s="1" t="n">
        <v>1470000</v>
      </c>
      <c r="D2002" s="1" t="n">
        <v>750.2</v>
      </c>
      <c r="E2002" s="1" t="n">
        <v>0.0198</v>
      </c>
      <c r="F2002" s="1" t="n">
        <v>0.0462</v>
      </c>
    </row>
    <row r="2003" customFormat="false" ht="15" hidden="false" customHeight="false" outlineLevel="0" collapsed="false">
      <c r="A2003" s="1" t="s">
        <v>2038</v>
      </c>
      <c r="B2003" s="1" t="s">
        <v>26</v>
      </c>
      <c r="C2003" s="1" t="n">
        <v>2230000</v>
      </c>
      <c r="D2003" s="1" t="n">
        <v>324223</v>
      </c>
      <c r="E2003" s="1" t="n">
        <v>0.0228</v>
      </c>
      <c r="F2003" s="1" t="n">
        <v>0.0409</v>
      </c>
    </row>
    <row r="2004" customFormat="false" ht="15" hidden="false" customHeight="false" outlineLevel="0" collapsed="false">
      <c r="A2004" s="1" t="s">
        <v>2039</v>
      </c>
      <c r="B2004" s="1" t="s">
        <v>88</v>
      </c>
      <c r="C2004" s="1" t="n">
        <v>2410000</v>
      </c>
      <c r="D2004" s="1" t="n">
        <v>182956.3</v>
      </c>
      <c r="E2004" s="1" t="n">
        <v>0.0104</v>
      </c>
      <c r="F2004" s="1" t="n">
        <v>0.0811</v>
      </c>
    </row>
    <row r="2005" customFormat="false" ht="15" hidden="false" customHeight="false" outlineLevel="0" collapsed="false">
      <c r="A2005" s="1" t="s">
        <v>2040</v>
      </c>
      <c r="B2005" s="1" t="s">
        <v>26</v>
      </c>
      <c r="C2005" s="1" t="n">
        <v>1580000</v>
      </c>
      <c r="D2005" s="1" t="n">
        <v>14996.1</v>
      </c>
      <c r="E2005" s="1" t="n">
        <v>0.0145</v>
      </c>
      <c r="F2005" s="1" t="n">
        <v>0.0462</v>
      </c>
    </row>
    <row r="2006" customFormat="false" ht="15" hidden="false" customHeight="false" outlineLevel="0" collapsed="false">
      <c r="A2006" s="1" t="s">
        <v>2041</v>
      </c>
      <c r="B2006" s="1" t="s">
        <v>21</v>
      </c>
      <c r="C2006" s="1" t="n">
        <v>1760000</v>
      </c>
      <c r="D2006" s="1" t="n">
        <v>387384.5</v>
      </c>
      <c r="E2006" s="1" t="n">
        <v>0.0321</v>
      </c>
      <c r="F2006" s="1" t="n">
        <v>0.0951</v>
      </c>
    </row>
    <row r="2007" customFormat="false" ht="15" hidden="false" customHeight="false" outlineLevel="0" collapsed="false">
      <c r="A2007" s="1" t="s">
        <v>2042</v>
      </c>
      <c r="B2007" s="1" t="s">
        <v>41</v>
      </c>
      <c r="C2007" s="1" t="n">
        <v>2420000</v>
      </c>
      <c r="D2007" s="1" t="n">
        <v>1217.1</v>
      </c>
      <c r="E2007" s="1" t="n">
        <v>0.0271</v>
      </c>
      <c r="F2007" s="1" t="n">
        <v>0.0938</v>
      </c>
    </row>
    <row r="2008" customFormat="false" ht="15" hidden="false" customHeight="false" outlineLevel="0" collapsed="false">
      <c r="A2008" s="1" t="s">
        <v>2043</v>
      </c>
      <c r="B2008" s="1" t="s">
        <v>41</v>
      </c>
      <c r="C2008" s="1" t="n">
        <v>1630000</v>
      </c>
      <c r="D2008" s="1" t="n">
        <v>2300.3</v>
      </c>
      <c r="E2008" s="1" t="n">
        <v>0.0161</v>
      </c>
      <c r="F2008" s="1" t="n">
        <v>0.0803</v>
      </c>
    </row>
    <row r="2009" customFormat="false" ht="15" hidden="false" customHeight="false" outlineLevel="0" collapsed="false">
      <c r="A2009" s="1" t="s">
        <v>2044</v>
      </c>
      <c r="B2009" s="1" t="s">
        <v>41</v>
      </c>
      <c r="C2009" s="1" t="n">
        <v>2110000</v>
      </c>
      <c r="D2009" s="1" t="n">
        <v>26989.9</v>
      </c>
      <c r="E2009" s="1" t="n">
        <v>0.0291</v>
      </c>
      <c r="F2009" s="1" t="n">
        <v>0.0938</v>
      </c>
    </row>
    <row r="2010" customFormat="false" ht="15" hidden="false" customHeight="false" outlineLevel="0" collapsed="false">
      <c r="A2010" s="1" t="s">
        <v>2045</v>
      </c>
      <c r="B2010" s="1" t="s">
        <v>21</v>
      </c>
      <c r="C2010" s="1" t="n">
        <v>1630000</v>
      </c>
      <c r="D2010" s="1" t="n">
        <v>42437.6</v>
      </c>
      <c r="E2010" s="1" t="n">
        <v>0.0361</v>
      </c>
      <c r="F2010" s="1" t="n">
        <v>0.0518</v>
      </c>
    </row>
    <row r="2011" customFormat="false" ht="15" hidden="false" customHeight="false" outlineLevel="0" collapsed="false">
      <c r="A2011" s="1" t="s">
        <v>2046</v>
      </c>
      <c r="B2011" s="1" t="s">
        <v>24</v>
      </c>
      <c r="C2011" s="1" t="n">
        <v>1580000</v>
      </c>
      <c r="D2011" s="1" t="n">
        <v>991.9</v>
      </c>
      <c r="E2011" s="1" t="n">
        <v>0.0175</v>
      </c>
      <c r="F2011" s="1" t="n">
        <v>0.1053</v>
      </c>
    </row>
    <row r="2012" customFormat="false" ht="15" hidden="false" customHeight="false" outlineLevel="0" collapsed="false">
      <c r="A2012" s="1" t="s">
        <v>2047</v>
      </c>
      <c r="B2012" s="1" t="s">
        <v>41</v>
      </c>
      <c r="C2012" s="1" t="n">
        <v>1740000</v>
      </c>
      <c r="D2012" s="1" t="n">
        <v>14939.4</v>
      </c>
      <c r="E2012" s="1" t="n">
        <v>0.0274</v>
      </c>
      <c r="F2012" s="1" t="n">
        <v>0.0759</v>
      </c>
    </row>
    <row r="2013" customFormat="false" ht="15" hidden="false" customHeight="false" outlineLevel="0" collapsed="false">
      <c r="A2013" s="1" t="s">
        <v>2048</v>
      </c>
      <c r="B2013" s="1" t="s">
        <v>62</v>
      </c>
      <c r="C2013" s="1" t="n">
        <v>2070000</v>
      </c>
      <c r="D2013" s="1" t="n">
        <v>69932.3</v>
      </c>
      <c r="E2013" s="1" t="n">
        <v>0.0195</v>
      </c>
      <c r="F2013" s="1" t="n">
        <v>0.0462</v>
      </c>
    </row>
    <row r="2014" customFormat="false" ht="15" hidden="false" customHeight="false" outlineLevel="0" collapsed="false">
      <c r="A2014" s="1" t="s">
        <v>2049</v>
      </c>
      <c r="B2014" s="1" t="s">
        <v>30</v>
      </c>
      <c r="C2014" s="1" t="n">
        <v>2640000</v>
      </c>
      <c r="D2014" s="1" t="n">
        <v>377.4</v>
      </c>
      <c r="E2014" s="1" t="n">
        <v>0.0044</v>
      </c>
      <c r="F2014" s="1" t="n">
        <v>0.0654</v>
      </c>
    </row>
    <row r="2015" customFormat="false" ht="15" hidden="false" customHeight="false" outlineLevel="0" collapsed="false">
      <c r="A2015" s="1" t="s">
        <v>2050</v>
      </c>
      <c r="B2015" s="1" t="s">
        <v>26</v>
      </c>
      <c r="C2015" s="1" t="n">
        <v>1470000</v>
      </c>
      <c r="D2015" s="1" t="n">
        <v>30797.8</v>
      </c>
      <c r="E2015" s="1" t="n">
        <v>0.0353</v>
      </c>
      <c r="F2015" s="1" t="n">
        <v>0.0845</v>
      </c>
    </row>
    <row r="2016" customFormat="false" ht="15" hidden="false" customHeight="false" outlineLevel="0" collapsed="false">
      <c r="A2016" s="1" t="s">
        <v>2051</v>
      </c>
      <c r="B2016" s="1" t="s">
        <v>24</v>
      </c>
      <c r="C2016" s="1" t="n">
        <v>1990000</v>
      </c>
      <c r="D2016" s="1" t="n">
        <v>195009.2</v>
      </c>
      <c r="E2016" s="1" t="n">
        <v>0.0833</v>
      </c>
      <c r="F2016" s="1" t="n">
        <v>0.0759</v>
      </c>
    </row>
    <row r="2017" customFormat="false" ht="15" hidden="false" customHeight="false" outlineLevel="0" collapsed="false">
      <c r="A2017" s="1" t="s">
        <v>2052</v>
      </c>
      <c r="B2017" s="1" t="s">
        <v>92</v>
      </c>
      <c r="C2017" s="1" t="n">
        <v>2150000</v>
      </c>
      <c r="D2017" s="1" t="n">
        <v>1550756.2</v>
      </c>
      <c r="E2017" s="1" t="n">
        <v>0.0354</v>
      </c>
      <c r="F2017" s="1" t="n">
        <v>0.0518</v>
      </c>
    </row>
    <row r="2018" customFormat="false" ht="15" hidden="false" customHeight="false" outlineLevel="0" collapsed="false">
      <c r="A2018" s="1" t="s">
        <v>2053</v>
      </c>
      <c r="B2018" s="1" t="s">
        <v>62</v>
      </c>
      <c r="C2018" s="1" t="n">
        <v>1520000</v>
      </c>
      <c r="D2018" s="1" t="n">
        <v>4984.8</v>
      </c>
      <c r="E2018" s="1" t="n">
        <v>0.0411</v>
      </c>
      <c r="F2018" s="1" t="n">
        <v>0.0759</v>
      </c>
    </row>
    <row r="2019" customFormat="false" ht="15" hidden="false" customHeight="false" outlineLevel="0" collapsed="false">
      <c r="A2019" s="1" t="s">
        <v>2054</v>
      </c>
      <c r="B2019" s="1" t="s">
        <v>32</v>
      </c>
      <c r="C2019" s="1" t="n">
        <v>1490000</v>
      </c>
      <c r="D2019" s="1" t="n">
        <v>2117.6</v>
      </c>
      <c r="E2019" s="1" t="n">
        <v>0.0148</v>
      </c>
      <c r="F2019" s="1" t="n">
        <v>0.1027</v>
      </c>
    </row>
    <row r="2020" customFormat="false" ht="15" hidden="false" customHeight="false" outlineLevel="0" collapsed="false">
      <c r="A2020" s="1" t="s">
        <v>2055</v>
      </c>
      <c r="B2020" s="1" t="s">
        <v>41</v>
      </c>
      <c r="C2020" s="1" t="n">
        <v>2120000</v>
      </c>
      <c r="D2020" s="1" t="n">
        <v>6377910.3</v>
      </c>
      <c r="E2020" s="1" t="n">
        <v>0.0384</v>
      </c>
      <c r="F2020" s="1" t="n">
        <v>0.0951</v>
      </c>
    </row>
    <row r="2021" customFormat="false" ht="15" hidden="false" customHeight="false" outlineLevel="0" collapsed="false">
      <c r="A2021" s="1" t="s">
        <v>2056</v>
      </c>
      <c r="B2021" s="1" t="s">
        <v>35</v>
      </c>
      <c r="C2021" s="1" t="n">
        <v>2740000</v>
      </c>
      <c r="D2021" s="1" t="n">
        <v>903341</v>
      </c>
      <c r="E2021" s="1" t="n">
        <v>0.0305</v>
      </c>
      <c r="F2021" s="1" t="n">
        <v>0.0759</v>
      </c>
    </row>
    <row r="2022" customFormat="false" ht="15" hidden="false" customHeight="false" outlineLevel="0" collapsed="false">
      <c r="A2022" s="1" t="s">
        <v>2057</v>
      </c>
      <c r="B2022" s="1" t="s">
        <v>81</v>
      </c>
      <c r="C2022" s="1" t="n">
        <v>1470000</v>
      </c>
      <c r="D2022" s="1" t="n">
        <v>818.5</v>
      </c>
      <c r="E2022" s="1" t="n">
        <v>0.0462</v>
      </c>
      <c r="F2022" s="1" t="n">
        <v>0.0759</v>
      </c>
    </row>
    <row r="2023" customFormat="false" ht="15" hidden="false" customHeight="false" outlineLevel="0" collapsed="false">
      <c r="A2023" s="1" t="s">
        <v>2058</v>
      </c>
      <c r="B2023" s="1" t="s">
        <v>50</v>
      </c>
      <c r="C2023" s="1" t="n">
        <v>1920000</v>
      </c>
      <c r="D2023" s="1" t="n">
        <v>220651.6</v>
      </c>
      <c r="E2023" s="1" t="n">
        <v>0.0458</v>
      </c>
      <c r="F2023" s="1" t="n">
        <v>0.0951</v>
      </c>
    </row>
    <row r="2024" customFormat="false" ht="15" hidden="false" customHeight="false" outlineLevel="0" collapsed="false">
      <c r="A2024" s="1" t="s">
        <v>2059</v>
      </c>
      <c r="B2024" s="1" t="s">
        <v>26</v>
      </c>
      <c r="C2024" s="1" t="n">
        <v>1860000</v>
      </c>
      <c r="D2024" s="1" t="n">
        <v>1476390.4</v>
      </c>
      <c r="E2024" s="1" t="n">
        <v>0.0311</v>
      </c>
      <c r="F2024" s="1" t="n">
        <v>0.0518</v>
      </c>
    </row>
    <row r="2025" customFormat="false" ht="15" hidden="false" customHeight="false" outlineLevel="0" collapsed="false">
      <c r="A2025" s="1" t="s">
        <v>2060</v>
      </c>
      <c r="B2025" s="1" t="s">
        <v>81</v>
      </c>
      <c r="C2025" s="1" t="n">
        <v>1540000</v>
      </c>
      <c r="D2025" s="1" t="n">
        <v>23054.4</v>
      </c>
      <c r="E2025" s="1" t="n">
        <v>0.0058</v>
      </c>
      <c r="F2025" s="1" t="n">
        <v>0.0654</v>
      </c>
    </row>
    <row r="2026" customFormat="false" ht="15" hidden="false" customHeight="false" outlineLevel="0" collapsed="false">
      <c r="A2026" s="1" t="s">
        <v>2061</v>
      </c>
      <c r="B2026" s="1" t="s">
        <v>30</v>
      </c>
      <c r="C2026" s="1" t="n">
        <v>1790000</v>
      </c>
      <c r="D2026" s="1" t="n">
        <v>100630.7</v>
      </c>
      <c r="E2026" s="1" t="n">
        <v>0.0151</v>
      </c>
      <c r="F2026" s="1" t="n">
        <v>0.0462</v>
      </c>
    </row>
    <row r="2027" customFormat="false" ht="15" hidden="false" customHeight="false" outlineLevel="0" collapsed="false">
      <c r="A2027" s="1" t="s">
        <v>2062</v>
      </c>
      <c r="B2027" s="1" t="s">
        <v>24</v>
      </c>
      <c r="C2027" s="1" t="n">
        <v>1540000</v>
      </c>
      <c r="D2027" s="1" t="n">
        <v>2322.7</v>
      </c>
      <c r="E2027" s="1" t="n">
        <v>0.0296</v>
      </c>
      <c r="F2027" s="1" t="n">
        <v>0.0514</v>
      </c>
    </row>
    <row r="2028" customFormat="false" ht="15" hidden="false" customHeight="false" outlineLevel="0" collapsed="false">
      <c r="A2028" s="1" t="s">
        <v>2063</v>
      </c>
      <c r="B2028" s="1" t="s">
        <v>21</v>
      </c>
      <c r="C2028" s="1" t="n">
        <v>1530000</v>
      </c>
      <c r="D2028" s="1" t="n">
        <v>909.5</v>
      </c>
      <c r="E2028" s="1" t="n">
        <v>0.0271</v>
      </c>
      <c r="F2028" s="1" t="n">
        <v>0.051</v>
      </c>
    </row>
    <row r="2029" customFormat="false" ht="15" hidden="false" customHeight="false" outlineLevel="0" collapsed="false">
      <c r="A2029" s="1" t="s">
        <v>2064</v>
      </c>
      <c r="B2029" s="1" t="s">
        <v>74</v>
      </c>
      <c r="C2029" s="1" t="n">
        <v>1920000</v>
      </c>
      <c r="D2029" s="1" t="n">
        <v>1094295.8</v>
      </c>
      <c r="E2029" s="1" t="n">
        <v>0.0442</v>
      </c>
      <c r="F2029" s="1" t="n">
        <v>0.0951</v>
      </c>
    </row>
    <row r="2030" customFormat="false" ht="15" hidden="false" customHeight="false" outlineLevel="0" collapsed="false">
      <c r="A2030" s="1" t="s">
        <v>2065</v>
      </c>
      <c r="B2030" s="1" t="s">
        <v>214</v>
      </c>
      <c r="C2030" s="1" t="n">
        <v>2260000</v>
      </c>
      <c r="D2030" s="1" t="n">
        <v>11040.1</v>
      </c>
      <c r="E2030" s="1" t="n">
        <v>0.0419</v>
      </c>
      <c r="F2030" s="1" t="n">
        <v>0.0938</v>
      </c>
    </row>
    <row r="2031" customFormat="false" ht="15" hidden="false" customHeight="false" outlineLevel="0" collapsed="false">
      <c r="A2031" s="1" t="s">
        <v>2066</v>
      </c>
      <c r="B2031" s="1" t="s">
        <v>21</v>
      </c>
      <c r="C2031" s="1" t="n">
        <v>1700000</v>
      </c>
      <c r="D2031" s="1" t="n">
        <v>82802.7</v>
      </c>
      <c r="E2031" s="1" t="n">
        <v>0.0152</v>
      </c>
      <c r="F2031" s="1" t="n">
        <v>0.0647</v>
      </c>
    </row>
    <row r="2032" customFormat="false" ht="15" hidden="false" customHeight="false" outlineLevel="0" collapsed="false">
      <c r="A2032" s="1" t="s">
        <v>2067</v>
      </c>
      <c r="B2032" s="1" t="s">
        <v>88</v>
      </c>
      <c r="C2032" s="1" t="n">
        <v>2830000</v>
      </c>
      <c r="D2032" s="1" t="n">
        <v>63397.4</v>
      </c>
      <c r="E2032" s="1" t="n">
        <v>0.0384</v>
      </c>
      <c r="F2032" s="1" t="n">
        <v>0.0938</v>
      </c>
    </row>
    <row r="2033" customFormat="false" ht="15" hidden="false" customHeight="false" outlineLevel="0" collapsed="false">
      <c r="A2033" s="1" t="s">
        <v>2068</v>
      </c>
      <c r="B2033" s="1" t="s">
        <v>41</v>
      </c>
      <c r="C2033" s="1" t="n">
        <v>3250000</v>
      </c>
      <c r="D2033" s="1" t="n">
        <v>968673.5</v>
      </c>
      <c r="E2033" s="1" t="n">
        <v>0.0464</v>
      </c>
      <c r="F2033" s="1" t="n">
        <v>0.0409</v>
      </c>
    </row>
    <row r="2034" customFormat="false" ht="15" hidden="false" customHeight="false" outlineLevel="0" collapsed="false">
      <c r="A2034" s="1" t="s">
        <v>2069</v>
      </c>
      <c r="B2034" s="1" t="s">
        <v>24</v>
      </c>
      <c r="C2034" s="1" t="n">
        <v>2020000</v>
      </c>
      <c r="D2034" s="1" t="n">
        <v>400651.7</v>
      </c>
      <c r="E2034" s="1" t="n">
        <v>0.0488</v>
      </c>
      <c r="F2034" s="1" t="n">
        <v>0.0951</v>
      </c>
    </row>
    <row r="2035" customFormat="false" ht="15" hidden="false" customHeight="false" outlineLevel="0" collapsed="false">
      <c r="A2035" s="1" t="s">
        <v>2070</v>
      </c>
      <c r="B2035" s="1" t="s">
        <v>21</v>
      </c>
      <c r="C2035" s="1" t="n">
        <v>1790000</v>
      </c>
      <c r="D2035" s="1" t="n">
        <v>31680.6</v>
      </c>
      <c r="F2035" s="1" t="n">
        <v>0.0759</v>
      </c>
    </row>
    <row r="2036" customFormat="false" ht="15" hidden="false" customHeight="false" outlineLevel="0" collapsed="false">
      <c r="A2036" s="1" t="s">
        <v>2071</v>
      </c>
      <c r="B2036" s="1" t="s">
        <v>71</v>
      </c>
      <c r="C2036" s="1" t="n">
        <v>1510000</v>
      </c>
      <c r="D2036" s="1" t="n">
        <v>3698.2</v>
      </c>
      <c r="E2036" s="1" t="n">
        <v>0.0323</v>
      </c>
      <c r="F2036" s="1" t="n">
        <v>0.051</v>
      </c>
    </row>
    <row r="2037" customFormat="false" ht="15" hidden="false" customHeight="false" outlineLevel="0" collapsed="false">
      <c r="A2037" s="1" t="s">
        <v>2072</v>
      </c>
      <c r="B2037" s="1" t="s">
        <v>24</v>
      </c>
      <c r="C2037" s="1" t="n">
        <v>2020000</v>
      </c>
      <c r="D2037" s="1" t="n">
        <v>1920.5</v>
      </c>
      <c r="E2037" s="1" t="n">
        <v>0.0209</v>
      </c>
      <c r="F2037" s="1" t="n">
        <v>0.1053</v>
      </c>
    </row>
    <row r="2038" customFormat="false" ht="15" hidden="false" customHeight="false" outlineLevel="0" collapsed="false">
      <c r="A2038" s="1" t="s">
        <v>2073</v>
      </c>
      <c r="B2038" s="1" t="s">
        <v>24</v>
      </c>
      <c r="C2038" s="1" t="n">
        <v>1400000</v>
      </c>
      <c r="D2038" s="1" t="n">
        <v>454231.7</v>
      </c>
      <c r="E2038" s="1" t="n">
        <v>0.0186</v>
      </c>
      <c r="F2038" s="1" t="n">
        <v>0.0815</v>
      </c>
    </row>
    <row r="2039" customFormat="false" ht="15" hidden="false" customHeight="false" outlineLevel="0" collapsed="false">
      <c r="A2039" s="1" t="s">
        <v>2074</v>
      </c>
      <c r="B2039" s="1" t="s">
        <v>62</v>
      </c>
      <c r="C2039" s="1" t="n">
        <v>2970000</v>
      </c>
      <c r="D2039" s="1" t="n">
        <v>24448.4</v>
      </c>
      <c r="E2039" s="1" t="n">
        <v>0.0475</v>
      </c>
      <c r="F2039" s="1" t="n">
        <v>0.0938</v>
      </c>
    </row>
    <row r="2040" customFormat="false" ht="15" hidden="false" customHeight="false" outlineLevel="0" collapsed="false">
      <c r="A2040" s="1" t="s">
        <v>2075</v>
      </c>
      <c r="B2040" s="1" t="s">
        <v>53</v>
      </c>
      <c r="C2040" s="1" t="n">
        <v>1710000</v>
      </c>
      <c r="D2040" s="1" t="n">
        <v>89002.4</v>
      </c>
      <c r="E2040" s="1" t="n">
        <v>0.0436</v>
      </c>
      <c r="F2040" s="1" t="n">
        <v>0.0951</v>
      </c>
    </row>
    <row r="2041" customFormat="false" ht="15" hidden="false" customHeight="false" outlineLevel="0" collapsed="false">
      <c r="A2041" s="1" t="s">
        <v>2076</v>
      </c>
      <c r="B2041" s="1" t="s">
        <v>26</v>
      </c>
      <c r="C2041" s="1" t="n">
        <v>1520000</v>
      </c>
      <c r="D2041" s="1" t="n">
        <v>4828</v>
      </c>
      <c r="E2041" s="1" t="n">
        <v>0.0476</v>
      </c>
      <c r="F2041" s="1" t="n">
        <v>0.0759</v>
      </c>
    </row>
    <row r="2042" customFormat="false" ht="15" hidden="false" customHeight="false" outlineLevel="0" collapsed="false">
      <c r="A2042" s="1" t="s">
        <v>2077</v>
      </c>
      <c r="B2042" s="1" t="s">
        <v>26</v>
      </c>
      <c r="C2042" s="1" t="n">
        <v>1530000</v>
      </c>
      <c r="D2042" s="1" t="n">
        <v>25092.9</v>
      </c>
      <c r="E2042" s="1" t="n">
        <v>0.0163</v>
      </c>
      <c r="F2042" s="1" t="n">
        <v>0.1067</v>
      </c>
    </row>
    <row r="2043" customFormat="false" ht="15" hidden="false" customHeight="false" outlineLevel="0" collapsed="false">
      <c r="A2043" s="1" t="s">
        <v>2078</v>
      </c>
      <c r="B2043" s="1" t="s">
        <v>32</v>
      </c>
      <c r="C2043" s="1" t="n">
        <v>1640000</v>
      </c>
      <c r="D2043" s="1" t="n">
        <v>5174.1</v>
      </c>
      <c r="E2043" s="1" t="n">
        <v>0.0278</v>
      </c>
      <c r="F2043" s="1" t="n">
        <v>0.117</v>
      </c>
    </row>
    <row r="2044" customFormat="false" ht="15" hidden="false" customHeight="false" outlineLevel="0" collapsed="false">
      <c r="A2044" s="1" t="s">
        <v>2079</v>
      </c>
      <c r="B2044" s="1" t="s">
        <v>21</v>
      </c>
      <c r="C2044" s="1" t="n">
        <v>1810000</v>
      </c>
      <c r="D2044" s="1" t="n">
        <v>35865.1</v>
      </c>
      <c r="E2044" s="1" t="n">
        <v>0.0185</v>
      </c>
      <c r="F2044" s="1" t="n">
        <v>0.0576</v>
      </c>
    </row>
    <row r="2045" customFormat="false" ht="15" hidden="false" customHeight="false" outlineLevel="0" collapsed="false">
      <c r="A2045" s="1" t="s">
        <v>2080</v>
      </c>
      <c r="B2045" s="1" t="s">
        <v>26</v>
      </c>
      <c r="C2045" s="1" t="n">
        <v>1600000</v>
      </c>
      <c r="D2045" s="1" t="n">
        <v>162000.2</v>
      </c>
      <c r="E2045" s="1" t="n">
        <v>0.0274</v>
      </c>
      <c r="F2045" s="1" t="n">
        <v>0.0951</v>
      </c>
    </row>
    <row r="2046" customFormat="false" ht="15" hidden="false" customHeight="false" outlineLevel="0" collapsed="false">
      <c r="A2046" s="1" t="s">
        <v>2081</v>
      </c>
      <c r="B2046" s="1" t="s">
        <v>74</v>
      </c>
      <c r="C2046" s="1" t="n">
        <v>1860000</v>
      </c>
      <c r="D2046" s="1" t="n">
        <v>57010.6</v>
      </c>
      <c r="E2046" s="1" t="n">
        <v>0.0324</v>
      </c>
      <c r="F2046" s="1" t="n">
        <v>0.0538</v>
      </c>
    </row>
    <row r="2047" customFormat="false" ht="15" hidden="false" customHeight="false" outlineLevel="0" collapsed="false">
      <c r="A2047" s="1" t="s">
        <v>2082</v>
      </c>
      <c r="B2047" s="1" t="s">
        <v>30</v>
      </c>
      <c r="C2047" s="1" t="n">
        <v>1640000</v>
      </c>
      <c r="D2047" s="1" t="n">
        <v>78416.2</v>
      </c>
      <c r="E2047" s="1" t="n">
        <v>0.0119</v>
      </c>
      <c r="F2047" s="1" t="n">
        <v>0.0822</v>
      </c>
    </row>
    <row r="2048" customFormat="false" ht="15" hidden="false" customHeight="false" outlineLevel="0" collapsed="false">
      <c r="A2048" s="1" t="s">
        <v>2083</v>
      </c>
      <c r="B2048" s="1" t="s">
        <v>26</v>
      </c>
      <c r="C2048" s="1" t="n">
        <v>2030000</v>
      </c>
      <c r="D2048" s="1" t="n">
        <v>512432.2</v>
      </c>
      <c r="E2048" s="1" t="n">
        <v>0.0238</v>
      </c>
      <c r="F2048" s="1" t="n">
        <v>0.0518</v>
      </c>
    </row>
    <row r="2049" customFormat="false" ht="15" hidden="false" customHeight="false" outlineLevel="0" collapsed="false">
      <c r="A2049" s="1" t="s">
        <v>2084</v>
      </c>
      <c r="B2049" s="1" t="s">
        <v>62</v>
      </c>
      <c r="C2049" s="1" t="n">
        <v>1860000</v>
      </c>
      <c r="D2049" s="1" t="n">
        <v>2756.7</v>
      </c>
      <c r="E2049" s="1" t="n">
        <v>0.0106</v>
      </c>
      <c r="F2049" s="1" t="n">
        <v>0.0811</v>
      </c>
    </row>
    <row r="2050" customFormat="false" ht="15" hidden="false" customHeight="false" outlineLevel="0" collapsed="false">
      <c r="A2050" s="1" t="s">
        <v>2085</v>
      </c>
      <c r="B2050" s="1" t="s">
        <v>26</v>
      </c>
      <c r="C2050" s="1" t="n">
        <v>1740000</v>
      </c>
      <c r="D2050" s="1" t="n">
        <v>120064.5</v>
      </c>
      <c r="E2050" s="1" t="n">
        <v>0.0769</v>
      </c>
      <c r="F2050" s="1" t="n">
        <v>0.0938</v>
      </c>
    </row>
    <row r="2051" customFormat="false" ht="15" hidden="false" customHeight="false" outlineLevel="0" collapsed="false">
      <c r="A2051" s="1" t="s">
        <v>2086</v>
      </c>
      <c r="B2051" s="1" t="s">
        <v>41</v>
      </c>
      <c r="C2051" s="1" t="n">
        <v>1510000</v>
      </c>
      <c r="D2051" s="1" t="n">
        <v>552.9</v>
      </c>
      <c r="E2051" s="1" t="n">
        <v>0.0154</v>
      </c>
      <c r="F2051" s="1" t="n">
        <v>0.1013</v>
      </c>
    </row>
    <row r="2052" customFormat="false" ht="15" hidden="false" customHeight="false" outlineLevel="0" collapsed="false">
      <c r="A2052" s="1" t="s">
        <v>2087</v>
      </c>
      <c r="B2052" s="1" t="s">
        <v>41</v>
      </c>
      <c r="C2052" s="1" t="n">
        <v>1510000</v>
      </c>
      <c r="D2052" s="1" t="n">
        <v>29250.3</v>
      </c>
      <c r="E2052" s="1" t="n">
        <v>0.0978</v>
      </c>
      <c r="F2052" s="1" t="n">
        <v>0.0759</v>
      </c>
    </row>
    <row r="2053" customFormat="false" ht="15" hidden="false" customHeight="false" outlineLevel="0" collapsed="false">
      <c r="A2053" s="1" t="s">
        <v>2088</v>
      </c>
      <c r="B2053" s="1" t="s">
        <v>88</v>
      </c>
      <c r="C2053" s="1" t="n">
        <v>1430000</v>
      </c>
      <c r="D2053" s="1" t="n">
        <v>27494.9</v>
      </c>
      <c r="E2053" s="1" t="n">
        <v>0.0565</v>
      </c>
      <c r="F2053" s="1" t="n">
        <v>0.0759</v>
      </c>
    </row>
    <row r="2054" customFormat="false" ht="15" hidden="false" customHeight="false" outlineLevel="0" collapsed="false">
      <c r="A2054" s="1" t="s">
        <v>2089</v>
      </c>
      <c r="B2054" s="1" t="s">
        <v>28</v>
      </c>
      <c r="C2054" s="1" t="n">
        <v>1630000</v>
      </c>
      <c r="D2054" s="1" t="n">
        <v>6672.5</v>
      </c>
      <c r="E2054" s="1" t="n">
        <v>0.0046</v>
      </c>
      <c r="F2054" s="1" t="n">
        <v>0.0822</v>
      </c>
    </row>
    <row r="2055" customFormat="false" ht="15" hidden="false" customHeight="false" outlineLevel="0" collapsed="false">
      <c r="A2055" s="1" t="s">
        <v>2090</v>
      </c>
      <c r="B2055" s="1" t="s">
        <v>92</v>
      </c>
      <c r="C2055" s="1" t="n">
        <v>2360000</v>
      </c>
      <c r="D2055" s="1" t="n">
        <v>380319.2</v>
      </c>
      <c r="E2055" s="1" t="n">
        <v>0.0221</v>
      </c>
      <c r="F2055" s="1" t="n">
        <v>0.0409</v>
      </c>
    </row>
    <row r="2056" customFormat="false" ht="15" hidden="false" customHeight="false" outlineLevel="0" collapsed="false">
      <c r="A2056" s="1" t="s">
        <v>2091</v>
      </c>
      <c r="B2056" s="1" t="s">
        <v>41</v>
      </c>
      <c r="C2056" s="1" t="n">
        <v>2090000</v>
      </c>
      <c r="D2056" s="1" t="n">
        <v>52925.3</v>
      </c>
      <c r="E2056" s="1" t="n">
        <v>0.0217</v>
      </c>
      <c r="F2056" s="1" t="n">
        <v>0.0409</v>
      </c>
    </row>
    <row r="2057" customFormat="false" ht="15" hidden="false" customHeight="false" outlineLevel="0" collapsed="false">
      <c r="A2057" s="1" t="s">
        <v>2092</v>
      </c>
      <c r="B2057" s="1" t="s">
        <v>26</v>
      </c>
      <c r="C2057" s="1" t="n">
        <v>1600000</v>
      </c>
      <c r="D2057" s="1" t="n">
        <v>510.9</v>
      </c>
      <c r="E2057" s="1" t="n">
        <v>0.0155</v>
      </c>
      <c r="F2057" s="1" t="n">
        <v>0.1013</v>
      </c>
    </row>
    <row r="2058" customFormat="false" ht="15" hidden="false" customHeight="false" outlineLevel="0" collapsed="false">
      <c r="A2058" s="1" t="s">
        <v>2093</v>
      </c>
      <c r="B2058" s="1" t="s">
        <v>26</v>
      </c>
      <c r="C2058" s="1" t="n">
        <v>675000</v>
      </c>
      <c r="D2058" s="1" t="n">
        <v>15906</v>
      </c>
      <c r="E2058" s="1" t="n">
        <v>0.035</v>
      </c>
      <c r="F2058" s="1" t="n">
        <v>0.0546</v>
      </c>
    </row>
    <row r="2059" customFormat="false" ht="15" hidden="false" customHeight="false" outlineLevel="0" collapsed="false">
      <c r="A2059" s="1" t="s">
        <v>2094</v>
      </c>
      <c r="B2059" s="1" t="s">
        <v>32</v>
      </c>
      <c r="C2059" s="1" t="n">
        <v>1840000</v>
      </c>
      <c r="D2059" s="1" t="n">
        <v>892.7</v>
      </c>
      <c r="E2059" s="1" t="n">
        <v>0.0068</v>
      </c>
      <c r="F2059" s="1" t="n">
        <v>0.0811</v>
      </c>
    </row>
    <row r="2060" customFormat="false" ht="15" hidden="false" customHeight="false" outlineLevel="0" collapsed="false">
      <c r="A2060" s="1" t="s">
        <v>2095</v>
      </c>
      <c r="B2060" s="1" t="s">
        <v>92</v>
      </c>
      <c r="C2060" s="1" t="n">
        <v>1660000</v>
      </c>
      <c r="D2060" s="1" t="n">
        <v>10683.3</v>
      </c>
      <c r="E2060" s="1" t="n">
        <v>0.0457</v>
      </c>
      <c r="F2060" s="1" t="n">
        <v>0.0412</v>
      </c>
    </row>
    <row r="2061" customFormat="false" ht="15" hidden="false" customHeight="false" outlineLevel="0" collapsed="false">
      <c r="A2061" s="1" t="s">
        <v>2096</v>
      </c>
      <c r="B2061" s="1" t="s">
        <v>26</v>
      </c>
      <c r="C2061" s="1" t="n">
        <v>2180000</v>
      </c>
      <c r="D2061" s="1" t="n">
        <v>597393.4</v>
      </c>
      <c r="E2061" s="1" t="n">
        <v>0.0533</v>
      </c>
      <c r="F2061" s="1" t="n">
        <v>0.0672</v>
      </c>
    </row>
    <row r="2062" customFormat="false" ht="15" hidden="false" customHeight="false" outlineLevel="0" collapsed="false">
      <c r="A2062" s="1" t="s">
        <v>2097</v>
      </c>
      <c r="B2062" s="1" t="s">
        <v>26</v>
      </c>
      <c r="C2062" s="1" t="n">
        <v>1440000</v>
      </c>
      <c r="D2062" s="1" t="n">
        <v>2703.1</v>
      </c>
      <c r="E2062" s="1" t="n">
        <v>0.0195</v>
      </c>
      <c r="F2062" s="1" t="n">
        <v>0.1067</v>
      </c>
    </row>
    <row r="2063" customFormat="false" ht="15" hidden="false" customHeight="false" outlineLevel="0" collapsed="false">
      <c r="A2063" s="1" t="s">
        <v>2098</v>
      </c>
      <c r="B2063" s="1" t="s">
        <v>24</v>
      </c>
      <c r="C2063" s="1" t="n">
        <v>1910000</v>
      </c>
      <c r="D2063" s="1" t="n">
        <v>1347.3</v>
      </c>
      <c r="E2063" s="1" t="n">
        <v>0.0771</v>
      </c>
      <c r="F2063" s="1" t="n">
        <v>0.0938</v>
      </c>
    </row>
    <row r="2064" customFormat="false" ht="15" hidden="false" customHeight="false" outlineLevel="0" collapsed="false">
      <c r="A2064" s="1" t="s">
        <v>2099</v>
      </c>
      <c r="B2064" s="1" t="s">
        <v>62</v>
      </c>
      <c r="C2064" s="1" t="n">
        <v>1960000</v>
      </c>
      <c r="D2064" s="1" t="n">
        <v>984966.3</v>
      </c>
      <c r="E2064" s="1" t="n">
        <v>0.0359</v>
      </c>
      <c r="F2064" s="1" t="n">
        <v>0.0409</v>
      </c>
    </row>
    <row r="2065" customFormat="false" ht="15" hidden="false" customHeight="false" outlineLevel="0" collapsed="false">
      <c r="A2065" s="1" t="s">
        <v>2100</v>
      </c>
      <c r="B2065" s="1" t="s">
        <v>26</v>
      </c>
      <c r="C2065" s="1" t="n">
        <v>1840000</v>
      </c>
      <c r="D2065" s="1" t="n">
        <v>2676791.4</v>
      </c>
      <c r="E2065" s="1" t="n">
        <v>0.0037</v>
      </c>
      <c r="F2065" s="1" t="n">
        <v>0.0822</v>
      </c>
    </row>
    <row r="2066" customFormat="false" ht="15" hidden="false" customHeight="false" outlineLevel="0" collapsed="false">
      <c r="A2066" s="1" t="s">
        <v>2101</v>
      </c>
      <c r="B2066" s="1" t="s">
        <v>32</v>
      </c>
      <c r="C2066" s="1" t="n">
        <v>1710000</v>
      </c>
      <c r="D2066" s="1" t="n">
        <v>96807.3</v>
      </c>
      <c r="E2066" s="1" t="n">
        <v>0.0078</v>
      </c>
      <c r="F2066" s="1" t="n">
        <v>0.0811</v>
      </c>
    </row>
    <row r="2067" customFormat="false" ht="15" hidden="false" customHeight="false" outlineLevel="0" collapsed="false">
      <c r="A2067" s="1" t="s">
        <v>2102</v>
      </c>
      <c r="B2067" s="1" t="s">
        <v>287</v>
      </c>
      <c r="C2067" s="1" t="n">
        <v>1500000</v>
      </c>
      <c r="D2067" s="1" t="n">
        <v>10981.5</v>
      </c>
      <c r="E2067" s="1" t="n">
        <v>0.0468</v>
      </c>
      <c r="F2067" s="1" t="n">
        <v>0.1535</v>
      </c>
    </row>
    <row r="2068" customFormat="false" ht="15" hidden="false" customHeight="false" outlineLevel="0" collapsed="false">
      <c r="A2068" s="1" t="s">
        <v>2103</v>
      </c>
      <c r="B2068" s="1" t="s">
        <v>26</v>
      </c>
      <c r="C2068" s="1" t="n">
        <v>1840000</v>
      </c>
      <c r="D2068" s="1" t="n">
        <v>914458.7</v>
      </c>
      <c r="E2068" s="1" t="n">
        <v>0.0224</v>
      </c>
      <c r="F2068" s="1" t="n">
        <v>0.0409</v>
      </c>
    </row>
    <row r="2069" customFormat="false" ht="15" hidden="false" customHeight="false" outlineLevel="0" collapsed="false">
      <c r="A2069" s="1" t="s">
        <v>2104</v>
      </c>
      <c r="B2069" s="1" t="s">
        <v>26</v>
      </c>
      <c r="C2069" s="1" t="n">
        <v>1750000</v>
      </c>
      <c r="D2069" s="1" t="n">
        <v>73051.7</v>
      </c>
      <c r="E2069" s="1" t="n">
        <v>0.0224</v>
      </c>
      <c r="F2069" s="1" t="n">
        <v>0.0518</v>
      </c>
    </row>
    <row r="2070" customFormat="false" ht="15" hidden="false" customHeight="false" outlineLevel="0" collapsed="false">
      <c r="A2070" s="1" t="s">
        <v>2105</v>
      </c>
      <c r="B2070" s="1" t="s">
        <v>92</v>
      </c>
      <c r="C2070" s="1" t="n">
        <v>1860000</v>
      </c>
      <c r="D2070" s="1" t="n">
        <v>56702.2</v>
      </c>
      <c r="E2070" s="1" t="n">
        <v>0.02</v>
      </c>
      <c r="F2070" s="1" t="n">
        <v>0.0608</v>
      </c>
    </row>
    <row r="2071" customFormat="false" ht="15" hidden="false" customHeight="false" outlineLevel="0" collapsed="false">
      <c r="A2071" s="1" t="s">
        <v>2106</v>
      </c>
      <c r="B2071" s="1" t="s">
        <v>92</v>
      </c>
      <c r="C2071" s="1" t="n">
        <v>1530000</v>
      </c>
      <c r="D2071" s="1" t="n">
        <v>40044.4</v>
      </c>
      <c r="E2071" s="1" t="n">
        <v>0.0315</v>
      </c>
      <c r="F2071" s="1" t="n">
        <v>0.0759</v>
      </c>
    </row>
    <row r="2072" customFormat="false" ht="15" hidden="false" customHeight="false" outlineLevel="0" collapsed="false">
      <c r="A2072" s="1" t="s">
        <v>2107</v>
      </c>
      <c r="B2072" s="1" t="s">
        <v>92</v>
      </c>
      <c r="C2072" s="1" t="n">
        <v>2560000</v>
      </c>
      <c r="D2072" s="1" t="n">
        <v>41730.1</v>
      </c>
      <c r="E2072" s="1" t="n">
        <v>0.0112</v>
      </c>
      <c r="F2072" s="1" t="n">
        <v>0.1866</v>
      </c>
    </row>
    <row r="2073" customFormat="false" ht="15" hidden="false" customHeight="false" outlineLevel="0" collapsed="false">
      <c r="A2073" s="1" t="s">
        <v>2108</v>
      </c>
      <c r="B2073" s="1" t="s">
        <v>26</v>
      </c>
      <c r="C2073" s="1" t="n">
        <v>1590000</v>
      </c>
      <c r="D2073" s="1" t="n">
        <v>193849.1</v>
      </c>
      <c r="E2073" s="1" t="n">
        <v>0.0239</v>
      </c>
      <c r="F2073" s="1" t="n">
        <v>0.0951</v>
      </c>
    </row>
    <row r="2074" customFormat="false" ht="15" hidden="false" customHeight="false" outlineLevel="0" collapsed="false">
      <c r="A2074" s="1" t="s">
        <v>2109</v>
      </c>
      <c r="B2074" s="1" t="s">
        <v>26</v>
      </c>
      <c r="C2074" s="1" t="n">
        <v>1570000</v>
      </c>
      <c r="D2074" s="1" t="n">
        <v>61722.5</v>
      </c>
      <c r="E2074" s="1" t="n">
        <v>0.0353</v>
      </c>
      <c r="F2074" s="1" t="n">
        <v>0.0409</v>
      </c>
    </row>
    <row r="2075" customFormat="false" ht="15" hidden="false" customHeight="false" outlineLevel="0" collapsed="false">
      <c r="A2075" s="1" t="s">
        <v>2110</v>
      </c>
      <c r="B2075" s="1" t="s">
        <v>26</v>
      </c>
      <c r="C2075" s="1" t="n">
        <v>1670000</v>
      </c>
      <c r="D2075" s="1" t="n">
        <v>848296.7</v>
      </c>
      <c r="E2075" s="1" t="n">
        <v>0.023</v>
      </c>
      <c r="F2075" s="1" t="n">
        <v>0.0409</v>
      </c>
    </row>
    <row r="2076" customFormat="false" ht="15" hidden="false" customHeight="false" outlineLevel="0" collapsed="false">
      <c r="A2076" s="1" t="s">
        <v>2111</v>
      </c>
      <c r="B2076" s="1" t="s">
        <v>21</v>
      </c>
      <c r="C2076" s="1" t="n">
        <v>1580000</v>
      </c>
      <c r="D2076" s="1" t="n">
        <v>942701.4</v>
      </c>
      <c r="E2076" s="1" t="n">
        <v>0.0316</v>
      </c>
      <c r="F2076" s="1" t="n">
        <v>0.0518</v>
      </c>
    </row>
    <row r="2077" customFormat="false" ht="15" hidden="false" customHeight="false" outlineLevel="0" collapsed="false">
      <c r="A2077" s="1" t="s">
        <v>2112</v>
      </c>
      <c r="B2077" s="1" t="s">
        <v>21</v>
      </c>
      <c r="C2077" s="1" t="n">
        <v>1920000</v>
      </c>
      <c r="D2077" s="1" t="n">
        <v>21237.5</v>
      </c>
      <c r="E2077" s="1" t="n">
        <v>0.0063</v>
      </c>
      <c r="F2077" s="1" t="n">
        <v>0.0654</v>
      </c>
    </row>
    <row r="2078" customFormat="false" ht="15" hidden="false" customHeight="false" outlineLevel="0" collapsed="false">
      <c r="A2078" s="1" t="s">
        <v>2113</v>
      </c>
      <c r="B2078" s="1" t="s">
        <v>41</v>
      </c>
      <c r="C2078" s="1" t="n">
        <v>1730000</v>
      </c>
      <c r="D2078" s="1" t="n">
        <v>2137</v>
      </c>
      <c r="E2078" s="1" t="n">
        <v>0.0374</v>
      </c>
      <c r="F2078" s="1" t="n">
        <v>0.057</v>
      </c>
    </row>
    <row r="2079" customFormat="false" ht="15" hidden="false" customHeight="false" outlineLevel="0" collapsed="false">
      <c r="A2079" s="1" t="s">
        <v>2114</v>
      </c>
      <c r="B2079" s="1" t="s">
        <v>53</v>
      </c>
      <c r="C2079" s="1" t="n">
        <v>1720000</v>
      </c>
      <c r="D2079" s="1" t="n">
        <v>9204.4</v>
      </c>
      <c r="E2079" s="1" t="n">
        <v>0.0288</v>
      </c>
      <c r="F2079" s="1" t="n">
        <v>0.051</v>
      </c>
    </row>
    <row r="2080" customFormat="false" ht="15" hidden="false" customHeight="false" outlineLevel="0" collapsed="false">
      <c r="A2080" s="1" t="s">
        <v>2115</v>
      </c>
      <c r="B2080" s="1" t="s">
        <v>92</v>
      </c>
      <c r="C2080" s="1" t="n">
        <v>2620000</v>
      </c>
      <c r="D2080" s="1" t="n">
        <v>83588.7</v>
      </c>
      <c r="E2080" s="1" t="n">
        <v>0.0288</v>
      </c>
      <c r="F2080" s="1" t="n">
        <v>0.0938</v>
      </c>
    </row>
    <row r="2081" customFormat="false" ht="15" hidden="false" customHeight="false" outlineLevel="0" collapsed="false">
      <c r="A2081" s="1" t="s">
        <v>2116</v>
      </c>
      <c r="B2081" s="1" t="s">
        <v>26</v>
      </c>
      <c r="C2081" s="1" t="n">
        <v>687000</v>
      </c>
      <c r="D2081" s="1" t="n">
        <v>18115.1</v>
      </c>
      <c r="E2081" s="1" t="n">
        <v>0.0178</v>
      </c>
      <c r="F2081" s="1" t="n">
        <v>0.0608</v>
      </c>
    </row>
    <row r="2082" customFormat="false" ht="15" hidden="false" customHeight="false" outlineLevel="0" collapsed="false">
      <c r="A2082" s="1" t="s">
        <v>2117</v>
      </c>
      <c r="B2082" s="1" t="s">
        <v>30</v>
      </c>
      <c r="C2082" s="1" t="n">
        <v>2920000</v>
      </c>
      <c r="D2082" s="1" t="n">
        <v>299364.8</v>
      </c>
      <c r="F2082" s="1" t="n">
        <v>0.0938</v>
      </c>
    </row>
    <row r="2083" customFormat="false" ht="15" hidden="false" customHeight="false" outlineLevel="0" collapsed="false">
      <c r="A2083" s="1" t="s">
        <v>2118</v>
      </c>
      <c r="B2083" s="1" t="s">
        <v>26</v>
      </c>
      <c r="C2083" s="1" t="n">
        <v>2800000</v>
      </c>
      <c r="D2083" s="1" t="n">
        <v>1020664.8</v>
      </c>
      <c r="E2083" s="1" t="n">
        <v>0.0563</v>
      </c>
      <c r="F2083" s="1" t="n">
        <v>0.0409</v>
      </c>
    </row>
    <row r="2084" customFormat="false" ht="15" hidden="false" customHeight="false" outlineLevel="0" collapsed="false">
      <c r="A2084" s="1" t="s">
        <v>2119</v>
      </c>
      <c r="B2084" s="1" t="s">
        <v>214</v>
      </c>
      <c r="C2084" s="1" t="n">
        <v>1500000</v>
      </c>
      <c r="D2084" s="1" t="n">
        <v>103987.4</v>
      </c>
      <c r="E2084" s="1" t="n">
        <v>0.0192</v>
      </c>
      <c r="F2084" s="1" t="n">
        <v>0.1067</v>
      </c>
    </row>
    <row r="2085" customFormat="false" ht="15" hidden="false" customHeight="false" outlineLevel="0" collapsed="false">
      <c r="A2085" s="1" t="s">
        <v>2120</v>
      </c>
      <c r="B2085" s="1" t="s">
        <v>41</v>
      </c>
      <c r="C2085" s="1" t="n">
        <v>2200000</v>
      </c>
      <c r="D2085" s="1" t="n">
        <v>911.4</v>
      </c>
      <c r="E2085" s="1" t="n">
        <v>0.0488</v>
      </c>
      <c r="F2085" s="1" t="n">
        <v>0.0938</v>
      </c>
    </row>
    <row r="2086" customFormat="false" ht="15" hidden="false" customHeight="false" outlineLevel="0" collapsed="false">
      <c r="A2086" s="1" t="s">
        <v>2121</v>
      </c>
      <c r="B2086" s="1" t="s">
        <v>41</v>
      </c>
      <c r="C2086" s="1" t="n">
        <v>1800000</v>
      </c>
      <c r="D2086" s="1" t="n">
        <v>5368.6</v>
      </c>
      <c r="E2086" s="1" t="n">
        <v>0.0276</v>
      </c>
      <c r="F2086" s="1" t="n">
        <v>0.0938</v>
      </c>
    </row>
    <row r="2087" customFormat="false" ht="15" hidden="false" customHeight="false" outlineLevel="0" collapsed="false">
      <c r="A2087" s="1" t="s">
        <v>2122</v>
      </c>
      <c r="B2087" s="1" t="s">
        <v>30</v>
      </c>
      <c r="C2087" s="1" t="n">
        <v>3320000</v>
      </c>
      <c r="D2087" s="1" t="n">
        <v>208909.6</v>
      </c>
      <c r="E2087" s="1" t="n">
        <v>0.0139</v>
      </c>
      <c r="F2087" s="1" t="n">
        <v>0.0854</v>
      </c>
    </row>
    <row r="2088" customFormat="false" ht="15" hidden="false" customHeight="false" outlineLevel="0" collapsed="false">
      <c r="A2088" s="1" t="s">
        <v>2123</v>
      </c>
      <c r="B2088" s="1" t="s">
        <v>41</v>
      </c>
      <c r="C2088" s="1" t="n">
        <v>1520000</v>
      </c>
      <c r="D2088" s="1" t="n">
        <v>19669.9</v>
      </c>
      <c r="E2088" s="1" t="n">
        <v>0.0147</v>
      </c>
      <c r="F2088" s="1" t="n">
        <v>0.1053</v>
      </c>
    </row>
    <row r="2089" customFormat="false" ht="15" hidden="false" customHeight="false" outlineLevel="0" collapsed="false">
      <c r="A2089" s="1" t="s">
        <v>2124</v>
      </c>
      <c r="B2089" s="1" t="s">
        <v>92</v>
      </c>
      <c r="C2089" s="1" t="n">
        <v>1780000</v>
      </c>
      <c r="D2089" s="1" t="n">
        <v>19578.8</v>
      </c>
      <c r="E2089" s="1" t="n">
        <v>0.0221</v>
      </c>
      <c r="F2089" s="1" t="n">
        <v>0.131</v>
      </c>
    </row>
    <row r="2090" customFormat="false" ht="15" hidden="false" customHeight="false" outlineLevel="0" collapsed="false">
      <c r="A2090" s="1" t="s">
        <v>2125</v>
      </c>
      <c r="B2090" s="1" t="s">
        <v>53</v>
      </c>
      <c r="C2090" s="1" t="n">
        <v>2050000</v>
      </c>
      <c r="D2090" s="1" t="n">
        <v>1285.5</v>
      </c>
      <c r="E2090" s="1" t="n">
        <v>0.0309</v>
      </c>
      <c r="F2090" s="1" t="n">
        <v>0.1387</v>
      </c>
    </row>
    <row r="2091" customFormat="false" ht="15" hidden="false" customHeight="false" outlineLevel="0" collapsed="false">
      <c r="A2091" s="1" t="s">
        <v>2126</v>
      </c>
      <c r="B2091" s="1" t="s">
        <v>92</v>
      </c>
      <c r="C2091" s="1" t="n">
        <v>1610000</v>
      </c>
      <c r="D2091" s="1" t="n">
        <v>124828.8</v>
      </c>
      <c r="E2091" s="1" t="n">
        <v>0.0185</v>
      </c>
      <c r="F2091" s="1" t="n">
        <v>0.1053</v>
      </c>
    </row>
    <row r="2092" customFormat="false" ht="15" hidden="false" customHeight="false" outlineLevel="0" collapsed="false">
      <c r="A2092" s="1" t="s">
        <v>2127</v>
      </c>
      <c r="B2092" s="1" t="s">
        <v>26</v>
      </c>
      <c r="C2092" s="1" t="n">
        <v>2010000</v>
      </c>
      <c r="D2092" s="1" t="n">
        <v>7821.8</v>
      </c>
      <c r="E2092" s="1" t="n">
        <v>0.0268</v>
      </c>
      <c r="F2092" s="1" t="n">
        <v>0.0938</v>
      </c>
    </row>
    <row r="2093" customFormat="false" ht="15" hidden="false" customHeight="false" outlineLevel="0" collapsed="false">
      <c r="A2093" s="1" t="s">
        <v>2128</v>
      </c>
      <c r="B2093" s="1" t="s">
        <v>92</v>
      </c>
      <c r="C2093" s="1" t="n">
        <v>1880000</v>
      </c>
      <c r="D2093" s="1" t="n">
        <v>36144.3</v>
      </c>
      <c r="E2093" s="1" t="n">
        <v>0.0158</v>
      </c>
      <c r="F2093" s="1" t="n">
        <v>0.0462</v>
      </c>
    </row>
    <row r="2094" customFormat="false" ht="15" hidden="false" customHeight="false" outlineLevel="0" collapsed="false">
      <c r="A2094" s="1" t="s">
        <v>2129</v>
      </c>
      <c r="B2094" s="1" t="s">
        <v>24</v>
      </c>
      <c r="C2094" s="1" t="n">
        <v>2000000</v>
      </c>
      <c r="D2094" s="1" t="n">
        <v>3095.5</v>
      </c>
      <c r="E2094" s="1" t="n">
        <v>0.015</v>
      </c>
      <c r="F2094" s="1" t="n">
        <v>0.0576</v>
      </c>
    </row>
    <row r="2095" customFormat="false" ht="15" hidden="false" customHeight="false" outlineLevel="0" collapsed="false">
      <c r="A2095" s="1" t="s">
        <v>2130</v>
      </c>
      <c r="B2095" s="1" t="s">
        <v>41</v>
      </c>
      <c r="C2095" s="1" t="n">
        <v>2110000</v>
      </c>
      <c r="D2095" s="1" t="n">
        <v>4369</v>
      </c>
      <c r="E2095" s="1" t="n">
        <v>0.0207</v>
      </c>
      <c r="F2095" s="1" t="n">
        <v>0.0938</v>
      </c>
    </row>
    <row r="2096" customFormat="false" ht="15" hidden="false" customHeight="false" outlineLevel="0" collapsed="false">
      <c r="A2096" s="1" t="s">
        <v>2131</v>
      </c>
      <c r="B2096" s="1" t="s">
        <v>50</v>
      </c>
      <c r="C2096" s="1" t="n">
        <v>1440000</v>
      </c>
      <c r="D2096" s="1" t="n">
        <v>396.3</v>
      </c>
      <c r="E2096" s="1" t="n">
        <v>0.0058</v>
      </c>
      <c r="F2096" s="1" t="n">
        <v>0.0822</v>
      </c>
    </row>
    <row r="2097" customFormat="false" ht="15" hidden="false" customHeight="false" outlineLevel="0" collapsed="false">
      <c r="A2097" s="1" t="s">
        <v>2132</v>
      </c>
      <c r="B2097" s="1" t="s">
        <v>53</v>
      </c>
      <c r="C2097" s="1" t="n">
        <v>2470000</v>
      </c>
      <c r="D2097" s="1" t="n">
        <v>12328.7</v>
      </c>
      <c r="E2097" s="1" t="n">
        <v>0.0098</v>
      </c>
      <c r="F2097" s="1" t="n">
        <v>0.0654</v>
      </c>
    </row>
    <row r="2098" customFormat="false" ht="15" hidden="false" customHeight="false" outlineLevel="0" collapsed="false">
      <c r="A2098" s="1" t="s">
        <v>2133</v>
      </c>
      <c r="B2098" s="1" t="s">
        <v>50</v>
      </c>
      <c r="C2098" s="1" t="n">
        <v>1520000</v>
      </c>
      <c r="D2098" s="1" t="n">
        <v>16458.4</v>
      </c>
      <c r="E2098" s="1" t="n">
        <v>0.0651</v>
      </c>
      <c r="F2098" s="1" t="n">
        <v>0.0759</v>
      </c>
    </row>
    <row r="2099" customFormat="false" ht="15" hidden="false" customHeight="false" outlineLevel="0" collapsed="false">
      <c r="A2099" s="1" t="s">
        <v>2134</v>
      </c>
      <c r="B2099" s="1" t="s">
        <v>26</v>
      </c>
      <c r="C2099" s="1" t="n">
        <v>1680000</v>
      </c>
      <c r="D2099" s="1" t="n">
        <v>2247.7</v>
      </c>
      <c r="E2099" s="1" t="n">
        <v>0.0232</v>
      </c>
      <c r="F2099" s="1" t="n">
        <v>0.0938</v>
      </c>
    </row>
    <row r="2100" customFormat="false" ht="15" hidden="false" customHeight="false" outlineLevel="0" collapsed="false">
      <c r="A2100" s="1" t="s">
        <v>2135</v>
      </c>
      <c r="B2100" s="1" t="s">
        <v>81</v>
      </c>
      <c r="C2100" s="1" t="n">
        <v>2430000</v>
      </c>
      <c r="D2100" s="1" t="n">
        <v>24520.7</v>
      </c>
      <c r="F2100" s="1" t="n">
        <v>0.051</v>
      </c>
    </row>
    <row r="2101" customFormat="false" ht="15" hidden="false" customHeight="false" outlineLevel="0" collapsed="false">
      <c r="A2101" s="1" t="s">
        <v>2136</v>
      </c>
      <c r="B2101" s="1" t="s">
        <v>88</v>
      </c>
      <c r="C2101" s="1" t="n">
        <v>1820000</v>
      </c>
      <c r="D2101" s="1" t="n">
        <v>5151.6</v>
      </c>
      <c r="E2101" s="1" t="n">
        <v>0.0328</v>
      </c>
      <c r="F2101" s="1" t="n">
        <v>0.0759</v>
      </c>
    </row>
    <row r="2102" customFormat="false" ht="15" hidden="false" customHeight="false" outlineLevel="0" collapsed="false">
      <c r="A2102" s="1" t="s">
        <v>2137</v>
      </c>
      <c r="B2102" s="1" t="s">
        <v>26</v>
      </c>
      <c r="C2102" s="1" t="n">
        <v>1970000</v>
      </c>
      <c r="D2102" s="1" t="n">
        <v>19744.4</v>
      </c>
      <c r="E2102" s="1" t="n">
        <v>0.0166</v>
      </c>
      <c r="F2102" s="1" t="n">
        <v>0.0462</v>
      </c>
    </row>
    <row r="2103" customFormat="false" ht="15" hidden="false" customHeight="false" outlineLevel="0" collapsed="false">
      <c r="A2103" s="1" t="s">
        <v>2138</v>
      </c>
      <c r="B2103" s="1" t="s">
        <v>71</v>
      </c>
      <c r="C2103" s="1" t="n">
        <v>1500000</v>
      </c>
      <c r="D2103" s="1" t="n">
        <v>2123.3</v>
      </c>
      <c r="E2103" s="1" t="n">
        <v>0.0327</v>
      </c>
      <c r="F2103" s="1" t="n">
        <v>0.0938</v>
      </c>
    </row>
    <row r="2104" customFormat="false" ht="15" hidden="false" customHeight="false" outlineLevel="0" collapsed="false">
      <c r="A2104" s="1" t="s">
        <v>2139</v>
      </c>
      <c r="B2104" s="1" t="s">
        <v>26</v>
      </c>
      <c r="C2104" s="1" t="n">
        <v>1340000</v>
      </c>
      <c r="D2104" s="1" t="n">
        <v>2759665</v>
      </c>
      <c r="E2104" s="1" t="n">
        <v>0.0331</v>
      </c>
      <c r="F2104" s="1" t="n">
        <v>0.0518</v>
      </c>
    </row>
    <row r="2105" customFormat="false" ht="15" hidden="false" customHeight="false" outlineLevel="0" collapsed="false">
      <c r="A2105" s="1" t="s">
        <v>2140</v>
      </c>
      <c r="B2105" s="1" t="s">
        <v>214</v>
      </c>
      <c r="C2105" s="1" t="n">
        <v>1480000</v>
      </c>
      <c r="D2105" s="1" t="n">
        <v>22909.5</v>
      </c>
      <c r="E2105" s="1" t="n">
        <v>0.0229</v>
      </c>
      <c r="F2105" s="1" t="n">
        <v>0.0951</v>
      </c>
    </row>
    <row r="2106" customFormat="false" ht="15" hidden="false" customHeight="false" outlineLevel="0" collapsed="false">
      <c r="A2106" s="1" t="s">
        <v>2141</v>
      </c>
      <c r="B2106" s="1" t="s">
        <v>92</v>
      </c>
      <c r="C2106" s="1" t="n">
        <v>1460000</v>
      </c>
      <c r="D2106" s="1" t="n">
        <v>3178.3</v>
      </c>
      <c r="E2106" s="1" t="n">
        <v>0.0485</v>
      </c>
      <c r="F2106" s="1" t="n">
        <v>0.1241</v>
      </c>
    </row>
    <row r="2107" customFormat="false" ht="15" hidden="false" customHeight="false" outlineLevel="0" collapsed="false">
      <c r="A2107" s="1" t="s">
        <v>2142</v>
      </c>
      <c r="B2107" s="1" t="s">
        <v>41</v>
      </c>
      <c r="C2107" s="1" t="n">
        <v>1710000</v>
      </c>
      <c r="D2107" s="1" t="n">
        <v>2070.2</v>
      </c>
      <c r="E2107" s="1" t="n">
        <v>0.0263</v>
      </c>
      <c r="F2107" s="1" t="n">
        <v>0.051</v>
      </c>
    </row>
    <row r="2108" customFormat="false" ht="15" hidden="false" customHeight="false" outlineLevel="0" collapsed="false">
      <c r="A2108" s="1" t="s">
        <v>2143</v>
      </c>
      <c r="B2108" s="1" t="s">
        <v>92</v>
      </c>
      <c r="C2108" s="1" t="n">
        <v>1610000</v>
      </c>
      <c r="D2108" s="1" t="n">
        <v>10405.8</v>
      </c>
      <c r="E2108" s="1" t="n">
        <v>0.0289</v>
      </c>
      <c r="F2108" s="1" t="n">
        <v>0.0759</v>
      </c>
    </row>
    <row r="2109" customFormat="false" ht="15" hidden="false" customHeight="false" outlineLevel="0" collapsed="false">
      <c r="A2109" s="1" t="s">
        <v>2144</v>
      </c>
      <c r="B2109" s="1" t="s">
        <v>50</v>
      </c>
      <c r="C2109" s="1" t="n">
        <v>2190000</v>
      </c>
      <c r="D2109" s="1" t="n">
        <v>267500.2</v>
      </c>
      <c r="E2109" s="1" t="n">
        <v>0.0395</v>
      </c>
      <c r="F2109" s="1" t="n">
        <v>0.0759</v>
      </c>
    </row>
    <row r="2110" customFormat="false" ht="15" hidden="false" customHeight="false" outlineLevel="0" collapsed="false">
      <c r="A2110" s="1" t="s">
        <v>2145</v>
      </c>
      <c r="B2110" s="1" t="s">
        <v>21</v>
      </c>
      <c r="C2110" s="1" t="n">
        <v>1620000</v>
      </c>
      <c r="D2110" s="1" t="n">
        <v>466019.5</v>
      </c>
      <c r="E2110" s="1" t="n">
        <v>0.0328</v>
      </c>
      <c r="F2110" s="1" t="n">
        <v>0.0951</v>
      </c>
    </row>
    <row r="2111" customFormat="false" ht="15" hidden="false" customHeight="false" outlineLevel="0" collapsed="false">
      <c r="A2111" s="1" t="s">
        <v>2146</v>
      </c>
      <c r="B2111" s="1" t="s">
        <v>287</v>
      </c>
      <c r="C2111" s="1" t="n">
        <v>1680000</v>
      </c>
      <c r="D2111" s="1" t="n">
        <v>3875.3</v>
      </c>
      <c r="E2111" s="1" t="n">
        <v>0.018</v>
      </c>
      <c r="F2111" s="1" t="n">
        <v>0.0462</v>
      </c>
    </row>
    <row r="2112" customFormat="false" ht="15" hidden="false" customHeight="false" outlineLevel="0" collapsed="false">
      <c r="A2112" s="1" t="s">
        <v>2147</v>
      </c>
      <c r="B2112" s="1" t="s">
        <v>26</v>
      </c>
      <c r="C2112" s="1" t="n">
        <v>1290000</v>
      </c>
      <c r="D2112" s="1" t="n">
        <v>4524.8</v>
      </c>
      <c r="F2112" s="1" t="n">
        <v>0.0518</v>
      </c>
    </row>
    <row r="2113" customFormat="false" ht="15" hidden="false" customHeight="false" outlineLevel="0" collapsed="false">
      <c r="A2113" s="1" t="s">
        <v>2148</v>
      </c>
      <c r="B2113" s="1" t="s">
        <v>62</v>
      </c>
      <c r="C2113" s="1" t="n">
        <v>1700000</v>
      </c>
      <c r="D2113" s="1" t="n">
        <v>11057.8</v>
      </c>
      <c r="E2113" s="1" t="n">
        <v>0.0328</v>
      </c>
      <c r="F2113" s="1" t="n">
        <v>0.0759</v>
      </c>
    </row>
    <row r="2114" customFormat="false" ht="15" hidden="false" customHeight="false" outlineLevel="0" collapsed="false">
      <c r="A2114" s="1" t="s">
        <v>2149</v>
      </c>
      <c r="B2114" s="1" t="s">
        <v>26</v>
      </c>
      <c r="C2114" s="1" t="n">
        <v>1450000</v>
      </c>
      <c r="D2114" s="1" t="n">
        <v>1637.6</v>
      </c>
      <c r="E2114" s="1" t="n">
        <v>0.0191</v>
      </c>
      <c r="F2114" s="1" t="n">
        <v>0.1053</v>
      </c>
    </row>
    <row r="2115" customFormat="false" ht="15" hidden="false" customHeight="false" outlineLevel="0" collapsed="false">
      <c r="A2115" s="1" t="s">
        <v>2150</v>
      </c>
      <c r="B2115" s="1" t="s">
        <v>53</v>
      </c>
      <c r="C2115" s="1" t="n">
        <v>1480000</v>
      </c>
      <c r="D2115" s="1" t="n">
        <v>2368.9</v>
      </c>
      <c r="E2115" s="1" t="n">
        <v>0.0305</v>
      </c>
      <c r="F2115" s="1" t="n">
        <v>0.0759</v>
      </c>
    </row>
    <row r="2116" customFormat="false" ht="15" hidden="false" customHeight="false" outlineLevel="0" collapsed="false">
      <c r="A2116" s="1" t="s">
        <v>2151</v>
      </c>
      <c r="B2116" s="1" t="s">
        <v>62</v>
      </c>
      <c r="C2116" s="1" t="n">
        <v>2590000</v>
      </c>
      <c r="D2116" s="1" t="n">
        <v>147422.8</v>
      </c>
      <c r="E2116" s="1" t="n">
        <v>0.0489</v>
      </c>
      <c r="F2116" s="1" t="n">
        <v>0.0759</v>
      </c>
    </row>
    <row r="2117" customFormat="false" ht="15" hidden="false" customHeight="false" outlineLevel="0" collapsed="false">
      <c r="A2117" s="1" t="s">
        <v>2152</v>
      </c>
      <c r="B2117" s="1" t="s">
        <v>35</v>
      </c>
      <c r="C2117" s="1" t="n">
        <v>1840000</v>
      </c>
      <c r="D2117" s="1" t="n">
        <v>40380.2</v>
      </c>
      <c r="E2117" s="1" t="n">
        <v>0.056</v>
      </c>
      <c r="F2117" s="1" t="n">
        <v>0.0759</v>
      </c>
    </row>
    <row r="2118" customFormat="false" ht="15" hidden="false" customHeight="false" outlineLevel="0" collapsed="false">
      <c r="A2118" s="1" t="s">
        <v>2153</v>
      </c>
      <c r="B2118" s="1" t="s">
        <v>195</v>
      </c>
      <c r="C2118" s="1" t="n">
        <v>1390000</v>
      </c>
      <c r="D2118" s="1" t="n">
        <v>1725.9</v>
      </c>
      <c r="E2118" s="1" t="n">
        <v>0.0207</v>
      </c>
      <c r="F2118" s="1" t="n">
        <v>0.0546</v>
      </c>
    </row>
    <row r="2119" customFormat="false" ht="15" hidden="false" customHeight="false" outlineLevel="0" collapsed="false">
      <c r="A2119" s="1" t="s">
        <v>2154</v>
      </c>
      <c r="B2119" s="1" t="s">
        <v>21</v>
      </c>
      <c r="C2119" s="1" t="n">
        <v>1810000</v>
      </c>
      <c r="D2119" s="1" t="n">
        <v>315917.3</v>
      </c>
      <c r="E2119" s="1" t="n">
        <v>0.0103</v>
      </c>
      <c r="F2119" s="1" t="n">
        <v>0.0689</v>
      </c>
    </row>
    <row r="2120" customFormat="false" ht="15" hidden="false" customHeight="false" outlineLevel="0" collapsed="false">
      <c r="A2120" s="1" t="s">
        <v>2155</v>
      </c>
      <c r="B2120" s="1" t="s">
        <v>30</v>
      </c>
      <c r="C2120" s="1" t="n">
        <v>1690000</v>
      </c>
      <c r="D2120" s="1" t="n">
        <v>1425780.5</v>
      </c>
      <c r="E2120" s="1" t="n">
        <v>0.0014</v>
      </c>
      <c r="F2120" s="1" t="n">
        <v>0.0654</v>
      </c>
    </row>
    <row r="2121" customFormat="false" ht="15" hidden="false" customHeight="false" outlineLevel="0" collapsed="false">
      <c r="A2121" s="1" t="s">
        <v>2156</v>
      </c>
      <c r="B2121" s="1" t="s">
        <v>53</v>
      </c>
      <c r="C2121" s="1" t="n">
        <v>2200000</v>
      </c>
      <c r="D2121" s="1" t="n">
        <v>1500.6</v>
      </c>
      <c r="E2121" s="1" t="n">
        <v>0.0029</v>
      </c>
      <c r="F2121" s="1" t="n">
        <v>0.168</v>
      </c>
    </row>
    <row r="2122" customFormat="false" ht="15" hidden="false" customHeight="false" outlineLevel="0" collapsed="false">
      <c r="A2122" s="1" t="s">
        <v>2157</v>
      </c>
      <c r="B2122" s="1" t="s">
        <v>92</v>
      </c>
      <c r="C2122" s="1" t="n">
        <v>1480000</v>
      </c>
      <c r="D2122" s="1" t="n">
        <v>2407.9</v>
      </c>
      <c r="E2122" s="1" t="n">
        <v>0.0433</v>
      </c>
      <c r="F2122" s="1" t="n">
        <v>0.0759</v>
      </c>
    </row>
    <row r="2123" customFormat="false" ht="15" hidden="false" customHeight="false" outlineLevel="0" collapsed="false">
      <c r="A2123" s="1" t="s">
        <v>2158</v>
      </c>
      <c r="B2123" s="1" t="s">
        <v>41</v>
      </c>
      <c r="C2123" s="1" t="n">
        <v>1720000</v>
      </c>
      <c r="D2123" s="1" t="n">
        <v>63471</v>
      </c>
      <c r="E2123" s="1" t="n">
        <v>0.0975</v>
      </c>
      <c r="F2123" s="1" t="n">
        <v>0.0759</v>
      </c>
    </row>
    <row r="2124" customFormat="false" ht="15" hidden="false" customHeight="false" outlineLevel="0" collapsed="false">
      <c r="A2124" s="1" t="s">
        <v>2159</v>
      </c>
      <c r="B2124" s="1" t="s">
        <v>30</v>
      </c>
      <c r="C2124" s="1" t="n">
        <v>957000</v>
      </c>
      <c r="D2124" s="1" t="n">
        <v>257686.7</v>
      </c>
      <c r="E2124" s="1" t="n">
        <v>0.0318</v>
      </c>
      <c r="F2124" s="1" t="n">
        <v>0.0546</v>
      </c>
    </row>
    <row r="2125" customFormat="false" ht="15" hidden="false" customHeight="false" outlineLevel="0" collapsed="false">
      <c r="A2125" s="1" t="s">
        <v>2160</v>
      </c>
      <c r="B2125" s="1" t="s">
        <v>74</v>
      </c>
      <c r="C2125" s="1" t="n">
        <v>1390000</v>
      </c>
      <c r="D2125" s="1" t="n">
        <v>129631.8</v>
      </c>
      <c r="E2125" s="1" t="n">
        <v>0.0549</v>
      </c>
      <c r="F2125" s="1" t="n">
        <v>0.0951</v>
      </c>
    </row>
    <row r="2126" customFormat="false" ht="15" hidden="false" customHeight="false" outlineLevel="0" collapsed="false">
      <c r="A2126" s="1" t="s">
        <v>2161</v>
      </c>
      <c r="B2126" s="1" t="s">
        <v>26</v>
      </c>
      <c r="C2126" s="1" t="n">
        <v>1400000</v>
      </c>
      <c r="D2126" s="1" t="n">
        <v>73119.3</v>
      </c>
      <c r="F2126" s="1" t="n">
        <v>0.0951</v>
      </c>
    </row>
    <row r="2127" customFormat="false" ht="15" hidden="false" customHeight="false" outlineLevel="0" collapsed="false">
      <c r="A2127" s="1" t="s">
        <v>2162</v>
      </c>
      <c r="B2127" s="1" t="s">
        <v>26</v>
      </c>
      <c r="C2127" s="1" t="n">
        <v>1730000</v>
      </c>
      <c r="D2127" s="1" t="n">
        <v>115500.3</v>
      </c>
      <c r="E2127" s="1" t="n">
        <v>0.0224</v>
      </c>
      <c r="F2127" s="1" t="n">
        <v>0.0938</v>
      </c>
    </row>
    <row r="2128" customFormat="false" ht="15" hidden="false" customHeight="false" outlineLevel="0" collapsed="false">
      <c r="A2128" s="1" t="s">
        <v>2163</v>
      </c>
      <c r="B2128" s="1" t="s">
        <v>26</v>
      </c>
      <c r="C2128" s="1" t="n">
        <v>1800000</v>
      </c>
      <c r="D2128" s="1" t="n">
        <v>14442.8</v>
      </c>
      <c r="E2128" s="1" t="n">
        <v>0.0047</v>
      </c>
      <c r="F2128" s="1" t="n">
        <v>0.0822</v>
      </c>
    </row>
    <row r="2129" customFormat="false" ht="15" hidden="false" customHeight="false" outlineLevel="0" collapsed="false">
      <c r="A2129" s="1" t="s">
        <v>2164</v>
      </c>
      <c r="B2129" s="1" t="s">
        <v>62</v>
      </c>
      <c r="C2129" s="1" t="n">
        <v>1680000</v>
      </c>
      <c r="D2129" s="1" t="n">
        <v>21967.2</v>
      </c>
      <c r="E2129" s="1" t="n">
        <v>0.029</v>
      </c>
      <c r="F2129" s="1" t="n">
        <v>0.0845</v>
      </c>
    </row>
    <row r="2130" customFormat="false" ht="15" hidden="false" customHeight="false" outlineLevel="0" collapsed="false">
      <c r="A2130" s="1" t="s">
        <v>2165</v>
      </c>
      <c r="B2130" s="1" t="s">
        <v>88</v>
      </c>
      <c r="C2130" s="1" t="n">
        <v>1900000</v>
      </c>
      <c r="D2130" s="1" t="n">
        <v>907</v>
      </c>
      <c r="E2130" s="1" t="n">
        <v>0.0905</v>
      </c>
      <c r="F2130" s="1" t="n">
        <v>0.0938</v>
      </c>
    </row>
    <row r="2131" customFormat="false" ht="15" hidden="false" customHeight="false" outlineLevel="0" collapsed="false">
      <c r="A2131" s="1" t="s">
        <v>2166</v>
      </c>
      <c r="B2131" s="1" t="s">
        <v>26</v>
      </c>
      <c r="C2131" s="1" t="n">
        <v>2230000</v>
      </c>
      <c r="D2131" s="1" t="n">
        <v>130313.8</v>
      </c>
      <c r="E2131" s="1" t="n">
        <v>0.031</v>
      </c>
      <c r="F2131" s="1" t="n">
        <v>0.0409</v>
      </c>
    </row>
    <row r="2132" customFormat="false" ht="15" hidden="false" customHeight="false" outlineLevel="0" collapsed="false">
      <c r="A2132" s="1" t="s">
        <v>2167</v>
      </c>
      <c r="B2132" s="1" t="s">
        <v>24</v>
      </c>
      <c r="C2132" s="1" t="n">
        <v>910000</v>
      </c>
      <c r="D2132" s="1" t="n">
        <v>1092</v>
      </c>
      <c r="E2132" s="1" t="n">
        <v>0.0364</v>
      </c>
      <c r="F2132" s="1" t="n">
        <v>0.051</v>
      </c>
    </row>
    <row r="2133" customFormat="false" ht="15" hidden="false" customHeight="false" outlineLevel="0" collapsed="false">
      <c r="A2133" s="1" t="s">
        <v>2168</v>
      </c>
      <c r="B2133" s="1" t="s">
        <v>41</v>
      </c>
      <c r="C2133" s="1" t="n">
        <v>2080000</v>
      </c>
      <c r="D2133" s="1" t="n">
        <v>24446.6</v>
      </c>
      <c r="E2133" s="1" t="n">
        <v>0.0558</v>
      </c>
      <c r="F2133" s="1" t="n">
        <v>0.0938</v>
      </c>
    </row>
    <row r="2134" customFormat="false" ht="15" hidden="false" customHeight="false" outlineLevel="0" collapsed="false">
      <c r="A2134" s="1" t="s">
        <v>2169</v>
      </c>
      <c r="B2134" s="1" t="s">
        <v>92</v>
      </c>
      <c r="C2134" s="1" t="n">
        <v>1470000</v>
      </c>
      <c r="D2134" s="1" t="n">
        <v>3922.1</v>
      </c>
      <c r="E2134" s="1" t="n">
        <v>0.0157</v>
      </c>
      <c r="F2134" s="1" t="n">
        <v>0.1067</v>
      </c>
    </row>
    <row r="2135" customFormat="false" ht="15" hidden="false" customHeight="false" outlineLevel="0" collapsed="false">
      <c r="A2135" s="1" t="s">
        <v>2170</v>
      </c>
      <c r="B2135" s="1" t="s">
        <v>26</v>
      </c>
      <c r="C2135" s="1" t="n">
        <v>1870000</v>
      </c>
      <c r="D2135" s="1" t="n">
        <v>245247.4</v>
      </c>
      <c r="E2135" s="1" t="n">
        <v>0.0459</v>
      </c>
      <c r="F2135" s="1" t="n">
        <v>0.0951</v>
      </c>
    </row>
    <row r="2136" customFormat="false" ht="15" hidden="false" customHeight="false" outlineLevel="0" collapsed="false">
      <c r="A2136" s="1" t="s">
        <v>2171</v>
      </c>
      <c r="B2136" s="1" t="s">
        <v>74</v>
      </c>
      <c r="C2136" s="1" t="n">
        <v>1470000</v>
      </c>
      <c r="D2136" s="1" t="n">
        <v>2212.9</v>
      </c>
      <c r="E2136" s="1" t="n">
        <v>0.0395</v>
      </c>
      <c r="F2136" s="1" t="n">
        <v>0.0759</v>
      </c>
    </row>
    <row r="2137" customFormat="false" ht="15" hidden="false" customHeight="false" outlineLevel="0" collapsed="false">
      <c r="A2137" s="1" t="s">
        <v>2172</v>
      </c>
      <c r="B2137" s="1" t="s">
        <v>41</v>
      </c>
      <c r="C2137" s="1" t="n">
        <v>1450000</v>
      </c>
      <c r="D2137" s="1" t="n">
        <v>13127.3</v>
      </c>
      <c r="E2137" s="1" t="n">
        <v>0.0663</v>
      </c>
      <c r="F2137" s="1" t="n">
        <v>0.0938</v>
      </c>
    </row>
    <row r="2138" customFormat="false" ht="15" hidden="false" customHeight="false" outlineLevel="0" collapsed="false">
      <c r="A2138" s="1" t="s">
        <v>2173</v>
      </c>
      <c r="B2138" s="1" t="s">
        <v>30</v>
      </c>
      <c r="C2138" s="1" t="n">
        <v>1740000</v>
      </c>
      <c r="D2138" s="1" t="n">
        <v>97783.8</v>
      </c>
      <c r="E2138" s="1" t="n">
        <v>0.0064</v>
      </c>
      <c r="F2138" s="1" t="n">
        <v>0.0811</v>
      </c>
    </row>
    <row r="2139" customFormat="false" ht="15" hidden="false" customHeight="false" outlineLevel="0" collapsed="false">
      <c r="A2139" s="1" t="s">
        <v>2174</v>
      </c>
      <c r="B2139" s="1" t="s">
        <v>32</v>
      </c>
      <c r="C2139" s="1" t="n">
        <v>1930000</v>
      </c>
      <c r="D2139" s="1" t="n">
        <v>57918</v>
      </c>
      <c r="E2139" s="1" t="n">
        <v>0.021</v>
      </c>
      <c r="F2139" s="1" t="n">
        <v>0.3301</v>
      </c>
    </row>
    <row r="2140" customFormat="false" ht="15" hidden="false" customHeight="false" outlineLevel="0" collapsed="false">
      <c r="A2140" s="1" t="s">
        <v>2175</v>
      </c>
      <c r="B2140" s="1" t="s">
        <v>41</v>
      </c>
      <c r="C2140" s="1" t="n">
        <v>1830000</v>
      </c>
      <c r="D2140" s="1" t="n">
        <v>12984.7</v>
      </c>
      <c r="E2140" s="1" t="n">
        <v>0.0193</v>
      </c>
      <c r="F2140" s="1" t="n">
        <v>0.1053</v>
      </c>
    </row>
    <row r="2141" customFormat="false" ht="15" hidden="false" customHeight="false" outlineLevel="0" collapsed="false">
      <c r="A2141" s="1" t="s">
        <v>2176</v>
      </c>
      <c r="B2141" s="1" t="s">
        <v>26</v>
      </c>
      <c r="C2141" s="1" t="n">
        <v>1440000</v>
      </c>
      <c r="D2141" s="1" t="n">
        <v>1427.7</v>
      </c>
      <c r="E2141" s="1" t="n">
        <v>0.0644</v>
      </c>
      <c r="F2141" s="1" t="n">
        <v>0.1108</v>
      </c>
    </row>
    <row r="2142" customFormat="false" ht="15" hidden="false" customHeight="false" outlineLevel="0" collapsed="false">
      <c r="A2142" s="1" t="s">
        <v>2177</v>
      </c>
      <c r="B2142" s="1" t="s">
        <v>214</v>
      </c>
      <c r="C2142" s="1" t="n">
        <v>2270000</v>
      </c>
      <c r="D2142" s="1" t="n">
        <v>248906.2</v>
      </c>
      <c r="E2142" s="1" t="n">
        <v>0.0397</v>
      </c>
      <c r="F2142" s="1" t="n">
        <v>0.051</v>
      </c>
    </row>
    <row r="2143" customFormat="false" ht="15" hidden="false" customHeight="false" outlineLevel="0" collapsed="false">
      <c r="A2143" s="1" t="s">
        <v>2178</v>
      </c>
      <c r="B2143" s="1" t="s">
        <v>26</v>
      </c>
      <c r="C2143" s="1" t="n">
        <v>1630000</v>
      </c>
      <c r="D2143" s="1" t="n">
        <v>350.8</v>
      </c>
      <c r="E2143" s="1" t="n">
        <v>0.0061</v>
      </c>
      <c r="F2143" s="1" t="n">
        <v>0.0811</v>
      </c>
    </row>
    <row r="2144" customFormat="false" ht="15" hidden="false" customHeight="false" outlineLevel="0" collapsed="false">
      <c r="A2144" s="1" t="s">
        <v>2179</v>
      </c>
      <c r="B2144" s="1" t="s">
        <v>92</v>
      </c>
      <c r="C2144" s="1" t="n">
        <v>1510000</v>
      </c>
      <c r="D2144" s="1" t="n">
        <v>246858.3</v>
      </c>
      <c r="E2144" s="1" t="n">
        <v>0.0243</v>
      </c>
      <c r="F2144" s="1" t="n">
        <v>0.0951</v>
      </c>
    </row>
    <row r="2145" customFormat="false" ht="15" hidden="false" customHeight="false" outlineLevel="0" collapsed="false">
      <c r="A2145" s="1" t="s">
        <v>2180</v>
      </c>
      <c r="B2145" s="1" t="s">
        <v>88</v>
      </c>
      <c r="C2145" s="1" t="n">
        <v>2830000</v>
      </c>
      <c r="D2145" s="1" t="n">
        <v>99335.7</v>
      </c>
      <c r="E2145" s="1" t="n">
        <v>0.0112</v>
      </c>
      <c r="F2145" s="1" t="n">
        <v>0.0726</v>
      </c>
    </row>
    <row r="2146" customFormat="false" ht="15" hidden="false" customHeight="false" outlineLevel="0" collapsed="false">
      <c r="A2146" s="1" t="s">
        <v>2181</v>
      </c>
      <c r="B2146" s="1" t="s">
        <v>26</v>
      </c>
      <c r="C2146" s="1" t="n">
        <v>1690000</v>
      </c>
      <c r="D2146" s="1" t="n">
        <v>102555.3</v>
      </c>
      <c r="E2146" s="1" t="n">
        <v>0.0516</v>
      </c>
      <c r="F2146" s="1" t="n">
        <v>0.0518</v>
      </c>
    </row>
    <row r="2147" customFormat="false" ht="15" hidden="false" customHeight="false" outlineLevel="0" collapsed="false">
      <c r="A2147" s="1" t="s">
        <v>2182</v>
      </c>
      <c r="B2147" s="1" t="s">
        <v>88</v>
      </c>
      <c r="C2147" s="1" t="n">
        <v>1440000</v>
      </c>
      <c r="D2147" s="1" t="n">
        <v>14032.6</v>
      </c>
      <c r="E2147" s="1" t="n">
        <v>0.0358</v>
      </c>
      <c r="F2147" s="1" t="n">
        <v>0.0759</v>
      </c>
    </row>
    <row r="2148" customFormat="false" ht="15" hidden="false" customHeight="false" outlineLevel="0" collapsed="false">
      <c r="A2148" s="1" t="s">
        <v>2183</v>
      </c>
      <c r="B2148" s="1" t="s">
        <v>26</v>
      </c>
      <c r="C2148" s="1" t="n">
        <v>1890000</v>
      </c>
      <c r="D2148" s="1" t="n">
        <v>702.2</v>
      </c>
      <c r="E2148" s="1" t="n">
        <v>0.0145</v>
      </c>
      <c r="F2148" s="1" t="n">
        <v>0.0576</v>
      </c>
    </row>
    <row r="2149" customFormat="false" ht="15" hidden="false" customHeight="false" outlineLevel="0" collapsed="false">
      <c r="A2149" s="1" t="s">
        <v>2184</v>
      </c>
      <c r="B2149" s="1" t="s">
        <v>26</v>
      </c>
      <c r="C2149" s="1" t="n">
        <v>1770000</v>
      </c>
      <c r="D2149" s="1" t="n">
        <v>29686</v>
      </c>
      <c r="E2149" s="1" t="n">
        <v>0.0937</v>
      </c>
      <c r="F2149" s="1" t="n">
        <v>0.0951</v>
      </c>
    </row>
    <row r="2150" customFormat="false" ht="15" hidden="false" customHeight="false" outlineLevel="0" collapsed="false">
      <c r="A2150" s="1" t="s">
        <v>2185</v>
      </c>
      <c r="B2150" s="1" t="s">
        <v>74</v>
      </c>
      <c r="C2150" s="1" t="n">
        <v>1690000</v>
      </c>
      <c r="D2150" s="1" t="n">
        <v>27914.6</v>
      </c>
      <c r="E2150" s="1" t="n">
        <v>0.0333</v>
      </c>
      <c r="F2150" s="1" t="n">
        <v>0.0951</v>
      </c>
    </row>
    <row r="2151" customFormat="false" ht="15" hidden="false" customHeight="false" outlineLevel="0" collapsed="false">
      <c r="A2151" s="1" t="s">
        <v>2186</v>
      </c>
      <c r="B2151" s="1" t="s">
        <v>92</v>
      </c>
      <c r="C2151" s="1" t="n">
        <v>1450000</v>
      </c>
      <c r="D2151" s="1" t="n">
        <v>8172.6</v>
      </c>
      <c r="E2151" s="1" t="n">
        <v>0.023</v>
      </c>
      <c r="F2151" s="1" t="n">
        <v>0.1067</v>
      </c>
    </row>
    <row r="2152" customFormat="false" ht="15" hidden="false" customHeight="false" outlineLevel="0" collapsed="false">
      <c r="A2152" s="1" t="s">
        <v>2187</v>
      </c>
      <c r="B2152" s="1" t="s">
        <v>26</v>
      </c>
      <c r="C2152" s="1" t="n">
        <v>100000</v>
      </c>
      <c r="D2152" s="1" t="n">
        <v>452.9</v>
      </c>
      <c r="E2152" s="1" t="n">
        <v>0.0483</v>
      </c>
      <c r="F2152" s="1" t="n">
        <v>0.0951</v>
      </c>
    </row>
    <row r="2153" customFormat="false" ht="15" hidden="false" customHeight="false" outlineLevel="0" collapsed="false">
      <c r="A2153" s="1" t="s">
        <v>2188</v>
      </c>
      <c r="B2153" s="1" t="s">
        <v>62</v>
      </c>
      <c r="C2153" s="1" t="n">
        <v>2260000</v>
      </c>
      <c r="D2153" s="1" t="n">
        <v>708211.9</v>
      </c>
      <c r="E2153" s="1" t="n">
        <v>0.0266</v>
      </c>
      <c r="F2153" s="1" t="n">
        <v>0.0462</v>
      </c>
    </row>
    <row r="2154" customFormat="false" ht="15" hidden="false" customHeight="false" outlineLevel="0" collapsed="false">
      <c r="A2154" s="1" t="s">
        <v>2189</v>
      </c>
      <c r="B2154" s="1" t="s">
        <v>88</v>
      </c>
      <c r="C2154" s="1" t="n">
        <v>1480000</v>
      </c>
      <c r="D2154" s="1" t="n">
        <v>12137.2</v>
      </c>
      <c r="E2154" s="1" t="n">
        <v>0.0886</v>
      </c>
      <c r="F2154" s="1" t="n">
        <v>0.0759</v>
      </c>
    </row>
    <row r="2155" customFormat="false" ht="15" hidden="false" customHeight="false" outlineLevel="0" collapsed="false">
      <c r="A2155" s="1" t="s">
        <v>2190</v>
      </c>
      <c r="B2155" s="1" t="s">
        <v>490</v>
      </c>
      <c r="C2155" s="1" t="n">
        <v>1700000</v>
      </c>
      <c r="D2155" s="1" t="n">
        <v>64373.7</v>
      </c>
      <c r="E2155" s="1" t="n">
        <v>0.0779</v>
      </c>
      <c r="F2155" s="1" t="n">
        <v>0.0938</v>
      </c>
    </row>
    <row r="2156" customFormat="false" ht="15" hidden="false" customHeight="false" outlineLevel="0" collapsed="false">
      <c r="A2156" s="1" t="s">
        <v>2191</v>
      </c>
      <c r="B2156" s="1" t="s">
        <v>92</v>
      </c>
      <c r="C2156" s="1" t="n">
        <v>1470000</v>
      </c>
      <c r="D2156" s="1" t="n">
        <v>141376.2</v>
      </c>
      <c r="E2156" s="1" t="n">
        <v>0.0205</v>
      </c>
      <c r="F2156" s="1" t="n">
        <v>0.0854</v>
      </c>
    </row>
    <row r="2157" customFormat="false" ht="15" hidden="false" customHeight="false" outlineLevel="0" collapsed="false">
      <c r="A2157" s="1" t="s">
        <v>2192</v>
      </c>
      <c r="B2157" s="1" t="s">
        <v>41</v>
      </c>
      <c r="C2157" s="1" t="n">
        <v>1720000</v>
      </c>
      <c r="D2157" s="1" t="n">
        <v>72877.2</v>
      </c>
      <c r="E2157" s="1" t="n">
        <v>0.0247</v>
      </c>
      <c r="F2157" s="1" t="n">
        <v>0.0951</v>
      </c>
    </row>
    <row r="2158" customFormat="false" ht="15" hidden="false" customHeight="false" outlineLevel="0" collapsed="false">
      <c r="A2158" s="1" t="s">
        <v>2193</v>
      </c>
      <c r="B2158" s="1" t="s">
        <v>41</v>
      </c>
      <c r="C2158" s="1" t="n">
        <v>1790000</v>
      </c>
      <c r="D2158" s="1" t="n">
        <v>6791.7</v>
      </c>
      <c r="E2158" s="1" t="n">
        <v>0.0156</v>
      </c>
      <c r="F2158" s="1" t="n">
        <v>0.1053</v>
      </c>
    </row>
    <row r="2159" customFormat="false" ht="15" hidden="false" customHeight="false" outlineLevel="0" collapsed="false">
      <c r="A2159" s="1" t="s">
        <v>2194</v>
      </c>
      <c r="B2159" s="1" t="s">
        <v>26</v>
      </c>
      <c r="C2159" s="1" t="n">
        <v>2560000</v>
      </c>
      <c r="D2159" s="1" t="n">
        <v>2729286.1</v>
      </c>
      <c r="E2159" s="1" t="n">
        <v>0.0242</v>
      </c>
      <c r="F2159" s="1" t="n">
        <v>0.0409</v>
      </c>
    </row>
    <row r="2160" customFormat="false" ht="15" hidden="false" customHeight="false" outlineLevel="0" collapsed="false">
      <c r="A2160" s="1" t="s">
        <v>2195</v>
      </c>
      <c r="B2160" s="1" t="s">
        <v>26</v>
      </c>
      <c r="C2160" s="1" t="n">
        <v>1490000</v>
      </c>
      <c r="D2160" s="1" t="n">
        <v>891.2</v>
      </c>
      <c r="E2160" s="1" t="n">
        <v>0.0303</v>
      </c>
      <c r="F2160" s="1" t="n">
        <v>0.0951</v>
      </c>
    </row>
    <row r="2161" customFormat="false" ht="15" hidden="false" customHeight="false" outlineLevel="0" collapsed="false">
      <c r="A2161" s="1" t="s">
        <v>2196</v>
      </c>
      <c r="B2161" s="1" t="s">
        <v>214</v>
      </c>
      <c r="C2161" s="1" t="n">
        <v>1440000</v>
      </c>
      <c r="D2161" s="1" t="n">
        <v>30467.3</v>
      </c>
      <c r="E2161" s="1" t="n">
        <v>0.0225</v>
      </c>
      <c r="F2161" s="1" t="n">
        <v>0.0759</v>
      </c>
    </row>
    <row r="2162" customFormat="false" ht="15" hidden="false" customHeight="false" outlineLevel="0" collapsed="false">
      <c r="A2162" s="1" t="s">
        <v>2197</v>
      </c>
      <c r="B2162" s="1" t="s">
        <v>26</v>
      </c>
      <c r="C2162" s="1" t="n">
        <v>1470000</v>
      </c>
      <c r="D2162" s="1" t="n">
        <v>4726.4</v>
      </c>
      <c r="E2162" s="1" t="n">
        <v>0.0095</v>
      </c>
      <c r="F2162" s="1" t="n">
        <v>0.1187</v>
      </c>
    </row>
    <row r="2163" customFormat="false" ht="15" hidden="false" customHeight="false" outlineLevel="0" collapsed="false">
      <c r="A2163" s="1" t="s">
        <v>2198</v>
      </c>
      <c r="B2163" s="1" t="s">
        <v>92</v>
      </c>
      <c r="C2163" s="1" t="n">
        <v>1710000</v>
      </c>
      <c r="D2163" s="1" t="n">
        <v>165397.6</v>
      </c>
      <c r="E2163" s="1" t="n">
        <v>0.0304</v>
      </c>
      <c r="F2163" s="1" t="n">
        <v>0.0938</v>
      </c>
    </row>
    <row r="2164" customFormat="false" ht="15" hidden="false" customHeight="false" outlineLevel="0" collapsed="false">
      <c r="A2164" s="1" t="s">
        <v>2199</v>
      </c>
      <c r="B2164" s="1" t="s">
        <v>41</v>
      </c>
      <c r="C2164" s="1" t="n">
        <v>1810000</v>
      </c>
      <c r="D2164" s="1" t="n">
        <v>2805.3</v>
      </c>
      <c r="E2164" s="1" t="n">
        <v>0.0228</v>
      </c>
      <c r="F2164" s="1" t="n">
        <v>0.0576</v>
      </c>
    </row>
    <row r="2165" customFormat="false" ht="15" hidden="false" customHeight="false" outlineLevel="0" collapsed="false">
      <c r="A2165" s="1" t="s">
        <v>2200</v>
      </c>
      <c r="B2165" s="1" t="s">
        <v>88</v>
      </c>
      <c r="C2165" s="1" t="n">
        <v>1810000</v>
      </c>
      <c r="D2165" s="1" t="n">
        <v>26554.9</v>
      </c>
      <c r="E2165" s="1" t="n">
        <v>0.0384</v>
      </c>
      <c r="F2165" s="1" t="n">
        <v>0.0759</v>
      </c>
    </row>
    <row r="2166" customFormat="false" ht="15" hidden="false" customHeight="false" outlineLevel="0" collapsed="false">
      <c r="A2166" s="1" t="s">
        <v>2201</v>
      </c>
      <c r="B2166" s="1" t="s">
        <v>92</v>
      </c>
      <c r="C2166" s="1" t="n">
        <v>1910000</v>
      </c>
      <c r="D2166" s="1" t="n">
        <v>214058.6</v>
      </c>
      <c r="E2166" s="1" t="n">
        <v>0.0305</v>
      </c>
      <c r="F2166" s="1" t="n">
        <v>0.0938</v>
      </c>
    </row>
    <row r="2167" customFormat="false" ht="15" hidden="false" customHeight="false" outlineLevel="0" collapsed="false">
      <c r="A2167" s="1" t="s">
        <v>2202</v>
      </c>
      <c r="B2167" s="1" t="s">
        <v>26</v>
      </c>
      <c r="C2167" s="1" t="n">
        <v>2970000</v>
      </c>
      <c r="D2167" s="1" t="n">
        <v>10618.2</v>
      </c>
      <c r="E2167" s="1" t="n">
        <v>0.0752</v>
      </c>
      <c r="F2167" s="1" t="n">
        <v>0.0938</v>
      </c>
    </row>
    <row r="2168" customFormat="false" ht="15" hidden="false" customHeight="false" outlineLevel="0" collapsed="false">
      <c r="A2168" s="1" t="s">
        <v>2203</v>
      </c>
      <c r="B2168" s="1" t="s">
        <v>24</v>
      </c>
      <c r="C2168" s="1" t="n">
        <v>1710000</v>
      </c>
      <c r="D2168" s="1" t="n">
        <v>1177.5</v>
      </c>
      <c r="E2168" s="1" t="n">
        <v>0.0433</v>
      </c>
      <c r="F2168" s="1" t="n">
        <v>0.0938</v>
      </c>
    </row>
    <row r="2169" customFormat="false" ht="15" hidden="false" customHeight="false" outlineLevel="0" collapsed="false">
      <c r="A2169" s="1" t="s">
        <v>2204</v>
      </c>
      <c r="B2169" s="1" t="s">
        <v>287</v>
      </c>
      <c r="C2169" s="1" t="n">
        <v>1560000</v>
      </c>
      <c r="D2169" s="1" t="n">
        <v>362695.3</v>
      </c>
      <c r="E2169" s="1" t="n">
        <v>0.0351</v>
      </c>
      <c r="F2169" s="1" t="n">
        <v>0.051</v>
      </c>
    </row>
    <row r="2170" customFormat="false" ht="15" hidden="false" customHeight="false" outlineLevel="0" collapsed="false">
      <c r="A2170" s="1" t="s">
        <v>2205</v>
      </c>
      <c r="B2170" s="1" t="s">
        <v>21</v>
      </c>
      <c r="C2170" s="1" t="n">
        <v>1870000</v>
      </c>
      <c r="D2170" s="1" t="n">
        <v>539683.1</v>
      </c>
      <c r="E2170" s="1" t="n">
        <v>0.023</v>
      </c>
      <c r="F2170" s="1" t="n">
        <v>0.0546</v>
      </c>
    </row>
    <row r="2171" customFormat="false" ht="15" hidden="false" customHeight="false" outlineLevel="0" collapsed="false">
      <c r="A2171" s="1" t="s">
        <v>2206</v>
      </c>
      <c r="B2171" s="1" t="s">
        <v>74</v>
      </c>
      <c r="C2171" s="1" t="n">
        <v>1560000</v>
      </c>
      <c r="D2171" s="1" t="n">
        <v>1580951.9</v>
      </c>
      <c r="E2171" s="1" t="n">
        <v>0.0624</v>
      </c>
      <c r="F2171" s="1" t="n">
        <v>0.0951</v>
      </c>
    </row>
    <row r="2172" customFormat="false" ht="15" hidden="false" customHeight="false" outlineLevel="0" collapsed="false">
      <c r="A2172" s="1" t="s">
        <v>2207</v>
      </c>
      <c r="B2172" s="1" t="s">
        <v>24</v>
      </c>
      <c r="C2172" s="1" t="n">
        <v>1430000</v>
      </c>
      <c r="D2172" s="1" t="n">
        <v>2895.4</v>
      </c>
      <c r="E2172" s="1" t="n">
        <v>0.023</v>
      </c>
      <c r="F2172" s="1" t="n">
        <v>0.0845</v>
      </c>
    </row>
    <row r="2173" customFormat="false" ht="15" hidden="false" customHeight="false" outlineLevel="0" collapsed="false">
      <c r="A2173" s="1" t="s">
        <v>2208</v>
      </c>
      <c r="B2173" s="1" t="s">
        <v>88</v>
      </c>
      <c r="C2173" s="1" t="n">
        <v>1620000</v>
      </c>
      <c r="D2173" s="1" t="n">
        <v>23532.4</v>
      </c>
      <c r="E2173" s="1" t="n">
        <v>0.0336</v>
      </c>
      <c r="F2173" s="1" t="n">
        <v>0.0951</v>
      </c>
    </row>
    <row r="2174" customFormat="false" ht="15" hidden="false" customHeight="false" outlineLevel="0" collapsed="false">
      <c r="A2174" s="1" t="s">
        <v>2209</v>
      </c>
      <c r="B2174" s="1" t="s">
        <v>24</v>
      </c>
      <c r="C2174" s="1" t="n">
        <v>1870000</v>
      </c>
      <c r="D2174" s="1" t="n">
        <v>17754.3</v>
      </c>
      <c r="E2174" s="1" t="n">
        <v>0.017</v>
      </c>
      <c r="F2174" s="1" t="n">
        <v>0.0854</v>
      </c>
    </row>
    <row r="2175" customFormat="false" ht="15" hidden="false" customHeight="false" outlineLevel="0" collapsed="false">
      <c r="A2175" s="1" t="s">
        <v>2210</v>
      </c>
      <c r="B2175" s="1" t="s">
        <v>53</v>
      </c>
      <c r="C2175" s="1" t="n">
        <v>1400000</v>
      </c>
      <c r="D2175" s="1" t="n">
        <v>90094.9</v>
      </c>
      <c r="E2175" s="1" t="n">
        <v>0.0525</v>
      </c>
      <c r="F2175" s="1" t="n">
        <v>0.0759</v>
      </c>
    </row>
    <row r="2176" customFormat="false" ht="15" hidden="false" customHeight="false" outlineLevel="0" collapsed="false">
      <c r="A2176" s="1" t="s">
        <v>2211</v>
      </c>
      <c r="B2176" s="1" t="s">
        <v>26</v>
      </c>
      <c r="C2176" s="1" t="n">
        <v>3290000</v>
      </c>
      <c r="D2176" s="1" t="n">
        <v>1319483.5</v>
      </c>
      <c r="E2176" s="1" t="n">
        <v>0.0202</v>
      </c>
      <c r="F2176" s="1" t="n">
        <v>0.0854</v>
      </c>
    </row>
    <row r="2177" customFormat="false" ht="15" hidden="false" customHeight="false" outlineLevel="0" collapsed="false">
      <c r="A2177" s="1" t="s">
        <v>2212</v>
      </c>
      <c r="B2177" s="1" t="s">
        <v>195</v>
      </c>
      <c r="C2177" s="1" t="n">
        <v>1710000</v>
      </c>
      <c r="D2177" s="1" t="n">
        <v>3409.2</v>
      </c>
      <c r="E2177" s="1" t="n">
        <v>0.0575</v>
      </c>
      <c r="F2177" s="1" t="n">
        <v>0.0759</v>
      </c>
    </row>
    <row r="2178" customFormat="false" ht="15" hidden="false" customHeight="false" outlineLevel="0" collapsed="false">
      <c r="A2178" s="1" t="s">
        <v>2213</v>
      </c>
      <c r="B2178" s="1" t="s">
        <v>81</v>
      </c>
      <c r="C2178" s="1" t="n">
        <v>1460000</v>
      </c>
      <c r="D2178" s="1" t="n">
        <v>13627.9</v>
      </c>
      <c r="E2178" s="1" t="n">
        <v>0.0218</v>
      </c>
      <c r="F2178" s="1" t="n">
        <v>0.1053</v>
      </c>
    </row>
    <row r="2179" customFormat="false" ht="15" hidden="false" customHeight="false" outlineLevel="0" collapsed="false">
      <c r="A2179" s="1" t="s">
        <v>2214</v>
      </c>
      <c r="B2179" s="1" t="s">
        <v>35</v>
      </c>
      <c r="C2179" s="1" t="n">
        <v>1580000</v>
      </c>
      <c r="D2179" s="1" t="n">
        <v>2841302.6</v>
      </c>
      <c r="E2179" s="1" t="n">
        <v>0.0208</v>
      </c>
      <c r="F2179" s="1" t="n">
        <v>0.0409</v>
      </c>
    </row>
    <row r="2180" customFormat="false" ht="15" hidden="false" customHeight="false" outlineLevel="0" collapsed="false">
      <c r="A2180" s="1" t="s">
        <v>2215</v>
      </c>
      <c r="B2180" s="1" t="s">
        <v>30</v>
      </c>
      <c r="C2180" s="1" t="n">
        <v>1690000</v>
      </c>
      <c r="D2180" s="1" t="n">
        <v>519513</v>
      </c>
      <c r="E2180" s="1" t="n">
        <v>0.0205</v>
      </c>
      <c r="F2180" s="1" t="n">
        <v>0.0518</v>
      </c>
    </row>
    <row r="2181" customFormat="false" ht="15" hidden="false" customHeight="false" outlineLevel="0" collapsed="false">
      <c r="A2181" s="1" t="s">
        <v>2216</v>
      </c>
      <c r="B2181" s="1" t="s">
        <v>88</v>
      </c>
      <c r="C2181" s="1" t="n">
        <v>4330000</v>
      </c>
      <c r="D2181" s="1" t="n">
        <v>327539.4</v>
      </c>
      <c r="E2181" s="1" t="n">
        <v>0.0557</v>
      </c>
      <c r="F2181" s="1" t="n">
        <v>0.0759</v>
      </c>
    </row>
    <row r="2182" customFormat="false" ht="15" hidden="false" customHeight="false" outlineLevel="0" collapsed="false">
      <c r="A2182" s="1" t="s">
        <v>2217</v>
      </c>
      <c r="B2182" s="1" t="s">
        <v>26</v>
      </c>
      <c r="C2182" s="1" t="n">
        <v>1450000</v>
      </c>
      <c r="D2182" s="1" t="n">
        <v>7359.6</v>
      </c>
      <c r="E2182" s="1" t="n">
        <v>0.0028</v>
      </c>
      <c r="F2182" s="1" t="n">
        <v>0.0811</v>
      </c>
    </row>
    <row r="2183" customFormat="false" ht="15" hidden="false" customHeight="false" outlineLevel="0" collapsed="false">
      <c r="A2183" s="1" t="s">
        <v>2218</v>
      </c>
      <c r="B2183" s="1" t="s">
        <v>41</v>
      </c>
      <c r="C2183" s="1" t="n">
        <v>2030000</v>
      </c>
      <c r="D2183" s="1" t="n">
        <v>1541</v>
      </c>
      <c r="E2183" s="1" t="n">
        <v>0.0206</v>
      </c>
      <c r="F2183" s="1" t="n">
        <v>0.0937</v>
      </c>
    </row>
    <row r="2184" customFormat="false" ht="15" hidden="false" customHeight="false" outlineLevel="0" collapsed="false">
      <c r="A2184" s="1" t="s">
        <v>2219</v>
      </c>
      <c r="B2184" s="1" t="s">
        <v>24</v>
      </c>
      <c r="C2184" s="1" t="n">
        <v>1380000</v>
      </c>
      <c r="D2184" s="1" t="n">
        <v>3149.6</v>
      </c>
      <c r="E2184" s="1" t="n">
        <v>0.0269</v>
      </c>
      <c r="F2184" s="1" t="n">
        <v>0.0938</v>
      </c>
    </row>
    <row r="2185" customFormat="false" ht="15" hidden="false" customHeight="false" outlineLevel="0" collapsed="false">
      <c r="A2185" s="1" t="s">
        <v>2220</v>
      </c>
      <c r="B2185" s="1" t="s">
        <v>26</v>
      </c>
      <c r="C2185" s="1" t="n">
        <v>1880000</v>
      </c>
      <c r="D2185" s="1" t="n">
        <v>115602.9</v>
      </c>
      <c r="E2185" s="1" t="n">
        <v>0.0495</v>
      </c>
      <c r="F2185" s="1" t="n">
        <v>0.0759</v>
      </c>
    </row>
    <row r="2186" customFormat="false" ht="15" hidden="false" customHeight="false" outlineLevel="0" collapsed="false">
      <c r="A2186" s="1" t="s">
        <v>2221</v>
      </c>
      <c r="B2186" s="1" t="s">
        <v>28</v>
      </c>
      <c r="C2186" s="1" t="n">
        <v>1420000</v>
      </c>
      <c r="D2186" s="1" t="n">
        <v>8213.6</v>
      </c>
      <c r="E2186" s="1" t="n">
        <v>0.0105</v>
      </c>
      <c r="F2186" s="1" t="n">
        <v>0.0584</v>
      </c>
    </row>
    <row r="2187" customFormat="false" ht="15" hidden="false" customHeight="false" outlineLevel="0" collapsed="false">
      <c r="A2187" s="1" t="s">
        <v>2222</v>
      </c>
      <c r="B2187" s="1" t="s">
        <v>26</v>
      </c>
      <c r="C2187" s="1" t="n">
        <v>1420000</v>
      </c>
      <c r="D2187" s="1" t="n">
        <v>44842.9</v>
      </c>
      <c r="E2187" s="1" t="n">
        <v>0.0183</v>
      </c>
      <c r="F2187" s="1" t="n">
        <v>0.0854</v>
      </c>
    </row>
    <row r="2188" customFormat="false" ht="15" hidden="false" customHeight="false" outlineLevel="0" collapsed="false">
      <c r="A2188" s="1" t="s">
        <v>2223</v>
      </c>
      <c r="B2188" s="1" t="s">
        <v>62</v>
      </c>
      <c r="C2188" s="1" t="n">
        <v>1420000</v>
      </c>
      <c r="D2188" s="1" t="n">
        <v>1256.9</v>
      </c>
      <c r="E2188" s="1" t="n">
        <v>0.0159</v>
      </c>
      <c r="F2188" s="1" t="n">
        <v>0.2294</v>
      </c>
    </row>
    <row r="2189" customFormat="false" ht="15" hidden="false" customHeight="false" outlineLevel="0" collapsed="false">
      <c r="A2189" s="1" t="s">
        <v>2224</v>
      </c>
      <c r="B2189" s="1" t="s">
        <v>28</v>
      </c>
      <c r="C2189" s="1" t="n">
        <v>2470000</v>
      </c>
      <c r="D2189" s="1" t="n">
        <v>1499026.5</v>
      </c>
      <c r="E2189" s="1" t="n">
        <v>0.001</v>
      </c>
      <c r="F2189" s="1" t="n">
        <v>0.0654</v>
      </c>
    </row>
    <row r="2190" customFormat="false" ht="15" hidden="false" customHeight="false" outlineLevel="0" collapsed="false">
      <c r="A2190" s="1" t="s">
        <v>2225</v>
      </c>
      <c r="B2190" s="1" t="s">
        <v>88</v>
      </c>
      <c r="C2190" s="1" t="n">
        <v>2250000</v>
      </c>
      <c r="D2190" s="1" t="n">
        <v>14012.1</v>
      </c>
      <c r="E2190" s="1" t="n">
        <v>0.0115</v>
      </c>
      <c r="F2190" s="1" t="n">
        <v>0.0654</v>
      </c>
    </row>
    <row r="2191" customFormat="false" ht="15" hidden="false" customHeight="false" outlineLevel="0" collapsed="false">
      <c r="A2191" s="1" t="s">
        <v>2226</v>
      </c>
      <c r="B2191" s="1" t="s">
        <v>26</v>
      </c>
      <c r="C2191" s="1" t="n">
        <v>1650000</v>
      </c>
      <c r="D2191" s="1" t="n">
        <v>82575.3</v>
      </c>
      <c r="E2191" s="1" t="n">
        <v>0.0102</v>
      </c>
      <c r="F2191" s="1" t="n">
        <v>0.0689</v>
      </c>
    </row>
    <row r="2192" customFormat="false" ht="15" hidden="false" customHeight="false" outlineLevel="0" collapsed="false">
      <c r="A2192" s="1" t="s">
        <v>2227</v>
      </c>
      <c r="B2192" s="1" t="s">
        <v>62</v>
      </c>
      <c r="C2192" s="1" t="n">
        <v>1670000</v>
      </c>
      <c r="D2192" s="1" t="n">
        <v>48048</v>
      </c>
      <c r="E2192" s="1" t="n">
        <v>0.038</v>
      </c>
      <c r="F2192" s="1" t="n">
        <v>0.0759</v>
      </c>
    </row>
    <row r="2193" customFormat="false" ht="15" hidden="false" customHeight="false" outlineLevel="0" collapsed="false">
      <c r="A2193" s="1" t="s">
        <v>2228</v>
      </c>
      <c r="B2193" s="1" t="s">
        <v>214</v>
      </c>
      <c r="C2193" s="1" t="n">
        <v>1500000</v>
      </c>
      <c r="D2193" s="1" t="n">
        <v>12956.6</v>
      </c>
      <c r="E2193" s="1" t="n">
        <v>0.0157</v>
      </c>
      <c r="F2193" s="1" t="n">
        <v>0.131</v>
      </c>
    </row>
    <row r="2194" customFormat="false" ht="15" hidden="false" customHeight="false" outlineLevel="0" collapsed="false">
      <c r="A2194" s="1" t="s">
        <v>2229</v>
      </c>
      <c r="B2194" s="1" t="s">
        <v>41</v>
      </c>
      <c r="C2194" s="1" t="n">
        <v>1600000</v>
      </c>
      <c r="D2194" s="1" t="n">
        <v>10864.9</v>
      </c>
      <c r="E2194" s="1" t="n">
        <v>0.0264</v>
      </c>
      <c r="F2194" s="1" t="n">
        <v>0.1169</v>
      </c>
    </row>
    <row r="2195" customFormat="false" ht="15" hidden="false" customHeight="false" outlineLevel="0" collapsed="false">
      <c r="A2195" s="1" t="s">
        <v>2230</v>
      </c>
      <c r="B2195" s="1" t="s">
        <v>32</v>
      </c>
      <c r="C2195" s="1" t="n">
        <v>1660000</v>
      </c>
      <c r="D2195" s="1" t="n">
        <v>14173779.7</v>
      </c>
      <c r="E2195" s="1" t="n">
        <v>0.0139</v>
      </c>
      <c r="F2195" s="1" t="n">
        <v>0.1027</v>
      </c>
    </row>
    <row r="2196" customFormat="false" ht="15" hidden="false" customHeight="false" outlineLevel="0" collapsed="false">
      <c r="A2196" s="1" t="s">
        <v>2231</v>
      </c>
      <c r="B2196" s="1" t="s">
        <v>26</v>
      </c>
      <c r="C2196" s="1" t="n">
        <v>4180000</v>
      </c>
      <c r="D2196" s="1" t="n">
        <v>2715877</v>
      </c>
      <c r="E2196" s="1" t="n">
        <v>0.0523</v>
      </c>
      <c r="F2196" s="1" t="n">
        <v>0.0409</v>
      </c>
    </row>
    <row r="2197" customFormat="false" ht="15" hidden="false" customHeight="false" outlineLevel="0" collapsed="false">
      <c r="A2197" s="1" t="s">
        <v>2232</v>
      </c>
      <c r="B2197" s="1" t="s">
        <v>24</v>
      </c>
      <c r="C2197" s="1" t="n">
        <v>1360000</v>
      </c>
      <c r="D2197" s="1" t="n">
        <v>375.3</v>
      </c>
      <c r="E2197" s="1" t="n">
        <v>0.0075</v>
      </c>
      <c r="F2197" s="1" t="n">
        <v>0.2697</v>
      </c>
    </row>
    <row r="2198" customFormat="false" ht="15" hidden="false" customHeight="false" outlineLevel="0" collapsed="false">
      <c r="A2198" s="1" t="s">
        <v>2233</v>
      </c>
      <c r="B2198" s="1" t="s">
        <v>24</v>
      </c>
      <c r="C2198" s="1" t="n">
        <v>1420000</v>
      </c>
      <c r="D2198" s="1" t="n">
        <v>765.7</v>
      </c>
      <c r="E2198" s="1" t="n">
        <v>0.0511</v>
      </c>
      <c r="F2198" s="1" t="n">
        <v>0.0759</v>
      </c>
    </row>
    <row r="2199" customFormat="false" ht="15" hidden="false" customHeight="false" outlineLevel="0" collapsed="false">
      <c r="A2199" s="1" t="s">
        <v>2234</v>
      </c>
      <c r="B2199" s="1" t="s">
        <v>88</v>
      </c>
      <c r="C2199" s="1" t="n">
        <v>1470000</v>
      </c>
      <c r="D2199" s="1" t="n">
        <v>20953</v>
      </c>
      <c r="F2199" s="1" t="n">
        <v>0.117</v>
      </c>
    </row>
    <row r="2200" customFormat="false" ht="15" hidden="false" customHeight="false" outlineLevel="0" collapsed="false">
      <c r="A2200" s="1" t="s">
        <v>2235</v>
      </c>
      <c r="B2200" s="1" t="s">
        <v>26</v>
      </c>
      <c r="C2200" s="1" t="n">
        <v>1380000</v>
      </c>
      <c r="D2200" s="1" t="n">
        <v>55100.8</v>
      </c>
      <c r="E2200" s="1" t="n">
        <v>0.0167</v>
      </c>
      <c r="F2200" s="1" t="n">
        <v>0.0854</v>
      </c>
    </row>
    <row r="2201" customFormat="false" ht="15" hidden="false" customHeight="false" outlineLevel="0" collapsed="false">
      <c r="A2201" s="1" t="s">
        <v>2236</v>
      </c>
      <c r="B2201" s="1" t="s">
        <v>41</v>
      </c>
      <c r="C2201" s="1" t="n">
        <v>2230000</v>
      </c>
      <c r="D2201" s="1" t="n">
        <v>145539.7</v>
      </c>
      <c r="E2201" s="1" t="n">
        <v>0.1191</v>
      </c>
      <c r="F2201" s="1" t="n">
        <v>0.0938</v>
      </c>
    </row>
    <row r="2202" customFormat="false" ht="15" hidden="false" customHeight="false" outlineLevel="0" collapsed="false">
      <c r="A2202" s="1" t="s">
        <v>2237</v>
      </c>
      <c r="B2202" s="1" t="s">
        <v>53</v>
      </c>
      <c r="C2202" s="1" t="n">
        <v>1770000</v>
      </c>
      <c r="D2202" s="1" t="n">
        <v>185883.8</v>
      </c>
      <c r="E2202" s="1" t="n">
        <v>0.0302</v>
      </c>
      <c r="F2202" s="1" t="n">
        <v>0.0759</v>
      </c>
    </row>
    <row r="2203" customFormat="false" ht="15" hidden="false" customHeight="false" outlineLevel="0" collapsed="false">
      <c r="A2203" s="1" t="s">
        <v>2238</v>
      </c>
      <c r="B2203" s="1" t="s">
        <v>26</v>
      </c>
      <c r="C2203" s="1" t="n">
        <v>1950000</v>
      </c>
      <c r="D2203" s="1" t="n">
        <v>219632.7</v>
      </c>
      <c r="E2203" s="1" t="n">
        <v>0.0061</v>
      </c>
      <c r="F2203" s="1" t="n">
        <v>0.0822</v>
      </c>
    </row>
    <row r="2204" customFormat="false" ht="15" hidden="false" customHeight="false" outlineLevel="0" collapsed="false">
      <c r="A2204" s="1" t="s">
        <v>2239</v>
      </c>
      <c r="B2204" s="1" t="s">
        <v>92</v>
      </c>
      <c r="C2204" s="1" t="n">
        <v>1520000</v>
      </c>
      <c r="D2204" s="1" t="n">
        <v>128331.3</v>
      </c>
      <c r="E2204" s="1" t="n">
        <v>0.0157</v>
      </c>
      <c r="F2204" s="1" t="n">
        <v>0.0462</v>
      </c>
    </row>
    <row r="2205" customFormat="false" ht="15" hidden="false" customHeight="false" outlineLevel="0" collapsed="false">
      <c r="A2205" s="1" t="s">
        <v>2240</v>
      </c>
      <c r="B2205" s="1" t="s">
        <v>92</v>
      </c>
      <c r="C2205" s="1" t="n">
        <v>1940000</v>
      </c>
      <c r="D2205" s="1" t="n">
        <v>3552.8</v>
      </c>
      <c r="F2205" s="1" t="n">
        <v>0.0409</v>
      </c>
    </row>
    <row r="2206" customFormat="false" ht="15" hidden="false" customHeight="false" outlineLevel="0" collapsed="false">
      <c r="A2206" s="1" t="s">
        <v>2241</v>
      </c>
      <c r="B2206" s="1" t="s">
        <v>81</v>
      </c>
      <c r="C2206" s="1" t="n">
        <v>1550000</v>
      </c>
      <c r="D2206" s="1" t="n">
        <v>3796.1</v>
      </c>
      <c r="E2206" s="1" t="n">
        <v>0.0398</v>
      </c>
      <c r="F2206" s="1" t="n">
        <v>0.0759</v>
      </c>
    </row>
    <row r="2207" customFormat="false" ht="15" hidden="false" customHeight="false" outlineLevel="0" collapsed="false">
      <c r="A2207" s="1" t="s">
        <v>2242</v>
      </c>
      <c r="B2207" s="1" t="s">
        <v>26</v>
      </c>
      <c r="C2207" s="1" t="n">
        <v>2660000</v>
      </c>
      <c r="D2207" s="1" t="n">
        <v>2727734.8</v>
      </c>
      <c r="E2207" s="1" t="n">
        <v>0.022</v>
      </c>
      <c r="F2207" s="1" t="n">
        <v>0.0409</v>
      </c>
    </row>
    <row r="2208" customFormat="false" ht="15" hidden="false" customHeight="false" outlineLevel="0" collapsed="false">
      <c r="A2208" s="1" t="s">
        <v>2243</v>
      </c>
      <c r="B2208" s="1" t="s">
        <v>26</v>
      </c>
      <c r="C2208" s="1" t="n">
        <v>1770000</v>
      </c>
      <c r="D2208" s="1" t="n">
        <v>62978.1</v>
      </c>
      <c r="E2208" s="1" t="n">
        <v>0.0304</v>
      </c>
      <c r="F2208" s="1" t="n">
        <v>0.0759</v>
      </c>
    </row>
    <row r="2209" customFormat="false" ht="15" hidden="false" customHeight="false" outlineLevel="0" collapsed="false">
      <c r="A2209" s="1" t="s">
        <v>2244</v>
      </c>
      <c r="B2209" s="1" t="s">
        <v>41</v>
      </c>
      <c r="C2209" s="1" t="n">
        <v>1680000</v>
      </c>
      <c r="D2209" s="1" t="n">
        <v>230987.4</v>
      </c>
      <c r="E2209" s="1" t="n">
        <v>0.0603</v>
      </c>
      <c r="F2209" s="1" t="n">
        <v>0.0759</v>
      </c>
    </row>
    <row r="2210" customFormat="false" ht="15" hidden="false" customHeight="false" outlineLevel="0" collapsed="false">
      <c r="A2210" s="1" t="s">
        <v>2245</v>
      </c>
      <c r="B2210" s="1" t="s">
        <v>195</v>
      </c>
      <c r="C2210" s="1" t="n">
        <v>1750000</v>
      </c>
      <c r="D2210" s="1" t="n">
        <v>1379614.9</v>
      </c>
      <c r="E2210" s="1" t="n">
        <v>0.0333</v>
      </c>
      <c r="F2210" s="1" t="n">
        <v>0.0518</v>
      </c>
    </row>
    <row r="2211" customFormat="false" ht="15" hidden="false" customHeight="false" outlineLevel="0" collapsed="false">
      <c r="A2211" s="1" t="s">
        <v>2246</v>
      </c>
      <c r="B2211" s="1" t="s">
        <v>53</v>
      </c>
      <c r="C2211" s="1" t="n">
        <v>2440000</v>
      </c>
      <c r="D2211" s="1" t="n">
        <v>20388.6</v>
      </c>
      <c r="E2211" s="1" t="n">
        <v>0.0046</v>
      </c>
      <c r="F2211" s="1" t="n">
        <v>0.0811</v>
      </c>
    </row>
    <row r="2212" customFormat="false" ht="15" hidden="false" customHeight="false" outlineLevel="0" collapsed="false">
      <c r="A2212" s="1" t="s">
        <v>2247</v>
      </c>
      <c r="B2212" s="1" t="s">
        <v>24</v>
      </c>
      <c r="C2212" s="1" t="n">
        <v>2840000</v>
      </c>
      <c r="D2212" s="1" t="n">
        <v>24812.9</v>
      </c>
      <c r="E2212" s="1" t="n">
        <v>0.036</v>
      </c>
      <c r="F2212" s="1" t="n">
        <v>0.1168</v>
      </c>
    </row>
    <row r="2213" customFormat="false" ht="15" hidden="false" customHeight="false" outlineLevel="0" collapsed="false">
      <c r="A2213" s="1" t="s">
        <v>2248</v>
      </c>
      <c r="B2213" s="1" t="s">
        <v>30</v>
      </c>
      <c r="C2213" s="1" t="n">
        <v>1580000</v>
      </c>
      <c r="D2213" s="1" t="n">
        <v>289053.9</v>
      </c>
      <c r="E2213" s="1" t="n">
        <v>0.0444</v>
      </c>
      <c r="F2213" s="1" t="n">
        <v>0.051</v>
      </c>
    </row>
    <row r="2214" customFormat="false" ht="15" hidden="false" customHeight="false" outlineLevel="0" collapsed="false">
      <c r="A2214" s="1" t="s">
        <v>2249</v>
      </c>
      <c r="B2214" s="1" t="s">
        <v>26</v>
      </c>
      <c r="C2214" s="1" t="n">
        <v>1670000</v>
      </c>
      <c r="D2214" s="1" t="n">
        <v>145565.5</v>
      </c>
      <c r="E2214" s="1" t="n">
        <v>0.0266</v>
      </c>
      <c r="F2214" s="1" t="n">
        <v>0.0672</v>
      </c>
    </row>
    <row r="2215" customFormat="false" ht="15" hidden="false" customHeight="false" outlineLevel="0" collapsed="false">
      <c r="A2215" s="1" t="s">
        <v>2250</v>
      </c>
      <c r="B2215" s="1" t="s">
        <v>53</v>
      </c>
      <c r="C2215" s="1" t="n">
        <v>4340000</v>
      </c>
      <c r="D2215" s="1" t="n">
        <v>1812720</v>
      </c>
      <c r="E2215" s="1" t="n">
        <v>0.0141</v>
      </c>
      <c r="F2215" s="1" t="n">
        <v>0.0949</v>
      </c>
    </row>
    <row r="2216" customFormat="false" ht="15" hidden="false" customHeight="false" outlineLevel="0" collapsed="false">
      <c r="A2216" s="1" t="s">
        <v>2251</v>
      </c>
      <c r="B2216" s="1" t="s">
        <v>62</v>
      </c>
      <c r="C2216" s="1" t="n">
        <v>1660000</v>
      </c>
      <c r="D2216" s="1" t="n">
        <v>14617.6</v>
      </c>
      <c r="E2216" s="1" t="n">
        <v>0.0364</v>
      </c>
      <c r="F2216" s="1" t="n">
        <v>0.0759</v>
      </c>
    </row>
    <row r="2217" customFormat="false" ht="15" hidden="false" customHeight="false" outlineLevel="0" collapsed="false">
      <c r="A2217" s="1" t="s">
        <v>2252</v>
      </c>
      <c r="B2217" s="1" t="s">
        <v>62</v>
      </c>
      <c r="C2217" s="1" t="n">
        <v>1760000</v>
      </c>
      <c r="D2217" s="1" t="n">
        <v>22352.8</v>
      </c>
      <c r="E2217" s="1" t="n">
        <v>0.026</v>
      </c>
      <c r="F2217" s="1" t="n">
        <v>0.0759</v>
      </c>
    </row>
    <row r="2218" customFormat="false" ht="15" hidden="false" customHeight="false" outlineLevel="0" collapsed="false">
      <c r="A2218" s="1" t="s">
        <v>2253</v>
      </c>
      <c r="B2218" s="1" t="s">
        <v>26</v>
      </c>
      <c r="C2218" s="1" t="n">
        <v>1470000</v>
      </c>
      <c r="D2218" s="1" t="n">
        <v>24475.5</v>
      </c>
      <c r="E2218" s="1" t="n">
        <v>0.0115</v>
      </c>
      <c r="F2218" s="1" t="n">
        <v>0.0654</v>
      </c>
    </row>
    <row r="2219" customFormat="false" ht="15" hidden="false" customHeight="false" outlineLevel="0" collapsed="false">
      <c r="A2219" s="1" t="s">
        <v>2254</v>
      </c>
      <c r="B2219" s="1" t="s">
        <v>88</v>
      </c>
      <c r="C2219" s="1" t="n">
        <v>1970000</v>
      </c>
      <c r="D2219" s="1" t="n">
        <v>9716.6</v>
      </c>
      <c r="E2219" s="1" t="n">
        <v>0.1064</v>
      </c>
      <c r="F2219" s="1" t="n">
        <v>0.0938</v>
      </c>
    </row>
    <row r="2220" customFormat="false" ht="15" hidden="false" customHeight="false" outlineLevel="0" collapsed="false">
      <c r="A2220" s="1" t="s">
        <v>2255</v>
      </c>
      <c r="B2220" s="1" t="s">
        <v>88</v>
      </c>
      <c r="C2220" s="1" t="n">
        <v>2070000</v>
      </c>
      <c r="D2220" s="1" t="n">
        <v>102560.9</v>
      </c>
      <c r="E2220" s="1" t="n">
        <v>0.0484</v>
      </c>
      <c r="F2220" s="1" t="n">
        <v>0.0951</v>
      </c>
    </row>
    <row r="2221" customFormat="false" ht="15" hidden="false" customHeight="false" outlineLevel="0" collapsed="false">
      <c r="A2221" s="1" t="s">
        <v>2256</v>
      </c>
      <c r="B2221" s="1" t="s">
        <v>24</v>
      </c>
      <c r="C2221" s="1" t="n">
        <v>1510000</v>
      </c>
      <c r="D2221" s="1" t="n">
        <v>54150.4</v>
      </c>
      <c r="E2221" s="1" t="n">
        <v>0.0445</v>
      </c>
      <c r="F2221" s="1" t="n">
        <v>0.0951</v>
      </c>
    </row>
    <row r="2222" customFormat="false" ht="15" hidden="false" customHeight="false" outlineLevel="0" collapsed="false">
      <c r="A2222" s="1" t="s">
        <v>2257</v>
      </c>
      <c r="B2222" s="1" t="s">
        <v>32</v>
      </c>
      <c r="C2222" s="1" t="n">
        <v>1590000</v>
      </c>
      <c r="D2222" s="1" t="n">
        <v>72243.6</v>
      </c>
      <c r="E2222" s="1" t="n">
        <v>0.0156</v>
      </c>
      <c r="F2222" s="1" t="n">
        <v>0.0462</v>
      </c>
    </row>
    <row r="2223" customFormat="false" ht="15" hidden="false" customHeight="false" outlineLevel="0" collapsed="false">
      <c r="A2223" s="1" t="s">
        <v>2258</v>
      </c>
      <c r="B2223" s="1" t="s">
        <v>88</v>
      </c>
      <c r="C2223" s="1" t="n">
        <v>1490000</v>
      </c>
      <c r="D2223" s="1" t="n">
        <v>6662.1</v>
      </c>
      <c r="E2223" s="1" t="n">
        <v>0.0256</v>
      </c>
      <c r="F2223" s="1" t="n">
        <v>0.0938</v>
      </c>
    </row>
    <row r="2224" customFormat="false" ht="15" hidden="false" customHeight="false" outlineLevel="0" collapsed="false">
      <c r="A2224" s="1" t="s">
        <v>2259</v>
      </c>
      <c r="B2224" s="1" t="s">
        <v>26</v>
      </c>
      <c r="C2224" s="1" t="n">
        <v>1460000</v>
      </c>
      <c r="D2224" s="1" t="n">
        <v>79.9</v>
      </c>
      <c r="E2224" s="1" t="n">
        <v>0.001</v>
      </c>
      <c r="F2224" s="1" t="n">
        <v>0.3167</v>
      </c>
    </row>
    <row r="2225" customFormat="false" ht="15" hidden="false" customHeight="false" outlineLevel="0" collapsed="false">
      <c r="A2225" s="1" t="s">
        <v>2260</v>
      </c>
      <c r="B2225" s="1" t="s">
        <v>21</v>
      </c>
      <c r="C2225" s="1" t="n">
        <v>3260000</v>
      </c>
      <c r="D2225" s="1" t="n">
        <v>15685.3</v>
      </c>
      <c r="E2225" s="1" t="n">
        <v>0.0191</v>
      </c>
      <c r="F2225" s="1" t="n">
        <v>0.0576</v>
      </c>
    </row>
    <row r="2226" customFormat="false" ht="15" hidden="false" customHeight="false" outlineLevel="0" collapsed="false">
      <c r="A2226" s="1" t="s">
        <v>2261</v>
      </c>
      <c r="B2226" s="1" t="s">
        <v>26</v>
      </c>
      <c r="C2226" s="1" t="n">
        <v>1370000</v>
      </c>
      <c r="D2226" s="1" t="n">
        <v>74888.1</v>
      </c>
      <c r="F2226" s="1" t="n">
        <v>0.0409</v>
      </c>
    </row>
    <row r="2227" customFormat="false" ht="15" hidden="false" customHeight="false" outlineLevel="0" collapsed="false">
      <c r="A2227" s="1" t="s">
        <v>2262</v>
      </c>
      <c r="B2227" s="1" t="s">
        <v>92</v>
      </c>
      <c r="C2227" s="1" t="n">
        <v>1610000</v>
      </c>
      <c r="D2227" s="1" t="n">
        <v>1386121.6</v>
      </c>
      <c r="E2227" s="1" t="n">
        <v>0.0128</v>
      </c>
      <c r="F2227" s="1" t="n">
        <v>0.0585</v>
      </c>
    </row>
    <row r="2228" customFormat="false" ht="15" hidden="false" customHeight="false" outlineLevel="0" collapsed="false">
      <c r="A2228" s="1" t="s">
        <v>2263</v>
      </c>
      <c r="B2228" s="1" t="s">
        <v>88</v>
      </c>
      <c r="C2228" s="1" t="n">
        <v>2050000</v>
      </c>
      <c r="D2228" s="1" t="n">
        <v>55965.7</v>
      </c>
      <c r="E2228" s="1" t="n">
        <v>0.0561</v>
      </c>
      <c r="F2228" s="1" t="n">
        <v>0.0759</v>
      </c>
    </row>
    <row r="2229" customFormat="false" ht="15" hidden="false" customHeight="false" outlineLevel="0" collapsed="false">
      <c r="A2229" s="1" t="s">
        <v>2264</v>
      </c>
      <c r="B2229" s="1" t="s">
        <v>41</v>
      </c>
      <c r="C2229" s="1" t="n">
        <v>1320000</v>
      </c>
      <c r="D2229" s="1" t="n">
        <v>454.8</v>
      </c>
      <c r="E2229" s="1" t="n">
        <v>0.0305</v>
      </c>
      <c r="F2229" s="1" t="n">
        <v>0.0951</v>
      </c>
    </row>
    <row r="2230" customFormat="false" ht="15" hidden="false" customHeight="false" outlineLevel="0" collapsed="false">
      <c r="A2230" s="1" t="s">
        <v>2265</v>
      </c>
      <c r="B2230" s="1" t="s">
        <v>24</v>
      </c>
      <c r="C2230" s="1" t="n">
        <v>1550000</v>
      </c>
      <c r="D2230" s="1" t="n">
        <v>604.9</v>
      </c>
      <c r="E2230" s="1" t="n">
        <v>0.0155</v>
      </c>
      <c r="F2230" s="1" t="n">
        <v>0.0854</v>
      </c>
    </row>
    <row r="2231" customFormat="false" ht="15" hidden="false" customHeight="false" outlineLevel="0" collapsed="false">
      <c r="A2231" s="1" t="s">
        <v>2266</v>
      </c>
      <c r="B2231" s="1" t="s">
        <v>81</v>
      </c>
      <c r="C2231" s="1" t="n">
        <v>1580000</v>
      </c>
      <c r="D2231" s="1" t="n">
        <v>141012.6</v>
      </c>
      <c r="E2231" s="1" t="n">
        <v>0.0363</v>
      </c>
      <c r="F2231" s="1" t="n">
        <v>0.0759</v>
      </c>
    </row>
    <row r="2232" customFormat="false" ht="15" hidden="false" customHeight="false" outlineLevel="0" collapsed="false">
      <c r="A2232" s="1" t="s">
        <v>2267</v>
      </c>
      <c r="B2232" s="1" t="s">
        <v>26</v>
      </c>
      <c r="C2232" s="1" t="n">
        <v>1440000</v>
      </c>
      <c r="D2232" s="1" t="n">
        <v>1797.4</v>
      </c>
      <c r="E2232" s="1" t="n">
        <v>0.0129</v>
      </c>
      <c r="F2232" s="1" t="n">
        <v>0.3861</v>
      </c>
    </row>
    <row r="2233" customFormat="false" ht="15" hidden="false" customHeight="false" outlineLevel="0" collapsed="false">
      <c r="A2233" s="1" t="s">
        <v>2268</v>
      </c>
      <c r="B2233" s="1" t="s">
        <v>32</v>
      </c>
      <c r="C2233" s="1" t="n">
        <v>1560000</v>
      </c>
      <c r="D2233" s="1" t="n">
        <v>65953</v>
      </c>
      <c r="E2233" s="1" t="n">
        <v>0.0083</v>
      </c>
      <c r="F2233" s="1" t="n">
        <v>0.0822</v>
      </c>
    </row>
    <row r="2234" customFormat="false" ht="15" hidden="false" customHeight="false" outlineLevel="0" collapsed="false">
      <c r="A2234" s="1" t="s">
        <v>2269</v>
      </c>
      <c r="B2234" s="1" t="s">
        <v>71</v>
      </c>
      <c r="C2234" s="1" t="n">
        <v>1320000</v>
      </c>
      <c r="D2234" s="1" t="n">
        <v>1286.9</v>
      </c>
      <c r="E2234" s="1" t="n">
        <v>0.0188</v>
      </c>
      <c r="F2234" s="1" t="n">
        <v>0.1067</v>
      </c>
    </row>
    <row r="2235" customFormat="false" ht="15" hidden="false" customHeight="false" outlineLevel="0" collapsed="false">
      <c r="A2235" s="1" t="s">
        <v>2270</v>
      </c>
      <c r="B2235" s="1" t="s">
        <v>26</v>
      </c>
      <c r="C2235" s="1" t="n">
        <v>1580000</v>
      </c>
      <c r="D2235" s="1" t="n">
        <v>11859171.7</v>
      </c>
      <c r="E2235" s="1" t="n">
        <v>0.0272</v>
      </c>
      <c r="F2235" s="1" t="n">
        <v>0.0518</v>
      </c>
    </row>
    <row r="2236" customFormat="false" ht="15" hidden="false" customHeight="false" outlineLevel="0" collapsed="false">
      <c r="A2236" s="1" t="s">
        <v>2271</v>
      </c>
      <c r="B2236" s="1" t="s">
        <v>53</v>
      </c>
      <c r="C2236" s="1" t="n">
        <v>1660000</v>
      </c>
      <c r="D2236" s="1" t="n">
        <v>1563.1</v>
      </c>
      <c r="E2236" s="1" t="n">
        <v>0.0028</v>
      </c>
      <c r="F2236" s="1" t="n">
        <v>0.0654</v>
      </c>
    </row>
    <row r="2237" customFormat="false" ht="15" hidden="false" customHeight="false" outlineLevel="0" collapsed="false">
      <c r="A2237" s="1" t="s">
        <v>2272</v>
      </c>
      <c r="B2237" s="1" t="s">
        <v>88</v>
      </c>
      <c r="C2237" s="1" t="n">
        <v>2010000</v>
      </c>
      <c r="D2237" s="1" t="n">
        <v>52188.2</v>
      </c>
      <c r="E2237" s="1" t="n">
        <v>0.0086</v>
      </c>
      <c r="F2237" s="1" t="n">
        <v>0.0811</v>
      </c>
    </row>
    <row r="2238" customFormat="false" ht="15" hidden="false" customHeight="false" outlineLevel="0" collapsed="false">
      <c r="A2238" s="1" t="s">
        <v>2273</v>
      </c>
      <c r="B2238" s="1" t="s">
        <v>30</v>
      </c>
      <c r="C2238" s="1" t="n">
        <v>1470000</v>
      </c>
      <c r="D2238" s="1" t="n">
        <v>93449.6</v>
      </c>
      <c r="E2238" s="1" t="n">
        <v>0.0202</v>
      </c>
      <c r="F2238" s="1" t="n">
        <v>0.0462</v>
      </c>
    </row>
    <row r="2239" customFormat="false" ht="15" hidden="false" customHeight="false" outlineLevel="0" collapsed="false">
      <c r="A2239" s="1" t="s">
        <v>2274</v>
      </c>
      <c r="B2239" s="1" t="s">
        <v>26</v>
      </c>
      <c r="C2239" s="1" t="n">
        <v>1470000</v>
      </c>
      <c r="D2239" s="1" t="n">
        <v>1384</v>
      </c>
      <c r="E2239" s="1" t="n">
        <v>0.0079</v>
      </c>
      <c r="F2239" s="1" t="n">
        <v>0.1015</v>
      </c>
    </row>
    <row r="2240" customFormat="false" ht="15" hidden="false" customHeight="false" outlineLevel="0" collapsed="false">
      <c r="A2240" s="1" t="s">
        <v>2275</v>
      </c>
      <c r="B2240" s="1" t="s">
        <v>26</v>
      </c>
      <c r="C2240" s="1" t="n">
        <v>2230000</v>
      </c>
      <c r="D2240" s="1" t="n">
        <v>103490.1</v>
      </c>
      <c r="E2240" s="1" t="n">
        <v>0.0077</v>
      </c>
      <c r="F2240" s="1" t="n">
        <v>0.0654</v>
      </c>
    </row>
    <row r="2241" customFormat="false" ht="15" hidden="false" customHeight="false" outlineLevel="0" collapsed="false">
      <c r="A2241" s="1" t="s">
        <v>2276</v>
      </c>
      <c r="B2241" s="1" t="s">
        <v>26</v>
      </c>
      <c r="C2241" s="1" t="n">
        <v>1750000</v>
      </c>
      <c r="D2241" s="1" t="n">
        <v>2063438.5</v>
      </c>
      <c r="E2241" s="1" t="n">
        <v>0.0301</v>
      </c>
      <c r="F2241" s="1" t="n">
        <v>0.0759</v>
      </c>
    </row>
    <row r="2242" customFormat="false" ht="15" hidden="false" customHeight="false" outlineLevel="0" collapsed="false">
      <c r="A2242" s="1" t="s">
        <v>2277</v>
      </c>
      <c r="B2242" s="1" t="s">
        <v>26</v>
      </c>
      <c r="C2242" s="1" t="n">
        <v>2110000</v>
      </c>
      <c r="D2242" s="1" t="n">
        <v>44134.4</v>
      </c>
      <c r="F2242" s="1" t="n">
        <v>0.0409</v>
      </c>
    </row>
    <row r="2243" customFormat="false" ht="15" hidden="false" customHeight="false" outlineLevel="0" collapsed="false">
      <c r="A2243" s="1" t="s">
        <v>2278</v>
      </c>
      <c r="B2243" s="1" t="s">
        <v>88</v>
      </c>
      <c r="C2243" s="1" t="n">
        <v>1460000</v>
      </c>
      <c r="D2243" s="1" t="n">
        <v>8910.8</v>
      </c>
      <c r="E2243" s="1" t="n">
        <v>0.0344</v>
      </c>
      <c r="F2243" s="1" t="n">
        <v>0.0951</v>
      </c>
    </row>
    <row r="2244" customFormat="false" ht="15" hidden="false" customHeight="false" outlineLevel="0" collapsed="false">
      <c r="A2244" s="1" t="s">
        <v>2279</v>
      </c>
      <c r="B2244" s="1" t="s">
        <v>88</v>
      </c>
      <c r="C2244" s="1" t="n">
        <v>1530000</v>
      </c>
      <c r="D2244" s="1" t="n">
        <v>15070.1</v>
      </c>
      <c r="E2244" s="1" t="n">
        <v>0.0241</v>
      </c>
      <c r="F2244" s="1" t="n">
        <v>0.0759</v>
      </c>
    </row>
    <row r="2245" customFormat="false" ht="15" hidden="false" customHeight="false" outlineLevel="0" collapsed="false">
      <c r="A2245" s="1" t="s">
        <v>2280</v>
      </c>
      <c r="B2245" s="1" t="s">
        <v>490</v>
      </c>
      <c r="C2245" s="1" t="n">
        <v>1340000</v>
      </c>
      <c r="D2245" s="1" t="n">
        <v>1228.1</v>
      </c>
      <c r="E2245" s="1" t="n">
        <v>0.0131</v>
      </c>
      <c r="F2245" s="1" t="n">
        <v>0.0736</v>
      </c>
    </row>
    <row r="2246" customFormat="false" ht="15" hidden="false" customHeight="false" outlineLevel="0" collapsed="false">
      <c r="A2246" s="1" t="s">
        <v>2281</v>
      </c>
      <c r="B2246" s="1" t="s">
        <v>26</v>
      </c>
      <c r="C2246" s="1" t="n">
        <v>1770000</v>
      </c>
      <c r="D2246" s="1" t="n">
        <v>319739.1</v>
      </c>
      <c r="E2246" s="1" t="n">
        <v>0.0142</v>
      </c>
      <c r="F2246" s="1" t="n">
        <v>0.0854</v>
      </c>
    </row>
    <row r="2247" customFormat="false" ht="15" hidden="false" customHeight="false" outlineLevel="0" collapsed="false">
      <c r="A2247" s="1" t="s">
        <v>2282</v>
      </c>
      <c r="B2247" s="1" t="s">
        <v>62</v>
      </c>
      <c r="C2247" s="1" t="n">
        <v>1720000</v>
      </c>
      <c r="D2247" s="1" t="n">
        <v>38939.6</v>
      </c>
      <c r="E2247" s="1" t="n">
        <v>0.0529</v>
      </c>
      <c r="F2247" s="1" t="n">
        <v>0.0938</v>
      </c>
    </row>
    <row r="2248" customFormat="false" ht="15" hidden="false" customHeight="false" outlineLevel="0" collapsed="false">
      <c r="A2248" s="1" t="s">
        <v>2283</v>
      </c>
      <c r="B2248" s="1" t="s">
        <v>88</v>
      </c>
      <c r="C2248" s="1" t="n">
        <v>1360000</v>
      </c>
      <c r="D2248" s="1" t="n">
        <v>3423.9</v>
      </c>
      <c r="E2248" s="1" t="n">
        <v>0.0189</v>
      </c>
      <c r="F2248" s="1" t="n">
        <v>0.1067</v>
      </c>
    </row>
    <row r="2249" customFormat="false" ht="15" hidden="false" customHeight="false" outlineLevel="0" collapsed="false">
      <c r="A2249" s="1" t="s">
        <v>2284</v>
      </c>
      <c r="B2249" s="1" t="s">
        <v>26</v>
      </c>
      <c r="C2249" s="1" t="n">
        <v>1590000</v>
      </c>
      <c r="D2249" s="1" t="n">
        <v>6335.2</v>
      </c>
      <c r="E2249" s="1" t="n">
        <v>0.0128</v>
      </c>
      <c r="F2249" s="1" t="n">
        <v>0.0616</v>
      </c>
    </row>
    <row r="2250" customFormat="false" ht="15" hidden="false" customHeight="false" outlineLevel="0" collapsed="false">
      <c r="A2250" s="1" t="s">
        <v>2285</v>
      </c>
      <c r="B2250" s="1" t="s">
        <v>26</v>
      </c>
      <c r="C2250" s="1" t="n">
        <v>1580000</v>
      </c>
      <c r="D2250" s="1" t="n">
        <v>61561.9</v>
      </c>
      <c r="E2250" s="1" t="n">
        <v>0.0317</v>
      </c>
      <c r="F2250" s="1" t="n">
        <v>0.0759</v>
      </c>
    </row>
    <row r="2251" customFormat="false" ht="15" hidden="false" customHeight="false" outlineLevel="0" collapsed="false">
      <c r="A2251" s="1" t="s">
        <v>2286</v>
      </c>
      <c r="B2251" s="1" t="s">
        <v>214</v>
      </c>
      <c r="C2251" s="1" t="n">
        <v>2330000</v>
      </c>
      <c r="D2251" s="1" t="n">
        <v>265540</v>
      </c>
      <c r="E2251" s="1" t="n">
        <v>0.0271</v>
      </c>
      <c r="F2251" s="1" t="n">
        <v>0.0672</v>
      </c>
    </row>
    <row r="2252" customFormat="false" ht="15" hidden="false" customHeight="false" outlineLevel="0" collapsed="false">
      <c r="A2252" s="1" t="s">
        <v>2287</v>
      </c>
      <c r="B2252" s="1" t="s">
        <v>30</v>
      </c>
      <c r="C2252" s="1" t="n">
        <v>1940000</v>
      </c>
      <c r="D2252" s="1" t="n">
        <v>671312</v>
      </c>
      <c r="E2252" s="1" t="n">
        <v>0.0077</v>
      </c>
      <c r="F2252" s="1" t="n">
        <v>0.0654</v>
      </c>
    </row>
    <row r="2253" customFormat="false" ht="15" hidden="false" customHeight="false" outlineLevel="0" collapsed="false">
      <c r="A2253" s="1" t="s">
        <v>2288</v>
      </c>
      <c r="B2253" s="1" t="s">
        <v>62</v>
      </c>
      <c r="C2253" s="1" t="n">
        <v>1900000</v>
      </c>
      <c r="D2253" s="1" t="n">
        <v>258861.5</v>
      </c>
      <c r="E2253" s="1" t="n">
        <v>0.0249</v>
      </c>
      <c r="F2253" s="1" t="n">
        <v>0.095</v>
      </c>
    </row>
    <row r="2254" customFormat="false" ht="15" hidden="false" customHeight="false" outlineLevel="0" collapsed="false">
      <c r="A2254" s="1" t="s">
        <v>2289</v>
      </c>
      <c r="B2254" s="1" t="s">
        <v>88</v>
      </c>
      <c r="C2254" s="1" t="n">
        <v>1470000</v>
      </c>
      <c r="D2254" s="1" t="n">
        <v>7043.9</v>
      </c>
      <c r="E2254" s="1" t="n">
        <v>0.0182</v>
      </c>
      <c r="F2254" s="1" t="n">
        <v>0.1053</v>
      </c>
    </row>
    <row r="2255" customFormat="false" ht="15" hidden="false" customHeight="false" outlineLevel="0" collapsed="false">
      <c r="A2255" s="1" t="s">
        <v>2290</v>
      </c>
      <c r="B2255" s="1" t="s">
        <v>214</v>
      </c>
      <c r="C2255" s="1" t="n">
        <v>1590000</v>
      </c>
      <c r="D2255" s="1" t="n">
        <v>85754.2</v>
      </c>
      <c r="E2255" s="1" t="n">
        <v>0.039</v>
      </c>
      <c r="F2255" s="1" t="n">
        <v>0.051</v>
      </c>
    </row>
    <row r="2256" customFormat="false" ht="15" hidden="false" customHeight="false" outlineLevel="0" collapsed="false">
      <c r="A2256" s="1" t="s">
        <v>2291</v>
      </c>
      <c r="B2256" s="1" t="s">
        <v>92</v>
      </c>
      <c r="C2256" s="1" t="n">
        <v>1440000</v>
      </c>
      <c r="D2256" s="1" t="n">
        <v>12841.7</v>
      </c>
      <c r="E2256" s="1" t="n">
        <v>0.0271</v>
      </c>
      <c r="F2256" s="1" t="n">
        <v>0.051</v>
      </c>
    </row>
    <row r="2257" customFormat="false" ht="15" hidden="false" customHeight="false" outlineLevel="0" collapsed="false">
      <c r="A2257" s="1" t="s">
        <v>2292</v>
      </c>
      <c r="B2257" s="1" t="s">
        <v>21</v>
      </c>
      <c r="C2257" s="1" t="n">
        <v>3800000</v>
      </c>
      <c r="D2257" s="1" t="n">
        <v>110029</v>
      </c>
      <c r="E2257" s="1" t="n">
        <v>0.0267</v>
      </c>
      <c r="F2257" s="1" t="n">
        <v>0.051</v>
      </c>
    </row>
    <row r="2258" customFormat="false" ht="15" hidden="false" customHeight="false" outlineLevel="0" collapsed="false">
      <c r="A2258" s="1" t="s">
        <v>2293</v>
      </c>
      <c r="B2258" s="1" t="s">
        <v>50</v>
      </c>
      <c r="C2258" s="1" t="n">
        <v>1770000</v>
      </c>
      <c r="D2258" s="1" t="n">
        <v>190028.9</v>
      </c>
      <c r="E2258" s="1" t="n">
        <v>0.0457</v>
      </c>
      <c r="F2258" s="1" t="n">
        <v>0.0759</v>
      </c>
    </row>
    <row r="2259" customFormat="false" ht="15" hidden="false" customHeight="false" outlineLevel="0" collapsed="false">
      <c r="A2259" s="1" t="s">
        <v>2294</v>
      </c>
      <c r="B2259" s="1" t="s">
        <v>26</v>
      </c>
      <c r="C2259" s="1" t="n">
        <v>1780000</v>
      </c>
      <c r="D2259" s="1" t="n">
        <v>30165.7</v>
      </c>
      <c r="E2259" s="1" t="n">
        <v>0.0666</v>
      </c>
      <c r="F2259" s="1" t="n">
        <v>0.0759</v>
      </c>
    </row>
    <row r="2260" customFormat="false" ht="15" hidden="false" customHeight="false" outlineLevel="0" collapsed="false">
      <c r="A2260" s="1" t="s">
        <v>2295</v>
      </c>
      <c r="B2260" s="1" t="s">
        <v>53</v>
      </c>
      <c r="C2260" s="1" t="n">
        <v>1410000</v>
      </c>
      <c r="D2260" s="1" t="n">
        <v>14826.7</v>
      </c>
      <c r="E2260" s="1" t="n">
        <v>0.0128</v>
      </c>
      <c r="F2260" s="1" t="n">
        <v>0.1058</v>
      </c>
    </row>
    <row r="2261" customFormat="false" ht="15" hidden="false" customHeight="false" outlineLevel="0" collapsed="false">
      <c r="A2261" s="1" t="s">
        <v>2296</v>
      </c>
      <c r="B2261" s="1" t="s">
        <v>26</v>
      </c>
      <c r="C2261" s="1" t="n">
        <v>3270000</v>
      </c>
      <c r="D2261" s="1" t="n">
        <v>110607.4</v>
      </c>
      <c r="E2261" s="1" t="n">
        <v>0.038</v>
      </c>
      <c r="F2261" s="1" t="n">
        <v>0.0759</v>
      </c>
    </row>
    <row r="2262" customFormat="false" ht="15" hidden="false" customHeight="false" outlineLevel="0" collapsed="false">
      <c r="A2262" s="1" t="s">
        <v>2297</v>
      </c>
      <c r="B2262" s="1" t="s">
        <v>71</v>
      </c>
      <c r="C2262" s="1" t="n">
        <v>1470000</v>
      </c>
      <c r="D2262" s="1" t="n">
        <v>7079</v>
      </c>
      <c r="E2262" s="1" t="n">
        <v>0.0356</v>
      </c>
      <c r="F2262" s="1" t="n">
        <v>0.0759</v>
      </c>
    </row>
    <row r="2263" customFormat="false" ht="15" hidden="false" customHeight="false" outlineLevel="0" collapsed="false">
      <c r="A2263" s="1" t="s">
        <v>2298</v>
      </c>
      <c r="B2263" s="1" t="s">
        <v>88</v>
      </c>
      <c r="C2263" s="1" t="n">
        <v>1620000</v>
      </c>
      <c r="D2263" s="1" t="n">
        <v>10245.5</v>
      </c>
      <c r="E2263" s="1" t="n">
        <v>0.0992</v>
      </c>
      <c r="F2263" s="1" t="n">
        <v>0.0938</v>
      </c>
    </row>
    <row r="2264" customFormat="false" ht="15" hidden="false" customHeight="false" outlineLevel="0" collapsed="false">
      <c r="A2264" s="1" t="s">
        <v>2299</v>
      </c>
      <c r="B2264" s="1" t="s">
        <v>21</v>
      </c>
      <c r="C2264" s="1" t="n">
        <v>1310000</v>
      </c>
      <c r="D2264" s="1" t="n">
        <v>6044</v>
      </c>
      <c r="E2264" s="1" t="n">
        <v>0.0199</v>
      </c>
      <c r="F2264" s="1" t="n">
        <v>0.0518</v>
      </c>
    </row>
    <row r="2265" customFormat="false" ht="15" hidden="false" customHeight="false" outlineLevel="0" collapsed="false">
      <c r="A2265" s="1" t="s">
        <v>2300</v>
      </c>
      <c r="B2265" s="1" t="s">
        <v>26</v>
      </c>
      <c r="C2265" s="1" t="n">
        <v>1380000</v>
      </c>
      <c r="D2265" s="1" t="n">
        <v>6433.1</v>
      </c>
      <c r="E2265" s="1" t="n">
        <v>0.0154</v>
      </c>
      <c r="F2265" s="1" t="n">
        <v>0.1067</v>
      </c>
    </row>
    <row r="2266" customFormat="false" ht="15" hidden="false" customHeight="false" outlineLevel="0" collapsed="false">
      <c r="A2266" s="1" t="s">
        <v>2301</v>
      </c>
      <c r="B2266" s="1" t="s">
        <v>41</v>
      </c>
      <c r="C2266" s="1" t="n">
        <v>2030000</v>
      </c>
      <c r="D2266" s="1" t="n">
        <v>530.7</v>
      </c>
      <c r="E2266" s="1" t="n">
        <v>0.021</v>
      </c>
      <c r="F2266" s="1" t="n">
        <v>0.0576</v>
      </c>
    </row>
    <row r="2267" customFormat="false" ht="15" hidden="false" customHeight="false" outlineLevel="0" collapsed="false">
      <c r="A2267" s="1" t="s">
        <v>2302</v>
      </c>
      <c r="B2267" s="1" t="s">
        <v>26</v>
      </c>
      <c r="C2267" s="1" t="n">
        <v>1360000</v>
      </c>
      <c r="D2267" s="1" t="n">
        <v>971</v>
      </c>
      <c r="E2267" s="1" t="n">
        <v>0.018</v>
      </c>
      <c r="F2267" s="1" t="n">
        <v>0.365</v>
      </c>
    </row>
    <row r="2268" customFormat="false" ht="15" hidden="false" customHeight="false" outlineLevel="0" collapsed="false">
      <c r="A2268" s="1" t="s">
        <v>2303</v>
      </c>
      <c r="B2268" s="1" t="s">
        <v>62</v>
      </c>
      <c r="C2268" s="1" t="n">
        <v>1640000</v>
      </c>
      <c r="D2268" s="1" t="n">
        <v>17218.5</v>
      </c>
      <c r="E2268" s="1" t="n">
        <v>0.0346</v>
      </c>
      <c r="F2268" s="1" t="n">
        <v>0.0759</v>
      </c>
    </row>
    <row r="2269" customFormat="false" ht="15" hidden="false" customHeight="false" outlineLevel="0" collapsed="false">
      <c r="A2269" s="1" t="s">
        <v>2304</v>
      </c>
      <c r="B2269" s="1" t="s">
        <v>92</v>
      </c>
      <c r="C2269" s="1" t="n">
        <v>1320000</v>
      </c>
      <c r="D2269" s="1" t="n">
        <v>2350.2</v>
      </c>
      <c r="E2269" s="1" t="n">
        <v>0.0279</v>
      </c>
      <c r="F2269" s="1" t="n">
        <v>0.0951</v>
      </c>
    </row>
    <row r="2270" customFormat="false" ht="15" hidden="false" customHeight="false" outlineLevel="0" collapsed="false">
      <c r="A2270" s="1" t="s">
        <v>2305</v>
      </c>
      <c r="B2270" s="1" t="s">
        <v>53</v>
      </c>
      <c r="C2270" s="1" t="n">
        <v>1730000</v>
      </c>
      <c r="D2270" s="1" t="n">
        <v>76153.8</v>
      </c>
      <c r="E2270" s="1" t="n">
        <v>0.0334</v>
      </c>
      <c r="F2270" s="1" t="n">
        <v>0.0951</v>
      </c>
    </row>
    <row r="2271" customFormat="false" ht="15" hidden="false" customHeight="false" outlineLevel="0" collapsed="false">
      <c r="A2271" s="1" t="s">
        <v>2306</v>
      </c>
      <c r="B2271" s="1" t="s">
        <v>53</v>
      </c>
      <c r="C2271" s="1" t="n">
        <v>1960000</v>
      </c>
      <c r="D2271" s="1" t="n">
        <v>107983.7</v>
      </c>
      <c r="E2271" s="1" t="n">
        <v>0.0596</v>
      </c>
      <c r="F2271" s="1" t="n">
        <v>0.0938</v>
      </c>
    </row>
    <row r="2272" customFormat="false" ht="15" hidden="false" customHeight="false" outlineLevel="0" collapsed="false">
      <c r="A2272" s="1" t="s">
        <v>2307</v>
      </c>
      <c r="B2272" s="1" t="s">
        <v>26</v>
      </c>
      <c r="C2272" s="1" t="n">
        <v>4290000</v>
      </c>
      <c r="D2272" s="1" t="n">
        <v>513929.5</v>
      </c>
      <c r="E2272" s="1" t="n">
        <v>0.0803</v>
      </c>
      <c r="F2272" s="1" t="n">
        <v>0.2548</v>
      </c>
    </row>
    <row r="2273" customFormat="false" ht="15" hidden="false" customHeight="false" outlineLevel="0" collapsed="false">
      <c r="A2273" s="1" t="s">
        <v>2308</v>
      </c>
      <c r="B2273" s="1" t="s">
        <v>53</v>
      </c>
      <c r="C2273" s="1" t="n">
        <v>2220000</v>
      </c>
      <c r="D2273" s="1" t="n">
        <v>25579.3</v>
      </c>
      <c r="E2273" s="1" t="n">
        <v>0.0519</v>
      </c>
      <c r="F2273" s="1" t="n">
        <v>0.0759</v>
      </c>
    </row>
    <row r="2274" customFormat="false" ht="15" hidden="false" customHeight="false" outlineLevel="0" collapsed="false">
      <c r="A2274" s="1" t="s">
        <v>2309</v>
      </c>
      <c r="B2274" s="1" t="s">
        <v>26</v>
      </c>
      <c r="C2274" s="1" t="n">
        <v>9500000</v>
      </c>
      <c r="D2274" s="1" t="n">
        <v>4284211.2</v>
      </c>
      <c r="E2274" s="1" t="n">
        <v>0.0305</v>
      </c>
      <c r="F2274" s="1" t="n">
        <v>0.0409</v>
      </c>
    </row>
    <row r="2275" customFormat="false" ht="15" hidden="false" customHeight="false" outlineLevel="0" collapsed="false">
      <c r="A2275" s="1" t="s">
        <v>2310</v>
      </c>
      <c r="B2275" s="1" t="s">
        <v>26</v>
      </c>
      <c r="C2275" s="1" t="n">
        <v>1600000</v>
      </c>
      <c r="D2275" s="1" t="n">
        <v>116778.5</v>
      </c>
      <c r="E2275" s="1" t="n">
        <v>0.0346</v>
      </c>
      <c r="F2275" s="1" t="n">
        <v>0.0759</v>
      </c>
    </row>
    <row r="2276" customFormat="false" ht="15" hidden="false" customHeight="false" outlineLevel="0" collapsed="false">
      <c r="A2276" s="1" t="s">
        <v>2311</v>
      </c>
      <c r="B2276" s="1" t="s">
        <v>21</v>
      </c>
      <c r="C2276" s="1" t="n">
        <v>1820000</v>
      </c>
      <c r="F2276" s="1" t="n">
        <v>0.0759</v>
      </c>
    </row>
    <row r="2277" customFormat="false" ht="15" hidden="false" customHeight="false" outlineLevel="0" collapsed="false">
      <c r="A2277" s="1" t="s">
        <v>2312</v>
      </c>
      <c r="B2277" s="1" t="s">
        <v>62</v>
      </c>
      <c r="C2277" s="1" t="n">
        <v>1570000</v>
      </c>
      <c r="D2277" s="1" t="n">
        <v>4771.1</v>
      </c>
      <c r="E2277" s="1" t="n">
        <v>0.0407</v>
      </c>
      <c r="F2277" s="1" t="n">
        <v>0.0951</v>
      </c>
    </row>
    <row r="2278" customFormat="false" ht="15" hidden="false" customHeight="false" outlineLevel="0" collapsed="false">
      <c r="A2278" s="1" t="s">
        <v>2313</v>
      </c>
      <c r="B2278" s="1" t="s">
        <v>88</v>
      </c>
      <c r="C2278" s="1" t="n">
        <v>1390000</v>
      </c>
      <c r="D2278" s="1" t="n">
        <v>8776.3</v>
      </c>
      <c r="E2278" s="1" t="n">
        <v>0.0207</v>
      </c>
      <c r="F2278" s="1" t="n">
        <v>0.0585</v>
      </c>
    </row>
    <row r="2279" customFormat="false" ht="15" hidden="false" customHeight="false" outlineLevel="0" collapsed="false">
      <c r="A2279" s="1" t="s">
        <v>2314</v>
      </c>
      <c r="B2279" s="1" t="s">
        <v>41</v>
      </c>
      <c r="C2279" s="1" t="n">
        <v>1470000</v>
      </c>
      <c r="D2279" s="1" t="n">
        <v>41.9</v>
      </c>
      <c r="E2279" s="1" t="n">
        <v>0</v>
      </c>
      <c r="F2279" s="1" t="n">
        <v>0.0811</v>
      </c>
    </row>
    <row r="2280" customFormat="false" ht="15" hidden="false" customHeight="false" outlineLevel="0" collapsed="false">
      <c r="A2280" s="1" t="s">
        <v>2315</v>
      </c>
      <c r="B2280" s="1" t="s">
        <v>62</v>
      </c>
      <c r="C2280" s="1" t="n">
        <v>1360000</v>
      </c>
      <c r="D2280" s="1" t="n">
        <v>12434.2</v>
      </c>
      <c r="E2280" s="1" t="n">
        <v>0.0647</v>
      </c>
      <c r="F2280" s="1" t="n">
        <v>0.0759</v>
      </c>
    </row>
    <row r="2281" customFormat="false" ht="15" hidden="false" customHeight="false" outlineLevel="0" collapsed="false">
      <c r="A2281" s="1" t="s">
        <v>2316</v>
      </c>
      <c r="B2281" s="1" t="s">
        <v>214</v>
      </c>
      <c r="C2281" s="1" t="n">
        <v>1630000</v>
      </c>
      <c r="D2281" s="1" t="n">
        <v>4387.7</v>
      </c>
      <c r="E2281" s="1" t="n">
        <v>0.0416</v>
      </c>
      <c r="F2281" s="1" t="n">
        <v>0.0938</v>
      </c>
    </row>
    <row r="2282" customFormat="false" ht="15" hidden="false" customHeight="false" outlineLevel="0" collapsed="false">
      <c r="A2282" s="1" t="s">
        <v>2317</v>
      </c>
      <c r="B2282" s="1" t="s">
        <v>214</v>
      </c>
      <c r="C2282" s="1" t="n">
        <v>1530000</v>
      </c>
      <c r="D2282" s="1" t="n">
        <v>21085.9</v>
      </c>
      <c r="E2282" s="1" t="n">
        <v>0.0229</v>
      </c>
      <c r="F2282" s="1" t="n">
        <v>0.0518</v>
      </c>
    </row>
    <row r="2283" customFormat="false" ht="15" hidden="false" customHeight="false" outlineLevel="0" collapsed="false">
      <c r="A2283" s="1" t="s">
        <v>2318</v>
      </c>
      <c r="B2283" s="1" t="s">
        <v>24</v>
      </c>
      <c r="C2283" s="1" t="n">
        <v>1350000</v>
      </c>
      <c r="D2283" s="1" t="n">
        <v>71545.4</v>
      </c>
      <c r="E2283" s="1" t="n">
        <v>0.0369</v>
      </c>
      <c r="F2283" s="1" t="n">
        <v>0.0518</v>
      </c>
    </row>
    <row r="2284" customFormat="false" ht="15" hidden="false" customHeight="false" outlineLevel="0" collapsed="false">
      <c r="A2284" s="1" t="s">
        <v>2319</v>
      </c>
      <c r="B2284" s="1" t="s">
        <v>26</v>
      </c>
      <c r="C2284" s="1" t="n">
        <v>2440000</v>
      </c>
      <c r="D2284" s="1" t="n">
        <v>1905541.4</v>
      </c>
      <c r="E2284" s="1" t="n">
        <v>0.0379</v>
      </c>
      <c r="F2284" s="1" t="n">
        <v>0.0409</v>
      </c>
    </row>
    <row r="2285" customFormat="false" ht="15" hidden="false" customHeight="false" outlineLevel="0" collapsed="false">
      <c r="A2285" s="1" t="s">
        <v>2320</v>
      </c>
      <c r="B2285" s="1" t="s">
        <v>490</v>
      </c>
      <c r="C2285" s="1" t="n">
        <v>1310000</v>
      </c>
      <c r="D2285" s="1" t="n">
        <v>3027</v>
      </c>
      <c r="E2285" s="1" t="n">
        <v>0.0333</v>
      </c>
      <c r="F2285" s="1" t="n">
        <v>0.0409</v>
      </c>
    </row>
    <row r="2286" customFormat="false" ht="15" hidden="false" customHeight="false" outlineLevel="0" collapsed="false">
      <c r="A2286" s="1" t="s">
        <v>2321</v>
      </c>
      <c r="B2286" s="1" t="s">
        <v>62</v>
      </c>
      <c r="C2286" s="1" t="n">
        <v>1440000</v>
      </c>
      <c r="D2286" s="1" t="n">
        <v>11114.3</v>
      </c>
      <c r="E2286" s="1" t="n">
        <v>0.0578</v>
      </c>
      <c r="F2286" s="1" t="n">
        <v>0.0951</v>
      </c>
    </row>
    <row r="2287" customFormat="false" ht="15" hidden="false" customHeight="false" outlineLevel="0" collapsed="false">
      <c r="A2287" s="1" t="s">
        <v>2322</v>
      </c>
      <c r="B2287" s="1" t="s">
        <v>26</v>
      </c>
      <c r="C2287" s="1" t="n">
        <v>1520000</v>
      </c>
      <c r="D2287" s="1" t="n">
        <v>6483.3</v>
      </c>
      <c r="E2287" s="1" t="n">
        <v>0.0161</v>
      </c>
      <c r="F2287" s="1" t="n">
        <v>0.1192</v>
      </c>
    </row>
    <row r="2288" customFormat="false" ht="15" hidden="false" customHeight="false" outlineLevel="0" collapsed="false">
      <c r="A2288" s="1" t="s">
        <v>2323</v>
      </c>
      <c r="B2288" s="1" t="s">
        <v>26</v>
      </c>
      <c r="C2288" s="1" t="n">
        <v>1850000</v>
      </c>
      <c r="D2288" s="1" t="n">
        <v>67213.8</v>
      </c>
      <c r="E2288" s="1" t="n">
        <v>0.019</v>
      </c>
      <c r="F2288" s="1" t="n">
        <v>0.0462</v>
      </c>
    </row>
    <row r="2289" customFormat="false" ht="15" hidden="false" customHeight="false" outlineLevel="0" collapsed="false">
      <c r="A2289" s="1" t="s">
        <v>2324</v>
      </c>
      <c r="B2289" s="1" t="s">
        <v>21</v>
      </c>
      <c r="C2289" s="1" t="n">
        <v>1050000</v>
      </c>
      <c r="D2289" s="1" t="n">
        <v>278033.5</v>
      </c>
      <c r="E2289" s="1" t="n">
        <v>0.0226</v>
      </c>
      <c r="F2289" s="1" t="n">
        <v>0.0518</v>
      </c>
    </row>
    <row r="2290" customFormat="false" ht="15" hidden="false" customHeight="false" outlineLevel="0" collapsed="false">
      <c r="A2290" s="1" t="s">
        <v>2325</v>
      </c>
      <c r="B2290" s="1" t="s">
        <v>26</v>
      </c>
      <c r="C2290" s="1" t="n">
        <v>1590000</v>
      </c>
      <c r="D2290" s="1" t="n">
        <v>38673.5</v>
      </c>
      <c r="E2290" s="1" t="n">
        <v>0.0313</v>
      </c>
      <c r="F2290" s="1" t="n">
        <v>0.0938</v>
      </c>
    </row>
    <row r="2291" customFormat="false" ht="15" hidden="false" customHeight="false" outlineLevel="0" collapsed="false">
      <c r="A2291" s="1" t="s">
        <v>2326</v>
      </c>
      <c r="B2291" s="1" t="s">
        <v>26</v>
      </c>
      <c r="C2291" s="1" t="n">
        <v>1580000</v>
      </c>
      <c r="D2291" s="1" t="n">
        <v>4379.7</v>
      </c>
      <c r="E2291" s="1" t="n">
        <v>0.0407</v>
      </c>
      <c r="F2291" s="1" t="n">
        <v>0.0759</v>
      </c>
    </row>
    <row r="2292" customFormat="false" ht="15" hidden="false" customHeight="false" outlineLevel="0" collapsed="false">
      <c r="A2292" s="1" t="s">
        <v>2327</v>
      </c>
      <c r="B2292" s="1" t="s">
        <v>26</v>
      </c>
      <c r="C2292" s="1" t="n">
        <v>2170000</v>
      </c>
      <c r="D2292" s="1" t="n">
        <v>113744.4</v>
      </c>
      <c r="E2292" s="1" t="n">
        <v>0.0724</v>
      </c>
      <c r="F2292" s="1" t="n">
        <v>0.0759</v>
      </c>
    </row>
    <row r="2293" customFormat="false" ht="15" hidden="false" customHeight="false" outlineLevel="0" collapsed="false">
      <c r="A2293" s="1" t="s">
        <v>2328</v>
      </c>
      <c r="B2293" s="1" t="s">
        <v>92</v>
      </c>
      <c r="C2293" s="1" t="n">
        <v>1580000</v>
      </c>
      <c r="D2293" s="1" t="n">
        <v>37999.7</v>
      </c>
      <c r="E2293" s="1" t="n">
        <v>0.0249</v>
      </c>
      <c r="F2293" s="1" t="n">
        <v>0.1053</v>
      </c>
    </row>
    <row r="2294" customFormat="false" ht="15" hidden="false" customHeight="false" outlineLevel="0" collapsed="false">
      <c r="A2294" s="1" t="s">
        <v>2329</v>
      </c>
      <c r="B2294" s="1" t="s">
        <v>41</v>
      </c>
      <c r="C2294" s="1" t="n">
        <v>1370000</v>
      </c>
      <c r="D2294" s="1" t="n">
        <v>1100.9</v>
      </c>
      <c r="E2294" s="1" t="n">
        <v>0.1145</v>
      </c>
      <c r="F2294" s="1" t="n">
        <v>0.0938</v>
      </c>
    </row>
    <row r="2295" customFormat="false" ht="15" hidden="false" customHeight="false" outlineLevel="0" collapsed="false">
      <c r="A2295" s="1" t="s">
        <v>2330</v>
      </c>
      <c r="B2295" s="1" t="s">
        <v>26</v>
      </c>
      <c r="C2295" s="1" t="n">
        <v>1290000</v>
      </c>
      <c r="D2295" s="1" t="n">
        <v>1223.8</v>
      </c>
      <c r="E2295" s="1" t="n">
        <v>0.023</v>
      </c>
      <c r="F2295" s="1" t="n">
        <v>0.0518</v>
      </c>
    </row>
    <row r="2296" customFormat="false" ht="15" hidden="false" customHeight="false" outlineLevel="0" collapsed="false">
      <c r="A2296" s="1" t="s">
        <v>2331</v>
      </c>
      <c r="B2296" s="1" t="s">
        <v>88</v>
      </c>
      <c r="C2296" s="1" t="n">
        <v>1680000</v>
      </c>
      <c r="D2296" s="1" t="n">
        <v>6454.6</v>
      </c>
      <c r="E2296" s="1" t="n">
        <v>0.0304</v>
      </c>
      <c r="F2296" s="1" t="n">
        <v>0.0938</v>
      </c>
    </row>
    <row r="2297" customFormat="false" ht="15" hidden="false" customHeight="false" outlineLevel="0" collapsed="false">
      <c r="A2297" s="1" t="s">
        <v>2332</v>
      </c>
      <c r="B2297" s="1" t="s">
        <v>26</v>
      </c>
      <c r="C2297" s="1" t="n">
        <v>1610000</v>
      </c>
      <c r="D2297" s="1" t="n">
        <v>68331.3</v>
      </c>
      <c r="E2297" s="1" t="n">
        <v>0.0172</v>
      </c>
      <c r="F2297" s="1" t="n">
        <v>0.0576</v>
      </c>
    </row>
    <row r="2298" customFormat="false" ht="15" hidden="false" customHeight="false" outlineLevel="0" collapsed="false">
      <c r="A2298" s="1" t="s">
        <v>2333</v>
      </c>
      <c r="B2298" s="1" t="s">
        <v>214</v>
      </c>
      <c r="C2298" s="1" t="n">
        <v>1650000</v>
      </c>
      <c r="D2298" s="1" t="n">
        <v>8289.4</v>
      </c>
      <c r="E2298" s="1" t="n">
        <v>0.0346</v>
      </c>
      <c r="F2298" s="1" t="n">
        <v>0.1387</v>
      </c>
    </row>
    <row r="2299" customFormat="false" ht="15" hidden="false" customHeight="false" outlineLevel="0" collapsed="false">
      <c r="A2299" s="1" t="s">
        <v>2334</v>
      </c>
      <c r="B2299" s="1" t="s">
        <v>92</v>
      </c>
      <c r="C2299" s="1" t="n">
        <v>1660000</v>
      </c>
      <c r="D2299" s="1" t="n">
        <v>88637.1</v>
      </c>
      <c r="F2299" s="1" t="n">
        <v>0.0409</v>
      </c>
    </row>
    <row r="2300" customFormat="false" ht="15" hidden="false" customHeight="false" outlineLevel="0" collapsed="false">
      <c r="A2300" s="1" t="s">
        <v>2335</v>
      </c>
      <c r="B2300" s="1" t="s">
        <v>26</v>
      </c>
      <c r="C2300" s="1" t="n">
        <v>1410000</v>
      </c>
      <c r="D2300" s="1" t="n">
        <v>2252.2</v>
      </c>
      <c r="E2300" s="1" t="n">
        <v>0.0242</v>
      </c>
      <c r="F2300" s="1" t="n">
        <v>0.0938</v>
      </c>
    </row>
    <row r="2301" customFormat="false" ht="15" hidden="false" customHeight="false" outlineLevel="0" collapsed="false">
      <c r="A2301" s="1" t="s">
        <v>2336</v>
      </c>
      <c r="B2301" s="1" t="s">
        <v>62</v>
      </c>
      <c r="C2301" s="1" t="n">
        <v>1320000</v>
      </c>
      <c r="D2301" s="1" t="n">
        <v>15456.4</v>
      </c>
      <c r="E2301" s="1" t="n">
        <v>0.0229</v>
      </c>
      <c r="F2301" s="1" t="n">
        <v>0.0409</v>
      </c>
    </row>
    <row r="2302" customFormat="false" ht="15" hidden="false" customHeight="false" outlineLevel="0" collapsed="false">
      <c r="A2302" s="1" t="s">
        <v>2337</v>
      </c>
      <c r="B2302" s="1" t="s">
        <v>92</v>
      </c>
      <c r="C2302" s="1" t="n">
        <v>1360000</v>
      </c>
      <c r="D2302" s="1" t="n">
        <v>3138.1</v>
      </c>
      <c r="E2302" s="1" t="n">
        <v>0.0176</v>
      </c>
      <c r="F2302" s="1" t="n">
        <v>0.0576</v>
      </c>
    </row>
    <row r="2303" customFormat="false" ht="15" hidden="false" customHeight="false" outlineLevel="0" collapsed="false">
      <c r="A2303" s="1" t="s">
        <v>2338</v>
      </c>
      <c r="B2303" s="1" t="s">
        <v>26</v>
      </c>
      <c r="C2303" s="1" t="n">
        <v>2250000</v>
      </c>
      <c r="D2303" s="1" t="n">
        <v>295005.7</v>
      </c>
      <c r="E2303" s="1" t="n">
        <v>0.0179</v>
      </c>
      <c r="F2303" s="1" t="n">
        <v>0.0585</v>
      </c>
    </row>
    <row r="2304" customFormat="false" ht="15" hidden="false" customHeight="false" outlineLevel="0" collapsed="false">
      <c r="A2304" s="1" t="s">
        <v>2339</v>
      </c>
      <c r="B2304" s="1" t="s">
        <v>26</v>
      </c>
      <c r="C2304" s="1" t="n">
        <v>1860000</v>
      </c>
      <c r="D2304" s="1" t="n">
        <v>475553.3</v>
      </c>
      <c r="E2304" s="1" t="n">
        <v>0.035</v>
      </c>
      <c r="F2304" s="1" t="n">
        <v>0.0759</v>
      </c>
    </row>
    <row r="2305" customFormat="false" ht="15" hidden="false" customHeight="false" outlineLevel="0" collapsed="false">
      <c r="A2305" s="1" t="s">
        <v>2340</v>
      </c>
      <c r="B2305" s="1" t="s">
        <v>92</v>
      </c>
      <c r="C2305" s="1" t="n">
        <v>1580000</v>
      </c>
      <c r="D2305" s="1" t="n">
        <v>3127.3</v>
      </c>
      <c r="E2305" s="1" t="n">
        <v>0.0079</v>
      </c>
      <c r="F2305" s="1" t="n">
        <v>0.0811</v>
      </c>
    </row>
    <row r="2306" customFormat="false" ht="15" hidden="false" customHeight="false" outlineLevel="0" collapsed="false">
      <c r="A2306" s="1" t="s">
        <v>2341</v>
      </c>
      <c r="B2306" s="1" t="s">
        <v>21</v>
      </c>
      <c r="C2306" s="1" t="n">
        <v>1640000</v>
      </c>
      <c r="D2306" s="1" t="n">
        <v>1300.8</v>
      </c>
      <c r="E2306" s="1" t="n">
        <v>0.0052</v>
      </c>
      <c r="F2306" s="1" t="n">
        <v>0.0654</v>
      </c>
    </row>
    <row r="2307" customFormat="false" ht="15" hidden="false" customHeight="false" outlineLevel="0" collapsed="false">
      <c r="A2307" s="1" t="s">
        <v>2342</v>
      </c>
      <c r="B2307" s="1" t="s">
        <v>92</v>
      </c>
      <c r="C2307" s="1" t="n">
        <v>1380000</v>
      </c>
      <c r="D2307" s="1" t="n">
        <v>14729.2</v>
      </c>
      <c r="E2307" s="1" t="n">
        <v>0.0198</v>
      </c>
      <c r="F2307" s="1" t="n">
        <v>0.1067</v>
      </c>
    </row>
    <row r="2308" customFormat="false" ht="15" hidden="false" customHeight="false" outlineLevel="0" collapsed="false">
      <c r="A2308" s="1" t="s">
        <v>2343</v>
      </c>
      <c r="B2308" s="1" t="s">
        <v>74</v>
      </c>
      <c r="C2308" s="1" t="n">
        <v>1420000</v>
      </c>
      <c r="D2308" s="1" t="n">
        <v>34100</v>
      </c>
      <c r="E2308" s="1" t="n">
        <v>0.0312</v>
      </c>
      <c r="F2308" s="1" t="n">
        <v>0.0518</v>
      </c>
    </row>
    <row r="2309" customFormat="false" ht="15" hidden="false" customHeight="false" outlineLevel="0" collapsed="false">
      <c r="A2309" s="1" t="s">
        <v>2344</v>
      </c>
      <c r="B2309" s="1" t="s">
        <v>41</v>
      </c>
      <c r="C2309" s="1" t="n">
        <v>2530000</v>
      </c>
      <c r="D2309" s="1" t="n">
        <v>500.3</v>
      </c>
      <c r="E2309" s="1" t="n">
        <v>0.0076</v>
      </c>
      <c r="F2309" s="1" t="n">
        <v>0.1318</v>
      </c>
    </row>
    <row r="2310" customFormat="false" ht="15" hidden="false" customHeight="false" outlineLevel="0" collapsed="false">
      <c r="A2310" s="1" t="s">
        <v>2345</v>
      </c>
      <c r="B2310" s="1" t="s">
        <v>26</v>
      </c>
      <c r="C2310" s="1" t="n">
        <v>1380000</v>
      </c>
      <c r="D2310" s="1" t="n">
        <v>350963.6</v>
      </c>
      <c r="E2310" s="1" t="n">
        <v>0.0146</v>
      </c>
      <c r="F2310" s="1" t="n">
        <v>0.0462</v>
      </c>
    </row>
    <row r="2311" customFormat="false" ht="15" hidden="false" customHeight="false" outlineLevel="0" collapsed="false">
      <c r="A2311" s="1" t="s">
        <v>2346</v>
      </c>
      <c r="B2311" s="1" t="s">
        <v>195</v>
      </c>
      <c r="C2311" s="1" t="n">
        <v>1360000</v>
      </c>
      <c r="D2311" s="1" t="n">
        <v>68525.4</v>
      </c>
      <c r="E2311" s="1" t="n">
        <v>0.0211</v>
      </c>
      <c r="F2311" s="1" t="n">
        <v>0.1067</v>
      </c>
    </row>
    <row r="2312" customFormat="false" ht="15" hidden="false" customHeight="false" outlineLevel="0" collapsed="false">
      <c r="A2312" s="1" t="s">
        <v>2347</v>
      </c>
      <c r="B2312" s="1" t="s">
        <v>88</v>
      </c>
      <c r="C2312" s="1" t="n">
        <v>1480000</v>
      </c>
      <c r="D2312" s="1" t="n">
        <v>2557.5</v>
      </c>
      <c r="E2312" s="1" t="n">
        <v>0.0408</v>
      </c>
      <c r="F2312" s="1" t="n">
        <v>0.0938</v>
      </c>
    </row>
    <row r="2313" customFormat="false" ht="15" hidden="false" customHeight="false" outlineLevel="0" collapsed="false">
      <c r="A2313" s="1" t="s">
        <v>2348</v>
      </c>
      <c r="B2313" s="1" t="s">
        <v>26</v>
      </c>
      <c r="C2313" s="1" t="n">
        <v>1350000</v>
      </c>
      <c r="D2313" s="1" t="n">
        <v>7807</v>
      </c>
      <c r="E2313" s="1" t="n">
        <v>0.0507</v>
      </c>
      <c r="F2313" s="1" t="n">
        <v>0.0951</v>
      </c>
    </row>
    <row r="2314" customFormat="false" ht="15" hidden="false" customHeight="false" outlineLevel="0" collapsed="false">
      <c r="A2314" s="1" t="s">
        <v>2349</v>
      </c>
      <c r="B2314" s="1" t="s">
        <v>21</v>
      </c>
      <c r="C2314" s="1" t="n">
        <v>1340000</v>
      </c>
      <c r="D2314" s="1" t="n">
        <v>603.4</v>
      </c>
      <c r="E2314" s="1" t="n">
        <v>0.0205</v>
      </c>
      <c r="F2314" s="1" t="n">
        <v>0.0462</v>
      </c>
    </row>
    <row r="2315" customFormat="false" ht="15" hidden="false" customHeight="false" outlineLevel="0" collapsed="false">
      <c r="A2315" s="1" t="s">
        <v>2350</v>
      </c>
      <c r="B2315" s="1" t="s">
        <v>41</v>
      </c>
      <c r="C2315" s="1" t="n">
        <v>1680000</v>
      </c>
      <c r="D2315" s="1" t="n">
        <v>794.9</v>
      </c>
      <c r="E2315" s="1" t="n">
        <v>0.053</v>
      </c>
      <c r="F2315" s="1" t="n">
        <v>0.0938</v>
      </c>
    </row>
    <row r="2316" customFormat="false" ht="15" hidden="false" customHeight="false" outlineLevel="0" collapsed="false">
      <c r="A2316" s="1" t="s">
        <v>2351</v>
      </c>
      <c r="B2316" s="1" t="s">
        <v>26</v>
      </c>
      <c r="C2316" s="1" t="n">
        <v>1550000</v>
      </c>
      <c r="D2316" s="1" t="n">
        <v>62404</v>
      </c>
      <c r="E2316" s="1" t="n">
        <v>0.0257</v>
      </c>
      <c r="F2316" s="1" t="n">
        <v>0.1169</v>
      </c>
    </row>
    <row r="2317" customFormat="false" ht="15" hidden="false" customHeight="false" outlineLevel="0" collapsed="false">
      <c r="A2317" s="1" t="s">
        <v>2352</v>
      </c>
      <c r="B2317" s="1" t="s">
        <v>490</v>
      </c>
      <c r="C2317" s="1" t="n">
        <v>1460000</v>
      </c>
      <c r="D2317" s="1" t="n">
        <v>5925.1</v>
      </c>
      <c r="E2317" s="1" t="n">
        <v>0.0152</v>
      </c>
      <c r="F2317" s="1" t="n">
        <v>0.0576</v>
      </c>
    </row>
    <row r="2318" customFormat="false" ht="15" hidden="false" customHeight="false" outlineLevel="0" collapsed="false">
      <c r="A2318" s="1" t="s">
        <v>2353</v>
      </c>
      <c r="B2318" s="1" t="s">
        <v>26</v>
      </c>
      <c r="C2318" s="1" t="n">
        <v>1340000</v>
      </c>
      <c r="D2318" s="1" t="n">
        <v>21738.7</v>
      </c>
      <c r="E2318" s="1" t="n">
        <v>0.003</v>
      </c>
      <c r="F2318" s="1" t="n">
        <v>0.0822</v>
      </c>
    </row>
    <row r="2319" customFormat="false" ht="15" hidden="false" customHeight="false" outlineLevel="0" collapsed="false">
      <c r="A2319" s="1" t="s">
        <v>2354</v>
      </c>
      <c r="B2319" s="1" t="s">
        <v>30</v>
      </c>
      <c r="C2319" s="1" t="n">
        <v>2710000</v>
      </c>
      <c r="D2319" s="1" t="n">
        <v>1799074.4</v>
      </c>
      <c r="E2319" s="1" t="n">
        <v>0.0094</v>
      </c>
      <c r="F2319" s="1" t="n">
        <v>0.0822</v>
      </c>
    </row>
    <row r="2320" customFormat="false" ht="15" hidden="false" customHeight="false" outlineLevel="0" collapsed="false">
      <c r="A2320" s="1" t="s">
        <v>2355</v>
      </c>
      <c r="B2320" s="1" t="s">
        <v>214</v>
      </c>
      <c r="C2320" s="1" t="n">
        <v>1360000</v>
      </c>
      <c r="D2320" s="1" t="n">
        <v>2276.4</v>
      </c>
      <c r="E2320" s="1" t="n">
        <v>0.0273</v>
      </c>
      <c r="F2320" s="1" t="n">
        <v>0.0951</v>
      </c>
    </row>
    <row r="2321" customFormat="false" ht="15" hidden="false" customHeight="false" outlineLevel="0" collapsed="false">
      <c r="A2321" s="1" t="s">
        <v>2356</v>
      </c>
      <c r="B2321" s="1" t="s">
        <v>26</v>
      </c>
      <c r="C2321" s="1" t="n">
        <v>2520000</v>
      </c>
      <c r="D2321" s="1" t="n">
        <v>15135.2</v>
      </c>
      <c r="E2321" s="1" t="n">
        <v>0.0327</v>
      </c>
      <c r="F2321" s="1" t="n">
        <v>0.0759</v>
      </c>
    </row>
    <row r="2322" customFormat="false" ht="15" hidden="false" customHeight="false" outlineLevel="0" collapsed="false">
      <c r="A2322" s="1" t="s">
        <v>2357</v>
      </c>
      <c r="B2322" s="1" t="s">
        <v>26</v>
      </c>
      <c r="C2322" s="1" t="n">
        <v>1470000</v>
      </c>
      <c r="D2322" s="1" t="n">
        <v>380789.8</v>
      </c>
      <c r="E2322" s="1" t="n">
        <v>0.0439</v>
      </c>
      <c r="F2322" s="1" t="n">
        <v>0.0409</v>
      </c>
    </row>
    <row r="2323" customFormat="false" ht="15" hidden="false" customHeight="false" outlineLevel="0" collapsed="false">
      <c r="A2323" s="1" t="s">
        <v>2358</v>
      </c>
      <c r="B2323" s="1" t="s">
        <v>81</v>
      </c>
      <c r="C2323" s="1" t="n">
        <v>1460000</v>
      </c>
      <c r="D2323" s="1" t="n">
        <v>55108.3</v>
      </c>
      <c r="E2323" s="1" t="n">
        <v>0.0396</v>
      </c>
      <c r="F2323" s="1" t="n">
        <v>0.0938</v>
      </c>
    </row>
    <row r="2324" customFormat="false" ht="15" hidden="false" customHeight="false" outlineLevel="0" collapsed="false">
      <c r="A2324" s="1" t="s">
        <v>2359</v>
      </c>
      <c r="B2324" s="1" t="s">
        <v>41</v>
      </c>
      <c r="C2324" s="1" t="n">
        <v>1820000</v>
      </c>
      <c r="D2324" s="1" t="n">
        <v>5250.1</v>
      </c>
      <c r="E2324" s="1" t="n">
        <v>0.0041</v>
      </c>
      <c r="F2324" s="1" t="n">
        <v>0.1015</v>
      </c>
    </row>
    <row r="2325" customFormat="false" ht="15" hidden="false" customHeight="false" outlineLevel="0" collapsed="false">
      <c r="A2325" s="1" t="s">
        <v>2360</v>
      </c>
      <c r="B2325" s="1" t="s">
        <v>26</v>
      </c>
      <c r="C2325" s="1" t="n">
        <v>1560000</v>
      </c>
      <c r="D2325" s="1" t="n">
        <v>231386.9</v>
      </c>
      <c r="E2325" s="1" t="n">
        <v>0.0355</v>
      </c>
      <c r="F2325" s="1" t="n">
        <v>0.0409</v>
      </c>
    </row>
    <row r="2326" customFormat="false" ht="15" hidden="false" customHeight="false" outlineLevel="0" collapsed="false">
      <c r="A2326" s="1" t="s">
        <v>2361</v>
      </c>
      <c r="B2326" s="1" t="s">
        <v>50</v>
      </c>
      <c r="C2326" s="1" t="n">
        <v>1560000</v>
      </c>
      <c r="D2326" s="1" t="n">
        <v>270931.6</v>
      </c>
      <c r="E2326" s="1" t="n">
        <v>0.0302</v>
      </c>
      <c r="F2326" s="1" t="n">
        <v>0.0432</v>
      </c>
    </row>
    <row r="2327" customFormat="false" ht="15" hidden="false" customHeight="false" outlineLevel="0" collapsed="false">
      <c r="A2327" s="1" t="s">
        <v>2362</v>
      </c>
      <c r="B2327" s="1" t="s">
        <v>26</v>
      </c>
      <c r="C2327" s="1" t="n">
        <v>1550000</v>
      </c>
      <c r="D2327" s="1" t="n">
        <v>547707.8</v>
      </c>
      <c r="E2327" s="1" t="n">
        <v>0.0476</v>
      </c>
      <c r="F2327" s="1" t="n">
        <v>0.0951</v>
      </c>
    </row>
    <row r="2328" customFormat="false" ht="15" hidden="false" customHeight="false" outlineLevel="0" collapsed="false">
      <c r="A2328" s="1" t="s">
        <v>2363</v>
      </c>
      <c r="B2328" s="1" t="s">
        <v>41</v>
      </c>
      <c r="C2328" s="1" t="n">
        <v>1990000</v>
      </c>
      <c r="D2328" s="1" t="n">
        <v>216646.1</v>
      </c>
      <c r="E2328" s="1" t="n">
        <v>0.0254</v>
      </c>
      <c r="F2328" s="1" t="n">
        <v>0.0759</v>
      </c>
    </row>
    <row r="2329" customFormat="false" ht="15" hidden="false" customHeight="false" outlineLevel="0" collapsed="false">
      <c r="A2329" s="1" t="s">
        <v>2364</v>
      </c>
      <c r="B2329" s="1" t="s">
        <v>41</v>
      </c>
      <c r="C2329" s="1" t="n">
        <v>1300000</v>
      </c>
      <c r="D2329" s="1" t="n">
        <v>3079.8</v>
      </c>
      <c r="E2329" s="1" t="n">
        <v>0.0181</v>
      </c>
      <c r="F2329" s="1" t="n">
        <v>0.0731</v>
      </c>
    </row>
    <row r="2330" customFormat="false" ht="15" hidden="false" customHeight="false" outlineLevel="0" collapsed="false">
      <c r="A2330" s="1" t="s">
        <v>2365</v>
      </c>
      <c r="B2330" s="1" t="s">
        <v>287</v>
      </c>
      <c r="C2330" s="1" t="n">
        <v>1390000</v>
      </c>
      <c r="D2330" s="1" t="n">
        <v>15435.5</v>
      </c>
      <c r="E2330" s="1" t="n">
        <v>0.0266</v>
      </c>
      <c r="F2330" s="1" t="n">
        <v>0.0518</v>
      </c>
    </row>
    <row r="2331" customFormat="false" ht="15" hidden="false" customHeight="false" outlineLevel="0" collapsed="false">
      <c r="A2331" s="1" t="s">
        <v>2366</v>
      </c>
      <c r="B2331" s="1" t="s">
        <v>92</v>
      </c>
      <c r="C2331" s="1" t="n">
        <v>1340000</v>
      </c>
      <c r="D2331" s="1" t="n">
        <v>1442.8</v>
      </c>
      <c r="E2331" s="1" t="n">
        <v>0.0064</v>
      </c>
      <c r="F2331" s="1" t="n">
        <v>0.0811</v>
      </c>
    </row>
    <row r="2332" customFormat="false" ht="15" hidden="false" customHeight="false" outlineLevel="0" collapsed="false">
      <c r="A2332" s="1" t="s">
        <v>2367</v>
      </c>
      <c r="B2332" s="1" t="s">
        <v>32</v>
      </c>
      <c r="C2332" s="1" t="n">
        <v>1430000</v>
      </c>
      <c r="D2332" s="1" t="n">
        <v>14264.2</v>
      </c>
      <c r="E2332" s="1" t="n">
        <v>0.0201</v>
      </c>
      <c r="F2332" s="1" t="n">
        <v>0.1308</v>
      </c>
    </row>
    <row r="2333" customFormat="false" ht="15" hidden="false" customHeight="false" outlineLevel="0" collapsed="false">
      <c r="A2333" s="1" t="s">
        <v>2368</v>
      </c>
      <c r="B2333" s="1" t="s">
        <v>28</v>
      </c>
      <c r="C2333" s="1" t="n">
        <v>1630000</v>
      </c>
      <c r="D2333" s="1" t="n">
        <v>22558.8</v>
      </c>
      <c r="E2333" s="1" t="n">
        <v>0.0325</v>
      </c>
      <c r="F2333" s="1" t="n">
        <v>0.0938</v>
      </c>
    </row>
    <row r="2334" customFormat="false" ht="15" hidden="false" customHeight="false" outlineLevel="0" collapsed="false">
      <c r="A2334" s="1" t="s">
        <v>2369</v>
      </c>
      <c r="B2334" s="1" t="s">
        <v>26</v>
      </c>
      <c r="C2334" s="1" t="n">
        <v>1450000</v>
      </c>
      <c r="D2334" s="1" t="n">
        <v>1203.4</v>
      </c>
      <c r="E2334" s="1" t="n">
        <v>0.0278</v>
      </c>
      <c r="F2334" s="1" t="n">
        <v>0.0938</v>
      </c>
    </row>
    <row r="2335" customFormat="false" ht="15" hidden="false" customHeight="false" outlineLevel="0" collapsed="false">
      <c r="A2335" s="1" t="s">
        <v>2370</v>
      </c>
      <c r="B2335" s="1" t="s">
        <v>26</v>
      </c>
      <c r="C2335" s="1" t="n">
        <v>1440000</v>
      </c>
      <c r="D2335" s="1" t="n">
        <v>23300.4</v>
      </c>
      <c r="E2335" s="1" t="n">
        <v>0.0177</v>
      </c>
      <c r="F2335" s="1" t="n">
        <v>0.1053</v>
      </c>
    </row>
    <row r="2336" customFormat="false" ht="15" hidden="false" customHeight="false" outlineLevel="0" collapsed="false">
      <c r="A2336" s="1" t="s">
        <v>2371</v>
      </c>
      <c r="B2336" s="1" t="s">
        <v>26</v>
      </c>
      <c r="C2336" s="1" t="n">
        <v>1450000</v>
      </c>
      <c r="D2336" s="1" t="n">
        <v>2467.1</v>
      </c>
      <c r="E2336" s="1" t="n">
        <v>0.0194</v>
      </c>
      <c r="F2336" s="1" t="n">
        <v>0.0726</v>
      </c>
    </row>
    <row r="2337" customFormat="false" ht="15" hidden="false" customHeight="false" outlineLevel="0" collapsed="false">
      <c r="A2337" s="1" t="s">
        <v>2372</v>
      </c>
      <c r="B2337" s="1" t="s">
        <v>26</v>
      </c>
      <c r="C2337" s="1" t="n">
        <v>1280000</v>
      </c>
      <c r="D2337" s="1" t="n">
        <v>115048.6</v>
      </c>
      <c r="E2337" s="1" t="n">
        <v>0.0194</v>
      </c>
      <c r="F2337" s="1" t="n">
        <v>0.0585</v>
      </c>
    </row>
    <row r="2338" customFormat="false" ht="15" hidden="false" customHeight="false" outlineLevel="0" collapsed="false">
      <c r="A2338" s="1" t="s">
        <v>2373</v>
      </c>
      <c r="B2338" s="1" t="s">
        <v>30</v>
      </c>
      <c r="C2338" s="1" t="n">
        <v>8750000</v>
      </c>
      <c r="D2338" s="1" t="n">
        <v>7777213.8</v>
      </c>
      <c r="E2338" s="1" t="n">
        <v>0.0674</v>
      </c>
      <c r="F2338" s="1" t="n">
        <v>0.0759</v>
      </c>
    </row>
    <row r="2339" customFormat="false" ht="15" hidden="false" customHeight="false" outlineLevel="0" collapsed="false">
      <c r="A2339" s="1" t="s">
        <v>2374</v>
      </c>
      <c r="B2339" s="1" t="s">
        <v>88</v>
      </c>
      <c r="C2339" s="1" t="n">
        <v>1440000</v>
      </c>
      <c r="D2339" s="1" t="n">
        <v>55225.5</v>
      </c>
      <c r="E2339" s="1" t="n">
        <v>0.0388</v>
      </c>
      <c r="F2339" s="1" t="n">
        <v>0.0951</v>
      </c>
    </row>
    <row r="2340" customFormat="false" ht="15" hidden="false" customHeight="false" outlineLevel="0" collapsed="false">
      <c r="A2340" s="1" t="s">
        <v>2375</v>
      </c>
      <c r="B2340" s="1" t="s">
        <v>26</v>
      </c>
      <c r="C2340" s="1" t="n">
        <v>1380000</v>
      </c>
      <c r="D2340" s="1" t="n">
        <v>2431.6</v>
      </c>
      <c r="E2340" s="1" t="n">
        <v>0.0152</v>
      </c>
      <c r="F2340" s="1" t="n">
        <v>0.0903</v>
      </c>
    </row>
    <row r="2341" customFormat="false" ht="15" hidden="false" customHeight="false" outlineLevel="0" collapsed="false">
      <c r="A2341" s="1" t="s">
        <v>2376</v>
      </c>
      <c r="B2341" s="1" t="s">
        <v>287</v>
      </c>
      <c r="C2341" s="1" t="n">
        <v>1250000</v>
      </c>
      <c r="D2341" s="1" t="n">
        <v>926.4</v>
      </c>
      <c r="E2341" s="1" t="n">
        <v>0.0267</v>
      </c>
      <c r="F2341" s="1" t="n">
        <v>0.0951</v>
      </c>
    </row>
    <row r="2342" customFormat="false" ht="15" hidden="false" customHeight="false" outlineLevel="0" collapsed="false">
      <c r="A2342" s="1" t="s">
        <v>2377</v>
      </c>
      <c r="B2342" s="1" t="s">
        <v>50</v>
      </c>
      <c r="C2342" s="1" t="n">
        <v>1630000</v>
      </c>
      <c r="D2342" s="1" t="n">
        <v>142239.8</v>
      </c>
      <c r="E2342" s="1" t="n">
        <v>0.0356</v>
      </c>
      <c r="F2342" s="1" t="n">
        <v>0.0759</v>
      </c>
    </row>
    <row r="2343" customFormat="false" ht="15" hidden="false" customHeight="false" outlineLevel="0" collapsed="false">
      <c r="A2343" s="1" t="s">
        <v>2378</v>
      </c>
      <c r="B2343" s="1" t="s">
        <v>71</v>
      </c>
      <c r="C2343" s="1" t="n">
        <v>2170000</v>
      </c>
      <c r="D2343" s="1" t="n">
        <v>6568.9</v>
      </c>
      <c r="E2343" s="1" t="n">
        <v>0.0155</v>
      </c>
      <c r="F2343" s="1" t="n">
        <v>0.0576</v>
      </c>
    </row>
    <row r="2344" customFormat="false" ht="15" hidden="false" customHeight="false" outlineLevel="0" collapsed="false">
      <c r="A2344" s="1" t="s">
        <v>2379</v>
      </c>
      <c r="B2344" s="1" t="s">
        <v>30</v>
      </c>
      <c r="C2344" s="1" t="n">
        <v>1270000</v>
      </c>
      <c r="D2344" s="1" t="n">
        <v>5041.7</v>
      </c>
      <c r="E2344" s="1" t="n">
        <v>0.0571</v>
      </c>
      <c r="F2344" s="1" t="n">
        <v>0.0951</v>
      </c>
    </row>
    <row r="2345" customFormat="false" ht="15" hidden="false" customHeight="false" outlineLevel="0" collapsed="false">
      <c r="A2345" s="1" t="s">
        <v>2380</v>
      </c>
      <c r="B2345" s="1" t="s">
        <v>41</v>
      </c>
      <c r="C2345" s="1" t="n">
        <v>1390000</v>
      </c>
      <c r="D2345" s="1" t="n">
        <v>243436.3</v>
      </c>
      <c r="E2345" s="1" t="n">
        <v>0.048</v>
      </c>
      <c r="F2345" s="1" t="n">
        <v>0.0938</v>
      </c>
    </row>
    <row r="2346" customFormat="false" ht="15" hidden="false" customHeight="false" outlineLevel="0" collapsed="false">
      <c r="A2346" s="1" t="s">
        <v>2381</v>
      </c>
      <c r="B2346" s="1" t="s">
        <v>26</v>
      </c>
      <c r="C2346" s="1" t="n">
        <v>2850000</v>
      </c>
      <c r="D2346" s="1" t="n">
        <v>1375419.7</v>
      </c>
      <c r="E2346" s="1" t="n">
        <v>0.025</v>
      </c>
      <c r="F2346" s="1" t="n">
        <v>0.0518</v>
      </c>
    </row>
    <row r="2347" customFormat="false" ht="15" hidden="false" customHeight="false" outlineLevel="0" collapsed="false">
      <c r="A2347" s="1" t="s">
        <v>2382</v>
      </c>
      <c r="B2347" s="1" t="s">
        <v>26</v>
      </c>
      <c r="C2347" s="1" t="n">
        <v>1290000</v>
      </c>
      <c r="D2347" s="1" t="n">
        <v>1891.4</v>
      </c>
      <c r="E2347" s="1" t="n">
        <v>0.0227</v>
      </c>
      <c r="F2347" s="1" t="n">
        <v>0.0409</v>
      </c>
    </row>
    <row r="2348" customFormat="false" ht="15" hidden="false" customHeight="false" outlineLevel="0" collapsed="false">
      <c r="A2348" s="1" t="s">
        <v>2383</v>
      </c>
      <c r="B2348" s="1" t="s">
        <v>26</v>
      </c>
      <c r="C2348" s="1" t="n">
        <v>1430000</v>
      </c>
      <c r="D2348" s="1" t="n">
        <v>304949.5</v>
      </c>
      <c r="E2348" s="1" t="n">
        <v>0.0529</v>
      </c>
      <c r="F2348" s="1" t="n">
        <v>0.0409</v>
      </c>
    </row>
    <row r="2349" customFormat="false" ht="15" hidden="false" customHeight="false" outlineLevel="0" collapsed="false">
      <c r="A2349" s="1" t="s">
        <v>2384</v>
      </c>
      <c r="B2349" s="1" t="s">
        <v>26</v>
      </c>
      <c r="C2349" s="1" t="n">
        <v>1300000</v>
      </c>
      <c r="D2349" s="1" t="n">
        <v>12104.4</v>
      </c>
      <c r="E2349" s="1" t="n">
        <v>0.0701</v>
      </c>
      <c r="F2349" s="1" t="n">
        <v>0.1516</v>
      </c>
    </row>
    <row r="2350" customFormat="false" ht="15" hidden="false" customHeight="false" outlineLevel="0" collapsed="false">
      <c r="A2350" s="1" t="s">
        <v>2385</v>
      </c>
      <c r="B2350" s="1" t="s">
        <v>26</v>
      </c>
      <c r="C2350" s="1" t="n">
        <v>1290000</v>
      </c>
      <c r="D2350" s="1" t="n">
        <v>903</v>
      </c>
      <c r="E2350" s="1" t="n">
        <v>0.0323</v>
      </c>
      <c r="F2350" s="1" t="n">
        <v>0.0679</v>
      </c>
    </row>
    <row r="2351" customFormat="false" ht="15" hidden="false" customHeight="false" outlineLevel="0" collapsed="false">
      <c r="A2351" s="1" t="s">
        <v>2386</v>
      </c>
      <c r="B2351" s="1" t="s">
        <v>88</v>
      </c>
      <c r="C2351" s="1" t="n">
        <v>1300000</v>
      </c>
      <c r="D2351" s="1" t="n">
        <v>281.6</v>
      </c>
      <c r="E2351" s="1" t="n">
        <v>0.0387</v>
      </c>
      <c r="F2351" s="1" t="n">
        <v>0.301</v>
      </c>
    </row>
    <row r="2352" customFormat="false" ht="15" hidden="false" customHeight="false" outlineLevel="0" collapsed="false">
      <c r="A2352" s="1" t="s">
        <v>2387</v>
      </c>
      <c r="B2352" s="1" t="s">
        <v>214</v>
      </c>
      <c r="C2352" s="1" t="n">
        <v>1300000</v>
      </c>
      <c r="D2352" s="1" t="n">
        <v>108.4</v>
      </c>
      <c r="E2352" s="1" t="n">
        <v>0.0054</v>
      </c>
      <c r="F2352" s="1" t="n">
        <v>0.1113</v>
      </c>
    </row>
    <row r="2353" customFormat="false" ht="15" hidden="false" customHeight="false" outlineLevel="0" collapsed="false">
      <c r="A2353" s="1" t="s">
        <v>2388</v>
      </c>
      <c r="B2353" s="1" t="s">
        <v>26</v>
      </c>
      <c r="C2353" s="1" t="n">
        <v>1470000</v>
      </c>
      <c r="D2353" s="1" t="n">
        <v>135258.7</v>
      </c>
      <c r="E2353" s="1" t="n">
        <v>0.0589</v>
      </c>
      <c r="F2353" s="1" t="n">
        <v>0.0538</v>
      </c>
    </row>
    <row r="2354" customFormat="false" ht="15" hidden="false" customHeight="false" outlineLevel="0" collapsed="false">
      <c r="A2354" s="1" t="s">
        <v>2389</v>
      </c>
      <c r="B2354" s="1" t="s">
        <v>92</v>
      </c>
      <c r="C2354" s="1" t="n">
        <v>1390000</v>
      </c>
      <c r="D2354" s="1" t="n">
        <v>137040.4</v>
      </c>
      <c r="E2354" s="1" t="n">
        <v>0.019</v>
      </c>
      <c r="F2354" s="1" t="n">
        <v>0.0854</v>
      </c>
    </row>
    <row r="2355" customFormat="false" ht="15" hidden="false" customHeight="false" outlineLevel="0" collapsed="false">
      <c r="A2355" s="1" t="s">
        <v>2390</v>
      </c>
      <c r="B2355" s="1" t="s">
        <v>26</v>
      </c>
      <c r="C2355" s="1" t="n">
        <v>4570000</v>
      </c>
      <c r="D2355" s="1" t="n">
        <v>478459.5</v>
      </c>
      <c r="E2355" s="1" t="n">
        <v>0.0785</v>
      </c>
      <c r="F2355" s="1" t="n">
        <v>0.0409</v>
      </c>
    </row>
    <row r="2356" customFormat="false" ht="15" hidden="false" customHeight="false" outlineLevel="0" collapsed="false">
      <c r="A2356" s="1" t="s">
        <v>2391</v>
      </c>
      <c r="B2356" s="1" t="s">
        <v>26</v>
      </c>
      <c r="C2356" s="1" t="n">
        <v>1390000</v>
      </c>
      <c r="D2356" s="1" t="n">
        <v>95300.6</v>
      </c>
      <c r="E2356" s="1" t="n">
        <v>0.009</v>
      </c>
      <c r="F2356" s="1" t="n">
        <v>0.0822</v>
      </c>
    </row>
    <row r="2357" customFormat="false" ht="15" hidden="false" customHeight="false" outlineLevel="0" collapsed="false">
      <c r="A2357" s="1" t="s">
        <v>2392</v>
      </c>
      <c r="B2357" s="1" t="s">
        <v>26</v>
      </c>
      <c r="C2357" s="1" t="n">
        <v>1250000</v>
      </c>
      <c r="D2357" s="1" t="n">
        <v>13737.9</v>
      </c>
      <c r="E2357" s="1" t="n">
        <v>0.0139</v>
      </c>
      <c r="F2357" s="1" t="n">
        <v>0.0462</v>
      </c>
    </row>
    <row r="2358" customFormat="false" ht="15" hidden="false" customHeight="false" outlineLevel="0" collapsed="false">
      <c r="A2358" s="1" t="s">
        <v>2393</v>
      </c>
      <c r="B2358" s="1" t="s">
        <v>35</v>
      </c>
      <c r="C2358" s="1" t="n">
        <v>1290000</v>
      </c>
      <c r="D2358" s="1" t="n">
        <v>28790.7</v>
      </c>
      <c r="E2358" s="1" t="n">
        <v>0.0214</v>
      </c>
      <c r="F2358" s="1" t="n">
        <v>0.1067</v>
      </c>
    </row>
    <row r="2359" customFormat="false" ht="15" hidden="false" customHeight="false" outlineLevel="0" collapsed="false">
      <c r="A2359" s="1" t="s">
        <v>2394</v>
      </c>
      <c r="B2359" s="1" t="s">
        <v>21</v>
      </c>
      <c r="C2359" s="1" t="n">
        <v>1430000</v>
      </c>
      <c r="D2359" s="1" t="n">
        <v>4517.4</v>
      </c>
      <c r="E2359" s="1" t="n">
        <v>0.0228</v>
      </c>
      <c r="F2359" s="1" t="n">
        <v>0.117</v>
      </c>
    </row>
    <row r="2360" customFormat="false" ht="15" hidden="false" customHeight="false" outlineLevel="0" collapsed="false">
      <c r="A2360" s="1" t="s">
        <v>2395</v>
      </c>
      <c r="B2360" s="1" t="s">
        <v>88</v>
      </c>
      <c r="C2360" s="1" t="n">
        <v>1270000</v>
      </c>
      <c r="D2360" s="1" t="n">
        <v>1891.4</v>
      </c>
      <c r="E2360" s="1" t="n">
        <v>0.0454</v>
      </c>
      <c r="F2360" s="1" t="n">
        <v>0.0938</v>
      </c>
    </row>
    <row r="2361" customFormat="false" ht="15" hidden="false" customHeight="false" outlineLevel="0" collapsed="false">
      <c r="A2361" s="1" t="s">
        <v>2396</v>
      </c>
      <c r="B2361" s="1" t="s">
        <v>26</v>
      </c>
      <c r="C2361" s="1" t="n">
        <v>1660000</v>
      </c>
      <c r="D2361" s="1" t="n">
        <v>23724.4</v>
      </c>
      <c r="E2361" s="1" t="n">
        <v>0.0439</v>
      </c>
      <c r="F2361" s="1" t="n">
        <v>0.051</v>
      </c>
    </row>
    <row r="2362" customFormat="false" ht="15" hidden="false" customHeight="false" outlineLevel="0" collapsed="false">
      <c r="A2362" s="1" t="s">
        <v>2397</v>
      </c>
      <c r="B2362" s="1" t="s">
        <v>26</v>
      </c>
      <c r="C2362" s="1" t="n">
        <v>1380000</v>
      </c>
      <c r="D2362" s="1" t="n">
        <v>12570.3</v>
      </c>
      <c r="E2362" s="1" t="n">
        <v>0.0133</v>
      </c>
      <c r="F2362" s="1" t="n">
        <v>0.0726</v>
      </c>
    </row>
    <row r="2363" customFormat="false" ht="15" hidden="false" customHeight="false" outlineLevel="0" collapsed="false">
      <c r="A2363" s="1" t="s">
        <v>2398</v>
      </c>
      <c r="B2363" s="1" t="s">
        <v>41</v>
      </c>
      <c r="C2363" s="1" t="n">
        <v>1280000</v>
      </c>
      <c r="D2363" s="1" t="n">
        <v>812.5</v>
      </c>
      <c r="E2363" s="1" t="n">
        <v>0.0338</v>
      </c>
      <c r="F2363" s="1" t="n">
        <v>0.0725</v>
      </c>
    </row>
    <row r="2364" customFormat="false" ht="15" hidden="false" customHeight="false" outlineLevel="0" collapsed="false">
      <c r="A2364" s="1" t="s">
        <v>2399</v>
      </c>
      <c r="B2364" s="1" t="s">
        <v>50</v>
      </c>
      <c r="C2364" s="1" t="n">
        <v>1250000</v>
      </c>
      <c r="D2364" s="1" t="n">
        <v>1854.1</v>
      </c>
      <c r="E2364" s="1" t="n">
        <v>0.0229</v>
      </c>
      <c r="F2364" s="1" t="n">
        <v>0.0951</v>
      </c>
    </row>
    <row r="2365" customFormat="false" ht="15" hidden="false" customHeight="false" outlineLevel="0" collapsed="false">
      <c r="A2365" s="1" t="s">
        <v>2400</v>
      </c>
      <c r="B2365" s="1" t="s">
        <v>62</v>
      </c>
      <c r="C2365" s="1" t="n">
        <v>1510000</v>
      </c>
      <c r="D2365" s="1" t="n">
        <v>10320.7</v>
      </c>
      <c r="E2365" s="1" t="n">
        <v>0.039</v>
      </c>
      <c r="F2365" s="1" t="n">
        <v>0.0759</v>
      </c>
    </row>
    <row r="2366" customFormat="false" ht="15" hidden="false" customHeight="false" outlineLevel="0" collapsed="false">
      <c r="A2366" s="1" t="s">
        <v>2401</v>
      </c>
      <c r="B2366" s="1" t="s">
        <v>53</v>
      </c>
      <c r="C2366" s="1" t="n">
        <v>1760000</v>
      </c>
      <c r="D2366" s="1" t="n">
        <v>33487.4</v>
      </c>
      <c r="E2366" s="1" t="n">
        <v>0.0255</v>
      </c>
      <c r="F2366" s="1" t="n">
        <v>0.0518</v>
      </c>
    </row>
    <row r="2367" customFormat="false" ht="15" hidden="false" customHeight="false" outlineLevel="0" collapsed="false">
      <c r="A2367" s="1" t="s">
        <v>2402</v>
      </c>
      <c r="B2367" s="1" t="s">
        <v>92</v>
      </c>
      <c r="C2367" s="1" t="n">
        <v>1890000</v>
      </c>
      <c r="D2367" s="1" t="n">
        <v>2278.8</v>
      </c>
      <c r="E2367" s="1" t="n">
        <v>0.037</v>
      </c>
      <c r="F2367" s="1" t="n">
        <v>0.0938</v>
      </c>
    </row>
    <row r="2368" customFormat="false" ht="15" hidden="false" customHeight="false" outlineLevel="0" collapsed="false">
      <c r="A2368" s="1" t="s">
        <v>2403</v>
      </c>
      <c r="B2368" s="1" t="s">
        <v>32</v>
      </c>
      <c r="C2368" s="1" t="n">
        <v>1550000</v>
      </c>
      <c r="D2368" s="1" t="n">
        <v>209</v>
      </c>
      <c r="E2368" s="1" t="n">
        <v>0.0113</v>
      </c>
      <c r="F2368" s="1" t="n">
        <v>0.1013</v>
      </c>
    </row>
    <row r="2369" customFormat="false" ht="15" hidden="false" customHeight="false" outlineLevel="0" collapsed="false">
      <c r="A2369" s="1" t="s">
        <v>2404</v>
      </c>
      <c r="B2369" s="1" t="s">
        <v>53</v>
      </c>
      <c r="C2369" s="1" t="n">
        <v>1570000</v>
      </c>
      <c r="D2369" s="1" t="n">
        <v>22658.6</v>
      </c>
      <c r="E2369" s="1" t="n">
        <v>0.0575</v>
      </c>
      <c r="F2369" s="1" t="n">
        <v>0.0938</v>
      </c>
    </row>
    <row r="2370" customFormat="false" ht="15" hidden="false" customHeight="false" outlineLevel="0" collapsed="false">
      <c r="A2370" s="1" t="s">
        <v>2405</v>
      </c>
      <c r="B2370" s="1" t="s">
        <v>24</v>
      </c>
      <c r="C2370" s="1" t="n">
        <v>1260000</v>
      </c>
      <c r="D2370" s="1" t="n">
        <v>701.8</v>
      </c>
      <c r="E2370" s="1" t="n">
        <v>0.0556</v>
      </c>
      <c r="F2370" s="1" t="n">
        <v>0.0951</v>
      </c>
    </row>
    <row r="2371" customFormat="false" ht="15" hidden="false" customHeight="false" outlineLevel="0" collapsed="false">
      <c r="A2371" s="1" t="s">
        <v>2406</v>
      </c>
      <c r="B2371" s="1" t="s">
        <v>53</v>
      </c>
      <c r="C2371" s="1" t="n">
        <v>1340000</v>
      </c>
      <c r="D2371" s="1" t="n">
        <v>11505.6</v>
      </c>
      <c r="E2371" s="1" t="n">
        <v>0.0512</v>
      </c>
      <c r="F2371" s="1" t="n">
        <v>0.0938</v>
      </c>
    </row>
    <row r="2372" customFormat="false" ht="15" hidden="false" customHeight="false" outlineLevel="0" collapsed="false">
      <c r="A2372" s="1" t="s">
        <v>2407</v>
      </c>
      <c r="B2372" s="1" t="s">
        <v>26</v>
      </c>
      <c r="C2372" s="1" t="n">
        <v>1350000</v>
      </c>
      <c r="D2372" s="1" t="n">
        <v>8129</v>
      </c>
      <c r="E2372" s="1" t="n">
        <v>0.0106</v>
      </c>
      <c r="F2372" s="1" t="n">
        <v>0.1015</v>
      </c>
    </row>
    <row r="2373" customFormat="false" ht="15" hidden="false" customHeight="false" outlineLevel="0" collapsed="false">
      <c r="A2373" s="1" t="s">
        <v>2408</v>
      </c>
      <c r="B2373" s="1" t="s">
        <v>26</v>
      </c>
      <c r="C2373" s="1" t="n">
        <v>1440000</v>
      </c>
      <c r="D2373" s="1" t="n">
        <v>257526.4</v>
      </c>
      <c r="E2373" s="1" t="n">
        <v>0.0392</v>
      </c>
      <c r="F2373" s="1" t="n">
        <v>0.0759</v>
      </c>
    </row>
    <row r="2374" customFormat="false" ht="15" hidden="false" customHeight="false" outlineLevel="0" collapsed="false">
      <c r="A2374" s="1" t="s">
        <v>2409</v>
      </c>
      <c r="B2374" s="1" t="s">
        <v>26</v>
      </c>
      <c r="C2374" s="1" t="n">
        <v>1240000</v>
      </c>
      <c r="D2374" s="1" t="n">
        <v>278.4</v>
      </c>
      <c r="E2374" s="1" t="n">
        <v>0.1067</v>
      </c>
      <c r="F2374" s="1" t="n">
        <v>0.1226</v>
      </c>
    </row>
    <row r="2375" customFormat="false" ht="15" hidden="false" customHeight="false" outlineLevel="0" collapsed="false">
      <c r="A2375" s="1" t="s">
        <v>2410</v>
      </c>
      <c r="B2375" s="1" t="s">
        <v>214</v>
      </c>
      <c r="C2375" s="1" t="n">
        <v>1600000</v>
      </c>
      <c r="D2375" s="1" t="n">
        <v>77140.3</v>
      </c>
      <c r="E2375" s="1" t="n">
        <v>0.0254</v>
      </c>
      <c r="F2375" s="1" t="n">
        <v>0.0759</v>
      </c>
    </row>
    <row r="2376" customFormat="false" ht="15" hidden="false" customHeight="false" outlineLevel="0" collapsed="false">
      <c r="A2376" s="1" t="s">
        <v>2411</v>
      </c>
      <c r="B2376" s="1" t="s">
        <v>24</v>
      </c>
      <c r="C2376" s="1" t="n">
        <v>1850000</v>
      </c>
      <c r="D2376" s="1" t="n">
        <v>12566.2</v>
      </c>
      <c r="E2376" s="1" t="n">
        <v>0.0712</v>
      </c>
      <c r="F2376" s="1" t="n">
        <v>0.0938</v>
      </c>
    </row>
    <row r="2377" customFormat="false" ht="15" hidden="false" customHeight="false" outlineLevel="0" collapsed="false">
      <c r="A2377" s="1" t="s">
        <v>2412</v>
      </c>
      <c r="B2377" s="1" t="s">
        <v>81</v>
      </c>
      <c r="C2377" s="1" t="n">
        <v>1280000</v>
      </c>
      <c r="D2377" s="1" t="n">
        <v>19323.6</v>
      </c>
      <c r="E2377" s="1" t="n">
        <v>0.0157</v>
      </c>
      <c r="F2377" s="1" t="n">
        <v>0.1053</v>
      </c>
    </row>
    <row r="2378" customFormat="false" ht="15" hidden="false" customHeight="false" outlineLevel="0" collapsed="false">
      <c r="A2378" s="1" t="s">
        <v>2413</v>
      </c>
      <c r="B2378" s="1" t="s">
        <v>41</v>
      </c>
      <c r="C2378" s="1" t="n">
        <v>1560000</v>
      </c>
      <c r="D2378" s="1" t="n">
        <v>52916.4</v>
      </c>
      <c r="E2378" s="1" t="n">
        <v>0.0471</v>
      </c>
      <c r="F2378" s="1" t="n">
        <v>0.0938</v>
      </c>
    </row>
    <row r="2379" customFormat="false" ht="15" hidden="false" customHeight="false" outlineLevel="0" collapsed="false">
      <c r="A2379" s="1" t="s">
        <v>2414</v>
      </c>
      <c r="B2379" s="1" t="s">
        <v>50</v>
      </c>
      <c r="C2379" s="1" t="n">
        <v>3140000</v>
      </c>
      <c r="D2379" s="1" t="n">
        <v>358346.4</v>
      </c>
      <c r="E2379" s="1" t="n">
        <v>0.0259</v>
      </c>
      <c r="F2379" s="1" t="n">
        <v>0.051</v>
      </c>
    </row>
    <row r="2380" customFormat="false" ht="15" hidden="false" customHeight="false" outlineLevel="0" collapsed="false">
      <c r="A2380" s="1" t="s">
        <v>2415</v>
      </c>
      <c r="B2380" s="1" t="s">
        <v>26</v>
      </c>
      <c r="C2380" s="1" t="n">
        <v>3060000</v>
      </c>
      <c r="D2380" s="1" t="n">
        <v>1290848.3</v>
      </c>
      <c r="F2380" s="1" t="n">
        <v>0.0409</v>
      </c>
    </row>
    <row r="2381" customFormat="false" ht="15" hidden="false" customHeight="false" outlineLevel="0" collapsed="false">
      <c r="A2381" s="1" t="s">
        <v>2416</v>
      </c>
      <c r="B2381" s="1" t="s">
        <v>92</v>
      </c>
      <c r="C2381" s="1" t="n">
        <v>1430000</v>
      </c>
      <c r="D2381" s="1" t="n">
        <v>7217.9</v>
      </c>
      <c r="E2381" s="1" t="n">
        <v>0.0132</v>
      </c>
      <c r="F2381" s="1" t="n">
        <v>0.0462</v>
      </c>
    </row>
    <row r="2382" customFormat="false" ht="15" hidden="false" customHeight="false" outlineLevel="0" collapsed="false">
      <c r="A2382" s="1" t="s">
        <v>2417</v>
      </c>
      <c r="B2382" s="1" t="s">
        <v>195</v>
      </c>
      <c r="C2382" s="1" t="n">
        <v>4140000</v>
      </c>
      <c r="D2382" s="1" t="n">
        <v>10278.8</v>
      </c>
      <c r="E2382" s="1" t="n">
        <v>0.0261</v>
      </c>
      <c r="F2382" s="1" t="n">
        <v>0.0759</v>
      </c>
    </row>
    <row r="2383" customFormat="false" ht="15" hidden="false" customHeight="false" outlineLevel="0" collapsed="false">
      <c r="A2383" s="1" t="s">
        <v>2418</v>
      </c>
      <c r="B2383" s="1" t="s">
        <v>26</v>
      </c>
      <c r="C2383" s="1" t="n">
        <v>1770000</v>
      </c>
      <c r="D2383" s="1" t="n">
        <v>796845.3</v>
      </c>
      <c r="E2383" s="1" t="n">
        <v>0.0313</v>
      </c>
      <c r="F2383" s="1" t="n">
        <v>0.0432</v>
      </c>
    </row>
    <row r="2384" customFormat="false" ht="15" hidden="false" customHeight="false" outlineLevel="0" collapsed="false">
      <c r="A2384" s="1" t="s">
        <v>2419</v>
      </c>
      <c r="B2384" s="1" t="s">
        <v>88</v>
      </c>
      <c r="C2384" s="1" t="n">
        <v>2180000</v>
      </c>
      <c r="D2384" s="1" t="n">
        <v>29602</v>
      </c>
      <c r="E2384" s="1" t="n">
        <v>0.033</v>
      </c>
      <c r="F2384" s="1" t="n">
        <v>0.0938</v>
      </c>
    </row>
    <row r="2385" customFormat="false" ht="15" hidden="false" customHeight="false" outlineLevel="0" collapsed="false">
      <c r="A2385" s="1" t="s">
        <v>2420</v>
      </c>
      <c r="B2385" s="1" t="s">
        <v>28</v>
      </c>
      <c r="C2385" s="1" t="n">
        <v>2550000</v>
      </c>
      <c r="D2385" s="1" t="n">
        <v>230925.6</v>
      </c>
      <c r="E2385" s="1" t="n">
        <v>0.0166</v>
      </c>
      <c r="F2385" s="1" t="n">
        <v>0.0576</v>
      </c>
    </row>
    <row r="2386" customFormat="false" ht="15" hidden="false" customHeight="false" outlineLevel="0" collapsed="false">
      <c r="A2386" s="1" t="s">
        <v>2421</v>
      </c>
      <c r="B2386" s="1" t="s">
        <v>88</v>
      </c>
      <c r="C2386" s="1" t="n">
        <v>1310000</v>
      </c>
      <c r="D2386" s="1" t="n">
        <v>21219.1</v>
      </c>
      <c r="E2386" s="1" t="n">
        <v>0.0276</v>
      </c>
      <c r="F2386" s="1" t="n">
        <v>0.0759</v>
      </c>
    </row>
    <row r="2387" customFormat="false" ht="15" hidden="false" customHeight="false" outlineLevel="0" collapsed="false">
      <c r="A2387" s="1" t="s">
        <v>2422</v>
      </c>
      <c r="B2387" s="1" t="s">
        <v>26</v>
      </c>
      <c r="C2387" s="1" t="n">
        <v>1470000</v>
      </c>
      <c r="D2387" s="1" t="n">
        <v>26076.1</v>
      </c>
      <c r="F2387" s="1" t="n">
        <v>0.0518</v>
      </c>
    </row>
    <row r="2388" customFormat="false" ht="15" hidden="false" customHeight="false" outlineLevel="0" collapsed="false">
      <c r="A2388" s="1" t="s">
        <v>2423</v>
      </c>
      <c r="B2388" s="1" t="s">
        <v>92</v>
      </c>
      <c r="C2388" s="1" t="n">
        <v>1480000</v>
      </c>
      <c r="D2388" s="1" t="n">
        <v>33553.4</v>
      </c>
      <c r="E2388" s="1" t="n">
        <v>0.014</v>
      </c>
      <c r="F2388" s="1" t="n">
        <v>0.0585</v>
      </c>
    </row>
    <row r="2389" customFormat="false" ht="15" hidden="false" customHeight="false" outlineLevel="0" collapsed="false">
      <c r="A2389" s="1" t="s">
        <v>2424</v>
      </c>
      <c r="B2389" s="1" t="s">
        <v>26</v>
      </c>
      <c r="C2389" s="1" t="n">
        <v>1300000</v>
      </c>
      <c r="D2389" s="1" t="n">
        <v>208868.9</v>
      </c>
      <c r="E2389" s="1" t="n">
        <v>0.0335</v>
      </c>
      <c r="F2389" s="1" t="n">
        <v>0.0951</v>
      </c>
    </row>
    <row r="2390" customFormat="false" ht="15" hidden="false" customHeight="false" outlineLevel="0" collapsed="false">
      <c r="A2390" s="1" t="s">
        <v>2425</v>
      </c>
      <c r="B2390" s="1" t="s">
        <v>195</v>
      </c>
      <c r="C2390" s="1" t="n">
        <v>1440000</v>
      </c>
      <c r="D2390" s="1" t="n">
        <v>129892.3</v>
      </c>
      <c r="E2390" s="1" t="n">
        <v>0.0291</v>
      </c>
      <c r="F2390" s="1" t="n">
        <v>0.0759</v>
      </c>
    </row>
    <row r="2391" customFormat="false" ht="15" hidden="false" customHeight="false" outlineLevel="0" collapsed="false">
      <c r="A2391" s="1" t="s">
        <v>2426</v>
      </c>
      <c r="B2391" s="1" t="s">
        <v>26</v>
      </c>
      <c r="C2391" s="1" t="n">
        <v>1620000</v>
      </c>
      <c r="D2391" s="1" t="n">
        <v>9778.4</v>
      </c>
      <c r="E2391" s="1" t="n">
        <v>0.0236</v>
      </c>
      <c r="F2391" s="1" t="n">
        <v>0.0938</v>
      </c>
    </row>
    <row r="2392" customFormat="false" ht="15" hidden="false" customHeight="false" outlineLevel="0" collapsed="false">
      <c r="A2392" s="1" t="s">
        <v>2427</v>
      </c>
      <c r="B2392" s="1" t="s">
        <v>24</v>
      </c>
      <c r="C2392" s="1" t="n">
        <v>1230000</v>
      </c>
      <c r="D2392" s="1" t="n">
        <v>401229.1</v>
      </c>
      <c r="E2392" s="1" t="n">
        <v>0.072</v>
      </c>
      <c r="F2392" s="1" t="n">
        <v>0.0951</v>
      </c>
    </row>
    <row r="2393" customFormat="false" ht="15" hidden="false" customHeight="false" outlineLevel="0" collapsed="false">
      <c r="A2393" s="1" t="s">
        <v>2428</v>
      </c>
      <c r="B2393" s="1" t="s">
        <v>30</v>
      </c>
      <c r="C2393" s="1" t="n">
        <v>1590000</v>
      </c>
      <c r="D2393" s="1" t="n">
        <v>454730.3</v>
      </c>
      <c r="E2393" s="1" t="n">
        <v>0.0521</v>
      </c>
      <c r="F2393" s="1" t="n">
        <v>0.0759</v>
      </c>
    </row>
    <row r="2394" customFormat="false" ht="15" hidden="false" customHeight="false" outlineLevel="0" collapsed="false">
      <c r="A2394" s="1" t="s">
        <v>2429</v>
      </c>
      <c r="B2394" s="1" t="s">
        <v>24</v>
      </c>
      <c r="C2394" s="1" t="n">
        <v>1740000</v>
      </c>
      <c r="D2394" s="1" t="n">
        <v>154249.8</v>
      </c>
      <c r="E2394" s="1" t="n">
        <v>0.202</v>
      </c>
      <c r="F2394" s="1" t="n">
        <v>0.0951</v>
      </c>
    </row>
    <row r="2395" customFormat="false" ht="15" hidden="false" customHeight="false" outlineLevel="0" collapsed="false">
      <c r="A2395" s="1" t="s">
        <v>2430</v>
      </c>
      <c r="B2395" s="1" t="s">
        <v>62</v>
      </c>
      <c r="C2395" s="1" t="n">
        <v>1510000</v>
      </c>
      <c r="D2395" s="1" t="n">
        <v>2161.6</v>
      </c>
      <c r="E2395" s="1" t="n">
        <v>0.0518</v>
      </c>
      <c r="F2395" s="1" t="n">
        <v>0.0938</v>
      </c>
    </row>
    <row r="2396" customFormat="false" ht="15" hidden="false" customHeight="false" outlineLevel="0" collapsed="false">
      <c r="A2396" s="1" t="s">
        <v>2431</v>
      </c>
      <c r="B2396" s="1" t="s">
        <v>92</v>
      </c>
      <c r="C2396" s="1" t="n">
        <v>1350000</v>
      </c>
      <c r="D2396" s="1" t="n">
        <v>19537</v>
      </c>
      <c r="E2396" s="1" t="n">
        <v>0.0194</v>
      </c>
      <c r="F2396" s="1" t="n">
        <v>0.0854</v>
      </c>
    </row>
    <row r="2397" customFormat="false" ht="15" hidden="false" customHeight="false" outlineLevel="0" collapsed="false">
      <c r="A2397" s="1" t="s">
        <v>2432</v>
      </c>
      <c r="B2397" s="1" t="s">
        <v>30</v>
      </c>
      <c r="C2397" s="1" t="n">
        <v>1280000</v>
      </c>
      <c r="D2397" s="1" t="n">
        <v>250401.6</v>
      </c>
      <c r="E2397" s="1" t="n">
        <v>0.0176</v>
      </c>
      <c r="F2397" s="1" t="n">
        <v>0.0585</v>
      </c>
    </row>
    <row r="2398" customFormat="false" ht="15" hidden="false" customHeight="false" outlineLevel="0" collapsed="false">
      <c r="A2398" s="1" t="s">
        <v>2433</v>
      </c>
      <c r="B2398" s="1" t="s">
        <v>41</v>
      </c>
      <c r="C2398" s="1" t="n">
        <v>1990000</v>
      </c>
      <c r="D2398" s="1" t="n">
        <v>2778.2</v>
      </c>
      <c r="E2398" s="1" t="n">
        <v>0.0311</v>
      </c>
      <c r="F2398" s="1" t="n">
        <v>0.051</v>
      </c>
    </row>
    <row r="2399" customFormat="false" ht="15" hidden="false" customHeight="false" outlineLevel="0" collapsed="false">
      <c r="A2399" s="1" t="s">
        <v>2434</v>
      </c>
      <c r="B2399" s="1" t="s">
        <v>21</v>
      </c>
      <c r="C2399" s="1" t="n">
        <v>1400000</v>
      </c>
      <c r="D2399" s="1" t="n">
        <v>313745.4</v>
      </c>
      <c r="E2399" s="1" t="n">
        <v>0.052</v>
      </c>
      <c r="F2399" s="1" t="n">
        <v>0.0951</v>
      </c>
    </row>
    <row r="2400" customFormat="false" ht="15" hidden="false" customHeight="false" outlineLevel="0" collapsed="false">
      <c r="A2400" s="1" t="s">
        <v>2435</v>
      </c>
      <c r="B2400" s="1" t="s">
        <v>21</v>
      </c>
      <c r="C2400" s="1" t="n">
        <v>1460000</v>
      </c>
      <c r="D2400" s="1" t="n">
        <v>19113.2</v>
      </c>
      <c r="E2400" s="1" t="n">
        <v>0.0414</v>
      </c>
      <c r="F2400" s="1" t="n">
        <v>0.0938</v>
      </c>
    </row>
    <row r="2401" customFormat="false" ht="15" hidden="false" customHeight="false" outlineLevel="0" collapsed="false">
      <c r="A2401" s="1" t="s">
        <v>2436</v>
      </c>
      <c r="B2401" s="1" t="s">
        <v>62</v>
      </c>
      <c r="C2401" s="1" t="n">
        <v>1420000</v>
      </c>
      <c r="D2401" s="1" t="n">
        <v>588</v>
      </c>
      <c r="E2401" s="1" t="n">
        <v>0.0196</v>
      </c>
      <c r="F2401" s="1" t="n">
        <v>0.4203</v>
      </c>
    </row>
    <row r="2402" customFormat="false" ht="15" hidden="false" customHeight="false" outlineLevel="0" collapsed="false">
      <c r="A2402" s="1" t="s">
        <v>2437</v>
      </c>
      <c r="B2402" s="1" t="s">
        <v>50</v>
      </c>
      <c r="C2402" s="1" t="n">
        <v>1530000</v>
      </c>
      <c r="D2402" s="1" t="n">
        <v>12289.1</v>
      </c>
      <c r="F2402" s="1" t="n">
        <v>0.0409</v>
      </c>
    </row>
    <row r="2403" customFormat="false" ht="15" hidden="false" customHeight="false" outlineLevel="0" collapsed="false">
      <c r="A2403" s="1" t="s">
        <v>2438</v>
      </c>
      <c r="B2403" s="1" t="s">
        <v>53</v>
      </c>
      <c r="C2403" s="1" t="n">
        <v>1330000</v>
      </c>
      <c r="D2403" s="1" t="n">
        <v>14502.3</v>
      </c>
      <c r="E2403" s="1" t="n">
        <v>0.0339</v>
      </c>
      <c r="F2403" s="1" t="n">
        <v>0.1387</v>
      </c>
    </row>
    <row r="2404" customFormat="false" ht="15" hidden="false" customHeight="false" outlineLevel="0" collapsed="false">
      <c r="A2404" s="1" t="s">
        <v>2439</v>
      </c>
      <c r="B2404" s="1" t="s">
        <v>88</v>
      </c>
      <c r="C2404" s="1" t="n">
        <v>1230000</v>
      </c>
      <c r="D2404" s="1" t="n">
        <v>1550</v>
      </c>
      <c r="E2404" s="1" t="n">
        <v>0.0333</v>
      </c>
      <c r="F2404" s="1" t="n">
        <v>0.0644</v>
      </c>
    </row>
    <row r="2405" customFormat="false" ht="15" hidden="false" customHeight="false" outlineLevel="0" collapsed="false">
      <c r="A2405" s="1" t="s">
        <v>2440</v>
      </c>
      <c r="B2405" s="1" t="s">
        <v>26</v>
      </c>
      <c r="C2405" s="1" t="n">
        <v>2160000</v>
      </c>
      <c r="D2405" s="1" t="n">
        <v>371632.3</v>
      </c>
      <c r="E2405" s="1" t="n">
        <v>0.0541</v>
      </c>
      <c r="F2405" s="1" t="n">
        <v>0.0759</v>
      </c>
    </row>
    <row r="2406" customFormat="false" ht="15" hidden="false" customHeight="false" outlineLevel="0" collapsed="false">
      <c r="A2406" s="1" t="s">
        <v>2441</v>
      </c>
      <c r="B2406" s="1" t="s">
        <v>26</v>
      </c>
      <c r="C2406" s="1" t="n">
        <v>1270000</v>
      </c>
      <c r="D2406" s="1" t="n">
        <v>20007.7</v>
      </c>
      <c r="E2406" s="1" t="n">
        <v>0.0481</v>
      </c>
      <c r="F2406" s="1" t="n">
        <v>0.1226</v>
      </c>
    </row>
    <row r="2407" customFormat="false" ht="15" hidden="false" customHeight="false" outlineLevel="0" collapsed="false">
      <c r="A2407" s="1" t="s">
        <v>2442</v>
      </c>
      <c r="B2407" s="1" t="s">
        <v>26</v>
      </c>
      <c r="C2407" s="1" t="n">
        <v>1370000</v>
      </c>
      <c r="D2407" s="1" t="n">
        <v>2096.9</v>
      </c>
      <c r="E2407" s="1" t="n">
        <v>0.0263</v>
      </c>
      <c r="F2407" s="1" t="n">
        <v>0.051</v>
      </c>
    </row>
    <row r="2408" customFormat="false" ht="15" hidden="false" customHeight="false" outlineLevel="0" collapsed="false">
      <c r="A2408" s="1" t="s">
        <v>2443</v>
      </c>
      <c r="B2408" s="1" t="s">
        <v>88</v>
      </c>
      <c r="C2408" s="1" t="n">
        <v>1580000</v>
      </c>
      <c r="D2408" s="1" t="n">
        <v>1580.2</v>
      </c>
      <c r="E2408" s="1" t="n">
        <v>0.0717</v>
      </c>
      <c r="F2408" s="1" t="n">
        <v>0.0938</v>
      </c>
    </row>
    <row r="2409" customFormat="false" ht="15" hidden="false" customHeight="false" outlineLevel="0" collapsed="false">
      <c r="A2409" s="1" t="s">
        <v>2444</v>
      </c>
      <c r="B2409" s="1" t="s">
        <v>81</v>
      </c>
      <c r="C2409" s="1" t="n">
        <v>1200000</v>
      </c>
      <c r="D2409" s="1" t="n">
        <v>13794.7</v>
      </c>
      <c r="E2409" s="1" t="n">
        <v>0.0072</v>
      </c>
      <c r="F2409" s="1" t="n">
        <v>0.0822</v>
      </c>
    </row>
    <row r="2410" customFormat="false" ht="15" hidden="false" customHeight="false" outlineLevel="0" collapsed="false">
      <c r="A2410" s="1" t="s">
        <v>2445</v>
      </c>
      <c r="B2410" s="1" t="s">
        <v>41</v>
      </c>
      <c r="C2410" s="1" t="n">
        <v>1930000</v>
      </c>
      <c r="D2410" s="1" t="n">
        <v>1094</v>
      </c>
      <c r="E2410" s="1" t="n">
        <v>0.0437</v>
      </c>
      <c r="F2410" s="1" t="n">
        <v>0.1226</v>
      </c>
    </row>
    <row r="2411" customFormat="false" ht="15" hidden="false" customHeight="false" outlineLevel="0" collapsed="false">
      <c r="A2411" s="1" t="s">
        <v>2446</v>
      </c>
      <c r="B2411" s="1" t="s">
        <v>26</v>
      </c>
      <c r="C2411" s="1" t="n">
        <v>1300000</v>
      </c>
      <c r="D2411" s="1" t="n">
        <v>368923.8</v>
      </c>
      <c r="E2411" s="1" t="n">
        <v>0.0244</v>
      </c>
      <c r="F2411" s="1" t="n">
        <v>0.0409</v>
      </c>
    </row>
    <row r="2412" customFormat="false" ht="15" hidden="false" customHeight="false" outlineLevel="0" collapsed="false">
      <c r="A2412" s="1" t="s">
        <v>2447</v>
      </c>
      <c r="B2412" s="1" t="s">
        <v>41</v>
      </c>
      <c r="C2412" s="1" t="n">
        <v>1230000</v>
      </c>
      <c r="D2412" s="1" t="n">
        <v>21691</v>
      </c>
      <c r="E2412" s="1" t="n">
        <v>0.0069</v>
      </c>
      <c r="F2412" s="1" t="n">
        <v>0.0811</v>
      </c>
    </row>
    <row r="2413" customFormat="false" ht="15" hidden="false" customHeight="false" outlineLevel="0" collapsed="false">
      <c r="A2413" s="1" t="s">
        <v>2448</v>
      </c>
      <c r="B2413" s="1" t="s">
        <v>26</v>
      </c>
      <c r="C2413" s="1" t="n">
        <v>1510000</v>
      </c>
      <c r="D2413" s="1" t="n">
        <v>37418.2</v>
      </c>
      <c r="E2413" s="1" t="n">
        <v>0.0396</v>
      </c>
      <c r="F2413" s="1" t="n">
        <v>0.0759</v>
      </c>
    </row>
    <row r="2414" customFormat="false" ht="15" hidden="false" customHeight="false" outlineLevel="0" collapsed="false">
      <c r="A2414" s="1" t="s">
        <v>2449</v>
      </c>
      <c r="B2414" s="1" t="s">
        <v>41</v>
      </c>
      <c r="C2414" s="1" t="n">
        <v>1420000</v>
      </c>
      <c r="D2414" s="1" t="n">
        <v>336478.4</v>
      </c>
      <c r="E2414" s="1" t="n">
        <v>0.0664</v>
      </c>
      <c r="F2414" s="1" t="n">
        <v>0.0938</v>
      </c>
    </row>
    <row r="2415" customFormat="false" ht="15" hidden="false" customHeight="false" outlineLevel="0" collapsed="false">
      <c r="A2415" s="1" t="s">
        <v>2450</v>
      </c>
      <c r="B2415" s="1" t="s">
        <v>24</v>
      </c>
      <c r="C2415" s="1" t="n">
        <v>1580000</v>
      </c>
      <c r="D2415" s="1" t="n">
        <v>7960.1</v>
      </c>
      <c r="E2415" s="1" t="n">
        <v>0.0184</v>
      </c>
      <c r="F2415" s="1" t="n">
        <v>0.0854</v>
      </c>
    </row>
    <row r="2416" customFormat="false" ht="15" hidden="false" customHeight="false" outlineLevel="0" collapsed="false">
      <c r="A2416" s="1" t="s">
        <v>2451</v>
      </c>
      <c r="B2416" s="1" t="s">
        <v>41</v>
      </c>
      <c r="C2416" s="1" t="n">
        <v>1220000</v>
      </c>
      <c r="D2416" s="1" t="n">
        <v>14570.4</v>
      </c>
      <c r="E2416" s="1" t="n">
        <v>0.0516</v>
      </c>
      <c r="F2416" s="1" t="n">
        <v>0.0951</v>
      </c>
    </row>
    <row r="2417" customFormat="false" ht="15" hidden="false" customHeight="false" outlineLevel="0" collapsed="false">
      <c r="A2417" s="1" t="s">
        <v>2452</v>
      </c>
      <c r="B2417" s="1" t="s">
        <v>26</v>
      </c>
      <c r="C2417" s="1" t="n">
        <v>1230000</v>
      </c>
      <c r="D2417" s="1" t="n">
        <v>20961</v>
      </c>
      <c r="E2417" s="1" t="n">
        <v>0.061</v>
      </c>
      <c r="F2417" s="1" t="n">
        <v>0.0951</v>
      </c>
    </row>
    <row r="2418" customFormat="false" ht="15" hidden="false" customHeight="false" outlineLevel="0" collapsed="false">
      <c r="A2418" s="1" t="s">
        <v>2453</v>
      </c>
      <c r="B2418" s="1" t="s">
        <v>26</v>
      </c>
      <c r="C2418" s="1" t="n">
        <v>1180000</v>
      </c>
      <c r="D2418" s="1" t="n">
        <v>134.9</v>
      </c>
      <c r="E2418" s="1" t="n">
        <v>0.0423</v>
      </c>
      <c r="F2418" s="1" t="n">
        <v>0.0951</v>
      </c>
    </row>
    <row r="2419" customFormat="false" ht="15" hidden="false" customHeight="false" outlineLevel="0" collapsed="false">
      <c r="A2419" s="1" t="s">
        <v>2454</v>
      </c>
      <c r="B2419" s="1" t="s">
        <v>50</v>
      </c>
      <c r="C2419" s="1" t="n">
        <v>1420000</v>
      </c>
      <c r="D2419" s="1" t="n">
        <v>3654.3</v>
      </c>
      <c r="E2419" s="1" t="n">
        <v>0.0274</v>
      </c>
      <c r="F2419" s="1" t="n">
        <v>0.0938</v>
      </c>
    </row>
    <row r="2420" customFormat="false" ht="15" hidden="false" customHeight="false" outlineLevel="0" collapsed="false">
      <c r="A2420" s="1" t="s">
        <v>2455</v>
      </c>
      <c r="B2420" s="1" t="s">
        <v>32</v>
      </c>
      <c r="C2420" s="1" t="n">
        <v>1750000</v>
      </c>
      <c r="D2420" s="1" t="n">
        <v>74586.4</v>
      </c>
      <c r="E2420" s="1" t="n">
        <v>0.0116</v>
      </c>
      <c r="F2420" s="1" t="n">
        <v>0.0584</v>
      </c>
    </row>
    <row r="2421" customFormat="false" ht="15" hidden="false" customHeight="false" outlineLevel="0" collapsed="false">
      <c r="A2421" s="1" t="s">
        <v>2456</v>
      </c>
      <c r="B2421" s="1" t="s">
        <v>32</v>
      </c>
      <c r="C2421" s="1" t="n">
        <v>2180000</v>
      </c>
      <c r="D2421" s="1" t="n">
        <v>502804.5</v>
      </c>
      <c r="E2421" s="1" t="n">
        <v>0.0078</v>
      </c>
      <c r="F2421" s="1" t="n">
        <v>0.0828</v>
      </c>
    </row>
    <row r="2422" customFormat="false" ht="15" hidden="false" customHeight="false" outlineLevel="0" collapsed="false">
      <c r="A2422" s="1" t="s">
        <v>2457</v>
      </c>
      <c r="B2422" s="1" t="s">
        <v>21</v>
      </c>
      <c r="C2422" s="1" t="n">
        <v>1270000</v>
      </c>
      <c r="D2422" s="1" t="n">
        <v>3044.6</v>
      </c>
      <c r="E2422" s="1" t="n">
        <v>0.0063</v>
      </c>
      <c r="F2422" s="1" t="n">
        <v>0.0654</v>
      </c>
    </row>
    <row r="2423" customFormat="false" ht="15" hidden="false" customHeight="false" outlineLevel="0" collapsed="false">
      <c r="A2423" s="1" t="s">
        <v>2458</v>
      </c>
      <c r="B2423" s="1" t="s">
        <v>214</v>
      </c>
      <c r="C2423" s="1" t="n">
        <v>1440000</v>
      </c>
      <c r="D2423" s="1" t="n">
        <v>5127.1</v>
      </c>
      <c r="E2423" s="1" t="n">
        <v>0.0124</v>
      </c>
      <c r="F2423" s="1" t="n">
        <v>0.0903</v>
      </c>
    </row>
    <row r="2424" customFormat="false" ht="15" hidden="false" customHeight="false" outlineLevel="0" collapsed="false">
      <c r="A2424" s="1" t="s">
        <v>2459</v>
      </c>
      <c r="B2424" s="1" t="s">
        <v>74</v>
      </c>
      <c r="C2424" s="1" t="n">
        <v>2070000</v>
      </c>
      <c r="D2424" s="1" t="n">
        <v>186660.4</v>
      </c>
      <c r="E2424" s="1" t="n">
        <v>0.0387</v>
      </c>
      <c r="F2424" s="1" t="n">
        <v>0.0759</v>
      </c>
    </row>
    <row r="2425" customFormat="false" ht="15" hidden="false" customHeight="false" outlineLevel="0" collapsed="false">
      <c r="A2425" s="1" t="s">
        <v>2460</v>
      </c>
      <c r="B2425" s="1" t="s">
        <v>195</v>
      </c>
      <c r="C2425" s="1" t="n">
        <v>1320000</v>
      </c>
      <c r="D2425" s="1" t="n">
        <v>28075.8</v>
      </c>
      <c r="E2425" s="1" t="n">
        <v>0.0489</v>
      </c>
      <c r="F2425" s="1" t="n">
        <v>0.0759</v>
      </c>
    </row>
    <row r="2426" customFormat="false" ht="15" hidden="false" customHeight="false" outlineLevel="0" collapsed="false">
      <c r="A2426" s="1" t="s">
        <v>2461</v>
      </c>
      <c r="B2426" s="1" t="s">
        <v>26</v>
      </c>
      <c r="C2426" s="1" t="n">
        <v>1040000</v>
      </c>
      <c r="F2426" s="1" t="n">
        <v>0.0759</v>
      </c>
    </row>
    <row r="2427" customFormat="false" ht="15" hidden="false" customHeight="false" outlineLevel="0" collapsed="false">
      <c r="A2427" s="1" t="s">
        <v>2462</v>
      </c>
      <c r="B2427" s="1" t="s">
        <v>71</v>
      </c>
      <c r="C2427" s="1" t="n">
        <v>1190000</v>
      </c>
      <c r="D2427" s="1" t="n">
        <v>81951.3</v>
      </c>
      <c r="E2427" s="1" t="n">
        <v>0.0368</v>
      </c>
      <c r="F2427" s="1" t="n">
        <v>0.0951</v>
      </c>
    </row>
    <row r="2428" customFormat="false" ht="15" hidden="false" customHeight="false" outlineLevel="0" collapsed="false">
      <c r="A2428" s="1" t="s">
        <v>2463</v>
      </c>
      <c r="B2428" s="1" t="s">
        <v>26</v>
      </c>
      <c r="C2428" s="1" t="n">
        <v>2030000</v>
      </c>
      <c r="D2428" s="1" t="n">
        <v>48000.9</v>
      </c>
      <c r="E2428" s="1" t="n">
        <v>0.0732</v>
      </c>
      <c r="F2428" s="1" t="n">
        <v>0.0938</v>
      </c>
    </row>
    <row r="2429" customFormat="false" ht="15" hidden="false" customHeight="false" outlineLevel="0" collapsed="false">
      <c r="A2429" s="1" t="s">
        <v>2464</v>
      </c>
      <c r="B2429" s="1" t="s">
        <v>26</v>
      </c>
      <c r="C2429" s="1" t="n">
        <v>1200000</v>
      </c>
      <c r="D2429" s="1" t="n">
        <v>4067.4</v>
      </c>
      <c r="E2429" s="1" t="n">
        <v>0.052</v>
      </c>
      <c r="F2429" s="1" t="n">
        <v>0.0759</v>
      </c>
    </row>
    <row r="2430" customFormat="false" ht="15" hidden="false" customHeight="false" outlineLevel="0" collapsed="false">
      <c r="A2430" s="1" t="s">
        <v>2465</v>
      </c>
      <c r="B2430" s="1" t="s">
        <v>74</v>
      </c>
      <c r="C2430" s="1" t="n">
        <v>1670000</v>
      </c>
      <c r="D2430" s="1" t="n">
        <v>141339.4</v>
      </c>
      <c r="E2430" s="1" t="n">
        <v>0.0446</v>
      </c>
      <c r="F2430" s="1" t="n">
        <v>0.0759</v>
      </c>
    </row>
    <row r="2431" customFormat="false" ht="15" hidden="false" customHeight="false" outlineLevel="0" collapsed="false">
      <c r="A2431" s="1" t="s">
        <v>2466</v>
      </c>
      <c r="B2431" s="1" t="s">
        <v>24</v>
      </c>
      <c r="C2431" s="1" t="n">
        <v>1320000</v>
      </c>
      <c r="D2431" s="1" t="n">
        <v>134.8</v>
      </c>
      <c r="E2431" s="1" t="n">
        <v>0.0332</v>
      </c>
      <c r="F2431" s="1" t="n">
        <v>0.7208</v>
      </c>
    </row>
    <row r="2432" customFormat="false" ht="15" hidden="false" customHeight="false" outlineLevel="0" collapsed="false">
      <c r="A2432" s="1" t="s">
        <v>2467</v>
      </c>
      <c r="B2432" s="1" t="s">
        <v>195</v>
      </c>
      <c r="C2432" s="1" t="n">
        <v>1510000</v>
      </c>
      <c r="D2432" s="1" t="n">
        <v>513.7</v>
      </c>
      <c r="E2432" s="1" t="n">
        <v>0.0675</v>
      </c>
      <c r="F2432" s="1" t="n">
        <v>0.095</v>
      </c>
    </row>
    <row r="2433" customFormat="false" ht="15" hidden="false" customHeight="false" outlineLevel="0" collapsed="false">
      <c r="A2433" s="1" t="s">
        <v>2468</v>
      </c>
      <c r="B2433" s="1" t="s">
        <v>26</v>
      </c>
      <c r="C2433" s="1" t="n">
        <v>1840000</v>
      </c>
      <c r="D2433" s="1" t="n">
        <v>149573.2</v>
      </c>
      <c r="E2433" s="1" t="n">
        <v>0.0224</v>
      </c>
      <c r="F2433" s="1" t="n">
        <v>0.0409</v>
      </c>
    </row>
    <row r="2434" customFormat="false" ht="15" hidden="false" customHeight="false" outlineLevel="0" collapsed="false">
      <c r="A2434" s="1" t="s">
        <v>2469</v>
      </c>
      <c r="B2434" s="1" t="s">
        <v>24</v>
      </c>
      <c r="C2434" s="1" t="n">
        <v>1220000</v>
      </c>
      <c r="D2434" s="1" t="n">
        <v>76424.4</v>
      </c>
      <c r="E2434" s="1" t="n">
        <v>0.0638</v>
      </c>
      <c r="F2434" s="1" t="n">
        <v>0.0951</v>
      </c>
    </row>
    <row r="2435" customFormat="false" ht="15" hidden="false" customHeight="false" outlineLevel="0" collapsed="false">
      <c r="A2435" s="1" t="s">
        <v>2470</v>
      </c>
      <c r="B2435" s="1" t="s">
        <v>21</v>
      </c>
      <c r="C2435" s="1" t="n">
        <v>1870000</v>
      </c>
      <c r="D2435" s="1" t="n">
        <v>500.2</v>
      </c>
      <c r="F2435" s="1" t="n">
        <v>0.0951</v>
      </c>
    </row>
    <row r="2436" customFormat="false" ht="15" hidden="false" customHeight="false" outlineLevel="0" collapsed="false">
      <c r="A2436" s="1" t="s">
        <v>2471</v>
      </c>
      <c r="B2436" s="1" t="s">
        <v>26</v>
      </c>
      <c r="C2436" s="1" t="n">
        <v>1350000</v>
      </c>
      <c r="D2436" s="1" t="n">
        <v>13625.6</v>
      </c>
      <c r="E2436" s="1" t="n">
        <v>0.0233</v>
      </c>
      <c r="F2436" s="1" t="n">
        <v>0.0759</v>
      </c>
    </row>
    <row r="2437" customFormat="false" ht="15" hidden="false" customHeight="false" outlineLevel="0" collapsed="false">
      <c r="A2437" s="1" t="s">
        <v>2472</v>
      </c>
      <c r="B2437" s="1" t="s">
        <v>41</v>
      </c>
      <c r="C2437" s="1" t="n">
        <v>1490000</v>
      </c>
      <c r="D2437" s="1" t="n">
        <v>1727.3</v>
      </c>
      <c r="E2437" s="1" t="n">
        <v>0.0293</v>
      </c>
      <c r="F2437" s="1" t="n">
        <v>0.1308</v>
      </c>
    </row>
    <row r="2438" customFormat="false" ht="15" hidden="false" customHeight="false" outlineLevel="0" collapsed="false">
      <c r="A2438" s="1" t="s">
        <v>2473</v>
      </c>
      <c r="B2438" s="1" t="s">
        <v>88</v>
      </c>
      <c r="C2438" s="1" t="n">
        <v>1210000</v>
      </c>
      <c r="D2438" s="1" t="n">
        <v>1601.3</v>
      </c>
      <c r="E2438" s="1" t="n">
        <v>0.0144</v>
      </c>
      <c r="F2438" s="1" t="n">
        <v>0.131</v>
      </c>
    </row>
    <row r="2439" customFormat="false" ht="15" hidden="false" customHeight="false" outlineLevel="0" collapsed="false">
      <c r="A2439" s="1" t="s">
        <v>2474</v>
      </c>
      <c r="B2439" s="1" t="s">
        <v>26</v>
      </c>
      <c r="C2439" s="1" t="n">
        <v>2250000</v>
      </c>
      <c r="D2439" s="1" t="n">
        <v>232093</v>
      </c>
      <c r="E2439" s="1" t="n">
        <v>0.0211</v>
      </c>
      <c r="F2439" s="1" t="n">
        <v>0.0462</v>
      </c>
    </row>
    <row r="2440" customFormat="false" ht="15" hidden="false" customHeight="false" outlineLevel="0" collapsed="false">
      <c r="A2440" s="1" t="s">
        <v>2475</v>
      </c>
      <c r="B2440" s="1" t="s">
        <v>74</v>
      </c>
      <c r="C2440" s="1" t="n">
        <v>2120000</v>
      </c>
      <c r="D2440" s="1" t="n">
        <v>18325.4</v>
      </c>
      <c r="E2440" s="1" t="n">
        <v>0.0562</v>
      </c>
      <c r="F2440" s="1" t="n">
        <v>0.0759</v>
      </c>
    </row>
    <row r="2441" customFormat="false" ht="15" hidden="false" customHeight="false" outlineLevel="0" collapsed="false">
      <c r="A2441" s="1" t="s">
        <v>2476</v>
      </c>
      <c r="B2441" s="1" t="s">
        <v>24</v>
      </c>
      <c r="C2441" s="1" t="n">
        <v>1290000</v>
      </c>
      <c r="D2441" s="1" t="n">
        <v>107458.4</v>
      </c>
      <c r="E2441" s="1" t="n">
        <v>0.0252</v>
      </c>
      <c r="F2441" s="1" t="n">
        <v>0.0951</v>
      </c>
    </row>
    <row r="2442" customFormat="false" ht="15" hidden="false" customHeight="false" outlineLevel="0" collapsed="false">
      <c r="A2442" s="1" t="s">
        <v>2477</v>
      </c>
      <c r="B2442" s="1" t="s">
        <v>62</v>
      </c>
      <c r="C2442" s="1" t="n">
        <v>1560000</v>
      </c>
      <c r="D2442" s="1" t="n">
        <v>12128.7</v>
      </c>
      <c r="E2442" s="1" t="n">
        <v>0.0209</v>
      </c>
      <c r="F2442" s="1" t="n">
        <v>0.0757</v>
      </c>
    </row>
    <row r="2443" customFormat="false" ht="15" hidden="false" customHeight="false" outlineLevel="0" collapsed="false">
      <c r="A2443" s="1" t="s">
        <v>2478</v>
      </c>
      <c r="B2443" s="1" t="s">
        <v>81</v>
      </c>
      <c r="C2443" s="1" t="n">
        <v>1250000</v>
      </c>
      <c r="D2443" s="1" t="n">
        <v>1401.3</v>
      </c>
      <c r="E2443" s="1" t="n">
        <v>0.0157</v>
      </c>
      <c r="F2443" s="1" t="n">
        <v>0.131</v>
      </c>
    </row>
    <row r="2444" customFormat="false" ht="15" hidden="false" customHeight="false" outlineLevel="0" collapsed="false">
      <c r="A2444" s="1" t="s">
        <v>2479</v>
      </c>
      <c r="B2444" s="1" t="s">
        <v>62</v>
      </c>
      <c r="C2444" s="1" t="n">
        <v>1280000</v>
      </c>
      <c r="D2444" s="1" t="n">
        <v>662.2</v>
      </c>
      <c r="E2444" s="1" t="n">
        <v>0.0081</v>
      </c>
      <c r="F2444" s="1" t="n">
        <v>0.112</v>
      </c>
    </row>
    <row r="2445" customFormat="false" ht="15" hidden="false" customHeight="false" outlineLevel="0" collapsed="false">
      <c r="A2445" s="1" t="s">
        <v>2480</v>
      </c>
      <c r="B2445" s="1" t="s">
        <v>92</v>
      </c>
      <c r="C2445" s="1" t="n">
        <v>1710000</v>
      </c>
      <c r="D2445" s="1" t="n">
        <v>150224</v>
      </c>
      <c r="E2445" s="1" t="n">
        <v>0.0128</v>
      </c>
      <c r="F2445" s="1" t="n">
        <v>0.0757</v>
      </c>
    </row>
    <row r="2446" customFormat="false" ht="15" hidden="false" customHeight="false" outlineLevel="0" collapsed="false">
      <c r="A2446" s="1" t="s">
        <v>2481</v>
      </c>
      <c r="B2446" s="1" t="s">
        <v>26</v>
      </c>
      <c r="C2446" s="1" t="n">
        <v>1360000</v>
      </c>
      <c r="D2446" s="1" t="n">
        <v>29106</v>
      </c>
      <c r="E2446" s="1" t="n">
        <v>0.0283</v>
      </c>
      <c r="F2446" s="1" t="n">
        <v>0.0409</v>
      </c>
    </row>
    <row r="2447" customFormat="false" ht="15" hidden="false" customHeight="false" outlineLevel="0" collapsed="false">
      <c r="A2447" s="1" t="s">
        <v>2482</v>
      </c>
      <c r="B2447" s="1" t="s">
        <v>24</v>
      </c>
      <c r="C2447" s="1" t="n">
        <v>1430000</v>
      </c>
      <c r="D2447" s="1" t="n">
        <v>1035642.7</v>
      </c>
      <c r="E2447" s="1" t="n">
        <v>0.0435</v>
      </c>
      <c r="F2447" s="1" t="n">
        <v>0.0759</v>
      </c>
    </row>
    <row r="2448" customFormat="false" ht="15" hidden="false" customHeight="false" outlineLevel="0" collapsed="false">
      <c r="A2448" s="1" t="s">
        <v>2483</v>
      </c>
      <c r="B2448" s="1" t="s">
        <v>26</v>
      </c>
      <c r="C2448" s="1" t="n">
        <v>2140000</v>
      </c>
      <c r="D2448" s="1" t="n">
        <v>51320.7</v>
      </c>
      <c r="E2448" s="1" t="n">
        <v>0.0339</v>
      </c>
      <c r="F2448" s="1" t="n">
        <v>0.0938</v>
      </c>
    </row>
    <row r="2449" customFormat="false" ht="15" hidden="false" customHeight="false" outlineLevel="0" collapsed="false">
      <c r="A2449" s="1" t="s">
        <v>2484</v>
      </c>
      <c r="B2449" s="1" t="s">
        <v>50</v>
      </c>
      <c r="C2449" s="1" t="n">
        <v>1310000</v>
      </c>
      <c r="D2449" s="1" t="n">
        <v>346067.7</v>
      </c>
      <c r="E2449" s="1" t="n">
        <v>0.0461</v>
      </c>
      <c r="F2449" s="1" t="n">
        <v>0.0951</v>
      </c>
    </row>
    <row r="2450" customFormat="false" ht="15" hidden="false" customHeight="false" outlineLevel="0" collapsed="false">
      <c r="A2450" s="1" t="s">
        <v>2485</v>
      </c>
      <c r="B2450" s="1" t="s">
        <v>26</v>
      </c>
      <c r="C2450" s="1" t="n">
        <v>1540000</v>
      </c>
      <c r="D2450" s="1" t="n">
        <v>6270.1</v>
      </c>
      <c r="E2450" s="1" t="n">
        <v>0.0441</v>
      </c>
      <c r="F2450" s="1" t="n">
        <v>0.0409</v>
      </c>
    </row>
    <row r="2451" customFormat="false" ht="15" hidden="false" customHeight="false" outlineLevel="0" collapsed="false">
      <c r="A2451" s="1" t="s">
        <v>2486</v>
      </c>
      <c r="B2451" s="1" t="s">
        <v>53</v>
      </c>
      <c r="C2451" s="1" t="n">
        <v>1260000</v>
      </c>
      <c r="D2451" s="1" t="n">
        <v>49631.8</v>
      </c>
      <c r="E2451" s="1" t="n">
        <v>0.0774</v>
      </c>
      <c r="F2451" s="1" t="n">
        <v>0.0951</v>
      </c>
    </row>
    <row r="2452" customFormat="false" ht="15" hidden="false" customHeight="false" outlineLevel="0" collapsed="false">
      <c r="A2452" s="1" t="s">
        <v>2487</v>
      </c>
      <c r="B2452" s="1" t="s">
        <v>30</v>
      </c>
      <c r="C2452" s="1" t="n">
        <v>3390000</v>
      </c>
      <c r="D2452" s="1" t="n">
        <v>1412800.7</v>
      </c>
      <c r="E2452" s="1" t="n">
        <v>0.0147</v>
      </c>
      <c r="F2452" s="1" t="n">
        <v>0.0462</v>
      </c>
    </row>
    <row r="2453" customFormat="false" ht="15" hidden="false" customHeight="false" outlineLevel="0" collapsed="false">
      <c r="A2453" s="1" t="s">
        <v>2488</v>
      </c>
      <c r="B2453" s="1" t="s">
        <v>88</v>
      </c>
      <c r="C2453" s="1" t="n">
        <v>1210000</v>
      </c>
      <c r="D2453" s="1" t="n">
        <v>7475.5</v>
      </c>
      <c r="E2453" s="1" t="n">
        <v>0.0238</v>
      </c>
      <c r="F2453" s="1" t="n">
        <v>0.1243</v>
      </c>
    </row>
    <row r="2454" customFormat="false" ht="15" hidden="false" customHeight="false" outlineLevel="0" collapsed="false">
      <c r="A2454" s="1" t="s">
        <v>2489</v>
      </c>
      <c r="B2454" s="1" t="s">
        <v>24</v>
      </c>
      <c r="C2454" s="1" t="n">
        <v>1490000</v>
      </c>
      <c r="D2454" s="1" t="n">
        <v>12208.9</v>
      </c>
      <c r="E2454" s="1" t="n">
        <v>0.028</v>
      </c>
      <c r="F2454" s="1" t="n">
        <v>0.0759</v>
      </c>
    </row>
    <row r="2455" customFormat="false" ht="15" hidden="false" customHeight="false" outlineLevel="0" collapsed="false">
      <c r="A2455" s="1" t="s">
        <v>2490</v>
      </c>
      <c r="B2455" s="1" t="s">
        <v>41</v>
      </c>
      <c r="C2455" s="1" t="n">
        <v>1300000</v>
      </c>
      <c r="D2455" s="1" t="n">
        <v>54607.7</v>
      </c>
      <c r="E2455" s="1" t="n">
        <v>0.064</v>
      </c>
      <c r="F2455" s="1" t="n">
        <v>0.0938</v>
      </c>
    </row>
    <row r="2456" customFormat="false" ht="15" hidden="false" customHeight="false" outlineLevel="0" collapsed="false">
      <c r="A2456" s="1" t="s">
        <v>2491</v>
      </c>
      <c r="B2456" s="1" t="s">
        <v>26</v>
      </c>
      <c r="C2456" s="1" t="n">
        <v>1260000</v>
      </c>
      <c r="D2456" s="1" t="n">
        <v>75475.4</v>
      </c>
      <c r="E2456" s="1" t="n">
        <v>0.0555</v>
      </c>
      <c r="F2456" s="1" t="n">
        <v>0.0938</v>
      </c>
    </row>
    <row r="2457" customFormat="false" ht="15" hidden="false" customHeight="false" outlineLevel="0" collapsed="false">
      <c r="A2457" s="1" t="s">
        <v>2492</v>
      </c>
      <c r="B2457" s="1" t="s">
        <v>26</v>
      </c>
      <c r="C2457" s="1" t="n">
        <v>1290000</v>
      </c>
      <c r="D2457" s="1" t="n">
        <v>37187.5</v>
      </c>
      <c r="E2457" s="1" t="n">
        <v>0.0213</v>
      </c>
      <c r="F2457" s="1" t="n">
        <v>0.0951</v>
      </c>
    </row>
    <row r="2458" customFormat="false" ht="15" hidden="false" customHeight="false" outlineLevel="0" collapsed="false">
      <c r="A2458" s="1" t="s">
        <v>2493</v>
      </c>
      <c r="B2458" s="1" t="s">
        <v>26</v>
      </c>
      <c r="C2458" s="1" t="n">
        <v>1590000</v>
      </c>
      <c r="D2458" s="1" t="n">
        <v>325096.9</v>
      </c>
      <c r="E2458" s="1" t="n">
        <v>0.0385</v>
      </c>
      <c r="F2458" s="1" t="n">
        <v>0.0759</v>
      </c>
    </row>
    <row r="2459" customFormat="false" ht="15" hidden="false" customHeight="false" outlineLevel="0" collapsed="false">
      <c r="A2459" s="1" t="s">
        <v>2494</v>
      </c>
      <c r="B2459" s="1" t="s">
        <v>195</v>
      </c>
      <c r="C2459" s="1" t="n">
        <v>1210000</v>
      </c>
      <c r="D2459" s="1" t="n">
        <v>189480.4</v>
      </c>
      <c r="E2459" s="1" t="n">
        <v>0.0169</v>
      </c>
      <c r="F2459" s="1" t="n">
        <v>0.0585</v>
      </c>
    </row>
    <row r="2460" customFormat="false" ht="15" hidden="false" customHeight="false" outlineLevel="0" collapsed="false">
      <c r="A2460" s="1" t="s">
        <v>2495</v>
      </c>
      <c r="B2460" s="1" t="s">
        <v>88</v>
      </c>
      <c r="C2460" s="1" t="n">
        <v>1370000</v>
      </c>
      <c r="D2460" s="1" t="n">
        <v>44170.2</v>
      </c>
      <c r="E2460" s="1" t="n">
        <v>0.0504</v>
      </c>
      <c r="F2460" s="1" t="n">
        <v>0.0938</v>
      </c>
    </row>
    <row r="2461" customFormat="false" ht="15" hidden="false" customHeight="false" outlineLevel="0" collapsed="false">
      <c r="A2461" s="1" t="s">
        <v>2496</v>
      </c>
      <c r="B2461" s="1" t="s">
        <v>62</v>
      </c>
      <c r="C2461" s="1" t="n">
        <v>1240000</v>
      </c>
      <c r="D2461" s="1" t="n">
        <v>9773.1</v>
      </c>
      <c r="E2461" s="1" t="n">
        <v>0.0522</v>
      </c>
      <c r="F2461" s="1" t="n">
        <v>0.0759</v>
      </c>
    </row>
    <row r="2462" customFormat="false" ht="15" hidden="false" customHeight="false" outlineLevel="0" collapsed="false">
      <c r="A2462" s="1" t="s">
        <v>2497</v>
      </c>
      <c r="B2462" s="1" t="s">
        <v>74</v>
      </c>
      <c r="C2462" s="1" t="n">
        <v>1650000</v>
      </c>
      <c r="D2462" s="1" t="n">
        <v>30670.8</v>
      </c>
      <c r="E2462" s="1" t="n">
        <v>0.0175</v>
      </c>
      <c r="F2462" s="1" t="n">
        <v>0.1601</v>
      </c>
    </row>
    <row r="2463" customFormat="false" ht="15" hidden="false" customHeight="false" outlineLevel="0" collapsed="false">
      <c r="A2463" s="1" t="s">
        <v>2498</v>
      </c>
      <c r="B2463" s="1" t="s">
        <v>88</v>
      </c>
      <c r="C2463" s="1" t="n">
        <v>1270000</v>
      </c>
      <c r="D2463" s="1" t="n">
        <v>13021.2</v>
      </c>
      <c r="E2463" s="1" t="n">
        <v>0.1484</v>
      </c>
      <c r="F2463" s="1" t="n">
        <v>0.0938</v>
      </c>
    </row>
    <row r="2464" customFormat="false" ht="15" hidden="false" customHeight="false" outlineLevel="0" collapsed="false">
      <c r="A2464" s="1" t="s">
        <v>2499</v>
      </c>
      <c r="B2464" s="1" t="s">
        <v>26</v>
      </c>
      <c r="C2464" s="1" t="n">
        <v>1360000</v>
      </c>
      <c r="D2464" s="1" t="n">
        <v>121567</v>
      </c>
      <c r="E2464" s="1" t="n">
        <v>0.0127</v>
      </c>
      <c r="F2464" s="1" t="n">
        <v>0.0462</v>
      </c>
    </row>
    <row r="2465" customFormat="false" ht="15" hidden="false" customHeight="false" outlineLevel="0" collapsed="false">
      <c r="A2465" s="1" t="s">
        <v>2500</v>
      </c>
      <c r="B2465" s="1" t="s">
        <v>26</v>
      </c>
      <c r="C2465" s="1" t="n">
        <v>1450000</v>
      </c>
      <c r="D2465" s="1" t="n">
        <v>11526.4</v>
      </c>
      <c r="E2465" s="1" t="n">
        <v>0.0124</v>
      </c>
      <c r="F2465" s="1" t="n">
        <v>0.0736</v>
      </c>
    </row>
    <row r="2466" customFormat="false" ht="15" hidden="false" customHeight="false" outlineLevel="0" collapsed="false">
      <c r="A2466" s="1" t="s">
        <v>2501</v>
      </c>
      <c r="B2466" s="1" t="s">
        <v>26</v>
      </c>
      <c r="C2466" s="1" t="n">
        <v>1350000</v>
      </c>
      <c r="D2466" s="1" t="n">
        <v>41817.2</v>
      </c>
      <c r="E2466" s="1" t="n">
        <v>0.0706</v>
      </c>
      <c r="F2466" s="1" t="n">
        <v>0.0759</v>
      </c>
    </row>
    <row r="2467" customFormat="false" ht="15" hidden="false" customHeight="false" outlineLevel="0" collapsed="false">
      <c r="A2467" s="1" t="s">
        <v>2502</v>
      </c>
      <c r="B2467" s="1" t="s">
        <v>214</v>
      </c>
      <c r="C2467" s="1" t="n">
        <v>2800000</v>
      </c>
      <c r="D2467" s="1" t="n">
        <v>50624.9</v>
      </c>
      <c r="E2467" s="1" t="n">
        <v>0.0069</v>
      </c>
      <c r="F2467" s="1" t="n">
        <v>0.0811</v>
      </c>
    </row>
    <row r="2468" customFormat="false" ht="15" hidden="false" customHeight="false" outlineLevel="0" collapsed="false">
      <c r="A2468" s="1" t="s">
        <v>2503</v>
      </c>
      <c r="B2468" s="1" t="s">
        <v>88</v>
      </c>
      <c r="C2468" s="1" t="n">
        <v>1470000</v>
      </c>
      <c r="D2468" s="1" t="n">
        <v>1532.1</v>
      </c>
      <c r="E2468" s="1" t="n">
        <v>0.0278</v>
      </c>
      <c r="F2468" s="1" t="n">
        <v>0.0938</v>
      </c>
    </row>
    <row r="2469" customFormat="false" ht="15" hidden="false" customHeight="false" outlineLevel="0" collapsed="false">
      <c r="A2469" s="1" t="s">
        <v>2504</v>
      </c>
      <c r="B2469" s="1" t="s">
        <v>26</v>
      </c>
      <c r="C2469" s="1" t="n">
        <v>1300000</v>
      </c>
      <c r="D2469" s="1" t="n">
        <v>118636.9</v>
      </c>
      <c r="E2469" s="1" t="n">
        <v>0.0149</v>
      </c>
      <c r="F2469" s="1" t="n">
        <v>0.1067</v>
      </c>
    </row>
    <row r="2470" customFormat="false" ht="15" hidden="false" customHeight="false" outlineLevel="0" collapsed="false">
      <c r="A2470" s="1" t="s">
        <v>2505</v>
      </c>
      <c r="B2470" s="1" t="s">
        <v>214</v>
      </c>
      <c r="C2470" s="1" t="n">
        <v>2010000</v>
      </c>
      <c r="D2470" s="1" t="n">
        <v>144599.6</v>
      </c>
      <c r="E2470" s="1" t="n">
        <v>0.0028</v>
      </c>
      <c r="F2470" s="1" t="n">
        <v>0.0654</v>
      </c>
    </row>
    <row r="2471" customFormat="false" ht="15" hidden="false" customHeight="false" outlineLevel="0" collapsed="false">
      <c r="A2471" s="1" t="s">
        <v>2506</v>
      </c>
      <c r="B2471" s="1" t="s">
        <v>490</v>
      </c>
      <c r="C2471" s="1" t="n">
        <v>1180000</v>
      </c>
      <c r="D2471" s="1" t="n">
        <v>1504.9</v>
      </c>
      <c r="E2471" s="1" t="n">
        <v>0.0102</v>
      </c>
      <c r="F2471" s="1" t="n">
        <v>0.0726</v>
      </c>
    </row>
    <row r="2472" customFormat="false" ht="15" hidden="false" customHeight="false" outlineLevel="0" collapsed="false">
      <c r="A2472" s="1" t="s">
        <v>2507</v>
      </c>
      <c r="B2472" s="1" t="s">
        <v>41</v>
      </c>
      <c r="C2472" s="1" t="n">
        <v>1330000</v>
      </c>
      <c r="D2472" s="1" t="n">
        <v>551.7</v>
      </c>
      <c r="E2472" s="1" t="n">
        <v>0.0147</v>
      </c>
      <c r="F2472" s="1" t="n">
        <v>0.2059</v>
      </c>
    </row>
    <row r="2473" customFormat="false" ht="15" hidden="false" customHeight="false" outlineLevel="0" collapsed="false">
      <c r="A2473" s="1" t="s">
        <v>2508</v>
      </c>
      <c r="B2473" s="1" t="s">
        <v>41</v>
      </c>
      <c r="C2473" s="1" t="n">
        <v>1200000</v>
      </c>
      <c r="D2473" s="1" t="n">
        <v>1335.2</v>
      </c>
      <c r="E2473" s="1" t="n">
        <v>0.028</v>
      </c>
      <c r="F2473" s="1" t="n">
        <v>0.051</v>
      </c>
    </row>
    <row r="2474" customFormat="false" ht="15" hidden="false" customHeight="false" outlineLevel="0" collapsed="false">
      <c r="A2474" s="1" t="s">
        <v>2509</v>
      </c>
      <c r="B2474" s="1" t="s">
        <v>24</v>
      </c>
      <c r="C2474" s="1" t="n">
        <v>1290000</v>
      </c>
      <c r="D2474" s="1" t="n">
        <v>11771.6</v>
      </c>
      <c r="E2474" s="1" t="n">
        <v>0.0828</v>
      </c>
      <c r="F2474" s="1" t="n">
        <v>0.0951</v>
      </c>
    </row>
    <row r="2475" customFormat="false" ht="15" hidden="false" customHeight="false" outlineLevel="0" collapsed="false">
      <c r="A2475" s="1" t="s">
        <v>2510</v>
      </c>
      <c r="B2475" s="1" t="s">
        <v>26</v>
      </c>
      <c r="C2475" s="1" t="n">
        <v>2700000</v>
      </c>
      <c r="D2475" s="1" t="n">
        <v>1813272.8</v>
      </c>
      <c r="E2475" s="1" t="n">
        <v>0.0346</v>
      </c>
      <c r="F2475" s="1" t="n">
        <v>0.0409</v>
      </c>
    </row>
    <row r="2476" customFormat="false" ht="15" hidden="false" customHeight="false" outlineLevel="0" collapsed="false">
      <c r="A2476" s="1" t="s">
        <v>2511</v>
      </c>
      <c r="B2476" s="1" t="s">
        <v>74</v>
      </c>
      <c r="C2476" s="1" t="n">
        <v>1230000</v>
      </c>
      <c r="D2476" s="1" t="n">
        <v>4608.7</v>
      </c>
      <c r="E2476" s="1" t="n">
        <v>0.0054</v>
      </c>
      <c r="F2476" s="1" t="n">
        <v>0.2267</v>
      </c>
    </row>
    <row r="2477" customFormat="false" ht="15" hidden="false" customHeight="false" outlineLevel="0" collapsed="false">
      <c r="A2477" s="1" t="s">
        <v>2512</v>
      </c>
      <c r="B2477" s="1" t="s">
        <v>26</v>
      </c>
      <c r="C2477" s="1" t="n">
        <v>1420000</v>
      </c>
      <c r="D2477" s="1" t="n">
        <v>294077.5</v>
      </c>
      <c r="E2477" s="1" t="n">
        <v>0.0112</v>
      </c>
      <c r="F2477" s="1" t="n">
        <v>0.0654</v>
      </c>
    </row>
    <row r="2478" customFormat="false" ht="15" hidden="false" customHeight="false" outlineLevel="0" collapsed="false">
      <c r="A2478" s="1" t="s">
        <v>2513</v>
      </c>
      <c r="B2478" s="1" t="s">
        <v>50</v>
      </c>
      <c r="C2478" s="1" t="n">
        <v>1290000</v>
      </c>
      <c r="D2478" s="1" t="n">
        <v>632092.2</v>
      </c>
      <c r="E2478" s="1" t="n">
        <v>0.0239</v>
      </c>
      <c r="F2478" s="1" t="n">
        <v>0.0409</v>
      </c>
    </row>
    <row r="2479" customFormat="false" ht="15" hidden="false" customHeight="false" outlineLevel="0" collapsed="false">
      <c r="A2479" s="1" t="s">
        <v>2514</v>
      </c>
      <c r="B2479" s="1" t="s">
        <v>26</v>
      </c>
      <c r="C2479" s="1" t="n">
        <v>1480000</v>
      </c>
      <c r="D2479" s="1" t="n">
        <v>350283</v>
      </c>
      <c r="E2479" s="1" t="n">
        <v>0.0257</v>
      </c>
      <c r="F2479" s="1" t="n">
        <v>0.0409</v>
      </c>
    </row>
    <row r="2480" customFormat="false" ht="15" hidden="false" customHeight="false" outlineLevel="0" collapsed="false">
      <c r="A2480" s="1" t="s">
        <v>2515</v>
      </c>
      <c r="B2480" s="1" t="s">
        <v>62</v>
      </c>
      <c r="C2480" s="1" t="n">
        <v>2660000</v>
      </c>
      <c r="D2480" s="1" t="n">
        <v>15722.1</v>
      </c>
      <c r="E2480" s="1" t="n">
        <v>0.0074</v>
      </c>
      <c r="F2480" s="1" t="n">
        <v>0.0811</v>
      </c>
    </row>
    <row r="2481" customFormat="false" ht="15" hidden="false" customHeight="false" outlineLevel="0" collapsed="false">
      <c r="A2481" s="1" t="s">
        <v>2516</v>
      </c>
      <c r="B2481" s="1" t="s">
        <v>88</v>
      </c>
      <c r="C2481" s="1" t="n">
        <v>1260000</v>
      </c>
      <c r="D2481" s="1" t="n">
        <v>3786.7</v>
      </c>
      <c r="E2481" s="1" t="n">
        <v>0.0236</v>
      </c>
      <c r="F2481" s="1" t="n">
        <v>0.0938</v>
      </c>
    </row>
    <row r="2482" customFormat="false" ht="15" hidden="false" customHeight="false" outlineLevel="0" collapsed="false">
      <c r="A2482" s="1" t="s">
        <v>2517</v>
      </c>
      <c r="B2482" s="1" t="s">
        <v>32</v>
      </c>
      <c r="C2482" s="1" t="n">
        <v>1360000</v>
      </c>
      <c r="D2482" s="1" t="n">
        <v>1635.6</v>
      </c>
      <c r="E2482" s="1" t="n">
        <v>0.0138</v>
      </c>
      <c r="F2482" s="1" t="n">
        <v>0.0584</v>
      </c>
    </row>
    <row r="2483" customFormat="false" ht="15" hidden="false" customHeight="false" outlineLevel="0" collapsed="false">
      <c r="A2483" s="1" t="s">
        <v>2518</v>
      </c>
      <c r="B2483" s="1" t="s">
        <v>92</v>
      </c>
      <c r="C2483" s="1" t="n">
        <v>1200000</v>
      </c>
      <c r="D2483" s="1" t="n">
        <v>76332.2</v>
      </c>
      <c r="E2483" s="1" t="n">
        <v>0.021</v>
      </c>
      <c r="F2483" s="1" t="n">
        <v>0.0518</v>
      </c>
    </row>
    <row r="2484" customFormat="false" ht="15" hidden="false" customHeight="false" outlineLevel="0" collapsed="false">
      <c r="A2484" s="1" t="s">
        <v>2519</v>
      </c>
      <c r="B2484" s="1" t="s">
        <v>88</v>
      </c>
      <c r="C2484" s="1" t="n">
        <v>1220000</v>
      </c>
      <c r="D2484" s="1" t="n">
        <v>3836.5</v>
      </c>
      <c r="E2484" s="1" t="n">
        <v>0.0262</v>
      </c>
      <c r="F2484" s="1" t="n">
        <v>0.051</v>
      </c>
    </row>
    <row r="2485" customFormat="false" ht="15" hidden="false" customHeight="false" outlineLevel="0" collapsed="false">
      <c r="A2485" s="1" t="s">
        <v>2520</v>
      </c>
      <c r="B2485" s="1" t="s">
        <v>88</v>
      </c>
      <c r="C2485" s="1" t="n">
        <v>1170000</v>
      </c>
      <c r="D2485" s="1" t="n">
        <v>7208.6</v>
      </c>
      <c r="E2485" s="1" t="n">
        <v>0.0808</v>
      </c>
      <c r="F2485" s="1" t="n">
        <v>0.0759</v>
      </c>
    </row>
    <row r="2486" customFormat="false" ht="15" hidden="false" customHeight="false" outlineLevel="0" collapsed="false">
      <c r="A2486" s="1" t="s">
        <v>2521</v>
      </c>
      <c r="B2486" s="1" t="s">
        <v>26</v>
      </c>
      <c r="C2486" s="1" t="n">
        <v>1410000</v>
      </c>
      <c r="D2486" s="1" t="n">
        <v>82825.7</v>
      </c>
      <c r="E2486" s="1" t="n">
        <v>0.0079</v>
      </c>
      <c r="F2486" s="1" t="n">
        <v>0.0654</v>
      </c>
    </row>
    <row r="2487" customFormat="false" ht="15" hidden="false" customHeight="false" outlineLevel="0" collapsed="false">
      <c r="A2487" s="1" t="s">
        <v>2522</v>
      </c>
      <c r="B2487" s="1" t="s">
        <v>24</v>
      </c>
      <c r="C2487" s="1" t="n">
        <v>1390000</v>
      </c>
      <c r="D2487" s="1" t="n">
        <v>19703.9</v>
      </c>
      <c r="E2487" s="1" t="n">
        <v>0.0088</v>
      </c>
      <c r="F2487" s="1" t="n">
        <v>0.0811</v>
      </c>
    </row>
    <row r="2488" customFormat="false" ht="15" hidden="false" customHeight="false" outlineLevel="0" collapsed="false">
      <c r="A2488" s="1" t="s">
        <v>2523</v>
      </c>
      <c r="B2488" s="1" t="s">
        <v>92</v>
      </c>
      <c r="C2488" s="1" t="n">
        <v>1270000</v>
      </c>
      <c r="D2488" s="1" t="n">
        <v>5872.5</v>
      </c>
      <c r="E2488" s="1" t="n">
        <v>0.0473</v>
      </c>
      <c r="F2488" s="1" t="n">
        <v>0.0759</v>
      </c>
    </row>
    <row r="2489" customFormat="false" ht="15" hidden="false" customHeight="false" outlineLevel="0" collapsed="false">
      <c r="A2489" s="1" t="s">
        <v>2524</v>
      </c>
      <c r="B2489" s="1" t="s">
        <v>21</v>
      </c>
      <c r="C2489" s="1" t="n">
        <v>1530000</v>
      </c>
      <c r="D2489" s="1" t="n">
        <v>12292.7</v>
      </c>
      <c r="E2489" s="1" t="n">
        <v>0.0123</v>
      </c>
      <c r="F2489" s="1" t="n">
        <v>0.0726</v>
      </c>
    </row>
    <row r="2490" customFormat="false" ht="15" hidden="false" customHeight="false" outlineLevel="0" collapsed="false">
      <c r="A2490" s="1" t="s">
        <v>2525</v>
      </c>
      <c r="B2490" s="1" t="s">
        <v>26</v>
      </c>
      <c r="C2490" s="1" t="n">
        <v>1290000</v>
      </c>
      <c r="D2490" s="1" t="n">
        <v>184900.8</v>
      </c>
      <c r="E2490" s="1" t="n">
        <v>0.0412</v>
      </c>
      <c r="F2490" s="1" t="n">
        <v>0.0759</v>
      </c>
    </row>
    <row r="2491" customFormat="false" ht="15" hidden="false" customHeight="false" outlineLevel="0" collapsed="false">
      <c r="A2491" s="1" t="s">
        <v>2526</v>
      </c>
      <c r="B2491" s="1" t="s">
        <v>81</v>
      </c>
      <c r="C2491" s="1" t="n">
        <v>1240000</v>
      </c>
      <c r="D2491" s="1" t="n">
        <v>944.8</v>
      </c>
      <c r="E2491" s="1" t="n">
        <v>1.1758</v>
      </c>
      <c r="F2491" s="1" t="n">
        <v>0.0759</v>
      </c>
    </row>
    <row r="2492" customFormat="false" ht="15" hidden="false" customHeight="false" outlineLevel="0" collapsed="false">
      <c r="A2492" s="1" t="s">
        <v>2527</v>
      </c>
      <c r="B2492" s="1" t="s">
        <v>50</v>
      </c>
      <c r="C2492" s="1" t="n">
        <v>1410000</v>
      </c>
      <c r="D2492" s="1" t="n">
        <v>49246.2</v>
      </c>
      <c r="E2492" s="1" t="n">
        <v>0.0832</v>
      </c>
      <c r="F2492" s="1" t="n">
        <v>0.0938</v>
      </c>
    </row>
    <row r="2493" customFormat="false" ht="15" hidden="false" customHeight="false" outlineLevel="0" collapsed="false">
      <c r="A2493" s="1" t="s">
        <v>2528</v>
      </c>
      <c r="B2493" s="1" t="s">
        <v>50</v>
      </c>
      <c r="C2493" s="1" t="n">
        <v>1350000</v>
      </c>
      <c r="D2493" s="1" t="n">
        <v>31006.9</v>
      </c>
      <c r="E2493" s="1" t="n">
        <v>0.0377</v>
      </c>
      <c r="F2493" s="1" t="n">
        <v>0.0951</v>
      </c>
    </row>
    <row r="2494" customFormat="false" ht="15" hidden="false" customHeight="false" outlineLevel="0" collapsed="false">
      <c r="A2494" s="1" t="s">
        <v>2529</v>
      </c>
      <c r="B2494" s="1" t="s">
        <v>26</v>
      </c>
      <c r="C2494" s="1" t="n">
        <v>1440000</v>
      </c>
      <c r="D2494" s="1" t="n">
        <v>13312.5</v>
      </c>
      <c r="F2494" s="1" t="n">
        <v>0.0938</v>
      </c>
    </row>
    <row r="2495" customFormat="false" ht="15" hidden="false" customHeight="false" outlineLevel="0" collapsed="false">
      <c r="A2495" s="1" t="s">
        <v>2530</v>
      </c>
      <c r="B2495" s="1" t="s">
        <v>26</v>
      </c>
      <c r="C2495" s="1" t="n">
        <v>1170000</v>
      </c>
      <c r="D2495" s="1" t="n">
        <v>262</v>
      </c>
      <c r="E2495" s="1" t="n">
        <v>0.0035</v>
      </c>
      <c r="F2495" s="1" t="n">
        <v>0.1683</v>
      </c>
    </row>
    <row r="2496" customFormat="false" ht="15" hidden="false" customHeight="false" outlineLevel="0" collapsed="false">
      <c r="A2496" s="1" t="s">
        <v>2531</v>
      </c>
      <c r="B2496" s="1" t="s">
        <v>26</v>
      </c>
      <c r="C2496" s="1" t="n">
        <v>1500000</v>
      </c>
      <c r="D2496" s="1" t="n">
        <v>386809.4</v>
      </c>
      <c r="E2496" s="1" t="n">
        <v>0.0597</v>
      </c>
      <c r="F2496" s="1" t="n">
        <v>0.0759</v>
      </c>
    </row>
    <row r="2497" customFormat="false" ht="15" hidden="false" customHeight="false" outlineLevel="0" collapsed="false">
      <c r="A2497" s="1" t="s">
        <v>2532</v>
      </c>
      <c r="B2497" s="1" t="s">
        <v>41</v>
      </c>
      <c r="C2497" s="1" t="n">
        <v>1130000</v>
      </c>
      <c r="D2497" s="1" t="n">
        <v>17085.3</v>
      </c>
      <c r="F2497" s="1" t="n">
        <v>0.0518</v>
      </c>
    </row>
    <row r="2498" customFormat="false" ht="15" hidden="false" customHeight="false" outlineLevel="0" collapsed="false">
      <c r="A2498" s="1" t="s">
        <v>2533</v>
      </c>
      <c r="B2498" s="1" t="s">
        <v>24</v>
      </c>
      <c r="C2498" s="1" t="n">
        <v>1390000</v>
      </c>
      <c r="D2498" s="1" t="n">
        <v>2522.7</v>
      </c>
      <c r="E2498" s="1" t="n">
        <v>0.0728</v>
      </c>
      <c r="F2498" s="1" t="n">
        <v>0.0938</v>
      </c>
    </row>
    <row r="2499" customFormat="false" ht="15" hidden="false" customHeight="false" outlineLevel="0" collapsed="false">
      <c r="A2499" s="1" t="s">
        <v>2534</v>
      </c>
      <c r="B2499" s="1" t="s">
        <v>26</v>
      </c>
      <c r="C2499" s="1" t="n">
        <v>1470000</v>
      </c>
      <c r="D2499" s="1" t="n">
        <v>301256.8</v>
      </c>
      <c r="E2499" s="1" t="n">
        <v>0.0463</v>
      </c>
      <c r="F2499" s="1" t="n">
        <v>0.0759</v>
      </c>
    </row>
    <row r="2500" customFormat="false" ht="15" hidden="false" customHeight="false" outlineLevel="0" collapsed="false">
      <c r="A2500" s="1" t="s">
        <v>2535</v>
      </c>
      <c r="B2500" s="1" t="s">
        <v>41</v>
      </c>
      <c r="C2500" s="1" t="n">
        <v>3790000</v>
      </c>
      <c r="D2500" s="1" t="n">
        <v>2959.5</v>
      </c>
      <c r="E2500" s="1" t="n">
        <v>0.0174</v>
      </c>
      <c r="F2500" s="1" t="n">
        <v>0.339</v>
      </c>
    </row>
    <row r="2501" customFormat="false" ht="15" hidden="false" customHeight="false" outlineLevel="0" collapsed="false">
      <c r="A2501" s="1" t="s">
        <v>2536</v>
      </c>
      <c r="B2501" s="1" t="s">
        <v>26</v>
      </c>
      <c r="C2501" s="1" t="n">
        <v>1340000</v>
      </c>
      <c r="D2501" s="1" t="n">
        <v>120040.4</v>
      </c>
      <c r="E2501" s="1" t="n">
        <v>0.0578</v>
      </c>
      <c r="F2501" s="1" t="n">
        <v>0.0759</v>
      </c>
    </row>
    <row r="2502" customFormat="false" ht="15" hidden="false" customHeight="false" outlineLevel="0" collapsed="false">
      <c r="A2502" s="1" t="s">
        <v>2537</v>
      </c>
      <c r="B2502" s="1" t="s">
        <v>92</v>
      </c>
      <c r="C2502" s="1" t="n">
        <v>1160000</v>
      </c>
      <c r="D2502" s="1" t="n">
        <v>772.6</v>
      </c>
      <c r="E2502" s="1" t="n">
        <v>0.0131</v>
      </c>
      <c r="F2502" s="1" t="n">
        <v>0.0811</v>
      </c>
    </row>
    <row r="2503" customFormat="false" ht="15" hidden="false" customHeight="false" outlineLevel="0" collapsed="false">
      <c r="A2503" s="1" t="s">
        <v>2538</v>
      </c>
      <c r="B2503" s="1" t="s">
        <v>71</v>
      </c>
      <c r="C2503" s="1" t="n">
        <v>1210000</v>
      </c>
      <c r="D2503" s="1" t="n">
        <v>3994.5</v>
      </c>
      <c r="E2503" s="1" t="n">
        <v>0.0149</v>
      </c>
      <c r="F2503" s="1" t="n">
        <v>0.0462</v>
      </c>
    </row>
    <row r="2504" customFormat="false" ht="15" hidden="false" customHeight="false" outlineLevel="0" collapsed="false">
      <c r="A2504" s="1" t="s">
        <v>2539</v>
      </c>
      <c r="B2504" s="1" t="s">
        <v>24</v>
      </c>
      <c r="C2504" s="1" t="n">
        <v>1450000</v>
      </c>
      <c r="D2504" s="1" t="n">
        <v>1316</v>
      </c>
      <c r="E2504" s="1" t="n">
        <v>0.0237</v>
      </c>
      <c r="F2504" s="1" t="n">
        <v>0.051</v>
      </c>
    </row>
    <row r="2505" customFormat="false" ht="15" hidden="false" customHeight="false" outlineLevel="0" collapsed="false">
      <c r="A2505" s="1" t="s">
        <v>2540</v>
      </c>
      <c r="B2505" s="1" t="s">
        <v>195</v>
      </c>
      <c r="C2505" s="1" t="n">
        <v>1150000</v>
      </c>
      <c r="D2505" s="1" t="n">
        <v>270018.6</v>
      </c>
      <c r="E2505" s="1" t="n">
        <v>0.0249</v>
      </c>
      <c r="F2505" s="1" t="n">
        <v>0.0585</v>
      </c>
    </row>
    <row r="2506" customFormat="false" ht="15" hidden="false" customHeight="false" outlineLevel="0" collapsed="false">
      <c r="A2506" s="1" t="s">
        <v>2541</v>
      </c>
      <c r="B2506" s="1" t="s">
        <v>30</v>
      </c>
      <c r="C2506" s="1" t="n">
        <v>1760000</v>
      </c>
      <c r="D2506" s="1" t="n">
        <v>198776.4</v>
      </c>
      <c r="E2506" s="1" t="n">
        <v>0.0039</v>
      </c>
      <c r="F2506" s="1" t="n">
        <v>0.0822</v>
      </c>
    </row>
    <row r="2507" customFormat="false" ht="15" hidden="false" customHeight="false" outlineLevel="0" collapsed="false">
      <c r="A2507" s="1" t="s">
        <v>2542</v>
      </c>
      <c r="B2507" s="1" t="s">
        <v>26</v>
      </c>
      <c r="C2507" s="1" t="n">
        <v>1290000</v>
      </c>
      <c r="D2507" s="1" t="n">
        <v>11146.7</v>
      </c>
      <c r="E2507" s="1" t="n">
        <v>0.0487</v>
      </c>
      <c r="F2507" s="1" t="n">
        <v>0.0759</v>
      </c>
    </row>
    <row r="2508" customFormat="false" ht="15" hidden="false" customHeight="false" outlineLevel="0" collapsed="false">
      <c r="A2508" s="1" t="s">
        <v>2543</v>
      </c>
      <c r="B2508" s="1" t="s">
        <v>26</v>
      </c>
      <c r="C2508" s="1" t="n">
        <v>1340000</v>
      </c>
      <c r="D2508" s="1" t="n">
        <v>96302.7</v>
      </c>
      <c r="E2508" s="1" t="n">
        <v>0.0402</v>
      </c>
      <c r="F2508" s="1" t="n">
        <v>0.0672</v>
      </c>
    </row>
    <row r="2509" customFormat="false" ht="15" hidden="false" customHeight="false" outlineLevel="0" collapsed="false">
      <c r="A2509" s="1" t="s">
        <v>2544</v>
      </c>
      <c r="B2509" s="1" t="s">
        <v>88</v>
      </c>
      <c r="C2509" s="1" t="n">
        <v>1260000</v>
      </c>
      <c r="D2509" s="1" t="n">
        <v>15887.1</v>
      </c>
      <c r="E2509" s="1" t="n">
        <v>0.0299</v>
      </c>
      <c r="F2509" s="1" t="n">
        <v>0.0938</v>
      </c>
    </row>
    <row r="2510" customFormat="false" ht="15" hidden="false" customHeight="false" outlineLevel="0" collapsed="false">
      <c r="A2510" s="1" t="s">
        <v>2545</v>
      </c>
      <c r="B2510" s="1" t="s">
        <v>21</v>
      </c>
      <c r="C2510" s="1" t="n">
        <v>2080000</v>
      </c>
      <c r="D2510" s="1" t="n">
        <v>5251.5</v>
      </c>
      <c r="E2510" s="1" t="n">
        <v>0.046</v>
      </c>
      <c r="F2510" s="1" t="n">
        <v>0.0938</v>
      </c>
    </row>
    <row r="2511" customFormat="false" ht="15" hidden="false" customHeight="false" outlineLevel="0" collapsed="false">
      <c r="A2511" s="1" t="s">
        <v>2546</v>
      </c>
      <c r="B2511" s="1" t="s">
        <v>30</v>
      </c>
      <c r="C2511" s="1" t="n">
        <v>1600000</v>
      </c>
      <c r="D2511" s="1" t="n">
        <v>16192.8</v>
      </c>
      <c r="E2511" s="1" t="n">
        <v>0.005</v>
      </c>
      <c r="F2511" s="1" t="n">
        <v>0.0811</v>
      </c>
    </row>
    <row r="2512" customFormat="false" ht="15" hidden="false" customHeight="false" outlineLevel="0" collapsed="false">
      <c r="A2512" s="1" t="s">
        <v>2547</v>
      </c>
      <c r="B2512" s="1" t="s">
        <v>214</v>
      </c>
      <c r="C2512" s="1" t="n">
        <v>2940000</v>
      </c>
      <c r="D2512" s="1" t="n">
        <v>303217.1</v>
      </c>
      <c r="E2512" s="1" t="n">
        <v>0.0235</v>
      </c>
      <c r="F2512" s="1" t="n">
        <v>0.0759</v>
      </c>
    </row>
    <row r="2513" customFormat="false" ht="15" hidden="false" customHeight="false" outlineLevel="0" collapsed="false">
      <c r="A2513" s="1" t="s">
        <v>2548</v>
      </c>
      <c r="B2513" s="1" t="s">
        <v>32</v>
      </c>
      <c r="C2513" s="1" t="n">
        <v>1560000</v>
      </c>
      <c r="D2513" s="1" t="n">
        <v>54214.5</v>
      </c>
      <c r="E2513" s="1" t="n">
        <v>0.0062</v>
      </c>
      <c r="F2513" s="1" t="n">
        <v>0.0654</v>
      </c>
    </row>
    <row r="2514" customFormat="false" ht="15" hidden="false" customHeight="false" outlineLevel="0" collapsed="false">
      <c r="A2514" s="1" t="s">
        <v>2549</v>
      </c>
      <c r="B2514" s="1" t="s">
        <v>26</v>
      </c>
      <c r="C2514" s="1" t="n">
        <v>1640000</v>
      </c>
      <c r="D2514" s="1" t="n">
        <v>26930.9</v>
      </c>
      <c r="E2514" s="1" t="n">
        <v>0.0218</v>
      </c>
      <c r="F2514" s="1" t="n">
        <v>0.051</v>
      </c>
    </row>
    <row r="2515" customFormat="false" ht="15" hidden="false" customHeight="false" outlineLevel="0" collapsed="false">
      <c r="A2515" s="1" t="s">
        <v>2550</v>
      </c>
      <c r="B2515" s="1" t="s">
        <v>81</v>
      </c>
      <c r="C2515" s="1" t="n">
        <v>1310000</v>
      </c>
      <c r="D2515" s="1" t="n">
        <v>3048.2</v>
      </c>
      <c r="E2515" s="1" t="n">
        <v>0.0257</v>
      </c>
      <c r="F2515" s="1" t="n">
        <v>0.0951</v>
      </c>
    </row>
    <row r="2516" customFormat="false" ht="15" hidden="false" customHeight="false" outlineLevel="0" collapsed="false">
      <c r="A2516" s="1" t="s">
        <v>2551</v>
      </c>
      <c r="B2516" s="1" t="s">
        <v>24</v>
      </c>
      <c r="C2516" s="1" t="n">
        <v>1360000</v>
      </c>
      <c r="D2516" s="1" t="n">
        <v>71449</v>
      </c>
      <c r="E2516" s="1" t="n">
        <v>0.066</v>
      </c>
      <c r="F2516" s="1" t="n">
        <v>0.0951</v>
      </c>
    </row>
    <row r="2517" customFormat="false" ht="15" hidden="false" customHeight="false" outlineLevel="0" collapsed="false">
      <c r="A2517" s="1" t="s">
        <v>2552</v>
      </c>
      <c r="B2517" s="1" t="s">
        <v>24</v>
      </c>
      <c r="C2517" s="1" t="n">
        <v>1600000</v>
      </c>
      <c r="D2517" s="1" t="n">
        <v>6420.6</v>
      </c>
      <c r="E2517" s="1" t="n">
        <v>0.0189</v>
      </c>
      <c r="F2517" s="1" t="n">
        <v>0.051</v>
      </c>
    </row>
    <row r="2518" customFormat="false" ht="15" hidden="false" customHeight="false" outlineLevel="0" collapsed="false">
      <c r="A2518" s="1" t="s">
        <v>2553</v>
      </c>
      <c r="B2518" s="1" t="s">
        <v>88</v>
      </c>
      <c r="C2518" s="1" t="n">
        <v>1220000</v>
      </c>
      <c r="D2518" s="1" t="n">
        <v>509.8</v>
      </c>
      <c r="E2518" s="1" t="n">
        <v>0.0162</v>
      </c>
      <c r="F2518" s="1" t="n">
        <v>0.0821</v>
      </c>
    </row>
    <row r="2519" customFormat="false" ht="15" hidden="false" customHeight="false" outlineLevel="0" collapsed="false">
      <c r="A2519" s="1" t="s">
        <v>2554</v>
      </c>
      <c r="B2519" s="1" t="s">
        <v>92</v>
      </c>
      <c r="C2519" s="1" t="n">
        <v>2540000</v>
      </c>
      <c r="D2519" s="1" t="n">
        <v>743265.2</v>
      </c>
      <c r="E2519" s="1" t="n">
        <v>0.022</v>
      </c>
      <c r="F2519" s="1" t="n">
        <v>0.0409</v>
      </c>
    </row>
    <row r="2520" customFormat="false" ht="15" hidden="false" customHeight="false" outlineLevel="0" collapsed="false">
      <c r="A2520" s="1" t="s">
        <v>2555</v>
      </c>
      <c r="B2520" s="1" t="s">
        <v>41</v>
      </c>
      <c r="C2520" s="1" t="n">
        <v>1170000</v>
      </c>
      <c r="D2520" s="1" t="n">
        <v>207.5</v>
      </c>
      <c r="E2520" s="1" t="n">
        <v>0.0472</v>
      </c>
      <c r="F2520" s="1" t="n">
        <v>0.0951</v>
      </c>
    </row>
    <row r="2521" customFormat="false" ht="15" hidden="false" customHeight="false" outlineLevel="0" collapsed="false">
      <c r="A2521" s="1" t="s">
        <v>2556</v>
      </c>
      <c r="B2521" s="1" t="s">
        <v>214</v>
      </c>
      <c r="C2521" s="1" t="n">
        <v>1270000</v>
      </c>
      <c r="D2521" s="1" t="n">
        <v>2643.4</v>
      </c>
      <c r="E2521" s="1" t="n">
        <v>0.0673</v>
      </c>
      <c r="F2521" s="1" t="n">
        <v>0.0938</v>
      </c>
    </row>
    <row r="2522" customFormat="false" ht="15" hidden="false" customHeight="false" outlineLevel="0" collapsed="false">
      <c r="A2522" s="1" t="s">
        <v>2557</v>
      </c>
      <c r="B2522" s="1" t="s">
        <v>26</v>
      </c>
      <c r="C2522" s="1" t="n">
        <v>1510000</v>
      </c>
      <c r="D2522" s="1" t="n">
        <v>144328.6</v>
      </c>
      <c r="E2522" s="1" t="n">
        <v>0.041</v>
      </c>
      <c r="F2522" s="1" t="n">
        <v>0.0938</v>
      </c>
    </row>
    <row r="2523" customFormat="false" ht="15" hidden="false" customHeight="false" outlineLevel="0" collapsed="false">
      <c r="A2523" s="1" t="s">
        <v>2558</v>
      </c>
      <c r="B2523" s="1" t="s">
        <v>81</v>
      </c>
      <c r="C2523" s="1" t="n">
        <v>1160000</v>
      </c>
      <c r="D2523" s="1" t="n">
        <v>8009.6</v>
      </c>
      <c r="E2523" s="1" t="n">
        <v>0.0184</v>
      </c>
      <c r="F2523" s="1" t="n">
        <v>0.0585</v>
      </c>
    </row>
    <row r="2524" customFormat="false" ht="15" hidden="false" customHeight="false" outlineLevel="0" collapsed="false">
      <c r="A2524" s="1" t="s">
        <v>2559</v>
      </c>
      <c r="B2524" s="1" t="s">
        <v>88</v>
      </c>
      <c r="C2524" s="1" t="n">
        <v>1320000</v>
      </c>
      <c r="D2524" s="1" t="n">
        <v>22460.2</v>
      </c>
      <c r="E2524" s="1" t="n">
        <v>0.0378</v>
      </c>
      <c r="F2524" s="1" t="n">
        <v>0.0938</v>
      </c>
    </row>
    <row r="2525" customFormat="false" ht="15" hidden="false" customHeight="false" outlineLevel="0" collapsed="false">
      <c r="A2525" s="1" t="s">
        <v>2560</v>
      </c>
      <c r="B2525" s="1" t="s">
        <v>26</v>
      </c>
      <c r="C2525" s="1" t="n">
        <v>1160000</v>
      </c>
      <c r="D2525" s="1" t="n">
        <v>4397.5</v>
      </c>
      <c r="E2525" s="1" t="n">
        <v>0.0267</v>
      </c>
      <c r="F2525" s="1" t="n">
        <v>0.0951</v>
      </c>
    </row>
    <row r="2526" customFormat="false" ht="15" hidden="false" customHeight="false" outlineLevel="0" collapsed="false">
      <c r="A2526" s="1" t="s">
        <v>2561</v>
      </c>
      <c r="B2526" s="1" t="s">
        <v>53</v>
      </c>
      <c r="C2526" s="1" t="n">
        <v>1370000</v>
      </c>
      <c r="D2526" s="1" t="n">
        <v>168663.7</v>
      </c>
      <c r="E2526" s="1" t="n">
        <v>0.0084</v>
      </c>
      <c r="F2526" s="1" t="n">
        <v>0.0654</v>
      </c>
    </row>
    <row r="2527" customFormat="false" ht="15" hidden="false" customHeight="false" outlineLevel="0" collapsed="false">
      <c r="A2527" s="1" t="s">
        <v>2562</v>
      </c>
      <c r="B2527" s="1" t="s">
        <v>71</v>
      </c>
      <c r="C2527" s="1" t="n">
        <v>1220000</v>
      </c>
      <c r="D2527" s="1" t="n">
        <v>1306.7</v>
      </c>
      <c r="E2527" s="1" t="n">
        <v>0.039</v>
      </c>
      <c r="F2527" s="1" t="n">
        <v>0.0759</v>
      </c>
    </row>
    <row r="2528" customFormat="false" ht="15" hidden="false" customHeight="false" outlineLevel="0" collapsed="false">
      <c r="A2528" s="1" t="s">
        <v>2563</v>
      </c>
      <c r="B2528" s="1" t="s">
        <v>21</v>
      </c>
      <c r="C2528" s="1" t="n">
        <v>1220000</v>
      </c>
      <c r="D2528" s="1" t="n">
        <v>1211.8</v>
      </c>
      <c r="E2528" s="1" t="n">
        <v>0.0184</v>
      </c>
      <c r="F2528" s="1" t="n">
        <v>0.0937</v>
      </c>
    </row>
    <row r="2529" customFormat="false" ht="15" hidden="false" customHeight="false" outlineLevel="0" collapsed="false">
      <c r="A2529" s="1" t="s">
        <v>2564</v>
      </c>
      <c r="B2529" s="1" t="s">
        <v>88</v>
      </c>
      <c r="C2529" s="1" t="n">
        <v>1390000</v>
      </c>
      <c r="D2529" s="1" t="n">
        <v>1203.2</v>
      </c>
      <c r="E2529" s="1" t="n">
        <v>0.029</v>
      </c>
      <c r="F2529" s="1" t="n">
        <v>0.0409</v>
      </c>
    </row>
    <row r="2530" customFormat="false" ht="15" hidden="false" customHeight="false" outlineLevel="0" collapsed="false">
      <c r="A2530" s="1" t="s">
        <v>2565</v>
      </c>
      <c r="B2530" s="1" t="s">
        <v>26</v>
      </c>
      <c r="C2530" s="1" t="n">
        <v>1870000</v>
      </c>
      <c r="D2530" s="1" t="n">
        <v>606208.3</v>
      </c>
      <c r="E2530" s="1" t="n">
        <v>0.0332</v>
      </c>
      <c r="F2530" s="1" t="n">
        <v>0.0409</v>
      </c>
    </row>
    <row r="2531" customFormat="false" ht="15" hidden="false" customHeight="false" outlineLevel="0" collapsed="false">
      <c r="A2531" s="1" t="s">
        <v>2566</v>
      </c>
      <c r="B2531" s="1" t="s">
        <v>53</v>
      </c>
      <c r="C2531" s="1" t="n">
        <v>1140000</v>
      </c>
      <c r="D2531" s="1" t="n">
        <v>8404.1</v>
      </c>
      <c r="E2531" s="1" t="n">
        <v>0.0886</v>
      </c>
      <c r="F2531" s="1" t="n">
        <v>0.0951</v>
      </c>
    </row>
    <row r="2532" customFormat="false" ht="15" hidden="false" customHeight="false" outlineLevel="0" collapsed="false">
      <c r="A2532" s="1" t="s">
        <v>2567</v>
      </c>
      <c r="B2532" s="1" t="s">
        <v>50</v>
      </c>
      <c r="C2532" s="1" t="n">
        <v>1410000</v>
      </c>
      <c r="D2532" s="1" t="n">
        <v>4537.3</v>
      </c>
      <c r="E2532" s="1" t="n">
        <v>0.0148</v>
      </c>
      <c r="F2532" s="1" t="n">
        <v>0.1053</v>
      </c>
    </row>
    <row r="2533" customFormat="false" ht="15" hidden="false" customHeight="false" outlineLevel="0" collapsed="false">
      <c r="A2533" s="1" t="s">
        <v>2568</v>
      </c>
      <c r="B2533" s="1" t="s">
        <v>26</v>
      </c>
      <c r="C2533" s="1" t="n">
        <v>1570000</v>
      </c>
      <c r="D2533" s="1" t="n">
        <v>267494.7</v>
      </c>
      <c r="E2533" s="1" t="n">
        <v>0.0481</v>
      </c>
      <c r="F2533" s="1" t="n">
        <v>0.051</v>
      </c>
    </row>
    <row r="2534" customFormat="false" ht="15" hidden="false" customHeight="false" outlineLevel="0" collapsed="false">
      <c r="A2534" s="1" t="s">
        <v>2569</v>
      </c>
      <c r="B2534" s="1" t="s">
        <v>21</v>
      </c>
      <c r="C2534" s="1" t="n">
        <v>1200000</v>
      </c>
      <c r="D2534" s="1" t="n">
        <v>178652.7</v>
      </c>
      <c r="E2534" s="1" t="n">
        <v>0.0747</v>
      </c>
      <c r="F2534" s="1" t="n">
        <v>0.0951</v>
      </c>
    </row>
    <row r="2535" customFormat="false" ht="15" hidden="false" customHeight="false" outlineLevel="0" collapsed="false">
      <c r="A2535" s="1" t="s">
        <v>2570</v>
      </c>
      <c r="B2535" s="1" t="s">
        <v>26</v>
      </c>
      <c r="C2535" s="1" t="n">
        <v>1890000</v>
      </c>
      <c r="D2535" s="1" t="n">
        <v>165799.3</v>
      </c>
      <c r="E2535" s="1" t="n">
        <v>0.0235</v>
      </c>
      <c r="F2535" s="1" t="n">
        <v>0.0409</v>
      </c>
    </row>
    <row r="2536" customFormat="false" ht="15" hidden="false" customHeight="false" outlineLevel="0" collapsed="false">
      <c r="A2536" s="1" t="s">
        <v>2571</v>
      </c>
      <c r="B2536" s="1" t="s">
        <v>214</v>
      </c>
      <c r="C2536" s="1" t="n">
        <v>1170000</v>
      </c>
      <c r="D2536" s="1" t="n">
        <v>75156.9</v>
      </c>
      <c r="E2536" s="1" t="n">
        <v>0.0088</v>
      </c>
      <c r="F2536" s="1" t="n">
        <v>0.0822</v>
      </c>
    </row>
    <row r="2537" customFormat="false" ht="15" hidden="false" customHeight="false" outlineLevel="0" collapsed="false">
      <c r="A2537" s="1" t="s">
        <v>2572</v>
      </c>
      <c r="B2537" s="1" t="s">
        <v>21</v>
      </c>
      <c r="C2537" s="1" t="n">
        <v>1170000</v>
      </c>
      <c r="D2537" s="1" t="n">
        <v>8932.2</v>
      </c>
      <c r="E2537" s="1" t="n">
        <v>0.0134</v>
      </c>
      <c r="F2537" s="1" t="n">
        <v>0.095</v>
      </c>
    </row>
    <row r="2538" customFormat="false" ht="15" hidden="false" customHeight="false" outlineLevel="0" collapsed="false">
      <c r="A2538" s="1" t="s">
        <v>2573</v>
      </c>
      <c r="B2538" s="1" t="s">
        <v>24</v>
      </c>
      <c r="C2538" s="1" t="n">
        <v>1800000</v>
      </c>
      <c r="D2538" s="1" t="n">
        <v>11180.2</v>
      </c>
      <c r="E2538" s="1" t="n">
        <v>0.09</v>
      </c>
      <c r="F2538" s="1" t="n">
        <v>0.0938</v>
      </c>
    </row>
    <row r="2539" customFormat="false" ht="15" hidden="false" customHeight="false" outlineLevel="0" collapsed="false">
      <c r="A2539" s="1" t="s">
        <v>2574</v>
      </c>
      <c r="B2539" s="1" t="s">
        <v>92</v>
      </c>
      <c r="C2539" s="1" t="n">
        <v>1490000</v>
      </c>
      <c r="D2539" s="1" t="n">
        <v>19760</v>
      </c>
      <c r="E2539" s="1" t="n">
        <v>0.0182</v>
      </c>
      <c r="F2539" s="1" t="n">
        <v>0.0757</v>
      </c>
    </row>
    <row r="2540" customFormat="false" ht="15" hidden="false" customHeight="false" outlineLevel="0" collapsed="false">
      <c r="A2540" s="1" t="s">
        <v>2575</v>
      </c>
      <c r="B2540" s="1" t="s">
        <v>26</v>
      </c>
      <c r="C2540" s="1" t="n">
        <v>1230000</v>
      </c>
      <c r="D2540" s="1" t="n">
        <v>33178.1</v>
      </c>
      <c r="E2540" s="1" t="n">
        <v>0.0095</v>
      </c>
      <c r="F2540" s="1" t="n">
        <v>0.0811</v>
      </c>
    </row>
    <row r="2541" customFormat="false" ht="15" hidden="false" customHeight="false" outlineLevel="0" collapsed="false">
      <c r="A2541" s="1" t="s">
        <v>2576</v>
      </c>
      <c r="B2541" s="1" t="s">
        <v>41</v>
      </c>
      <c r="C2541" s="1" t="n">
        <v>1650000</v>
      </c>
      <c r="D2541" s="1" t="n">
        <v>11020.5</v>
      </c>
      <c r="F2541" s="1" t="n">
        <v>0.0759</v>
      </c>
    </row>
    <row r="2542" customFormat="false" ht="15" hidden="false" customHeight="false" outlineLevel="0" collapsed="false">
      <c r="A2542" s="1" t="s">
        <v>2577</v>
      </c>
      <c r="B2542" s="1" t="s">
        <v>71</v>
      </c>
      <c r="C2542" s="1" t="n">
        <v>1270000</v>
      </c>
      <c r="D2542" s="1" t="n">
        <v>4336.3</v>
      </c>
      <c r="E2542" s="1" t="n">
        <v>0.0259</v>
      </c>
      <c r="F2542" s="1" t="n">
        <v>0.0938</v>
      </c>
    </row>
    <row r="2543" customFormat="false" ht="15" hidden="false" customHeight="false" outlineLevel="0" collapsed="false">
      <c r="A2543" s="1" t="s">
        <v>2578</v>
      </c>
      <c r="B2543" s="1" t="s">
        <v>30</v>
      </c>
      <c r="C2543" s="1" t="n">
        <v>1410000</v>
      </c>
      <c r="D2543" s="1" t="n">
        <v>21404.3</v>
      </c>
      <c r="F2543" s="1" t="n">
        <v>0.0759</v>
      </c>
    </row>
    <row r="2544" customFormat="false" ht="15" hidden="false" customHeight="false" outlineLevel="0" collapsed="false">
      <c r="A2544" s="1" t="s">
        <v>2579</v>
      </c>
      <c r="B2544" s="1" t="s">
        <v>53</v>
      </c>
      <c r="C2544" s="1" t="n">
        <v>1310000</v>
      </c>
      <c r="D2544" s="1" t="n">
        <v>148447.2</v>
      </c>
      <c r="E2544" s="1" t="n">
        <v>0.0106</v>
      </c>
      <c r="F2544" s="1" t="n">
        <v>0.0822</v>
      </c>
    </row>
    <row r="2545" customFormat="false" ht="15" hidden="false" customHeight="false" outlineLevel="0" collapsed="false">
      <c r="A2545" s="1" t="s">
        <v>2580</v>
      </c>
      <c r="B2545" s="1" t="s">
        <v>88</v>
      </c>
      <c r="C2545" s="1" t="n">
        <v>1230000</v>
      </c>
      <c r="D2545" s="1" t="n">
        <v>3772.1</v>
      </c>
      <c r="E2545" s="1" t="n">
        <v>0.0595</v>
      </c>
      <c r="F2545" s="1" t="n">
        <v>0.0938</v>
      </c>
    </row>
    <row r="2546" customFormat="false" ht="15" hidden="false" customHeight="false" outlineLevel="0" collapsed="false">
      <c r="A2546" s="1" t="s">
        <v>2581</v>
      </c>
      <c r="B2546" s="1" t="s">
        <v>88</v>
      </c>
      <c r="C2546" s="1" t="n">
        <v>1130000</v>
      </c>
      <c r="D2546" s="1" t="n">
        <v>681.5</v>
      </c>
      <c r="E2546" s="1" t="n">
        <v>0.0321</v>
      </c>
      <c r="F2546" s="1" t="n">
        <v>0.117</v>
      </c>
    </row>
    <row r="2547" customFormat="false" ht="15" hidden="false" customHeight="false" outlineLevel="0" collapsed="false">
      <c r="A2547" s="1" t="s">
        <v>2582</v>
      </c>
      <c r="B2547" s="1" t="s">
        <v>26</v>
      </c>
      <c r="C2547" s="1" t="n">
        <v>1220000</v>
      </c>
      <c r="D2547" s="1" t="n">
        <v>2323.7</v>
      </c>
      <c r="E2547" s="1" t="n">
        <v>0.0168</v>
      </c>
      <c r="F2547" s="1" t="n">
        <v>0.0462</v>
      </c>
    </row>
    <row r="2548" customFormat="false" ht="15" hidden="false" customHeight="false" outlineLevel="0" collapsed="false">
      <c r="A2548" s="1" t="s">
        <v>2583</v>
      </c>
      <c r="B2548" s="1" t="s">
        <v>92</v>
      </c>
      <c r="C2548" s="1" t="n">
        <v>1610000</v>
      </c>
      <c r="D2548" s="1" t="n">
        <v>6176.9</v>
      </c>
      <c r="E2548" s="1" t="n">
        <v>0.0432</v>
      </c>
      <c r="F2548" s="1" t="n">
        <v>0.0938</v>
      </c>
    </row>
    <row r="2549" customFormat="false" ht="15" hidden="false" customHeight="false" outlineLevel="0" collapsed="false">
      <c r="A2549" s="1" t="s">
        <v>2584</v>
      </c>
      <c r="B2549" s="1" t="s">
        <v>50</v>
      </c>
      <c r="C2549" s="1" t="n">
        <v>1420000</v>
      </c>
      <c r="D2549" s="1" t="n">
        <v>104576.9</v>
      </c>
      <c r="E2549" s="1" t="n">
        <v>0.0132</v>
      </c>
      <c r="F2549" s="1" t="n">
        <v>0.0585</v>
      </c>
    </row>
    <row r="2550" customFormat="false" ht="15" hidden="false" customHeight="false" outlineLevel="0" collapsed="false">
      <c r="A2550" s="1" t="s">
        <v>2585</v>
      </c>
      <c r="B2550" s="1" t="s">
        <v>92</v>
      </c>
      <c r="C2550" s="1" t="n">
        <v>1510000</v>
      </c>
      <c r="D2550" s="1" t="n">
        <v>494845.1</v>
      </c>
      <c r="E2550" s="1" t="n">
        <v>0.0435</v>
      </c>
      <c r="F2550" s="1" t="n">
        <v>0.0409</v>
      </c>
    </row>
    <row r="2551" customFormat="false" ht="15" hidden="false" customHeight="false" outlineLevel="0" collapsed="false">
      <c r="A2551" s="1" t="s">
        <v>2586</v>
      </c>
      <c r="B2551" s="1" t="s">
        <v>26</v>
      </c>
      <c r="C2551" s="1" t="n">
        <v>1500000</v>
      </c>
      <c r="D2551" s="1" t="n">
        <v>274386.3</v>
      </c>
      <c r="E2551" s="1" t="n">
        <v>0.0241</v>
      </c>
      <c r="F2551" s="1" t="n">
        <v>0.051</v>
      </c>
    </row>
    <row r="2552" customFormat="false" ht="15" hidden="false" customHeight="false" outlineLevel="0" collapsed="false">
      <c r="A2552" s="1" t="s">
        <v>2587</v>
      </c>
      <c r="B2552" s="1" t="s">
        <v>88</v>
      </c>
      <c r="C2552" s="1" t="n">
        <v>2170000</v>
      </c>
      <c r="D2552" s="1" t="n">
        <v>174092.2</v>
      </c>
      <c r="E2552" s="1" t="n">
        <v>0.0491</v>
      </c>
      <c r="F2552" s="1" t="n">
        <v>0.0759</v>
      </c>
    </row>
    <row r="2553" customFormat="false" ht="15" hidden="false" customHeight="false" outlineLevel="0" collapsed="false">
      <c r="A2553" s="1" t="s">
        <v>2588</v>
      </c>
      <c r="B2553" s="1" t="s">
        <v>287</v>
      </c>
      <c r="C2553" s="1" t="n">
        <v>1160000</v>
      </c>
      <c r="D2553" s="1" t="n">
        <v>437.5</v>
      </c>
      <c r="E2553" s="1" t="n">
        <v>0.0113</v>
      </c>
      <c r="F2553" s="1" t="n">
        <v>0.1058</v>
      </c>
    </row>
    <row r="2554" customFormat="false" ht="15" hidden="false" customHeight="false" outlineLevel="0" collapsed="false">
      <c r="A2554" s="1" t="s">
        <v>2589</v>
      </c>
      <c r="B2554" s="1" t="s">
        <v>41</v>
      </c>
      <c r="C2554" s="1" t="n">
        <v>1270000</v>
      </c>
      <c r="D2554" s="1" t="n">
        <v>2615.5</v>
      </c>
      <c r="E2554" s="1" t="n">
        <v>0.0031</v>
      </c>
      <c r="F2554" s="1" t="n">
        <v>0.1452</v>
      </c>
    </row>
    <row r="2555" customFormat="false" ht="15" hidden="false" customHeight="false" outlineLevel="0" collapsed="false">
      <c r="A2555" s="1" t="s">
        <v>2590</v>
      </c>
      <c r="B2555" s="1" t="s">
        <v>26</v>
      </c>
      <c r="C2555" s="1" t="n">
        <v>1160000</v>
      </c>
      <c r="D2555" s="1" t="n">
        <v>54920.3</v>
      </c>
      <c r="E2555" s="1" t="n">
        <v>0.0086</v>
      </c>
      <c r="F2555" s="1" t="n">
        <v>0.0822</v>
      </c>
    </row>
    <row r="2556" customFormat="false" ht="15" hidden="false" customHeight="false" outlineLevel="0" collapsed="false">
      <c r="A2556" s="1" t="s">
        <v>2591</v>
      </c>
      <c r="B2556" s="1" t="s">
        <v>24</v>
      </c>
      <c r="C2556" s="1" t="n">
        <v>1500000</v>
      </c>
      <c r="D2556" s="1" t="n">
        <v>23212.6</v>
      </c>
      <c r="E2556" s="1" t="n">
        <v>0.0134</v>
      </c>
      <c r="F2556" s="1" t="n">
        <v>0.1058</v>
      </c>
    </row>
    <row r="2557" customFormat="false" ht="15" hidden="false" customHeight="false" outlineLevel="0" collapsed="false">
      <c r="A2557" s="1" t="s">
        <v>2592</v>
      </c>
      <c r="B2557" s="1" t="s">
        <v>26</v>
      </c>
      <c r="C2557" s="1" t="n">
        <v>1450000</v>
      </c>
      <c r="D2557" s="1" t="n">
        <v>75322.8</v>
      </c>
      <c r="E2557" s="1" t="n">
        <v>0.0206</v>
      </c>
      <c r="F2557" s="1" t="n">
        <v>0.0854</v>
      </c>
    </row>
    <row r="2558" customFormat="false" ht="15" hidden="false" customHeight="false" outlineLevel="0" collapsed="false">
      <c r="A2558" s="1" t="s">
        <v>2593</v>
      </c>
      <c r="B2558" s="1" t="s">
        <v>88</v>
      </c>
      <c r="C2558" s="1" t="n">
        <v>1360000</v>
      </c>
      <c r="D2558" s="1" t="n">
        <v>17348.4</v>
      </c>
      <c r="E2558" s="1" t="n">
        <v>0.0104</v>
      </c>
      <c r="F2558" s="1" t="n">
        <v>0.0654</v>
      </c>
    </row>
    <row r="2559" customFormat="false" ht="15" hidden="false" customHeight="false" outlineLevel="0" collapsed="false">
      <c r="A2559" s="1" t="s">
        <v>2594</v>
      </c>
      <c r="B2559" s="1" t="s">
        <v>21</v>
      </c>
      <c r="C2559" s="1" t="n">
        <v>1740000</v>
      </c>
      <c r="D2559" s="1" t="n">
        <v>61978.7</v>
      </c>
      <c r="E2559" s="1" t="n">
        <v>0.0291</v>
      </c>
      <c r="F2559" s="1" t="n">
        <v>0.0938</v>
      </c>
    </row>
    <row r="2560" customFormat="false" ht="15" hidden="false" customHeight="false" outlineLevel="0" collapsed="false">
      <c r="A2560" s="1" t="s">
        <v>2595</v>
      </c>
      <c r="B2560" s="1" t="s">
        <v>81</v>
      </c>
      <c r="C2560" s="1" t="n">
        <v>1650000</v>
      </c>
      <c r="D2560" s="1" t="n">
        <v>241344.1</v>
      </c>
      <c r="E2560" s="1" t="n">
        <v>0.0489</v>
      </c>
      <c r="F2560" s="1" t="n">
        <v>0.0759</v>
      </c>
    </row>
    <row r="2561" customFormat="false" ht="15" hidden="false" customHeight="false" outlineLevel="0" collapsed="false">
      <c r="A2561" s="1" t="s">
        <v>2596</v>
      </c>
      <c r="B2561" s="1" t="s">
        <v>53</v>
      </c>
      <c r="C2561" s="1" t="n">
        <v>1590000</v>
      </c>
      <c r="D2561" s="1" t="n">
        <v>3179.2</v>
      </c>
      <c r="E2561" s="1" t="n">
        <v>0.0094</v>
      </c>
      <c r="F2561" s="1" t="n">
        <v>0.0822</v>
      </c>
    </row>
    <row r="2562" customFormat="false" ht="15" hidden="false" customHeight="false" outlineLevel="0" collapsed="false">
      <c r="A2562" s="1" t="s">
        <v>2597</v>
      </c>
      <c r="B2562" s="1" t="s">
        <v>214</v>
      </c>
      <c r="C2562" s="1" t="n">
        <v>1390000</v>
      </c>
      <c r="D2562" s="1" t="n">
        <v>1302.9</v>
      </c>
      <c r="E2562" s="1" t="n">
        <v>0.0071</v>
      </c>
      <c r="F2562" s="1" t="n">
        <v>0.0654</v>
      </c>
    </row>
    <row r="2563" customFormat="false" ht="15" hidden="false" customHeight="false" outlineLevel="0" collapsed="false">
      <c r="A2563" s="1" t="s">
        <v>2598</v>
      </c>
      <c r="B2563" s="1" t="s">
        <v>41</v>
      </c>
      <c r="C2563" s="1" t="n">
        <v>1350000</v>
      </c>
      <c r="D2563" s="1" t="n">
        <v>52737.2</v>
      </c>
      <c r="E2563" s="1" t="n">
        <v>0.0252</v>
      </c>
      <c r="F2563" s="1" t="n">
        <v>0.051</v>
      </c>
    </row>
    <row r="2564" customFormat="false" ht="15" hidden="false" customHeight="false" outlineLevel="0" collapsed="false">
      <c r="A2564" s="1" t="s">
        <v>2599</v>
      </c>
      <c r="B2564" s="1" t="s">
        <v>35</v>
      </c>
      <c r="C2564" s="1" t="n">
        <v>1280000</v>
      </c>
      <c r="D2564" s="1" t="n">
        <v>1979</v>
      </c>
      <c r="E2564" s="1" t="n">
        <v>0.0226</v>
      </c>
      <c r="F2564" s="1" t="n">
        <v>0.0576</v>
      </c>
    </row>
    <row r="2565" customFormat="false" ht="15" hidden="false" customHeight="false" outlineLevel="0" collapsed="false">
      <c r="A2565" s="1" t="s">
        <v>2600</v>
      </c>
      <c r="B2565" s="1" t="s">
        <v>41</v>
      </c>
      <c r="C2565" s="1" t="n">
        <v>1240000</v>
      </c>
      <c r="D2565" s="1" t="n">
        <v>309.4</v>
      </c>
      <c r="E2565" s="1" t="n">
        <v>0.0105</v>
      </c>
      <c r="F2565" s="1" t="n">
        <v>0.2066</v>
      </c>
    </row>
    <row r="2566" customFormat="false" ht="15" hidden="false" customHeight="false" outlineLevel="0" collapsed="false">
      <c r="A2566" s="1" t="s">
        <v>2601</v>
      </c>
      <c r="B2566" s="1" t="s">
        <v>88</v>
      </c>
      <c r="C2566" s="1" t="n">
        <v>1350000</v>
      </c>
      <c r="D2566" s="1" t="n">
        <v>3004.3</v>
      </c>
      <c r="E2566" s="1" t="n">
        <v>0.039</v>
      </c>
      <c r="F2566" s="1" t="n">
        <v>0.0409</v>
      </c>
    </row>
    <row r="2567" customFormat="false" ht="15" hidden="false" customHeight="false" outlineLevel="0" collapsed="false">
      <c r="A2567" s="1" t="s">
        <v>2602</v>
      </c>
      <c r="B2567" s="1" t="s">
        <v>26</v>
      </c>
      <c r="C2567" s="1" t="n">
        <v>1440000</v>
      </c>
      <c r="D2567" s="1" t="n">
        <v>84890.1</v>
      </c>
      <c r="E2567" s="1" t="n">
        <v>0.0304</v>
      </c>
      <c r="F2567" s="1" t="n">
        <v>0.0409</v>
      </c>
    </row>
    <row r="2568" customFormat="false" ht="15" hidden="false" customHeight="false" outlineLevel="0" collapsed="false">
      <c r="A2568" s="1" t="s">
        <v>2603</v>
      </c>
      <c r="B2568" s="1" t="s">
        <v>50</v>
      </c>
      <c r="C2568" s="1" t="n">
        <v>1390000</v>
      </c>
      <c r="D2568" s="1" t="n">
        <v>125810</v>
      </c>
      <c r="E2568" s="1" t="n">
        <v>0.0089</v>
      </c>
      <c r="F2568" s="1" t="n">
        <v>0.0654</v>
      </c>
    </row>
    <row r="2569" customFormat="false" ht="15" hidden="false" customHeight="false" outlineLevel="0" collapsed="false">
      <c r="A2569" s="1" t="s">
        <v>2604</v>
      </c>
      <c r="B2569" s="1" t="s">
        <v>62</v>
      </c>
      <c r="C2569" s="1" t="n">
        <v>1190000</v>
      </c>
      <c r="D2569" s="1" t="n">
        <v>4515.3</v>
      </c>
      <c r="E2569" s="1" t="n">
        <v>0.0972</v>
      </c>
      <c r="F2569" s="1" t="n">
        <v>0.0759</v>
      </c>
    </row>
    <row r="2570" customFormat="false" ht="15" hidden="false" customHeight="false" outlineLevel="0" collapsed="false">
      <c r="A2570" s="1" t="s">
        <v>2605</v>
      </c>
      <c r="B2570" s="1" t="s">
        <v>92</v>
      </c>
      <c r="C2570" s="1" t="n">
        <v>1220000</v>
      </c>
      <c r="D2570" s="1" t="n">
        <v>59907</v>
      </c>
      <c r="E2570" s="1" t="n">
        <v>0.0205</v>
      </c>
      <c r="F2570" s="1" t="n">
        <v>0.0462</v>
      </c>
    </row>
    <row r="2571" customFormat="false" ht="15" hidden="false" customHeight="false" outlineLevel="0" collapsed="false">
      <c r="A2571" s="1" t="s">
        <v>2606</v>
      </c>
      <c r="B2571" s="1" t="s">
        <v>41</v>
      </c>
      <c r="C2571" s="1" t="n">
        <v>1150000</v>
      </c>
      <c r="D2571" s="1" t="n">
        <v>946725.5</v>
      </c>
      <c r="E2571" s="1" t="n">
        <v>0.0033</v>
      </c>
      <c r="F2571" s="1" t="n">
        <v>0.0822</v>
      </c>
    </row>
    <row r="2572" customFormat="false" ht="15" hidden="false" customHeight="false" outlineLevel="0" collapsed="false">
      <c r="A2572" s="1" t="s">
        <v>2607</v>
      </c>
      <c r="B2572" s="1" t="s">
        <v>88</v>
      </c>
      <c r="C2572" s="1" t="n">
        <v>1350000</v>
      </c>
      <c r="D2572" s="1" t="n">
        <v>489.3</v>
      </c>
      <c r="E2572" s="1" t="n">
        <v>0.0412</v>
      </c>
      <c r="F2572" s="1" t="n">
        <v>0.0938</v>
      </c>
    </row>
    <row r="2573" customFormat="false" ht="15" hidden="false" customHeight="false" outlineLevel="0" collapsed="false">
      <c r="A2573" s="1" t="s">
        <v>2608</v>
      </c>
      <c r="B2573" s="1" t="s">
        <v>41</v>
      </c>
      <c r="C2573" s="1" t="n">
        <v>1380000</v>
      </c>
      <c r="D2573" s="1" t="n">
        <v>87528.8</v>
      </c>
      <c r="E2573" s="1" t="n">
        <v>0.0315</v>
      </c>
      <c r="F2573" s="1" t="n">
        <v>0.0759</v>
      </c>
    </row>
    <row r="2574" customFormat="false" ht="15" hidden="false" customHeight="false" outlineLevel="0" collapsed="false">
      <c r="A2574" s="1" t="s">
        <v>2609</v>
      </c>
      <c r="B2574" s="1" t="s">
        <v>88</v>
      </c>
      <c r="C2574" s="1" t="n">
        <v>1240000</v>
      </c>
      <c r="D2574" s="1" t="n">
        <v>6293.2</v>
      </c>
      <c r="E2574" s="1" t="n">
        <v>0.035</v>
      </c>
      <c r="F2574" s="1" t="n">
        <v>0.0938</v>
      </c>
    </row>
    <row r="2575" customFormat="false" ht="15" hidden="false" customHeight="false" outlineLevel="0" collapsed="false">
      <c r="A2575" s="1" t="s">
        <v>2610</v>
      </c>
      <c r="B2575" s="1" t="s">
        <v>26</v>
      </c>
      <c r="C2575" s="1" t="n">
        <v>1310000</v>
      </c>
      <c r="D2575" s="1" t="n">
        <v>82694.5</v>
      </c>
      <c r="E2575" s="1" t="n">
        <v>0.0207</v>
      </c>
      <c r="F2575" s="1" t="n">
        <v>0.0854</v>
      </c>
    </row>
    <row r="2576" customFormat="false" ht="15" hidden="false" customHeight="false" outlineLevel="0" collapsed="false">
      <c r="A2576" s="1" t="s">
        <v>2611</v>
      </c>
      <c r="B2576" s="1" t="s">
        <v>24</v>
      </c>
      <c r="C2576" s="1" t="n">
        <v>1880000</v>
      </c>
      <c r="D2576" s="1" t="n">
        <v>7131.8</v>
      </c>
      <c r="E2576" s="1" t="n">
        <v>0.0128</v>
      </c>
      <c r="F2576" s="1" t="n">
        <v>0.0584</v>
      </c>
    </row>
    <row r="2577" customFormat="false" ht="15" hidden="false" customHeight="false" outlineLevel="0" collapsed="false">
      <c r="A2577" s="1" t="s">
        <v>2612</v>
      </c>
      <c r="B2577" s="1" t="s">
        <v>26</v>
      </c>
      <c r="C2577" s="1" t="n">
        <v>1230000</v>
      </c>
      <c r="D2577" s="1" t="n">
        <v>7438.2</v>
      </c>
      <c r="E2577" s="1" t="n">
        <v>0.0143</v>
      </c>
      <c r="F2577" s="1" t="n">
        <v>0.0689</v>
      </c>
    </row>
    <row r="2578" customFormat="false" ht="15" hidden="false" customHeight="false" outlineLevel="0" collapsed="false">
      <c r="A2578" s="1" t="s">
        <v>2613</v>
      </c>
      <c r="B2578" s="1" t="s">
        <v>81</v>
      </c>
      <c r="C2578" s="1" t="n">
        <v>1230000</v>
      </c>
      <c r="D2578" s="1" t="n">
        <v>25103.9</v>
      </c>
      <c r="E2578" s="1" t="n">
        <v>0.0395</v>
      </c>
      <c r="F2578" s="1" t="n">
        <v>0.0938</v>
      </c>
    </row>
    <row r="2579" customFormat="false" ht="15" hidden="false" customHeight="false" outlineLevel="0" collapsed="false">
      <c r="A2579" s="1" t="s">
        <v>2614</v>
      </c>
      <c r="B2579" s="1" t="s">
        <v>71</v>
      </c>
      <c r="C2579" s="1" t="n">
        <v>1130000</v>
      </c>
      <c r="D2579" s="1" t="n">
        <v>561.9</v>
      </c>
      <c r="E2579" s="1" t="n">
        <v>0.0635</v>
      </c>
      <c r="F2579" s="1" t="n">
        <v>0.0759</v>
      </c>
    </row>
    <row r="2580" customFormat="false" ht="15" hidden="false" customHeight="false" outlineLevel="0" collapsed="false">
      <c r="A2580" s="1" t="s">
        <v>2615</v>
      </c>
      <c r="B2580" s="1" t="s">
        <v>41</v>
      </c>
      <c r="C2580" s="1" t="n">
        <v>1180000</v>
      </c>
      <c r="D2580" s="1" t="n">
        <v>363.9</v>
      </c>
      <c r="E2580" s="1" t="n">
        <v>0.0109</v>
      </c>
      <c r="F2580" s="1" t="n">
        <v>0.1929</v>
      </c>
    </row>
    <row r="2581" customFormat="false" ht="15" hidden="false" customHeight="false" outlineLevel="0" collapsed="false">
      <c r="A2581" s="1" t="s">
        <v>2616</v>
      </c>
      <c r="B2581" s="1" t="s">
        <v>53</v>
      </c>
      <c r="C2581" s="1" t="n">
        <v>1430000</v>
      </c>
      <c r="D2581" s="1" t="n">
        <v>41997.1</v>
      </c>
      <c r="E2581" s="1" t="n">
        <v>0.0647</v>
      </c>
      <c r="F2581" s="1" t="n">
        <v>0.117</v>
      </c>
    </row>
    <row r="2582" customFormat="false" ht="15" hidden="false" customHeight="false" outlineLevel="0" collapsed="false">
      <c r="A2582" s="1" t="s">
        <v>2617</v>
      </c>
      <c r="B2582" s="1" t="s">
        <v>26</v>
      </c>
      <c r="C2582" s="1" t="n">
        <v>1300000</v>
      </c>
      <c r="D2582" s="1" t="n">
        <v>261706</v>
      </c>
      <c r="E2582" s="1" t="n">
        <v>0.028</v>
      </c>
      <c r="F2582" s="1" t="n">
        <v>0.0938</v>
      </c>
    </row>
    <row r="2583" customFormat="false" ht="15" hidden="false" customHeight="false" outlineLevel="0" collapsed="false">
      <c r="A2583" s="1" t="s">
        <v>2618</v>
      </c>
      <c r="B2583" s="1" t="s">
        <v>26</v>
      </c>
      <c r="C2583" s="1" t="n">
        <v>1620000</v>
      </c>
      <c r="D2583" s="1" t="n">
        <v>39086.9</v>
      </c>
      <c r="E2583" s="1" t="n">
        <v>0.0587</v>
      </c>
      <c r="F2583" s="1" t="n">
        <v>0.0938</v>
      </c>
    </row>
    <row r="2584" customFormat="false" ht="15" hidden="false" customHeight="false" outlineLevel="0" collapsed="false">
      <c r="A2584" s="1" t="s">
        <v>2619</v>
      </c>
      <c r="B2584" s="1" t="s">
        <v>26</v>
      </c>
      <c r="C2584" s="1" t="n">
        <v>1430000</v>
      </c>
      <c r="D2584" s="1" t="n">
        <v>179484.4</v>
      </c>
      <c r="E2584" s="1" t="n">
        <v>0.031</v>
      </c>
      <c r="F2584" s="1" t="n">
        <v>0.0432</v>
      </c>
    </row>
    <row r="2585" customFormat="false" ht="15" hidden="false" customHeight="false" outlineLevel="0" collapsed="false">
      <c r="A2585" s="1" t="s">
        <v>2620</v>
      </c>
      <c r="B2585" s="1" t="s">
        <v>30</v>
      </c>
      <c r="C2585" s="1" t="n">
        <v>1070000</v>
      </c>
      <c r="D2585" s="1" t="n">
        <v>338898.2</v>
      </c>
      <c r="E2585" s="1" t="n">
        <v>0.0347</v>
      </c>
      <c r="F2585" s="1" t="n">
        <v>0.0518</v>
      </c>
    </row>
    <row r="2586" customFormat="false" ht="15" hidden="false" customHeight="false" outlineLevel="0" collapsed="false">
      <c r="A2586" s="1" t="s">
        <v>2621</v>
      </c>
      <c r="B2586" s="1" t="s">
        <v>41</v>
      </c>
      <c r="C2586" s="1" t="n">
        <v>1480000</v>
      </c>
      <c r="D2586" s="1" t="n">
        <v>12947.5</v>
      </c>
      <c r="E2586" s="1" t="n">
        <v>0.0407</v>
      </c>
      <c r="F2586" s="1" t="n">
        <v>0.0938</v>
      </c>
    </row>
    <row r="2587" customFormat="false" ht="15" hidden="false" customHeight="false" outlineLevel="0" collapsed="false">
      <c r="A2587" s="1" t="s">
        <v>2622</v>
      </c>
      <c r="B2587" s="1" t="s">
        <v>287</v>
      </c>
      <c r="C2587" s="1" t="n">
        <v>1200000</v>
      </c>
      <c r="D2587" s="1" t="n">
        <v>83729.1</v>
      </c>
      <c r="E2587" s="1" t="n">
        <v>0.0163</v>
      </c>
      <c r="F2587" s="1" t="n">
        <v>0.0854</v>
      </c>
    </row>
    <row r="2588" customFormat="false" ht="15" hidden="false" customHeight="false" outlineLevel="0" collapsed="false">
      <c r="A2588" s="1" t="s">
        <v>2623</v>
      </c>
      <c r="B2588" s="1" t="s">
        <v>88</v>
      </c>
      <c r="C2588" s="1" t="n">
        <v>1250000</v>
      </c>
      <c r="D2588" s="1" t="n">
        <v>3361.8</v>
      </c>
      <c r="E2588" s="1" t="n">
        <v>0.0341</v>
      </c>
      <c r="F2588" s="1" t="n">
        <v>0.0951</v>
      </c>
    </row>
    <row r="2589" customFormat="false" ht="15" hidden="false" customHeight="false" outlineLevel="0" collapsed="false">
      <c r="A2589" s="1" t="s">
        <v>2624</v>
      </c>
      <c r="B2589" s="1" t="s">
        <v>92</v>
      </c>
      <c r="C2589" s="1" t="n">
        <v>1410000</v>
      </c>
      <c r="D2589" s="1" t="n">
        <v>40496.4</v>
      </c>
      <c r="E2589" s="1" t="n">
        <v>0.0299</v>
      </c>
      <c r="F2589" s="1" t="n">
        <v>0.0458</v>
      </c>
    </row>
    <row r="2590" customFormat="false" ht="15" hidden="false" customHeight="false" outlineLevel="0" collapsed="false">
      <c r="A2590" s="1" t="s">
        <v>2625</v>
      </c>
      <c r="B2590" s="1" t="s">
        <v>41</v>
      </c>
      <c r="C2590" s="1" t="n">
        <v>1630000</v>
      </c>
      <c r="D2590" s="1" t="n">
        <v>5853.5</v>
      </c>
      <c r="E2590" s="1" t="n">
        <v>0.0246</v>
      </c>
      <c r="F2590" s="1" t="n">
        <v>0.1169</v>
      </c>
    </row>
    <row r="2591" customFormat="false" ht="15" hidden="false" customHeight="false" outlineLevel="0" collapsed="false">
      <c r="A2591" s="1" t="s">
        <v>2626</v>
      </c>
      <c r="B2591" s="1" t="s">
        <v>74</v>
      </c>
      <c r="C2591" s="1" t="n">
        <v>1250000</v>
      </c>
      <c r="D2591" s="1" t="n">
        <v>22371</v>
      </c>
      <c r="E2591" s="1" t="n">
        <v>0.0429</v>
      </c>
      <c r="F2591" s="1" t="n">
        <v>0.0951</v>
      </c>
    </row>
    <row r="2592" customFormat="false" ht="15" hidden="false" customHeight="false" outlineLevel="0" collapsed="false">
      <c r="A2592" s="1" t="s">
        <v>2627</v>
      </c>
      <c r="B2592" s="1" t="s">
        <v>88</v>
      </c>
      <c r="C2592" s="1" t="n">
        <v>1360000</v>
      </c>
      <c r="D2592" s="1" t="n">
        <v>14635.1</v>
      </c>
      <c r="E2592" s="1" t="n">
        <v>0.0308</v>
      </c>
      <c r="F2592" s="1" t="n">
        <v>0.0759</v>
      </c>
    </row>
    <row r="2593" customFormat="false" ht="15" hidden="false" customHeight="false" outlineLevel="0" collapsed="false">
      <c r="A2593" s="1" t="s">
        <v>2628</v>
      </c>
      <c r="B2593" s="1" t="s">
        <v>53</v>
      </c>
      <c r="C2593" s="1" t="n">
        <v>1580000</v>
      </c>
      <c r="D2593" s="1" t="n">
        <v>4903.6</v>
      </c>
      <c r="E2593" s="1" t="n">
        <v>0.0631</v>
      </c>
      <c r="F2593" s="1" t="n">
        <v>0.0938</v>
      </c>
    </row>
    <row r="2594" customFormat="false" ht="15" hidden="false" customHeight="false" outlineLevel="0" collapsed="false">
      <c r="A2594" s="1" t="s">
        <v>2629</v>
      </c>
      <c r="B2594" s="1" t="s">
        <v>74</v>
      </c>
      <c r="C2594" s="1" t="n">
        <v>1260000</v>
      </c>
      <c r="D2594" s="1" t="n">
        <v>689</v>
      </c>
      <c r="E2594" s="1" t="n">
        <v>0.0211</v>
      </c>
      <c r="F2594" s="1" t="n">
        <v>0.0409</v>
      </c>
    </row>
    <row r="2595" customFormat="false" ht="15" hidden="false" customHeight="false" outlineLevel="0" collapsed="false">
      <c r="A2595" s="1" t="s">
        <v>2630</v>
      </c>
      <c r="B2595" s="1" t="s">
        <v>24</v>
      </c>
      <c r="C2595" s="1" t="n">
        <v>1330000</v>
      </c>
      <c r="D2595" s="1" t="n">
        <v>1124561</v>
      </c>
      <c r="E2595" s="1" t="n">
        <v>0.0213</v>
      </c>
      <c r="F2595" s="1" t="n">
        <v>0.0518</v>
      </c>
    </row>
    <row r="2596" customFormat="false" ht="15" hidden="false" customHeight="false" outlineLevel="0" collapsed="false">
      <c r="A2596" s="1" t="s">
        <v>2631</v>
      </c>
      <c r="B2596" s="1" t="s">
        <v>81</v>
      </c>
      <c r="C2596" s="1" t="n">
        <v>1120000</v>
      </c>
      <c r="D2596" s="1" t="n">
        <v>1041.5</v>
      </c>
      <c r="E2596" s="1" t="n">
        <v>0.0046</v>
      </c>
      <c r="F2596" s="1" t="n">
        <v>0.0822</v>
      </c>
    </row>
    <row r="2597" customFormat="false" ht="15" hidden="false" customHeight="false" outlineLevel="0" collapsed="false">
      <c r="A2597" s="1" t="s">
        <v>2632</v>
      </c>
      <c r="B2597" s="1" t="s">
        <v>24</v>
      </c>
      <c r="C2597" s="1" t="n">
        <v>2540000</v>
      </c>
      <c r="D2597" s="1" t="n">
        <v>1294268</v>
      </c>
      <c r="E2597" s="1" t="n">
        <v>0.0415</v>
      </c>
      <c r="F2597" s="1" t="n">
        <v>0.0409</v>
      </c>
    </row>
    <row r="2598" customFormat="false" ht="15" hidden="false" customHeight="false" outlineLevel="0" collapsed="false">
      <c r="A2598" s="1" t="s">
        <v>2633</v>
      </c>
      <c r="B2598" s="1" t="s">
        <v>287</v>
      </c>
      <c r="C2598" s="1" t="n">
        <v>1160000</v>
      </c>
      <c r="D2598" s="1" t="n">
        <v>130235.1</v>
      </c>
      <c r="E2598" s="1" t="n">
        <v>0.0172</v>
      </c>
      <c r="F2598" s="1" t="n">
        <v>0.0608</v>
      </c>
    </row>
    <row r="2599" customFormat="false" ht="15" hidden="false" customHeight="false" outlineLevel="0" collapsed="false">
      <c r="A2599" s="1" t="s">
        <v>2634</v>
      </c>
      <c r="B2599" s="1" t="s">
        <v>81</v>
      </c>
      <c r="C2599" s="1" t="n">
        <v>1270000</v>
      </c>
      <c r="D2599" s="1" t="n">
        <v>400312.7</v>
      </c>
      <c r="E2599" s="1" t="n">
        <v>0.0003</v>
      </c>
      <c r="F2599" s="1" t="n">
        <v>0.2997</v>
      </c>
    </row>
    <row r="2600" customFormat="false" ht="15" hidden="false" customHeight="false" outlineLevel="0" collapsed="false">
      <c r="A2600" s="1" t="s">
        <v>2635</v>
      </c>
      <c r="B2600" s="1" t="s">
        <v>24</v>
      </c>
      <c r="C2600" s="1" t="n">
        <v>1990000</v>
      </c>
      <c r="D2600" s="1" t="n">
        <v>35883</v>
      </c>
      <c r="E2600" s="1" t="n">
        <v>0.0313</v>
      </c>
      <c r="F2600" s="1" t="n">
        <v>0.0759</v>
      </c>
    </row>
    <row r="2601" customFormat="false" ht="15" hidden="false" customHeight="false" outlineLevel="0" collapsed="false">
      <c r="A2601" s="1" t="s">
        <v>2636</v>
      </c>
      <c r="B2601" s="1" t="s">
        <v>92</v>
      </c>
      <c r="C2601" s="1" t="n">
        <v>1420000</v>
      </c>
      <c r="D2601" s="1" t="n">
        <v>2872.6</v>
      </c>
      <c r="E2601" s="1" t="n">
        <v>0.022</v>
      </c>
      <c r="F2601" s="1" t="n">
        <v>0.0462</v>
      </c>
    </row>
    <row r="2602" customFormat="false" ht="15" hidden="false" customHeight="false" outlineLevel="0" collapsed="false">
      <c r="A2602" s="1" t="s">
        <v>2637</v>
      </c>
      <c r="B2602" s="1" t="s">
        <v>32</v>
      </c>
      <c r="C2602" s="1" t="n">
        <v>1300000</v>
      </c>
      <c r="D2602" s="1" t="n">
        <v>1062828.4</v>
      </c>
      <c r="E2602" s="1" t="n">
        <v>0.0144</v>
      </c>
      <c r="F2602" s="1" t="n">
        <v>0.0585</v>
      </c>
    </row>
    <row r="2603" customFormat="false" ht="15" hidden="false" customHeight="false" outlineLevel="0" collapsed="false">
      <c r="A2603" s="1" t="s">
        <v>2638</v>
      </c>
      <c r="B2603" s="1" t="s">
        <v>53</v>
      </c>
      <c r="C2603" s="1" t="n">
        <v>3450000</v>
      </c>
      <c r="D2603" s="1" t="n">
        <v>658552.8</v>
      </c>
      <c r="E2603" s="1" t="n">
        <v>0.0135</v>
      </c>
      <c r="F2603" s="1" t="n">
        <v>0.0466</v>
      </c>
    </row>
    <row r="2604" customFormat="false" ht="15" hidden="false" customHeight="false" outlineLevel="0" collapsed="false">
      <c r="A2604" s="1" t="s">
        <v>2639</v>
      </c>
      <c r="B2604" s="1" t="s">
        <v>88</v>
      </c>
      <c r="C2604" s="1" t="n">
        <v>1570000</v>
      </c>
      <c r="D2604" s="1" t="n">
        <v>4549.5</v>
      </c>
      <c r="F2604" s="1" t="n">
        <v>0.0759</v>
      </c>
    </row>
    <row r="2605" customFormat="false" ht="15" hidden="false" customHeight="false" outlineLevel="0" collapsed="false">
      <c r="A2605" s="1" t="s">
        <v>2640</v>
      </c>
      <c r="B2605" s="1" t="s">
        <v>88</v>
      </c>
      <c r="C2605" s="1" t="n">
        <v>2090000</v>
      </c>
      <c r="D2605" s="1" t="n">
        <v>197629.4</v>
      </c>
      <c r="E2605" s="1" t="n">
        <v>0.034</v>
      </c>
      <c r="F2605" s="1" t="n">
        <v>0.0759</v>
      </c>
    </row>
    <row r="2606" customFormat="false" ht="15" hidden="false" customHeight="false" outlineLevel="0" collapsed="false">
      <c r="A2606" s="1" t="s">
        <v>2641</v>
      </c>
      <c r="B2606" s="1" t="s">
        <v>26</v>
      </c>
      <c r="C2606" s="1" t="n">
        <v>1100000</v>
      </c>
      <c r="D2606" s="1" t="n">
        <v>465.2</v>
      </c>
      <c r="E2606" s="1" t="n">
        <v>0.0063</v>
      </c>
      <c r="F2606" s="1" t="n">
        <v>0.0822</v>
      </c>
    </row>
    <row r="2607" customFormat="false" ht="15" hidden="false" customHeight="false" outlineLevel="0" collapsed="false">
      <c r="A2607" s="1" t="s">
        <v>2642</v>
      </c>
      <c r="B2607" s="1" t="s">
        <v>24</v>
      </c>
      <c r="C2607" s="1" t="n">
        <v>1150000</v>
      </c>
      <c r="D2607" s="1" t="n">
        <v>619828</v>
      </c>
      <c r="E2607" s="1" t="n">
        <v>0.026</v>
      </c>
      <c r="F2607" s="1" t="n">
        <v>0.0518</v>
      </c>
    </row>
    <row r="2608" customFormat="false" ht="15" hidden="false" customHeight="false" outlineLevel="0" collapsed="false">
      <c r="A2608" s="1" t="s">
        <v>2643</v>
      </c>
      <c r="B2608" s="1" t="s">
        <v>26</v>
      </c>
      <c r="C2608" s="1" t="n">
        <v>1230000</v>
      </c>
      <c r="D2608" s="1" t="n">
        <v>5251.7</v>
      </c>
      <c r="E2608" s="1" t="n">
        <v>0.0082</v>
      </c>
      <c r="F2608" s="1" t="n">
        <v>0.0654</v>
      </c>
    </row>
    <row r="2609" customFormat="false" ht="15" hidden="false" customHeight="false" outlineLevel="0" collapsed="false">
      <c r="A2609" s="1" t="s">
        <v>2644</v>
      </c>
      <c r="B2609" s="1" t="s">
        <v>74</v>
      </c>
      <c r="C2609" s="1" t="n">
        <v>2190000</v>
      </c>
      <c r="D2609" s="1" t="n">
        <v>405985.7</v>
      </c>
      <c r="E2609" s="1" t="n">
        <v>0.077</v>
      </c>
      <c r="F2609" s="1" t="n">
        <v>0.0759</v>
      </c>
    </row>
    <row r="2610" customFormat="false" ht="15" hidden="false" customHeight="false" outlineLevel="0" collapsed="false">
      <c r="A2610" s="1" t="s">
        <v>2645</v>
      </c>
      <c r="B2610" s="1" t="s">
        <v>88</v>
      </c>
      <c r="C2610" s="1" t="n">
        <v>1160000</v>
      </c>
      <c r="D2610" s="1" t="n">
        <v>97.9</v>
      </c>
      <c r="E2610" s="1" t="n">
        <v>0.0058</v>
      </c>
      <c r="F2610" s="1" t="n">
        <v>0.4187</v>
      </c>
    </row>
    <row r="2611" customFormat="false" ht="15" hidden="false" customHeight="false" outlineLevel="0" collapsed="false">
      <c r="A2611" s="1" t="s">
        <v>2646</v>
      </c>
      <c r="B2611" s="1" t="s">
        <v>88</v>
      </c>
      <c r="C2611" s="1" t="n">
        <v>1280000</v>
      </c>
      <c r="D2611" s="1" t="n">
        <v>14179.3</v>
      </c>
      <c r="E2611" s="1" t="n">
        <v>0.0407</v>
      </c>
      <c r="F2611" s="1" t="n">
        <v>0.0759</v>
      </c>
    </row>
    <row r="2612" customFormat="false" ht="15" hidden="false" customHeight="false" outlineLevel="0" collapsed="false">
      <c r="A2612" s="1" t="s">
        <v>2647</v>
      </c>
      <c r="B2612" s="1" t="s">
        <v>26</v>
      </c>
      <c r="C2612" s="1" t="n">
        <v>1410000</v>
      </c>
      <c r="D2612" s="1" t="n">
        <v>76129.4</v>
      </c>
      <c r="E2612" s="1" t="n">
        <v>0.0515</v>
      </c>
      <c r="F2612" s="1" t="n">
        <v>0.0759</v>
      </c>
    </row>
    <row r="2613" customFormat="false" ht="15" hidden="false" customHeight="false" outlineLevel="0" collapsed="false">
      <c r="A2613" s="1" t="s">
        <v>2648</v>
      </c>
      <c r="B2613" s="1" t="s">
        <v>92</v>
      </c>
      <c r="C2613" s="1" t="n">
        <v>1490000</v>
      </c>
      <c r="D2613" s="1" t="n">
        <v>218190.9</v>
      </c>
      <c r="E2613" s="1" t="n">
        <v>0.0229</v>
      </c>
      <c r="F2613" s="1" t="n">
        <v>0.051</v>
      </c>
    </row>
    <row r="2614" customFormat="false" ht="15" hidden="false" customHeight="false" outlineLevel="0" collapsed="false">
      <c r="A2614" s="1" t="s">
        <v>2649</v>
      </c>
      <c r="B2614" s="1" t="s">
        <v>74</v>
      </c>
      <c r="C2614" s="1" t="n">
        <v>2630000</v>
      </c>
      <c r="D2614" s="1" t="n">
        <v>5698.3</v>
      </c>
      <c r="E2614" s="1" t="n">
        <v>0.0145</v>
      </c>
      <c r="F2614" s="1" t="n">
        <v>0.0757</v>
      </c>
    </row>
    <row r="2615" customFormat="false" ht="15" hidden="false" customHeight="false" outlineLevel="0" collapsed="false">
      <c r="A2615" s="1" t="s">
        <v>2650</v>
      </c>
      <c r="B2615" s="1" t="s">
        <v>214</v>
      </c>
      <c r="C2615" s="1" t="n">
        <v>1160000</v>
      </c>
      <c r="D2615" s="1" t="n">
        <v>1929.6</v>
      </c>
      <c r="E2615" s="1" t="n">
        <v>0.0064</v>
      </c>
      <c r="F2615" s="1" t="n">
        <v>0.0654</v>
      </c>
    </row>
    <row r="2616" customFormat="false" ht="15" hidden="false" customHeight="false" outlineLevel="0" collapsed="false">
      <c r="A2616" s="1" t="s">
        <v>2651</v>
      </c>
      <c r="B2616" s="1" t="s">
        <v>26</v>
      </c>
      <c r="C2616" s="1" t="n">
        <v>1190000</v>
      </c>
      <c r="D2616" s="1" t="n">
        <v>17248</v>
      </c>
      <c r="E2616" s="1" t="n">
        <v>0.031</v>
      </c>
      <c r="F2616" s="1" t="n">
        <v>0.0432</v>
      </c>
    </row>
    <row r="2617" customFormat="false" ht="15" hidden="false" customHeight="false" outlineLevel="0" collapsed="false">
      <c r="A2617" s="1" t="s">
        <v>2652</v>
      </c>
      <c r="B2617" s="1" t="s">
        <v>88</v>
      </c>
      <c r="C2617" s="1" t="n">
        <v>1380000</v>
      </c>
      <c r="D2617" s="1" t="n">
        <v>6660.3</v>
      </c>
      <c r="E2617" s="1" t="n">
        <v>0.0493</v>
      </c>
      <c r="F2617" s="1" t="n">
        <v>0.0938</v>
      </c>
    </row>
    <row r="2618" customFormat="false" ht="15" hidden="false" customHeight="false" outlineLevel="0" collapsed="false">
      <c r="A2618" s="1" t="s">
        <v>2653</v>
      </c>
      <c r="B2618" s="1" t="s">
        <v>74</v>
      </c>
      <c r="C2618" s="1" t="n">
        <v>1170000</v>
      </c>
      <c r="D2618" s="1" t="n">
        <v>42628.4</v>
      </c>
      <c r="E2618" s="1" t="n">
        <v>0.0522</v>
      </c>
      <c r="F2618" s="1" t="n">
        <v>0.0759</v>
      </c>
    </row>
    <row r="2619" customFormat="false" ht="15" hidden="false" customHeight="false" outlineLevel="0" collapsed="false">
      <c r="A2619" s="1" t="s">
        <v>2654</v>
      </c>
      <c r="B2619" s="1" t="s">
        <v>30</v>
      </c>
      <c r="C2619" s="1" t="n">
        <v>1140000</v>
      </c>
      <c r="D2619" s="1" t="n">
        <v>48395.1</v>
      </c>
      <c r="E2619" s="1" t="n">
        <v>0.0262</v>
      </c>
      <c r="F2619" s="1" t="n">
        <v>0.0759</v>
      </c>
    </row>
    <row r="2620" customFormat="false" ht="15" hidden="false" customHeight="false" outlineLevel="0" collapsed="false">
      <c r="A2620" s="1" t="s">
        <v>2655</v>
      </c>
      <c r="B2620" s="1" t="s">
        <v>26</v>
      </c>
      <c r="C2620" s="1" t="n">
        <v>2270000</v>
      </c>
      <c r="D2620" s="1" t="n">
        <v>764148.1</v>
      </c>
      <c r="E2620" s="1" t="n">
        <v>0.014</v>
      </c>
      <c r="F2620" s="1" t="n">
        <v>0.052</v>
      </c>
    </row>
    <row r="2621" customFormat="false" ht="15" hidden="false" customHeight="false" outlineLevel="0" collapsed="false">
      <c r="A2621" s="1" t="s">
        <v>2656</v>
      </c>
      <c r="B2621" s="1" t="s">
        <v>287</v>
      </c>
      <c r="C2621" s="1" t="n">
        <v>1780000</v>
      </c>
      <c r="D2621" s="1" t="n">
        <v>139222.3</v>
      </c>
      <c r="E2621" s="1" t="n">
        <v>0.0211</v>
      </c>
      <c r="F2621" s="1" t="n">
        <v>0.051</v>
      </c>
    </row>
    <row r="2622" customFormat="false" ht="15" hidden="false" customHeight="false" outlineLevel="0" collapsed="false">
      <c r="A2622" s="1" t="s">
        <v>2657</v>
      </c>
      <c r="B2622" s="1" t="s">
        <v>92</v>
      </c>
      <c r="C2622" s="1" t="n">
        <v>2000000</v>
      </c>
      <c r="D2622" s="1" t="n">
        <v>352699.2</v>
      </c>
      <c r="E2622" s="1" t="n">
        <v>0.0553</v>
      </c>
      <c r="F2622" s="1" t="n">
        <v>0.0409</v>
      </c>
    </row>
    <row r="2623" customFormat="false" ht="15" hidden="false" customHeight="false" outlineLevel="0" collapsed="false">
      <c r="A2623" s="1" t="s">
        <v>2658</v>
      </c>
      <c r="B2623" s="1" t="s">
        <v>74</v>
      </c>
      <c r="C2623" s="1" t="n">
        <v>2070000</v>
      </c>
      <c r="D2623" s="1" t="n">
        <v>2653.2</v>
      </c>
      <c r="E2623" s="1" t="n">
        <v>0.0573</v>
      </c>
      <c r="F2623" s="1" t="n">
        <v>0.1043</v>
      </c>
    </row>
    <row r="2624" customFormat="false" ht="15" hidden="false" customHeight="false" outlineLevel="0" collapsed="false">
      <c r="A2624" s="1" t="s">
        <v>2659</v>
      </c>
      <c r="B2624" s="1" t="s">
        <v>26</v>
      </c>
      <c r="C2624" s="1" t="n">
        <v>1590000</v>
      </c>
      <c r="D2624" s="1" t="n">
        <v>698389.5</v>
      </c>
      <c r="E2624" s="1" t="n">
        <v>0.0296</v>
      </c>
      <c r="F2624" s="1" t="n">
        <v>0.0518</v>
      </c>
    </row>
    <row r="2625" customFormat="false" ht="15" hidden="false" customHeight="false" outlineLevel="0" collapsed="false">
      <c r="A2625" s="1" t="s">
        <v>2660</v>
      </c>
      <c r="B2625" s="1" t="s">
        <v>53</v>
      </c>
      <c r="C2625" s="1" t="n">
        <v>2290000</v>
      </c>
      <c r="D2625" s="1" t="n">
        <v>273750.1</v>
      </c>
      <c r="E2625" s="1" t="n">
        <v>0.0183</v>
      </c>
      <c r="F2625" s="1" t="n">
        <v>0.0488</v>
      </c>
    </row>
    <row r="2626" customFormat="false" ht="15" hidden="false" customHeight="false" outlineLevel="0" collapsed="false">
      <c r="A2626" s="1" t="s">
        <v>2661</v>
      </c>
      <c r="B2626" s="1" t="s">
        <v>26</v>
      </c>
      <c r="C2626" s="1" t="n">
        <v>1290000</v>
      </c>
      <c r="D2626" s="1" t="n">
        <v>78007.5</v>
      </c>
      <c r="E2626" s="1" t="n">
        <v>0.0089</v>
      </c>
      <c r="F2626" s="1" t="n">
        <v>0.0654</v>
      </c>
    </row>
    <row r="2627" customFormat="false" ht="15" hidden="false" customHeight="false" outlineLevel="0" collapsed="false">
      <c r="A2627" s="1" t="s">
        <v>2662</v>
      </c>
      <c r="B2627" s="1" t="s">
        <v>26</v>
      </c>
      <c r="C2627" s="1" t="n">
        <v>1230000</v>
      </c>
      <c r="D2627" s="1" t="n">
        <v>48760.5</v>
      </c>
      <c r="E2627" s="1" t="n">
        <v>0.0317</v>
      </c>
      <c r="F2627" s="1" t="n">
        <v>0.0409</v>
      </c>
    </row>
    <row r="2628" customFormat="false" ht="15" hidden="false" customHeight="false" outlineLevel="0" collapsed="false">
      <c r="A2628" s="1" t="s">
        <v>2663</v>
      </c>
      <c r="B2628" s="1" t="s">
        <v>21</v>
      </c>
      <c r="C2628" s="1" t="n">
        <v>1070000</v>
      </c>
      <c r="D2628" s="1" t="n">
        <v>63.1</v>
      </c>
      <c r="E2628" s="1" t="n">
        <v>0.0015</v>
      </c>
      <c r="F2628" s="1" t="n">
        <v>0.2688</v>
      </c>
    </row>
    <row r="2629" customFormat="false" ht="15" hidden="false" customHeight="false" outlineLevel="0" collapsed="false">
      <c r="A2629" s="1" t="s">
        <v>2664</v>
      </c>
      <c r="B2629" s="1" t="s">
        <v>24</v>
      </c>
      <c r="C2629" s="1" t="n">
        <v>1280000</v>
      </c>
      <c r="D2629" s="1" t="n">
        <v>93123</v>
      </c>
      <c r="E2629" s="1" t="n">
        <v>0.0292</v>
      </c>
      <c r="F2629" s="1" t="n">
        <v>0.0759</v>
      </c>
    </row>
    <row r="2630" customFormat="false" ht="15" hidden="false" customHeight="false" outlineLevel="0" collapsed="false">
      <c r="A2630" s="1" t="s">
        <v>2665</v>
      </c>
      <c r="B2630" s="1" t="s">
        <v>26</v>
      </c>
      <c r="C2630" s="1" t="n">
        <v>3000000</v>
      </c>
      <c r="D2630" s="1" t="n">
        <v>11664.2</v>
      </c>
      <c r="E2630" s="1" t="n">
        <v>0.0115</v>
      </c>
      <c r="F2630" s="1" t="n">
        <v>0.0726</v>
      </c>
    </row>
    <row r="2631" customFormat="false" ht="15" hidden="false" customHeight="false" outlineLevel="0" collapsed="false">
      <c r="A2631" s="1" t="s">
        <v>2666</v>
      </c>
      <c r="B2631" s="1" t="s">
        <v>24</v>
      </c>
      <c r="C2631" s="1" t="n">
        <v>1790000</v>
      </c>
      <c r="D2631" s="1" t="n">
        <v>115158.7</v>
      </c>
      <c r="E2631" s="1" t="n">
        <v>0.021</v>
      </c>
      <c r="F2631" s="1" t="n">
        <v>0.0518</v>
      </c>
    </row>
    <row r="2632" customFormat="false" ht="15" hidden="false" customHeight="false" outlineLevel="0" collapsed="false">
      <c r="A2632" s="1" t="s">
        <v>2667</v>
      </c>
      <c r="B2632" s="1" t="s">
        <v>32</v>
      </c>
      <c r="C2632" s="1" t="n">
        <v>1410000</v>
      </c>
      <c r="D2632" s="1" t="n">
        <v>81181.6</v>
      </c>
      <c r="E2632" s="1" t="n">
        <v>0.0043</v>
      </c>
      <c r="F2632" s="1" t="n">
        <v>0.0811</v>
      </c>
    </row>
    <row r="2633" customFormat="false" ht="15" hidden="false" customHeight="false" outlineLevel="0" collapsed="false">
      <c r="A2633" s="1" t="s">
        <v>2668</v>
      </c>
      <c r="B2633" s="1" t="s">
        <v>26</v>
      </c>
      <c r="C2633" s="1" t="n">
        <v>1070000</v>
      </c>
      <c r="D2633" s="1" t="n">
        <v>2939.4</v>
      </c>
      <c r="E2633" s="1" t="n">
        <v>0.0114</v>
      </c>
      <c r="F2633" s="1" t="n">
        <v>0.0915</v>
      </c>
    </row>
    <row r="2634" customFormat="false" ht="15" hidden="false" customHeight="false" outlineLevel="0" collapsed="false">
      <c r="A2634" s="1" t="s">
        <v>2669</v>
      </c>
      <c r="B2634" s="1" t="s">
        <v>81</v>
      </c>
      <c r="C2634" s="1" t="n">
        <v>1340000</v>
      </c>
      <c r="D2634" s="1" t="n">
        <v>457896.3</v>
      </c>
      <c r="E2634" s="1" t="n">
        <v>0.0048</v>
      </c>
      <c r="F2634" s="1" t="n">
        <v>0.0822</v>
      </c>
    </row>
    <row r="2635" customFormat="false" ht="15" hidden="false" customHeight="false" outlineLevel="0" collapsed="false">
      <c r="A2635" s="1" t="s">
        <v>2670</v>
      </c>
      <c r="B2635" s="1" t="s">
        <v>88</v>
      </c>
      <c r="C2635" s="1" t="n">
        <v>1270000</v>
      </c>
      <c r="D2635" s="1" t="n">
        <v>1078.6</v>
      </c>
      <c r="E2635" s="1" t="n">
        <v>0.0143</v>
      </c>
      <c r="F2635" s="1" t="n">
        <v>0.0917</v>
      </c>
    </row>
    <row r="2636" customFormat="false" ht="15" hidden="false" customHeight="false" outlineLevel="0" collapsed="false">
      <c r="A2636" s="1" t="s">
        <v>2671</v>
      </c>
      <c r="B2636" s="1" t="s">
        <v>30</v>
      </c>
      <c r="C2636" s="1" t="n">
        <v>2770000</v>
      </c>
      <c r="D2636" s="1" t="n">
        <v>2343254.1</v>
      </c>
      <c r="E2636" s="1" t="n">
        <v>0.0184</v>
      </c>
      <c r="F2636" s="1" t="n">
        <v>0.0462</v>
      </c>
    </row>
    <row r="2637" customFormat="false" ht="15" hidden="false" customHeight="false" outlineLevel="0" collapsed="false">
      <c r="A2637" s="1" t="s">
        <v>2672</v>
      </c>
      <c r="B2637" s="1" t="s">
        <v>195</v>
      </c>
      <c r="C2637" s="1" t="n">
        <v>1390000</v>
      </c>
      <c r="D2637" s="1" t="n">
        <v>10572.1</v>
      </c>
      <c r="E2637" s="1" t="n">
        <v>0.0516</v>
      </c>
      <c r="F2637" s="1" t="n">
        <v>0.0938</v>
      </c>
    </row>
    <row r="2638" customFormat="false" ht="15" hidden="false" customHeight="false" outlineLevel="0" collapsed="false">
      <c r="A2638" s="1" t="s">
        <v>2673</v>
      </c>
      <c r="B2638" s="1" t="s">
        <v>32</v>
      </c>
      <c r="C2638" s="1" t="n">
        <v>1190000</v>
      </c>
      <c r="D2638" s="1" t="n">
        <v>911.6</v>
      </c>
      <c r="E2638" s="1" t="n">
        <v>0.0424</v>
      </c>
      <c r="F2638" s="1" t="n">
        <v>0.0759</v>
      </c>
    </row>
    <row r="2639" customFormat="false" ht="15" hidden="false" customHeight="false" outlineLevel="0" collapsed="false">
      <c r="A2639" s="1" t="s">
        <v>2674</v>
      </c>
      <c r="B2639" s="1" t="s">
        <v>30</v>
      </c>
      <c r="C2639" s="1" t="n">
        <v>1140000</v>
      </c>
      <c r="D2639" s="1" t="n">
        <v>21835.2</v>
      </c>
      <c r="E2639" s="1" t="n">
        <v>0.0219</v>
      </c>
      <c r="F2639" s="1" t="n">
        <v>0.0518</v>
      </c>
    </row>
    <row r="2640" customFormat="false" ht="15" hidden="false" customHeight="false" outlineLevel="0" collapsed="false">
      <c r="A2640" s="1" t="s">
        <v>2675</v>
      </c>
      <c r="B2640" s="1" t="s">
        <v>88</v>
      </c>
      <c r="C2640" s="1" t="n">
        <v>1860000</v>
      </c>
      <c r="D2640" s="1" t="n">
        <v>2336.8</v>
      </c>
      <c r="E2640" s="1" t="n">
        <v>0.1164</v>
      </c>
      <c r="F2640" s="1" t="n">
        <v>0.0938</v>
      </c>
    </row>
    <row r="2641" customFormat="false" ht="15" hidden="false" customHeight="false" outlineLevel="0" collapsed="false">
      <c r="A2641" s="1" t="s">
        <v>2676</v>
      </c>
      <c r="B2641" s="1" t="s">
        <v>287</v>
      </c>
      <c r="C2641" s="1" t="n">
        <v>1150000</v>
      </c>
      <c r="D2641" s="1" t="n">
        <v>84318.5</v>
      </c>
      <c r="E2641" s="1" t="n">
        <v>0.0157</v>
      </c>
      <c r="F2641" s="1" t="n">
        <v>0.0585</v>
      </c>
    </row>
    <row r="2642" customFormat="false" ht="15" hidden="false" customHeight="false" outlineLevel="0" collapsed="false">
      <c r="A2642" s="1" t="s">
        <v>2677</v>
      </c>
      <c r="B2642" s="1" t="s">
        <v>26</v>
      </c>
      <c r="C2642" s="1" t="n">
        <v>1190000</v>
      </c>
      <c r="D2642" s="1" t="n">
        <v>41587.9</v>
      </c>
      <c r="E2642" s="1" t="n">
        <v>0.0516</v>
      </c>
      <c r="F2642" s="1" t="n">
        <v>0.0409</v>
      </c>
    </row>
    <row r="2643" customFormat="false" ht="15" hidden="false" customHeight="false" outlineLevel="0" collapsed="false">
      <c r="A2643" s="1" t="s">
        <v>2678</v>
      </c>
      <c r="B2643" s="1" t="s">
        <v>53</v>
      </c>
      <c r="C2643" s="1" t="n">
        <v>1110000</v>
      </c>
      <c r="D2643" s="1" t="n">
        <v>37084.4</v>
      </c>
      <c r="E2643" s="1" t="n">
        <v>0.0531</v>
      </c>
      <c r="F2643" s="1" t="n">
        <v>0.0759</v>
      </c>
    </row>
    <row r="2644" customFormat="false" ht="15" hidden="false" customHeight="false" outlineLevel="0" collapsed="false">
      <c r="A2644" s="1" t="s">
        <v>2679</v>
      </c>
      <c r="B2644" s="1" t="s">
        <v>214</v>
      </c>
      <c r="C2644" s="1" t="n">
        <v>1170000</v>
      </c>
      <c r="D2644" s="1" t="n">
        <v>2360.7</v>
      </c>
      <c r="E2644" s="1" t="n">
        <v>0.0185</v>
      </c>
      <c r="F2644" s="1" t="n">
        <v>0.0432</v>
      </c>
    </row>
    <row r="2645" customFormat="false" ht="15" hidden="false" customHeight="false" outlineLevel="0" collapsed="false">
      <c r="A2645" s="1" t="s">
        <v>2680</v>
      </c>
      <c r="B2645" s="1" t="s">
        <v>26</v>
      </c>
      <c r="C2645" s="1" t="n">
        <v>1210000</v>
      </c>
      <c r="D2645" s="1" t="n">
        <v>245852.3</v>
      </c>
      <c r="E2645" s="1" t="n">
        <v>0.0435</v>
      </c>
      <c r="F2645" s="1" t="n">
        <v>0.0759</v>
      </c>
    </row>
    <row r="2646" customFormat="false" ht="15" hidden="false" customHeight="false" outlineLevel="0" collapsed="false">
      <c r="A2646" s="1" t="s">
        <v>2681</v>
      </c>
      <c r="B2646" s="1" t="s">
        <v>41</v>
      </c>
      <c r="C2646" s="1" t="n">
        <v>1150000</v>
      </c>
      <c r="D2646" s="1" t="n">
        <v>3857.7</v>
      </c>
      <c r="E2646" s="1" t="n">
        <v>0.0263</v>
      </c>
      <c r="F2646" s="1" t="n">
        <v>0.0432</v>
      </c>
    </row>
    <row r="2647" customFormat="false" ht="15" hidden="false" customHeight="false" outlineLevel="0" collapsed="false">
      <c r="A2647" s="1" t="s">
        <v>2682</v>
      </c>
      <c r="B2647" s="1" t="s">
        <v>30</v>
      </c>
      <c r="C2647" s="1" t="n">
        <v>1100000</v>
      </c>
      <c r="D2647" s="1" t="n">
        <v>1231749.9</v>
      </c>
      <c r="E2647" s="1" t="n">
        <v>0.0032</v>
      </c>
      <c r="F2647" s="1" t="n">
        <v>0.0822</v>
      </c>
    </row>
    <row r="2648" customFormat="false" ht="15" hidden="false" customHeight="false" outlineLevel="0" collapsed="false">
      <c r="A2648" s="1" t="s">
        <v>2683</v>
      </c>
      <c r="B2648" s="1" t="s">
        <v>88</v>
      </c>
      <c r="C2648" s="1" t="n">
        <v>1160000</v>
      </c>
      <c r="D2648" s="1" t="n">
        <v>436.1</v>
      </c>
      <c r="E2648" s="1" t="n">
        <v>0.2034</v>
      </c>
      <c r="F2648" s="1" t="n">
        <v>0.355</v>
      </c>
    </row>
    <row r="2649" customFormat="false" ht="15" hidden="false" customHeight="false" outlineLevel="0" collapsed="false">
      <c r="A2649" s="1" t="s">
        <v>2684</v>
      </c>
      <c r="B2649" s="1" t="s">
        <v>26</v>
      </c>
      <c r="C2649" s="1" t="n">
        <v>1270000</v>
      </c>
      <c r="D2649" s="1" t="n">
        <v>3677.8</v>
      </c>
      <c r="E2649" s="1" t="n">
        <v>0.1161</v>
      </c>
      <c r="F2649" s="1" t="n">
        <v>0.0938</v>
      </c>
    </row>
    <row r="2650" customFormat="false" ht="15" hidden="false" customHeight="false" outlineLevel="0" collapsed="false">
      <c r="A2650" s="1" t="s">
        <v>2685</v>
      </c>
      <c r="B2650" s="1" t="s">
        <v>26</v>
      </c>
      <c r="C2650" s="1" t="n">
        <v>1480000</v>
      </c>
      <c r="D2650" s="1" t="n">
        <v>2805047.2</v>
      </c>
      <c r="E2650" s="1" t="n">
        <v>0.0401</v>
      </c>
      <c r="F2650" s="1" t="n">
        <v>0.0518</v>
      </c>
    </row>
    <row r="2651" customFormat="false" ht="15" hidden="false" customHeight="false" outlineLevel="0" collapsed="false">
      <c r="A2651" s="1" t="s">
        <v>2686</v>
      </c>
      <c r="B2651" s="1" t="s">
        <v>50</v>
      </c>
      <c r="C2651" s="1" t="n">
        <v>1420000</v>
      </c>
      <c r="D2651" s="1" t="n">
        <v>551246.4</v>
      </c>
      <c r="E2651" s="1" t="n">
        <v>0.0108</v>
      </c>
      <c r="F2651" s="1" t="n">
        <v>0.0822</v>
      </c>
    </row>
    <row r="2652" customFormat="false" ht="15" hidden="false" customHeight="false" outlineLevel="0" collapsed="false">
      <c r="A2652" s="1" t="s">
        <v>2687</v>
      </c>
      <c r="B2652" s="1" t="s">
        <v>26</v>
      </c>
      <c r="C2652" s="1" t="n">
        <v>1320000</v>
      </c>
      <c r="D2652" s="1" t="n">
        <v>53731.3</v>
      </c>
      <c r="E2652" s="1" t="n">
        <v>0.0421</v>
      </c>
      <c r="F2652" s="1" t="n">
        <v>0.0951</v>
      </c>
    </row>
    <row r="2653" customFormat="false" ht="15" hidden="false" customHeight="false" outlineLevel="0" collapsed="false">
      <c r="A2653" s="1" t="s">
        <v>2688</v>
      </c>
      <c r="B2653" s="1" t="s">
        <v>26</v>
      </c>
      <c r="C2653" s="1" t="n">
        <v>1110000</v>
      </c>
      <c r="D2653" s="1" t="n">
        <v>28685.8</v>
      </c>
      <c r="E2653" s="1" t="n">
        <v>0.0238</v>
      </c>
      <c r="F2653" s="1" t="n">
        <v>0.0518</v>
      </c>
    </row>
    <row r="2654" customFormat="false" ht="15" hidden="false" customHeight="false" outlineLevel="0" collapsed="false">
      <c r="A2654" s="1" t="s">
        <v>2689</v>
      </c>
      <c r="B2654" s="1" t="s">
        <v>214</v>
      </c>
      <c r="C2654" s="1" t="n">
        <v>1530000</v>
      </c>
      <c r="D2654" s="1" t="n">
        <v>40196.9</v>
      </c>
      <c r="E2654" s="1" t="n">
        <v>0.034</v>
      </c>
      <c r="F2654" s="1" t="n">
        <v>0.0759</v>
      </c>
    </row>
    <row r="2655" customFormat="false" ht="15" hidden="false" customHeight="false" outlineLevel="0" collapsed="false">
      <c r="A2655" s="1" t="s">
        <v>2690</v>
      </c>
      <c r="B2655" s="1" t="s">
        <v>53</v>
      </c>
      <c r="C2655" s="1" t="n">
        <v>1490000</v>
      </c>
      <c r="D2655" s="1" t="n">
        <v>17033.4</v>
      </c>
      <c r="E2655" s="1" t="n">
        <v>0.0391</v>
      </c>
      <c r="F2655" s="1" t="n">
        <v>0.0938</v>
      </c>
    </row>
    <row r="2656" customFormat="false" ht="15" hidden="false" customHeight="false" outlineLevel="0" collapsed="false">
      <c r="A2656" s="1" t="s">
        <v>2691</v>
      </c>
      <c r="B2656" s="1" t="s">
        <v>21</v>
      </c>
      <c r="C2656" s="1" t="n">
        <v>2880000</v>
      </c>
      <c r="D2656" s="1" t="n">
        <v>10944.6</v>
      </c>
      <c r="E2656" s="1" t="n">
        <v>0.0037</v>
      </c>
      <c r="F2656" s="1" t="n">
        <v>0.0811</v>
      </c>
    </row>
    <row r="2657" customFormat="false" ht="15" hidden="false" customHeight="false" outlineLevel="0" collapsed="false">
      <c r="A2657" s="1" t="s">
        <v>2692</v>
      </c>
      <c r="B2657" s="1" t="s">
        <v>26</v>
      </c>
      <c r="C2657" s="1" t="n">
        <v>3420000</v>
      </c>
      <c r="D2657" s="1" t="n">
        <v>132323.5</v>
      </c>
      <c r="E2657" s="1" t="n">
        <v>0.0098</v>
      </c>
      <c r="F2657" s="1" t="n">
        <v>0.0654</v>
      </c>
    </row>
    <row r="2658" customFormat="false" ht="15" hidden="false" customHeight="false" outlineLevel="0" collapsed="false">
      <c r="A2658" s="1" t="s">
        <v>2693</v>
      </c>
      <c r="B2658" s="1" t="s">
        <v>41</v>
      </c>
      <c r="C2658" s="1" t="n">
        <v>1750000</v>
      </c>
      <c r="D2658" s="1" t="n">
        <v>279.4</v>
      </c>
      <c r="E2658" s="1" t="n">
        <v>0.0395</v>
      </c>
      <c r="F2658" s="1" t="n">
        <v>0.0938</v>
      </c>
    </row>
    <row r="2659" customFormat="false" ht="15" hidden="false" customHeight="false" outlineLevel="0" collapsed="false">
      <c r="A2659" s="1" t="s">
        <v>2694</v>
      </c>
      <c r="B2659" s="1" t="s">
        <v>53</v>
      </c>
      <c r="C2659" s="1" t="n">
        <v>2640000</v>
      </c>
      <c r="D2659" s="1" t="n">
        <v>298822.7</v>
      </c>
      <c r="E2659" s="1" t="n">
        <v>0.0387</v>
      </c>
      <c r="F2659" s="1" t="n">
        <v>0.0759</v>
      </c>
    </row>
    <row r="2660" customFormat="false" ht="15" hidden="false" customHeight="false" outlineLevel="0" collapsed="false">
      <c r="A2660" s="1" t="s">
        <v>2695</v>
      </c>
      <c r="B2660" s="1" t="s">
        <v>24</v>
      </c>
      <c r="C2660" s="1" t="n">
        <v>1250000</v>
      </c>
      <c r="D2660" s="1" t="n">
        <v>1138.9</v>
      </c>
      <c r="E2660" s="1" t="n">
        <v>0.0293</v>
      </c>
      <c r="F2660" s="1" t="n">
        <v>0.1308</v>
      </c>
    </row>
    <row r="2661" customFormat="false" ht="15" hidden="false" customHeight="false" outlineLevel="0" collapsed="false">
      <c r="A2661" s="1" t="s">
        <v>2696</v>
      </c>
      <c r="B2661" s="1" t="s">
        <v>50</v>
      </c>
      <c r="C2661" s="1" t="n">
        <v>1100000</v>
      </c>
      <c r="D2661" s="1" t="n">
        <v>29839.3</v>
      </c>
      <c r="E2661" s="1" t="n">
        <v>0.0468</v>
      </c>
      <c r="F2661" s="1" t="n">
        <v>0.0938</v>
      </c>
    </row>
    <row r="2662" customFormat="false" ht="15" hidden="false" customHeight="false" outlineLevel="0" collapsed="false">
      <c r="A2662" s="1" t="s">
        <v>2697</v>
      </c>
      <c r="B2662" s="1" t="s">
        <v>41</v>
      </c>
      <c r="C2662" s="1" t="n">
        <v>1680000</v>
      </c>
      <c r="D2662" s="1" t="n">
        <v>8416.7</v>
      </c>
      <c r="E2662" s="1" t="n">
        <v>0.0319</v>
      </c>
      <c r="F2662" s="1" t="n">
        <v>0.0938</v>
      </c>
    </row>
    <row r="2663" customFormat="false" ht="15" hidden="false" customHeight="false" outlineLevel="0" collapsed="false">
      <c r="A2663" s="1" t="s">
        <v>2698</v>
      </c>
      <c r="B2663" s="1" t="s">
        <v>41</v>
      </c>
      <c r="C2663" s="1" t="n">
        <v>1260000</v>
      </c>
      <c r="D2663" s="1" t="n">
        <v>3322.5</v>
      </c>
      <c r="E2663" s="1" t="n">
        <v>0.0128</v>
      </c>
      <c r="F2663" s="1" t="n">
        <v>0.2051</v>
      </c>
    </row>
    <row r="2664" customFormat="false" ht="15" hidden="false" customHeight="false" outlineLevel="0" collapsed="false">
      <c r="A2664" s="1" t="s">
        <v>2699</v>
      </c>
      <c r="B2664" s="1" t="s">
        <v>26</v>
      </c>
      <c r="C2664" s="1" t="n">
        <v>1120000</v>
      </c>
      <c r="D2664" s="1" t="n">
        <v>29709.7</v>
      </c>
      <c r="E2664" s="1" t="n">
        <v>0.0759</v>
      </c>
      <c r="F2664" s="1" t="n">
        <v>0.0759</v>
      </c>
    </row>
    <row r="2665" customFormat="false" ht="15" hidden="false" customHeight="false" outlineLevel="0" collapsed="false">
      <c r="A2665" s="1" t="s">
        <v>2700</v>
      </c>
      <c r="B2665" s="1" t="s">
        <v>74</v>
      </c>
      <c r="C2665" s="1" t="n">
        <v>2330000</v>
      </c>
      <c r="D2665" s="1" t="n">
        <v>834.3</v>
      </c>
      <c r="E2665" s="1" t="n">
        <v>0.0373</v>
      </c>
      <c r="F2665" s="1" t="n">
        <v>0.5986</v>
      </c>
    </row>
    <row r="2666" customFormat="false" ht="15" hidden="false" customHeight="false" outlineLevel="0" collapsed="false">
      <c r="A2666" s="1" t="s">
        <v>2701</v>
      </c>
      <c r="B2666" s="1" t="s">
        <v>26</v>
      </c>
      <c r="C2666" s="1" t="n">
        <v>1880000</v>
      </c>
      <c r="D2666" s="1" t="n">
        <v>25936</v>
      </c>
      <c r="E2666" s="1" t="n">
        <v>0.0467</v>
      </c>
      <c r="F2666" s="1" t="n">
        <v>0.0938</v>
      </c>
    </row>
    <row r="2667" customFormat="false" ht="15" hidden="false" customHeight="false" outlineLevel="0" collapsed="false">
      <c r="A2667" s="1" t="s">
        <v>2702</v>
      </c>
      <c r="B2667" s="1" t="s">
        <v>26</v>
      </c>
      <c r="C2667" s="1" t="n">
        <v>1100000</v>
      </c>
      <c r="D2667" s="1" t="n">
        <v>16290.8</v>
      </c>
      <c r="E2667" s="1" t="n">
        <v>0.0112</v>
      </c>
      <c r="F2667" s="1" t="n">
        <v>0.0584</v>
      </c>
    </row>
    <row r="2668" customFormat="false" ht="15" hidden="false" customHeight="false" outlineLevel="0" collapsed="false">
      <c r="A2668" s="1" t="s">
        <v>2703</v>
      </c>
      <c r="B2668" s="1" t="s">
        <v>88</v>
      </c>
      <c r="C2668" s="1" t="n">
        <v>1680000</v>
      </c>
      <c r="D2668" s="1" t="n">
        <v>697998.8</v>
      </c>
      <c r="E2668" s="1" t="n">
        <v>0.0491</v>
      </c>
      <c r="F2668" s="1" t="n">
        <v>0.0432</v>
      </c>
    </row>
    <row r="2669" customFormat="false" ht="15" hidden="false" customHeight="false" outlineLevel="0" collapsed="false">
      <c r="A2669" s="1" t="s">
        <v>2704</v>
      </c>
      <c r="B2669" s="1" t="s">
        <v>74</v>
      </c>
      <c r="C2669" s="1" t="n">
        <v>1150000</v>
      </c>
      <c r="D2669" s="1" t="n">
        <v>1984.8</v>
      </c>
      <c r="E2669" s="1" t="n">
        <v>0.0492</v>
      </c>
      <c r="F2669" s="1" t="n">
        <v>0.0759</v>
      </c>
    </row>
    <row r="2670" customFormat="false" ht="15" hidden="false" customHeight="false" outlineLevel="0" collapsed="false">
      <c r="A2670" s="1" t="s">
        <v>2705</v>
      </c>
      <c r="B2670" s="1" t="s">
        <v>26</v>
      </c>
      <c r="C2670" s="1" t="n">
        <v>1400000</v>
      </c>
      <c r="D2670" s="1" t="n">
        <v>17861.7</v>
      </c>
      <c r="E2670" s="1" t="n">
        <v>0.0356</v>
      </c>
      <c r="F2670" s="1" t="n">
        <v>0.0938</v>
      </c>
    </row>
    <row r="2671" customFormat="false" ht="15" hidden="false" customHeight="false" outlineLevel="0" collapsed="false">
      <c r="A2671" s="1" t="s">
        <v>2706</v>
      </c>
      <c r="B2671" s="1" t="s">
        <v>214</v>
      </c>
      <c r="C2671" s="1" t="n">
        <v>1190000</v>
      </c>
      <c r="D2671" s="1" t="n">
        <v>3020.5</v>
      </c>
      <c r="E2671" s="1" t="n">
        <v>0.0238</v>
      </c>
      <c r="F2671" s="1" t="n">
        <v>0.0938</v>
      </c>
    </row>
    <row r="2672" customFormat="false" ht="15" hidden="false" customHeight="false" outlineLevel="0" collapsed="false">
      <c r="A2672" s="1" t="s">
        <v>2707</v>
      </c>
      <c r="B2672" s="1" t="s">
        <v>26</v>
      </c>
      <c r="C2672" s="1" t="n">
        <v>610000</v>
      </c>
      <c r="D2672" s="1" t="n">
        <v>2063.7</v>
      </c>
      <c r="E2672" s="1" t="n">
        <v>0.0048</v>
      </c>
      <c r="F2672" s="1" t="n">
        <v>0.0822</v>
      </c>
    </row>
    <row r="2673" customFormat="false" ht="15" hidden="false" customHeight="false" outlineLevel="0" collapsed="false">
      <c r="A2673" s="1" t="s">
        <v>2708</v>
      </c>
      <c r="B2673" s="1" t="s">
        <v>88</v>
      </c>
      <c r="C2673" s="1" t="n">
        <v>2700000</v>
      </c>
      <c r="D2673" s="1" t="n">
        <v>976.6</v>
      </c>
      <c r="E2673" s="1" t="n">
        <v>0.0871</v>
      </c>
      <c r="F2673" s="1" t="n">
        <v>0.0938</v>
      </c>
    </row>
    <row r="2674" customFormat="false" ht="15" hidden="false" customHeight="false" outlineLevel="0" collapsed="false">
      <c r="A2674" s="1" t="s">
        <v>2709</v>
      </c>
      <c r="B2674" s="1" t="s">
        <v>92</v>
      </c>
      <c r="C2674" s="1" t="n">
        <v>1110000</v>
      </c>
      <c r="D2674" s="1" t="n">
        <v>5969.3</v>
      </c>
      <c r="E2674" s="1" t="n">
        <v>0.0293</v>
      </c>
      <c r="F2674" s="1" t="n">
        <v>0.0759</v>
      </c>
    </row>
    <row r="2675" customFormat="false" ht="15" hidden="false" customHeight="false" outlineLevel="0" collapsed="false">
      <c r="A2675" s="1" t="s">
        <v>2710</v>
      </c>
      <c r="B2675" s="1" t="s">
        <v>21</v>
      </c>
      <c r="C2675" s="1" t="n">
        <v>1150000</v>
      </c>
      <c r="D2675" s="1" t="n">
        <v>3325.1</v>
      </c>
      <c r="F2675" s="1" t="n">
        <v>0.0759</v>
      </c>
    </row>
    <row r="2676" customFormat="false" ht="15" hidden="false" customHeight="false" outlineLevel="0" collapsed="false">
      <c r="A2676" s="1" t="s">
        <v>2711</v>
      </c>
      <c r="B2676" s="1" t="s">
        <v>32</v>
      </c>
      <c r="C2676" s="1" t="n">
        <v>1510000</v>
      </c>
      <c r="D2676" s="1" t="n">
        <v>46432.5</v>
      </c>
      <c r="E2676" s="1" t="n">
        <v>0.0156</v>
      </c>
      <c r="F2676" s="1" t="n">
        <v>0.0462</v>
      </c>
    </row>
    <row r="2677" customFormat="false" ht="15" hidden="false" customHeight="false" outlineLevel="0" collapsed="false">
      <c r="A2677" s="1" t="s">
        <v>2712</v>
      </c>
      <c r="B2677" s="1" t="s">
        <v>26</v>
      </c>
      <c r="C2677" s="1" t="n">
        <v>1180000</v>
      </c>
      <c r="D2677" s="1" t="n">
        <v>3378.9</v>
      </c>
      <c r="E2677" s="1" t="n">
        <v>0.0623</v>
      </c>
      <c r="F2677" s="1" t="n">
        <v>0.0938</v>
      </c>
    </row>
    <row r="2678" customFormat="false" ht="15" hidden="false" customHeight="false" outlineLevel="0" collapsed="false">
      <c r="A2678" s="1" t="s">
        <v>2713</v>
      </c>
      <c r="B2678" s="1" t="s">
        <v>26</v>
      </c>
      <c r="C2678" s="1" t="n">
        <v>2150000</v>
      </c>
      <c r="D2678" s="1" t="n">
        <v>728629.2</v>
      </c>
      <c r="E2678" s="1" t="n">
        <v>0.0182</v>
      </c>
      <c r="F2678" s="1" t="n">
        <v>0.0576</v>
      </c>
    </row>
    <row r="2679" customFormat="false" ht="15" hidden="false" customHeight="false" outlineLevel="0" collapsed="false">
      <c r="A2679" s="1" t="s">
        <v>2714</v>
      </c>
      <c r="B2679" s="1" t="s">
        <v>53</v>
      </c>
      <c r="C2679" s="1" t="n">
        <v>1400000</v>
      </c>
      <c r="D2679" s="1" t="n">
        <v>318.4</v>
      </c>
      <c r="E2679" s="1" t="n">
        <v>0.0341</v>
      </c>
      <c r="F2679" s="1" t="n">
        <v>0.0938</v>
      </c>
    </row>
    <row r="2680" customFormat="false" ht="15" hidden="false" customHeight="false" outlineLevel="0" collapsed="false">
      <c r="A2680" s="1" t="s">
        <v>2715</v>
      </c>
      <c r="B2680" s="1" t="s">
        <v>24</v>
      </c>
      <c r="C2680" s="1" t="n">
        <v>1560000</v>
      </c>
      <c r="D2680" s="1" t="n">
        <v>1518.5</v>
      </c>
      <c r="E2680" s="1" t="n">
        <v>0.0155</v>
      </c>
      <c r="F2680" s="1" t="n">
        <v>0.1372</v>
      </c>
    </row>
    <row r="2681" customFormat="false" ht="15" hidden="false" customHeight="false" outlineLevel="0" collapsed="false">
      <c r="A2681" s="1" t="s">
        <v>2716</v>
      </c>
      <c r="B2681" s="1" t="s">
        <v>287</v>
      </c>
      <c r="C2681" s="1" t="n">
        <v>677000</v>
      </c>
      <c r="D2681" s="1" t="n">
        <v>1582.5</v>
      </c>
      <c r="E2681" s="1" t="n">
        <v>0.0218</v>
      </c>
      <c r="F2681" s="1" t="n">
        <v>0.0951</v>
      </c>
    </row>
    <row r="2682" customFormat="false" ht="15" hidden="false" customHeight="false" outlineLevel="0" collapsed="false">
      <c r="A2682" s="1" t="s">
        <v>2717</v>
      </c>
      <c r="B2682" s="1" t="s">
        <v>41</v>
      </c>
      <c r="C2682" s="1" t="n">
        <v>1440000</v>
      </c>
      <c r="D2682" s="1" t="n">
        <v>1771.7</v>
      </c>
      <c r="E2682" s="1" t="n">
        <v>0.0869</v>
      </c>
      <c r="F2682" s="1" t="n">
        <v>0.0938</v>
      </c>
    </row>
    <row r="2683" customFormat="false" ht="15" hidden="false" customHeight="false" outlineLevel="0" collapsed="false">
      <c r="A2683" s="1" t="s">
        <v>2718</v>
      </c>
      <c r="B2683" s="1" t="s">
        <v>74</v>
      </c>
      <c r="C2683" s="1" t="n">
        <v>1150000</v>
      </c>
      <c r="D2683" s="1" t="n">
        <v>1229.3</v>
      </c>
      <c r="E2683" s="1" t="n">
        <v>0.0135</v>
      </c>
      <c r="F2683" s="1" t="n">
        <v>0.052</v>
      </c>
    </row>
    <row r="2684" customFormat="false" ht="15" hidden="false" customHeight="false" outlineLevel="0" collapsed="false">
      <c r="A2684" s="1" t="s">
        <v>2719</v>
      </c>
      <c r="B2684" s="1" t="s">
        <v>26</v>
      </c>
      <c r="C2684" s="1" t="n">
        <v>1160000</v>
      </c>
      <c r="D2684" s="1" t="n">
        <v>7559</v>
      </c>
      <c r="E2684" s="1" t="n">
        <v>0.0234</v>
      </c>
      <c r="F2684" s="1" t="n">
        <v>0.0409</v>
      </c>
    </row>
    <row r="2685" customFormat="false" ht="15" hidden="false" customHeight="false" outlineLevel="0" collapsed="false">
      <c r="A2685" s="1" t="s">
        <v>2720</v>
      </c>
      <c r="B2685" s="1" t="s">
        <v>74</v>
      </c>
      <c r="C2685" s="1" t="n">
        <v>1350000</v>
      </c>
      <c r="D2685" s="1" t="n">
        <v>8609.8</v>
      </c>
      <c r="E2685" s="1" t="n">
        <v>0.0532</v>
      </c>
      <c r="F2685" s="1" t="n">
        <v>0.0759</v>
      </c>
    </row>
    <row r="2686" customFormat="false" ht="15" hidden="false" customHeight="false" outlineLevel="0" collapsed="false">
      <c r="A2686" s="1" t="s">
        <v>2721</v>
      </c>
      <c r="B2686" s="1" t="s">
        <v>53</v>
      </c>
      <c r="C2686" s="1" t="n">
        <v>3020000</v>
      </c>
      <c r="D2686" s="1" t="n">
        <v>27738.8</v>
      </c>
      <c r="E2686" s="1" t="n">
        <v>0.0908</v>
      </c>
      <c r="F2686" s="1" t="n">
        <v>0.0938</v>
      </c>
    </row>
    <row r="2687" customFormat="false" ht="15" hidden="false" customHeight="false" outlineLevel="0" collapsed="false">
      <c r="A2687" s="1" t="s">
        <v>2722</v>
      </c>
      <c r="B2687" s="1" t="s">
        <v>26</v>
      </c>
      <c r="C2687" s="1" t="n">
        <v>1130000</v>
      </c>
      <c r="D2687" s="1" t="n">
        <v>12104.1</v>
      </c>
      <c r="E2687" s="1" t="n">
        <v>0.025</v>
      </c>
      <c r="F2687" s="1" t="n">
        <v>0.0759</v>
      </c>
    </row>
    <row r="2688" customFormat="false" ht="15" hidden="false" customHeight="false" outlineLevel="0" collapsed="false">
      <c r="A2688" s="1" t="s">
        <v>2723</v>
      </c>
      <c r="B2688" s="1" t="s">
        <v>92</v>
      </c>
      <c r="C2688" s="1" t="n">
        <v>1300000</v>
      </c>
      <c r="D2688" s="1" t="n">
        <v>19677.3</v>
      </c>
      <c r="E2688" s="1" t="n">
        <v>0.0182</v>
      </c>
      <c r="F2688" s="1" t="n">
        <v>0.0462</v>
      </c>
    </row>
    <row r="2689" customFormat="false" ht="15" hidden="false" customHeight="false" outlineLevel="0" collapsed="false">
      <c r="A2689" s="1" t="s">
        <v>2724</v>
      </c>
      <c r="B2689" s="1" t="s">
        <v>287</v>
      </c>
      <c r="C2689" s="1" t="n">
        <v>1160000</v>
      </c>
      <c r="D2689" s="1" t="n">
        <v>16567.7</v>
      </c>
      <c r="E2689" s="1" t="n">
        <v>0.0447</v>
      </c>
      <c r="F2689" s="1" t="n">
        <v>0.0951</v>
      </c>
    </row>
    <row r="2690" customFormat="false" ht="15" hidden="false" customHeight="false" outlineLevel="0" collapsed="false">
      <c r="A2690" s="1" t="s">
        <v>2725</v>
      </c>
      <c r="B2690" s="1" t="s">
        <v>287</v>
      </c>
      <c r="C2690" s="1" t="n">
        <v>1270000</v>
      </c>
      <c r="D2690" s="1" t="n">
        <v>31120.9</v>
      </c>
      <c r="E2690" s="1" t="n">
        <v>0.0283</v>
      </c>
      <c r="F2690" s="1" t="n">
        <v>0.0409</v>
      </c>
    </row>
    <row r="2691" customFormat="false" ht="15" hidden="false" customHeight="false" outlineLevel="0" collapsed="false">
      <c r="A2691" s="1" t="s">
        <v>2726</v>
      </c>
      <c r="B2691" s="1" t="s">
        <v>21</v>
      </c>
      <c r="C2691" s="1" t="n">
        <v>1920000</v>
      </c>
      <c r="D2691" s="1" t="n">
        <v>197283.2</v>
      </c>
      <c r="E2691" s="1" t="n">
        <v>0.0324</v>
      </c>
      <c r="F2691" s="1" t="n">
        <v>0.0759</v>
      </c>
    </row>
    <row r="2692" customFormat="false" ht="15" hidden="false" customHeight="false" outlineLevel="0" collapsed="false">
      <c r="A2692" s="1" t="s">
        <v>2727</v>
      </c>
      <c r="B2692" s="1" t="s">
        <v>62</v>
      </c>
      <c r="C2692" s="1" t="n">
        <v>1110000</v>
      </c>
      <c r="D2692" s="1" t="n">
        <v>11165.5</v>
      </c>
      <c r="E2692" s="1" t="n">
        <v>0.0163</v>
      </c>
      <c r="F2692" s="1" t="n">
        <v>0.1635</v>
      </c>
    </row>
    <row r="2693" customFormat="false" ht="15" hidden="false" customHeight="false" outlineLevel="0" collapsed="false">
      <c r="A2693" s="1" t="s">
        <v>2728</v>
      </c>
      <c r="B2693" s="1" t="s">
        <v>88</v>
      </c>
      <c r="C2693" s="1" t="n">
        <v>1320000</v>
      </c>
      <c r="D2693" s="1" t="n">
        <v>5303.7</v>
      </c>
      <c r="E2693" s="1" t="n">
        <v>0.0248</v>
      </c>
      <c r="F2693" s="1" t="n">
        <v>0.0759</v>
      </c>
    </row>
    <row r="2694" customFormat="false" ht="15" hidden="false" customHeight="false" outlineLevel="0" collapsed="false">
      <c r="A2694" s="1" t="s">
        <v>2729</v>
      </c>
      <c r="B2694" s="1" t="s">
        <v>30</v>
      </c>
      <c r="C2694" s="1" t="n">
        <v>2090000</v>
      </c>
      <c r="D2694" s="1" t="n">
        <v>13853838.6</v>
      </c>
      <c r="E2694" s="1" t="n">
        <v>0.0359</v>
      </c>
      <c r="F2694" s="1" t="n">
        <v>0.0546</v>
      </c>
    </row>
    <row r="2695" customFormat="false" ht="15" hidden="false" customHeight="false" outlineLevel="0" collapsed="false">
      <c r="A2695" s="1" t="s">
        <v>2730</v>
      </c>
      <c r="B2695" s="1" t="s">
        <v>92</v>
      </c>
      <c r="C2695" s="1" t="n">
        <v>1550000</v>
      </c>
      <c r="D2695" s="1" t="n">
        <v>11896.3</v>
      </c>
      <c r="E2695" s="1" t="n">
        <v>0.0205</v>
      </c>
      <c r="F2695" s="1" t="n">
        <v>0.0409</v>
      </c>
    </row>
    <row r="2696" customFormat="false" ht="15" hidden="false" customHeight="false" outlineLevel="0" collapsed="false">
      <c r="A2696" s="1" t="s">
        <v>2731</v>
      </c>
      <c r="B2696" s="1" t="s">
        <v>92</v>
      </c>
      <c r="C2696" s="1" t="n">
        <v>1630000</v>
      </c>
      <c r="D2696" s="1" t="n">
        <v>68653</v>
      </c>
      <c r="E2696" s="1" t="n">
        <v>0.0147</v>
      </c>
      <c r="F2696" s="1" t="n">
        <v>0.0585</v>
      </c>
    </row>
    <row r="2697" customFormat="false" ht="15" hidden="false" customHeight="false" outlineLevel="0" collapsed="false">
      <c r="A2697" s="1" t="s">
        <v>2732</v>
      </c>
      <c r="B2697" s="1" t="s">
        <v>26</v>
      </c>
      <c r="C2697" s="1" t="n">
        <v>1690000</v>
      </c>
      <c r="D2697" s="1" t="n">
        <v>36736.4</v>
      </c>
      <c r="E2697" s="1" t="n">
        <v>0.06</v>
      </c>
      <c r="F2697" s="1" t="n">
        <v>0.1241</v>
      </c>
    </row>
    <row r="2698" customFormat="false" ht="15" hidden="false" customHeight="false" outlineLevel="0" collapsed="false">
      <c r="A2698" s="1" t="s">
        <v>2733</v>
      </c>
      <c r="B2698" s="1" t="s">
        <v>26</v>
      </c>
      <c r="C2698" s="1" t="n">
        <v>1050000</v>
      </c>
      <c r="D2698" s="1" t="n">
        <v>1203.9</v>
      </c>
      <c r="F2698" s="1" t="n">
        <v>0.0432</v>
      </c>
    </row>
    <row r="2699" customFormat="false" ht="15" hidden="false" customHeight="false" outlineLevel="0" collapsed="false">
      <c r="A2699" s="1" t="s">
        <v>2734</v>
      </c>
      <c r="B2699" s="1" t="s">
        <v>32</v>
      </c>
      <c r="C2699" s="1" t="n">
        <v>1320000</v>
      </c>
      <c r="D2699" s="1" t="n">
        <v>3807.5</v>
      </c>
      <c r="E2699" s="1" t="n">
        <v>0.0155</v>
      </c>
      <c r="F2699" s="1" t="n">
        <v>0.0462</v>
      </c>
    </row>
    <row r="2700" customFormat="false" ht="15" hidden="false" customHeight="false" outlineLevel="0" collapsed="false">
      <c r="A2700" s="1" t="s">
        <v>2735</v>
      </c>
      <c r="B2700" s="1" t="s">
        <v>26</v>
      </c>
      <c r="C2700" s="1" t="n">
        <v>1130000</v>
      </c>
      <c r="D2700" s="1" t="n">
        <v>11951.8</v>
      </c>
      <c r="E2700" s="1" t="n">
        <v>0.008</v>
      </c>
      <c r="F2700" s="1" t="n">
        <v>0.0654</v>
      </c>
    </row>
    <row r="2701" customFormat="false" ht="15" hidden="false" customHeight="false" outlineLevel="0" collapsed="false">
      <c r="A2701" s="1" t="s">
        <v>2736</v>
      </c>
      <c r="B2701" s="1" t="s">
        <v>92</v>
      </c>
      <c r="C2701" s="1" t="n">
        <v>1090000</v>
      </c>
      <c r="D2701" s="1" t="n">
        <v>14812.7</v>
      </c>
      <c r="E2701" s="1" t="n">
        <v>0.0233</v>
      </c>
      <c r="F2701" s="1" t="n">
        <v>0.0725</v>
      </c>
    </row>
    <row r="2702" customFormat="false" ht="15" hidden="false" customHeight="false" outlineLevel="0" collapsed="false">
      <c r="A2702" s="1" t="s">
        <v>2737</v>
      </c>
      <c r="B2702" s="1" t="s">
        <v>74</v>
      </c>
      <c r="C2702" s="1" t="n">
        <v>1140000</v>
      </c>
      <c r="D2702" s="1" t="n">
        <v>10756.1</v>
      </c>
      <c r="E2702" s="1" t="n">
        <v>0.0189</v>
      </c>
      <c r="F2702" s="1" t="n">
        <v>0.0462</v>
      </c>
    </row>
    <row r="2703" customFormat="false" ht="15" hidden="false" customHeight="false" outlineLevel="0" collapsed="false">
      <c r="A2703" s="1" t="s">
        <v>2738</v>
      </c>
      <c r="B2703" s="1" t="s">
        <v>26</v>
      </c>
      <c r="C2703" s="1" t="n">
        <v>1230000</v>
      </c>
      <c r="D2703" s="1" t="n">
        <v>316152.1</v>
      </c>
      <c r="E2703" s="1" t="n">
        <v>0.0914</v>
      </c>
      <c r="F2703" s="1" t="n">
        <v>0.0759</v>
      </c>
    </row>
    <row r="2704" customFormat="false" ht="15" hidden="false" customHeight="false" outlineLevel="0" collapsed="false">
      <c r="A2704" s="1" t="s">
        <v>2739</v>
      </c>
      <c r="B2704" s="1" t="s">
        <v>26</v>
      </c>
      <c r="C2704" s="1" t="n">
        <v>1130000</v>
      </c>
      <c r="D2704" s="1" t="n">
        <v>825.7</v>
      </c>
      <c r="E2704" s="1" t="n">
        <v>0.0266</v>
      </c>
      <c r="F2704" s="1" t="n">
        <v>0.0759</v>
      </c>
    </row>
    <row r="2705" customFormat="false" ht="15" hidden="false" customHeight="false" outlineLevel="0" collapsed="false">
      <c r="A2705" s="1" t="s">
        <v>2740</v>
      </c>
      <c r="B2705" s="1" t="s">
        <v>88</v>
      </c>
      <c r="C2705" s="1" t="n">
        <v>1070000</v>
      </c>
      <c r="D2705" s="1" t="n">
        <v>173.6</v>
      </c>
      <c r="E2705" s="1" t="n">
        <v>0.0325</v>
      </c>
      <c r="F2705" s="1" t="n">
        <v>0.0759</v>
      </c>
    </row>
    <row r="2706" customFormat="false" ht="15" hidden="false" customHeight="false" outlineLevel="0" collapsed="false">
      <c r="A2706" s="1" t="s">
        <v>2741</v>
      </c>
      <c r="B2706" s="1" t="s">
        <v>26</v>
      </c>
      <c r="C2706" s="1" t="n">
        <v>1400000</v>
      </c>
      <c r="D2706" s="1" t="n">
        <v>256557.3</v>
      </c>
      <c r="E2706" s="1" t="n">
        <v>0.0447</v>
      </c>
      <c r="F2706" s="1" t="n">
        <v>0.0672</v>
      </c>
    </row>
    <row r="2707" customFormat="false" ht="15" hidden="false" customHeight="false" outlineLevel="0" collapsed="false">
      <c r="A2707" s="1" t="s">
        <v>2742</v>
      </c>
      <c r="B2707" s="1" t="s">
        <v>41</v>
      </c>
      <c r="C2707" s="1" t="n">
        <v>2310000</v>
      </c>
      <c r="D2707" s="1" t="n">
        <v>891103.1</v>
      </c>
      <c r="E2707" s="1" t="n">
        <v>0.0283</v>
      </c>
      <c r="F2707" s="1" t="n">
        <v>0.0951</v>
      </c>
    </row>
    <row r="2708" customFormat="false" ht="15" hidden="false" customHeight="false" outlineLevel="0" collapsed="false">
      <c r="A2708" s="1" t="s">
        <v>2743</v>
      </c>
      <c r="B2708" s="1" t="s">
        <v>26</v>
      </c>
      <c r="C2708" s="1" t="n">
        <v>1840000</v>
      </c>
      <c r="D2708" s="1" t="n">
        <v>81640</v>
      </c>
      <c r="E2708" s="1" t="n">
        <v>0.0369</v>
      </c>
      <c r="F2708" s="1" t="n">
        <v>0.0938</v>
      </c>
    </row>
    <row r="2709" customFormat="false" ht="15" hidden="false" customHeight="false" outlineLevel="0" collapsed="false">
      <c r="A2709" s="1" t="s">
        <v>2744</v>
      </c>
      <c r="B2709" s="1" t="s">
        <v>30</v>
      </c>
      <c r="C2709" s="1" t="n">
        <v>1950000</v>
      </c>
      <c r="D2709" s="1" t="n">
        <v>2388843.4</v>
      </c>
      <c r="E2709" s="1" t="n">
        <v>0.0037</v>
      </c>
      <c r="F2709" s="1" t="n">
        <v>0.0822</v>
      </c>
    </row>
    <row r="2710" customFormat="false" ht="15" hidden="false" customHeight="false" outlineLevel="0" collapsed="false">
      <c r="A2710" s="1" t="s">
        <v>2745</v>
      </c>
      <c r="B2710" s="1" t="s">
        <v>21</v>
      </c>
      <c r="C2710" s="1" t="n">
        <v>1250000</v>
      </c>
      <c r="D2710" s="1" t="n">
        <v>362091.3</v>
      </c>
      <c r="E2710" s="1" t="n">
        <v>0.0196</v>
      </c>
      <c r="F2710" s="1" t="n">
        <v>0.0462</v>
      </c>
    </row>
    <row r="2711" customFormat="false" ht="15" hidden="false" customHeight="false" outlineLevel="0" collapsed="false">
      <c r="A2711" s="1" t="s">
        <v>2746</v>
      </c>
      <c r="B2711" s="1" t="s">
        <v>41</v>
      </c>
      <c r="C2711" s="1" t="n">
        <v>1820000</v>
      </c>
      <c r="D2711" s="1" t="n">
        <v>87.4</v>
      </c>
      <c r="E2711" s="1" t="n">
        <v>0.0052</v>
      </c>
      <c r="F2711" s="1" t="n">
        <v>0.2371</v>
      </c>
    </row>
    <row r="2712" customFormat="false" ht="15" hidden="false" customHeight="false" outlineLevel="0" collapsed="false">
      <c r="A2712" s="1" t="s">
        <v>2747</v>
      </c>
      <c r="B2712" s="1" t="s">
        <v>62</v>
      </c>
      <c r="C2712" s="1" t="n">
        <v>689000</v>
      </c>
      <c r="D2712" s="1" t="n">
        <v>1803.9</v>
      </c>
      <c r="E2712" s="1" t="n">
        <v>0.0112</v>
      </c>
      <c r="F2712" s="1" t="n">
        <v>0.1471</v>
      </c>
    </row>
    <row r="2713" customFormat="false" ht="15" hidden="false" customHeight="false" outlineLevel="0" collapsed="false">
      <c r="A2713" s="1" t="s">
        <v>2748</v>
      </c>
      <c r="B2713" s="1" t="s">
        <v>26</v>
      </c>
      <c r="C2713" s="1" t="n">
        <v>1070000</v>
      </c>
      <c r="D2713" s="1" t="n">
        <v>2942.5</v>
      </c>
      <c r="E2713" s="1" t="n">
        <v>0.0369</v>
      </c>
      <c r="F2713" s="1" t="n">
        <v>0.117</v>
      </c>
    </row>
    <row r="2714" customFormat="false" ht="15" hidden="false" customHeight="false" outlineLevel="0" collapsed="false">
      <c r="A2714" s="1" t="s">
        <v>2749</v>
      </c>
      <c r="B2714" s="1" t="s">
        <v>26</v>
      </c>
      <c r="C2714" s="1" t="n">
        <v>1070000</v>
      </c>
      <c r="D2714" s="1" t="n">
        <v>24137.9</v>
      </c>
      <c r="E2714" s="1" t="n">
        <v>0.0303</v>
      </c>
      <c r="F2714" s="1" t="n">
        <v>0.0938</v>
      </c>
    </row>
    <row r="2715" customFormat="false" ht="15" hidden="false" customHeight="false" outlineLevel="0" collapsed="false">
      <c r="A2715" s="1" t="s">
        <v>2750</v>
      </c>
      <c r="B2715" s="1" t="s">
        <v>30</v>
      </c>
      <c r="C2715" s="1" t="n">
        <v>1300000</v>
      </c>
      <c r="D2715" s="1" t="n">
        <v>1338546</v>
      </c>
      <c r="E2715" s="1" t="n">
        <v>0.0038</v>
      </c>
      <c r="F2715" s="1" t="n">
        <v>0.0822</v>
      </c>
    </row>
    <row r="2716" customFormat="false" ht="15" hidden="false" customHeight="false" outlineLevel="0" collapsed="false">
      <c r="A2716" s="1" t="s">
        <v>2751</v>
      </c>
      <c r="B2716" s="1" t="s">
        <v>21</v>
      </c>
      <c r="C2716" s="1" t="n">
        <v>2060000</v>
      </c>
      <c r="D2716" s="1" t="n">
        <v>1350.7</v>
      </c>
      <c r="E2716" s="1" t="n">
        <v>0.0329</v>
      </c>
      <c r="F2716" s="1" t="n">
        <v>0.4982</v>
      </c>
    </row>
    <row r="2717" customFormat="false" ht="15" hidden="false" customHeight="false" outlineLevel="0" collapsed="false">
      <c r="A2717" s="1" t="s">
        <v>2752</v>
      </c>
      <c r="B2717" s="1" t="s">
        <v>287</v>
      </c>
      <c r="C2717" s="1" t="n">
        <v>1130000</v>
      </c>
      <c r="D2717" s="1" t="n">
        <v>171087.1</v>
      </c>
      <c r="E2717" s="1" t="n">
        <v>0.0107</v>
      </c>
      <c r="F2717" s="1" t="n">
        <v>0.1471</v>
      </c>
    </row>
    <row r="2718" customFormat="false" ht="15" hidden="false" customHeight="false" outlineLevel="0" collapsed="false">
      <c r="A2718" s="1" t="s">
        <v>2753</v>
      </c>
      <c r="B2718" s="1" t="s">
        <v>21</v>
      </c>
      <c r="C2718" s="1" t="n">
        <v>1200000</v>
      </c>
      <c r="D2718" s="1" t="n">
        <v>553769.7</v>
      </c>
      <c r="E2718" s="1" t="n">
        <v>0.0543</v>
      </c>
      <c r="F2718" s="1" t="n">
        <v>0.1226</v>
      </c>
    </row>
    <row r="2719" customFormat="false" ht="15" hidden="false" customHeight="false" outlineLevel="0" collapsed="false">
      <c r="A2719" s="1" t="s">
        <v>2754</v>
      </c>
      <c r="B2719" s="1" t="s">
        <v>81</v>
      </c>
      <c r="C2719" s="1" t="n">
        <v>1310000</v>
      </c>
      <c r="D2719" s="1" t="n">
        <v>317767</v>
      </c>
      <c r="E2719" s="1" t="n">
        <v>0.0028</v>
      </c>
      <c r="F2719" s="1" t="n">
        <v>0.0654</v>
      </c>
    </row>
    <row r="2720" customFormat="false" ht="15" hidden="false" customHeight="false" outlineLevel="0" collapsed="false">
      <c r="A2720" s="1" t="s">
        <v>2755</v>
      </c>
      <c r="B2720" s="1" t="s">
        <v>41</v>
      </c>
      <c r="C2720" s="1" t="n">
        <v>1220000</v>
      </c>
      <c r="D2720" s="1" t="n">
        <v>4772.5</v>
      </c>
      <c r="F2720" s="1" t="n">
        <v>0.0951</v>
      </c>
    </row>
    <row r="2721" customFormat="false" ht="15" hidden="false" customHeight="false" outlineLevel="0" collapsed="false">
      <c r="A2721" s="1" t="s">
        <v>2756</v>
      </c>
      <c r="B2721" s="1" t="s">
        <v>88</v>
      </c>
      <c r="C2721" s="1" t="n">
        <v>1040000</v>
      </c>
      <c r="D2721" s="1" t="n">
        <v>4133.7</v>
      </c>
      <c r="E2721" s="1" t="n">
        <v>0.0385</v>
      </c>
      <c r="F2721" s="1" t="n">
        <v>0.0951</v>
      </c>
    </row>
    <row r="2722" customFormat="false" ht="15" hidden="false" customHeight="false" outlineLevel="0" collapsed="false">
      <c r="A2722" s="1" t="s">
        <v>2757</v>
      </c>
      <c r="B2722" s="1" t="s">
        <v>53</v>
      </c>
      <c r="C2722" s="1" t="n">
        <v>496000</v>
      </c>
      <c r="D2722" s="1" t="n">
        <v>40627.9</v>
      </c>
      <c r="E2722" s="1" t="n">
        <v>0.0065</v>
      </c>
      <c r="F2722" s="1" t="n">
        <v>0.0822</v>
      </c>
    </row>
    <row r="2723" customFormat="false" ht="15" hidden="false" customHeight="false" outlineLevel="0" collapsed="false">
      <c r="A2723" s="1" t="s">
        <v>2758</v>
      </c>
      <c r="B2723" s="1" t="s">
        <v>32</v>
      </c>
      <c r="C2723" s="1" t="n">
        <v>1100000</v>
      </c>
      <c r="D2723" s="1" t="n">
        <v>34698.5</v>
      </c>
      <c r="E2723" s="1" t="n">
        <v>0.0258</v>
      </c>
      <c r="F2723" s="1" t="n">
        <v>0.171</v>
      </c>
    </row>
    <row r="2724" customFormat="false" ht="15" hidden="false" customHeight="false" outlineLevel="0" collapsed="false">
      <c r="A2724" s="1" t="s">
        <v>2759</v>
      </c>
      <c r="B2724" s="1" t="s">
        <v>26</v>
      </c>
      <c r="C2724" s="1" t="n">
        <v>1130000</v>
      </c>
      <c r="D2724" s="1" t="n">
        <v>2113.5</v>
      </c>
      <c r="E2724" s="1" t="n">
        <v>0.0663</v>
      </c>
      <c r="F2724" s="1" t="n">
        <v>0.0759</v>
      </c>
    </row>
    <row r="2725" customFormat="false" ht="15" hidden="false" customHeight="false" outlineLevel="0" collapsed="false">
      <c r="A2725" s="1" t="s">
        <v>2760</v>
      </c>
      <c r="B2725" s="1" t="s">
        <v>26</v>
      </c>
      <c r="C2725" s="1" t="n">
        <v>1200000</v>
      </c>
      <c r="D2725" s="1" t="n">
        <v>735549.4</v>
      </c>
      <c r="E2725" s="1" t="n">
        <v>0.0624</v>
      </c>
      <c r="F2725" s="1" t="n">
        <v>0.0951</v>
      </c>
    </row>
    <row r="2726" customFormat="false" ht="15" hidden="false" customHeight="false" outlineLevel="0" collapsed="false">
      <c r="A2726" s="1" t="s">
        <v>2761</v>
      </c>
      <c r="B2726" s="1" t="s">
        <v>53</v>
      </c>
      <c r="C2726" s="1" t="n">
        <v>1100000</v>
      </c>
      <c r="D2726" s="1" t="n">
        <v>944.3</v>
      </c>
      <c r="E2726" s="1" t="n">
        <v>0.0152</v>
      </c>
      <c r="F2726" s="1" t="n">
        <v>0.1327</v>
      </c>
    </row>
    <row r="2727" customFormat="false" ht="15" hidden="false" customHeight="false" outlineLevel="0" collapsed="false">
      <c r="A2727" s="1" t="s">
        <v>2762</v>
      </c>
      <c r="B2727" s="1" t="s">
        <v>26</v>
      </c>
      <c r="C2727" s="1" t="n">
        <v>2110000</v>
      </c>
      <c r="D2727" s="1" t="n">
        <v>500844.3</v>
      </c>
      <c r="E2727" s="1" t="n">
        <v>0.0489</v>
      </c>
      <c r="F2727" s="1" t="n">
        <v>0.0409</v>
      </c>
    </row>
    <row r="2728" customFormat="false" ht="15" hidden="false" customHeight="false" outlineLevel="0" collapsed="false">
      <c r="A2728" s="1" t="s">
        <v>2763</v>
      </c>
      <c r="B2728" s="1" t="s">
        <v>53</v>
      </c>
      <c r="C2728" s="1" t="n">
        <v>1210000</v>
      </c>
      <c r="D2728" s="1" t="n">
        <v>126318.3</v>
      </c>
      <c r="E2728" s="1" t="n">
        <v>0.153</v>
      </c>
      <c r="F2728" s="1" t="n">
        <v>0.0759</v>
      </c>
    </row>
    <row r="2729" customFormat="false" ht="15" hidden="false" customHeight="false" outlineLevel="0" collapsed="false">
      <c r="A2729" s="1" t="s">
        <v>2764</v>
      </c>
      <c r="B2729" s="1" t="s">
        <v>88</v>
      </c>
      <c r="C2729" s="1" t="n">
        <v>1280000</v>
      </c>
      <c r="D2729" s="1" t="n">
        <v>323512.6</v>
      </c>
      <c r="E2729" s="1" t="n">
        <v>0.053</v>
      </c>
      <c r="F2729" s="1" t="n">
        <v>0.0759</v>
      </c>
    </row>
    <row r="2730" customFormat="false" ht="15" hidden="false" customHeight="false" outlineLevel="0" collapsed="false">
      <c r="A2730" s="1" t="s">
        <v>2765</v>
      </c>
      <c r="B2730" s="1" t="s">
        <v>214</v>
      </c>
      <c r="C2730" s="1" t="n">
        <v>1090000</v>
      </c>
      <c r="D2730" s="1" t="n">
        <v>4987.5</v>
      </c>
      <c r="E2730" s="1" t="n">
        <v>0.0317</v>
      </c>
      <c r="F2730" s="1" t="n">
        <v>0.0759</v>
      </c>
    </row>
    <row r="2731" customFormat="false" ht="15" hidden="false" customHeight="false" outlineLevel="0" collapsed="false">
      <c r="A2731" s="1" t="s">
        <v>2766</v>
      </c>
      <c r="B2731" s="1" t="s">
        <v>21</v>
      </c>
      <c r="C2731" s="1" t="n">
        <v>1070000</v>
      </c>
      <c r="D2731" s="1" t="n">
        <v>122179.1</v>
      </c>
      <c r="E2731" s="1" t="n">
        <v>0.037</v>
      </c>
      <c r="F2731" s="1" t="n">
        <v>0.0951</v>
      </c>
    </row>
    <row r="2732" customFormat="false" ht="15" hidden="false" customHeight="false" outlineLevel="0" collapsed="false">
      <c r="A2732" s="1" t="s">
        <v>2767</v>
      </c>
      <c r="B2732" s="1" t="s">
        <v>71</v>
      </c>
      <c r="C2732" s="1" t="n">
        <v>1050000</v>
      </c>
      <c r="D2732" s="1" t="n">
        <v>70709.6</v>
      </c>
      <c r="E2732" s="1" t="n">
        <v>0.0438</v>
      </c>
      <c r="F2732" s="1" t="n">
        <v>0.1057</v>
      </c>
    </row>
    <row r="2733" customFormat="false" ht="15" hidden="false" customHeight="false" outlineLevel="0" collapsed="false">
      <c r="A2733" s="1" t="s">
        <v>2768</v>
      </c>
      <c r="B2733" s="1" t="s">
        <v>92</v>
      </c>
      <c r="C2733" s="1" t="n">
        <v>1950000</v>
      </c>
      <c r="D2733" s="1" t="n">
        <v>10968.5</v>
      </c>
      <c r="E2733" s="1" t="n">
        <v>0.0408</v>
      </c>
      <c r="F2733" s="1" t="n">
        <v>0.0759</v>
      </c>
    </row>
    <row r="2734" customFormat="false" ht="15" hidden="false" customHeight="false" outlineLevel="0" collapsed="false">
      <c r="A2734" s="1" t="s">
        <v>2769</v>
      </c>
      <c r="B2734" s="1" t="s">
        <v>21</v>
      </c>
      <c r="C2734" s="1" t="n">
        <v>1850000</v>
      </c>
      <c r="D2734" s="1" t="n">
        <v>5188.2</v>
      </c>
      <c r="E2734" s="1" t="n">
        <v>0.014</v>
      </c>
      <c r="F2734" s="1" t="n">
        <v>0.0462</v>
      </c>
    </row>
    <row r="2735" customFormat="false" ht="15" hidden="false" customHeight="false" outlineLevel="0" collapsed="false">
      <c r="A2735" s="1" t="s">
        <v>2770</v>
      </c>
      <c r="B2735" s="1" t="s">
        <v>88</v>
      </c>
      <c r="C2735" s="1" t="n">
        <v>1520000</v>
      </c>
      <c r="D2735" s="1" t="n">
        <v>971.8</v>
      </c>
      <c r="E2735" s="1" t="n">
        <v>0.0274</v>
      </c>
      <c r="F2735" s="1" t="n">
        <v>0.117</v>
      </c>
    </row>
    <row r="2736" customFormat="false" ht="15" hidden="false" customHeight="false" outlineLevel="0" collapsed="false">
      <c r="A2736" s="1" t="s">
        <v>2771</v>
      </c>
      <c r="B2736" s="1" t="s">
        <v>26</v>
      </c>
      <c r="C2736" s="1" t="n">
        <v>1620000</v>
      </c>
      <c r="D2736" s="1" t="n">
        <v>128884.5</v>
      </c>
      <c r="E2736" s="1" t="n">
        <v>0.0477</v>
      </c>
      <c r="F2736" s="1" t="n">
        <v>0.0409</v>
      </c>
    </row>
    <row r="2737" customFormat="false" ht="15" hidden="false" customHeight="false" outlineLevel="0" collapsed="false">
      <c r="A2737" s="1" t="s">
        <v>2772</v>
      </c>
      <c r="B2737" s="1" t="s">
        <v>81</v>
      </c>
      <c r="C2737" s="1" t="n">
        <v>1220000</v>
      </c>
      <c r="D2737" s="1" t="n">
        <v>12855.8</v>
      </c>
      <c r="E2737" s="1" t="n">
        <v>0.0254</v>
      </c>
      <c r="F2737" s="1" t="n">
        <v>0.1053</v>
      </c>
    </row>
    <row r="2738" customFormat="false" ht="15" hidden="false" customHeight="false" outlineLevel="0" collapsed="false">
      <c r="A2738" s="1" t="s">
        <v>2773</v>
      </c>
      <c r="B2738" s="1" t="s">
        <v>53</v>
      </c>
      <c r="C2738" s="1" t="n">
        <v>1610000</v>
      </c>
      <c r="D2738" s="1" t="n">
        <v>61975.4</v>
      </c>
      <c r="E2738" s="1" t="n">
        <v>0.0538</v>
      </c>
      <c r="F2738" s="1" t="n">
        <v>0.051</v>
      </c>
    </row>
    <row r="2739" customFormat="false" ht="15" hidden="false" customHeight="false" outlineLevel="0" collapsed="false">
      <c r="A2739" s="1" t="s">
        <v>2774</v>
      </c>
      <c r="B2739" s="1" t="s">
        <v>41</v>
      </c>
      <c r="C2739" s="1" t="n">
        <v>1710000</v>
      </c>
      <c r="D2739" s="1" t="n">
        <v>355109.1</v>
      </c>
      <c r="E2739" s="1" t="n">
        <v>0.0943</v>
      </c>
      <c r="F2739" s="1" t="n">
        <v>0.051</v>
      </c>
    </row>
    <row r="2740" customFormat="false" ht="15" hidden="false" customHeight="false" outlineLevel="0" collapsed="false">
      <c r="A2740" s="1" t="s">
        <v>2775</v>
      </c>
      <c r="B2740" s="1" t="s">
        <v>26</v>
      </c>
      <c r="C2740" s="1" t="n">
        <v>1140000</v>
      </c>
      <c r="D2740" s="1" t="n">
        <v>154.2</v>
      </c>
      <c r="E2740" s="1" t="n">
        <v>0.019</v>
      </c>
      <c r="F2740" s="1" t="n">
        <v>0.1372</v>
      </c>
    </row>
    <row r="2741" customFormat="false" ht="15" hidden="false" customHeight="false" outlineLevel="0" collapsed="false">
      <c r="A2741" s="1" t="s">
        <v>2776</v>
      </c>
      <c r="B2741" s="1" t="s">
        <v>50</v>
      </c>
      <c r="C2741" s="1" t="n">
        <v>1040000</v>
      </c>
      <c r="D2741" s="1" t="n">
        <v>526</v>
      </c>
      <c r="E2741" s="1" t="n">
        <v>0.0157</v>
      </c>
      <c r="F2741" s="1" t="n">
        <v>0.0608</v>
      </c>
    </row>
    <row r="2742" customFormat="false" ht="15" hidden="false" customHeight="false" outlineLevel="0" collapsed="false">
      <c r="A2742" s="1" t="s">
        <v>2777</v>
      </c>
      <c r="B2742" s="1" t="s">
        <v>53</v>
      </c>
      <c r="C2742" s="1" t="n">
        <v>1280000</v>
      </c>
      <c r="D2742" s="1" t="n">
        <v>864.7</v>
      </c>
      <c r="E2742" s="1" t="n">
        <v>0.0031</v>
      </c>
      <c r="F2742" s="1" t="n">
        <v>0.0822</v>
      </c>
    </row>
    <row r="2743" customFormat="false" ht="15" hidden="false" customHeight="false" outlineLevel="0" collapsed="false">
      <c r="A2743" s="1" t="s">
        <v>2778</v>
      </c>
      <c r="B2743" s="1" t="s">
        <v>26</v>
      </c>
      <c r="C2743" s="1" t="n">
        <v>1190000</v>
      </c>
      <c r="D2743" s="1" t="n">
        <v>204176.6</v>
      </c>
      <c r="E2743" s="1" t="n">
        <v>0.0285</v>
      </c>
      <c r="F2743" s="1" t="n">
        <v>0.0951</v>
      </c>
    </row>
    <row r="2744" customFormat="false" ht="15" hidden="false" customHeight="false" outlineLevel="0" collapsed="false">
      <c r="A2744" s="1" t="s">
        <v>2779</v>
      </c>
      <c r="B2744" s="1" t="s">
        <v>50</v>
      </c>
      <c r="C2744" s="1" t="n">
        <v>1080000</v>
      </c>
      <c r="D2744" s="1" t="n">
        <v>827.3</v>
      </c>
      <c r="E2744" s="1" t="n">
        <v>0.0225</v>
      </c>
      <c r="F2744" s="1" t="n">
        <v>0.0725</v>
      </c>
    </row>
    <row r="2745" customFormat="false" ht="15" hidden="false" customHeight="false" outlineLevel="0" collapsed="false">
      <c r="A2745" s="1" t="s">
        <v>2780</v>
      </c>
      <c r="B2745" s="1" t="s">
        <v>32</v>
      </c>
      <c r="C2745" s="1" t="n">
        <v>1060000</v>
      </c>
      <c r="D2745" s="1" t="n">
        <v>3420</v>
      </c>
      <c r="E2745" s="1" t="n">
        <v>0.04</v>
      </c>
      <c r="F2745" s="1" t="n">
        <v>0.0998</v>
      </c>
    </row>
    <row r="2746" customFormat="false" ht="15" hidden="false" customHeight="false" outlineLevel="0" collapsed="false">
      <c r="A2746" s="1" t="s">
        <v>2781</v>
      </c>
      <c r="B2746" s="1" t="s">
        <v>71</v>
      </c>
      <c r="C2746" s="1" t="n">
        <v>1090000</v>
      </c>
      <c r="D2746" s="1" t="n">
        <v>16311</v>
      </c>
      <c r="E2746" s="1" t="n">
        <v>0.0259</v>
      </c>
      <c r="F2746" s="1" t="n">
        <v>0.1325</v>
      </c>
    </row>
    <row r="2747" customFormat="false" ht="15" hidden="false" customHeight="false" outlineLevel="0" collapsed="false">
      <c r="A2747" s="1" t="s">
        <v>2782</v>
      </c>
      <c r="B2747" s="1" t="s">
        <v>41</v>
      </c>
      <c r="C2747" s="1" t="n">
        <v>1160000</v>
      </c>
      <c r="D2747" s="1" t="n">
        <v>531.6</v>
      </c>
      <c r="E2747" s="1" t="n">
        <v>0.0724</v>
      </c>
      <c r="F2747" s="1" t="n">
        <v>0.0938</v>
      </c>
    </row>
    <row r="2748" customFormat="false" ht="15" hidden="false" customHeight="false" outlineLevel="0" collapsed="false">
      <c r="A2748" s="1" t="s">
        <v>2783</v>
      </c>
      <c r="B2748" s="1" t="s">
        <v>41</v>
      </c>
      <c r="C2748" s="1" t="n">
        <v>1480000</v>
      </c>
      <c r="D2748" s="1" t="n">
        <v>27.4</v>
      </c>
      <c r="E2748" s="1" t="n">
        <v>0.0276</v>
      </c>
      <c r="F2748" s="1" t="n">
        <v>0.3035</v>
      </c>
    </row>
    <row r="2749" customFormat="false" ht="15" hidden="false" customHeight="false" outlineLevel="0" collapsed="false">
      <c r="A2749" s="1" t="s">
        <v>2784</v>
      </c>
      <c r="B2749" s="1" t="s">
        <v>24</v>
      </c>
      <c r="C2749" s="1" t="n">
        <v>1220000</v>
      </c>
      <c r="D2749" s="1" t="n">
        <v>10454.7</v>
      </c>
      <c r="E2749" s="1" t="n">
        <v>0.2514</v>
      </c>
      <c r="F2749" s="1" t="n">
        <v>0.0938</v>
      </c>
    </row>
    <row r="2750" customFormat="false" ht="15" hidden="false" customHeight="false" outlineLevel="0" collapsed="false">
      <c r="A2750" s="1" t="s">
        <v>2785</v>
      </c>
      <c r="B2750" s="1" t="s">
        <v>26</v>
      </c>
      <c r="C2750" s="1" t="n">
        <v>1340000</v>
      </c>
      <c r="D2750" s="1" t="n">
        <v>81922.8</v>
      </c>
      <c r="E2750" s="1" t="n">
        <v>0.0378</v>
      </c>
      <c r="F2750" s="1" t="n">
        <v>0.0938</v>
      </c>
    </row>
    <row r="2751" customFormat="false" ht="15" hidden="false" customHeight="false" outlineLevel="0" collapsed="false">
      <c r="A2751" s="1" t="s">
        <v>2786</v>
      </c>
      <c r="B2751" s="1" t="s">
        <v>88</v>
      </c>
      <c r="C2751" s="1" t="n">
        <v>1290000</v>
      </c>
      <c r="D2751" s="1" t="n">
        <v>10636.6</v>
      </c>
      <c r="E2751" s="1" t="n">
        <v>0.055</v>
      </c>
      <c r="F2751" s="1" t="n">
        <v>0.0938</v>
      </c>
    </row>
    <row r="2752" customFormat="false" ht="15" hidden="false" customHeight="false" outlineLevel="0" collapsed="false">
      <c r="A2752" s="1" t="s">
        <v>2787</v>
      </c>
      <c r="B2752" s="1" t="s">
        <v>26</v>
      </c>
      <c r="C2752" s="1" t="n">
        <v>1110000</v>
      </c>
      <c r="D2752" s="1" t="n">
        <v>2820.2</v>
      </c>
      <c r="E2752" s="1" t="n">
        <v>0.016</v>
      </c>
      <c r="F2752" s="1" t="n">
        <v>0.095</v>
      </c>
    </row>
    <row r="2753" customFormat="false" ht="15" hidden="false" customHeight="false" outlineLevel="0" collapsed="false">
      <c r="A2753" s="1" t="s">
        <v>2788</v>
      </c>
      <c r="B2753" s="1" t="s">
        <v>30</v>
      </c>
      <c r="C2753" s="1" t="n">
        <v>2050000</v>
      </c>
      <c r="D2753" s="1" t="n">
        <v>401555.7</v>
      </c>
      <c r="E2753" s="1" t="n">
        <v>0.0257</v>
      </c>
      <c r="F2753" s="1" t="n">
        <v>0.0522</v>
      </c>
    </row>
    <row r="2754" customFormat="false" ht="15" hidden="false" customHeight="false" outlineLevel="0" collapsed="false">
      <c r="A2754" s="1" t="s">
        <v>2789</v>
      </c>
      <c r="B2754" s="1" t="s">
        <v>26</v>
      </c>
      <c r="C2754" s="1" t="n">
        <v>1350000</v>
      </c>
      <c r="D2754" s="1" t="n">
        <v>81733.8</v>
      </c>
      <c r="E2754" s="1" t="n">
        <v>0.0556</v>
      </c>
      <c r="F2754" s="1" t="n">
        <v>0.0759</v>
      </c>
    </row>
    <row r="2755" customFormat="false" ht="15" hidden="false" customHeight="false" outlineLevel="0" collapsed="false">
      <c r="A2755" s="1" t="s">
        <v>2790</v>
      </c>
      <c r="B2755" s="1" t="s">
        <v>21</v>
      </c>
      <c r="C2755" s="1" t="n">
        <v>1050000</v>
      </c>
      <c r="D2755" s="1" t="n">
        <v>903.7</v>
      </c>
      <c r="E2755" s="1" t="n">
        <v>0.0102</v>
      </c>
      <c r="F2755" s="1" t="n">
        <v>0.0821</v>
      </c>
    </row>
    <row r="2756" customFormat="false" ht="15" hidden="false" customHeight="false" outlineLevel="0" collapsed="false">
      <c r="A2756" s="1" t="s">
        <v>2791</v>
      </c>
      <c r="B2756" s="1" t="s">
        <v>88</v>
      </c>
      <c r="C2756" s="1" t="n">
        <v>1020000</v>
      </c>
      <c r="D2756" s="1" t="n">
        <v>154.4</v>
      </c>
      <c r="E2756" s="1" t="n">
        <v>0.0617</v>
      </c>
      <c r="F2756" s="1" t="n">
        <v>0.0644</v>
      </c>
    </row>
    <row r="2757" customFormat="false" ht="15" hidden="false" customHeight="false" outlineLevel="0" collapsed="false">
      <c r="A2757" s="1" t="s">
        <v>2792</v>
      </c>
      <c r="B2757" s="1" t="s">
        <v>92</v>
      </c>
      <c r="C2757" s="1" t="n">
        <v>1140000</v>
      </c>
      <c r="D2757" s="1" t="n">
        <v>77391.5</v>
      </c>
      <c r="E2757" s="1" t="n">
        <v>0.0326</v>
      </c>
      <c r="F2757" s="1" t="n">
        <v>0.0432</v>
      </c>
    </row>
    <row r="2758" customFormat="false" ht="15" hidden="false" customHeight="false" outlineLevel="0" collapsed="false">
      <c r="A2758" s="1" t="s">
        <v>2793</v>
      </c>
      <c r="B2758" s="1" t="s">
        <v>24</v>
      </c>
      <c r="C2758" s="1" t="n">
        <v>1080000</v>
      </c>
      <c r="D2758" s="1" t="n">
        <v>108887</v>
      </c>
      <c r="E2758" s="1" t="n">
        <v>0.0153</v>
      </c>
      <c r="F2758" s="1" t="n">
        <v>0.0462</v>
      </c>
    </row>
    <row r="2759" customFormat="false" ht="15" hidden="false" customHeight="false" outlineLevel="0" collapsed="false">
      <c r="A2759" s="1" t="s">
        <v>2794</v>
      </c>
      <c r="B2759" s="1" t="s">
        <v>62</v>
      </c>
      <c r="C2759" s="1" t="n">
        <v>1070000</v>
      </c>
      <c r="D2759" s="1" t="n">
        <v>73112.3</v>
      </c>
      <c r="E2759" s="1" t="n">
        <v>0.0326</v>
      </c>
      <c r="F2759" s="1" t="n">
        <v>0.0759</v>
      </c>
    </row>
    <row r="2760" customFormat="false" ht="15" hidden="false" customHeight="false" outlineLevel="0" collapsed="false">
      <c r="A2760" s="1" t="s">
        <v>2795</v>
      </c>
      <c r="B2760" s="1" t="s">
        <v>92</v>
      </c>
      <c r="C2760" s="1" t="n">
        <v>1110000</v>
      </c>
      <c r="D2760" s="1" t="n">
        <v>110386.8</v>
      </c>
      <c r="E2760" s="1" t="n">
        <v>0.0145</v>
      </c>
      <c r="F2760" s="1" t="n">
        <v>0.0488</v>
      </c>
    </row>
    <row r="2761" customFormat="false" ht="15" hidden="false" customHeight="false" outlineLevel="0" collapsed="false">
      <c r="A2761" s="1" t="s">
        <v>2796</v>
      </c>
      <c r="B2761" s="1" t="s">
        <v>26</v>
      </c>
      <c r="C2761" s="1" t="n">
        <v>1020000</v>
      </c>
      <c r="D2761" s="1" t="n">
        <v>29685.1</v>
      </c>
      <c r="E2761" s="1" t="n">
        <v>0.0466</v>
      </c>
      <c r="F2761" s="1" t="n">
        <v>0.0845</v>
      </c>
    </row>
    <row r="2762" customFormat="false" ht="15" hidden="false" customHeight="false" outlineLevel="0" collapsed="false">
      <c r="A2762" s="1" t="s">
        <v>2797</v>
      </c>
      <c r="B2762" s="1" t="s">
        <v>214</v>
      </c>
      <c r="C2762" s="1" t="n">
        <v>1040000</v>
      </c>
      <c r="D2762" s="1" t="n">
        <v>6804.3</v>
      </c>
      <c r="E2762" s="1" t="n">
        <v>0.0124</v>
      </c>
      <c r="F2762" s="1" t="n">
        <v>0.1471</v>
      </c>
    </row>
    <row r="2763" customFormat="false" ht="15" hidden="false" customHeight="false" outlineLevel="0" collapsed="false">
      <c r="A2763" s="1" t="s">
        <v>2798</v>
      </c>
      <c r="B2763" s="1" t="s">
        <v>26</v>
      </c>
      <c r="C2763" s="1" t="n">
        <v>1140000</v>
      </c>
      <c r="D2763" s="1" t="n">
        <v>1249688.2</v>
      </c>
      <c r="E2763" s="1" t="n">
        <v>0.039</v>
      </c>
      <c r="F2763" s="1" t="n">
        <v>0.0951</v>
      </c>
    </row>
    <row r="2764" customFormat="false" ht="15" hidden="false" customHeight="false" outlineLevel="0" collapsed="false">
      <c r="A2764" s="1" t="s">
        <v>2799</v>
      </c>
      <c r="B2764" s="1" t="s">
        <v>41</v>
      </c>
      <c r="C2764" s="1" t="n">
        <v>1400000</v>
      </c>
      <c r="D2764" s="1" t="n">
        <v>4051.4</v>
      </c>
      <c r="E2764" s="1" t="n">
        <v>0.0219</v>
      </c>
      <c r="F2764" s="1" t="n">
        <v>0.1053</v>
      </c>
    </row>
    <row r="2765" customFormat="false" ht="15" hidden="false" customHeight="false" outlineLevel="0" collapsed="false">
      <c r="A2765" s="1" t="s">
        <v>2800</v>
      </c>
      <c r="B2765" s="1" t="s">
        <v>74</v>
      </c>
      <c r="C2765" s="1" t="n">
        <v>1130000</v>
      </c>
      <c r="D2765" s="1" t="n">
        <v>69024</v>
      </c>
      <c r="E2765" s="1" t="n">
        <v>0.0436</v>
      </c>
      <c r="F2765" s="1" t="n">
        <v>0.0951</v>
      </c>
    </row>
    <row r="2766" customFormat="false" ht="15" hidden="false" customHeight="false" outlineLevel="0" collapsed="false">
      <c r="A2766" s="1" t="s">
        <v>2801</v>
      </c>
      <c r="B2766" s="1" t="s">
        <v>21</v>
      </c>
      <c r="C2766" s="1" t="n">
        <v>1390000</v>
      </c>
      <c r="D2766" s="1" t="n">
        <v>1775.3</v>
      </c>
      <c r="F2766" s="1" t="n">
        <v>0.0951</v>
      </c>
    </row>
    <row r="2767" customFormat="false" ht="15" hidden="false" customHeight="false" outlineLevel="0" collapsed="false">
      <c r="A2767" s="1" t="s">
        <v>2802</v>
      </c>
      <c r="B2767" s="1" t="s">
        <v>26</v>
      </c>
      <c r="C2767" s="1" t="n">
        <v>1230000</v>
      </c>
      <c r="D2767" s="1" t="n">
        <v>182949.3</v>
      </c>
      <c r="E2767" s="1" t="n">
        <v>0.0281</v>
      </c>
      <c r="F2767" s="1" t="n">
        <v>0.0409</v>
      </c>
    </row>
    <row r="2768" customFormat="false" ht="15" hidden="false" customHeight="false" outlineLevel="0" collapsed="false">
      <c r="A2768" s="1" t="s">
        <v>2803</v>
      </c>
      <c r="B2768" s="1" t="s">
        <v>53</v>
      </c>
      <c r="C2768" s="1" t="n">
        <v>1780000</v>
      </c>
      <c r="D2768" s="1" t="n">
        <v>2558.9</v>
      </c>
      <c r="E2768" s="1" t="n">
        <v>0.0115</v>
      </c>
      <c r="F2768" s="1" t="n">
        <v>0.0726</v>
      </c>
    </row>
    <row r="2769" customFormat="false" ht="15" hidden="false" customHeight="false" outlineLevel="0" collapsed="false">
      <c r="A2769" s="1" t="s">
        <v>2804</v>
      </c>
      <c r="B2769" s="1" t="s">
        <v>50</v>
      </c>
      <c r="C2769" s="1" t="n">
        <v>1110000</v>
      </c>
      <c r="D2769" s="1" t="n">
        <v>1313.8</v>
      </c>
      <c r="E2769" s="1" t="n">
        <v>0.0147</v>
      </c>
      <c r="F2769" s="1" t="n">
        <v>0.0854</v>
      </c>
    </row>
    <row r="2770" customFormat="false" ht="15" hidden="false" customHeight="false" outlineLevel="0" collapsed="false">
      <c r="A2770" s="1" t="s">
        <v>2805</v>
      </c>
      <c r="B2770" s="1" t="s">
        <v>53</v>
      </c>
      <c r="C2770" s="1" t="n">
        <v>2440000</v>
      </c>
      <c r="D2770" s="1" t="n">
        <v>18830.7</v>
      </c>
      <c r="E2770" s="1" t="n">
        <v>0.0126</v>
      </c>
      <c r="F2770" s="1" t="n">
        <v>0.0726</v>
      </c>
    </row>
    <row r="2771" customFormat="false" ht="15" hidden="false" customHeight="false" outlineLevel="0" collapsed="false">
      <c r="A2771" s="1" t="s">
        <v>2806</v>
      </c>
      <c r="B2771" s="1" t="s">
        <v>74</v>
      </c>
      <c r="C2771" s="1" t="n">
        <v>1500000</v>
      </c>
      <c r="D2771" s="1" t="n">
        <v>18433.6</v>
      </c>
      <c r="E2771" s="1" t="n">
        <v>0.0281</v>
      </c>
      <c r="F2771" s="1" t="n">
        <v>0.0409</v>
      </c>
    </row>
    <row r="2772" customFormat="false" ht="15" hidden="false" customHeight="false" outlineLevel="0" collapsed="false">
      <c r="A2772" s="1" t="s">
        <v>2807</v>
      </c>
      <c r="B2772" s="1" t="s">
        <v>88</v>
      </c>
      <c r="C2772" s="1" t="n">
        <v>1000000</v>
      </c>
      <c r="D2772" s="1" t="n">
        <v>1933.8</v>
      </c>
      <c r="E2772" s="1" t="n">
        <v>0.0426</v>
      </c>
      <c r="F2772" s="1" t="n">
        <v>0.0845</v>
      </c>
    </row>
    <row r="2773" customFormat="false" ht="15" hidden="false" customHeight="false" outlineLevel="0" collapsed="false">
      <c r="A2773" s="1" t="s">
        <v>2808</v>
      </c>
      <c r="B2773" s="1" t="s">
        <v>195</v>
      </c>
      <c r="C2773" s="1" t="n">
        <v>1160000</v>
      </c>
      <c r="D2773" s="1" t="n">
        <v>35461.1</v>
      </c>
      <c r="E2773" s="1" t="n">
        <v>0.0362</v>
      </c>
      <c r="F2773" s="1" t="n">
        <v>0.0951</v>
      </c>
    </row>
    <row r="2774" customFormat="false" ht="15" hidden="false" customHeight="false" outlineLevel="0" collapsed="false">
      <c r="A2774" s="1" t="s">
        <v>2809</v>
      </c>
      <c r="B2774" s="1" t="s">
        <v>26</v>
      </c>
      <c r="C2774" s="1" t="n">
        <v>525000</v>
      </c>
      <c r="D2774" s="1" t="n">
        <v>68489.6</v>
      </c>
      <c r="E2774" s="1" t="n">
        <v>0.0381</v>
      </c>
      <c r="F2774" s="1" t="n">
        <v>0.0432</v>
      </c>
    </row>
    <row r="2775" customFormat="false" ht="15" hidden="false" customHeight="false" outlineLevel="0" collapsed="false">
      <c r="A2775" s="1" t="s">
        <v>2810</v>
      </c>
      <c r="B2775" s="1" t="s">
        <v>195</v>
      </c>
      <c r="C2775" s="1" t="n">
        <v>1010000</v>
      </c>
      <c r="D2775" s="1" t="n">
        <v>397.2</v>
      </c>
      <c r="E2775" s="1" t="n">
        <v>0.0064</v>
      </c>
      <c r="F2775" s="1" t="n">
        <v>0.0654</v>
      </c>
    </row>
    <row r="2776" customFormat="false" ht="15" hidden="false" customHeight="false" outlineLevel="0" collapsed="false">
      <c r="A2776" s="1" t="s">
        <v>2811</v>
      </c>
      <c r="B2776" s="1" t="s">
        <v>26</v>
      </c>
      <c r="C2776" s="1" t="n">
        <v>1080000</v>
      </c>
      <c r="D2776" s="1" t="n">
        <v>5207.4</v>
      </c>
      <c r="E2776" s="1" t="n">
        <v>0.0156</v>
      </c>
      <c r="F2776" s="1" t="n">
        <v>0.1053</v>
      </c>
    </row>
    <row r="2777" customFormat="false" ht="15" hidden="false" customHeight="false" outlineLevel="0" collapsed="false">
      <c r="A2777" s="1" t="s">
        <v>2812</v>
      </c>
      <c r="B2777" s="1" t="s">
        <v>88</v>
      </c>
      <c r="C2777" s="1" t="n">
        <v>1200000</v>
      </c>
      <c r="D2777" s="1" t="n">
        <v>2390.9</v>
      </c>
      <c r="E2777" s="1" t="n">
        <v>0.0787</v>
      </c>
      <c r="F2777" s="1" t="n">
        <v>0.0938</v>
      </c>
    </row>
    <row r="2778" customFormat="false" ht="15" hidden="false" customHeight="false" outlineLevel="0" collapsed="false">
      <c r="A2778" s="1" t="s">
        <v>2813</v>
      </c>
      <c r="B2778" s="1" t="s">
        <v>81</v>
      </c>
      <c r="C2778" s="1" t="n">
        <v>1260000</v>
      </c>
      <c r="D2778" s="1" t="n">
        <v>29291.2</v>
      </c>
      <c r="E2778" s="1" t="n">
        <v>0.0299</v>
      </c>
      <c r="F2778" s="1" t="n">
        <v>0.0951</v>
      </c>
    </row>
    <row r="2779" customFormat="false" ht="15" hidden="false" customHeight="false" outlineLevel="0" collapsed="false">
      <c r="A2779" s="1" t="s">
        <v>2814</v>
      </c>
      <c r="B2779" s="1" t="s">
        <v>50</v>
      </c>
      <c r="C2779" s="1" t="n">
        <v>2160000</v>
      </c>
      <c r="D2779" s="1" t="n">
        <v>17263369.6</v>
      </c>
      <c r="E2779" s="1" t="n">
        <v>0.0022</v>
      </c>
      <c r="F2779" s="1" t="n">
        <v>0.0822</v>
      </c>
    </row>
    <row r="2780" customFormat="false" ht="15" hidden="false" customHeight="false" outlineLevel="0" collapsed="false">
      <c r="A2780" s="1" t="s">
        <v>2815</v>
      </c>
      <c r="B2780" s="1" t="s">
        <v>92</v>
      </c>
      <c r="C2780" s="1" t="n">
        <v>3040000</v>
      </c>
      <c r="D2780" s="1" t="n">
        <v>79743.4</v>
      </c>
      <c r="E2780" s="1" t="n">
        <v>0.0202</v>
      </c>
      <c r="F2780" s="1" t="n">
        <v>0.0462</v>
      </c>
    </row>
    <row r="2781" customFormat="false" ht="15" hidden="false" customHeight="false" outlineLevel="0" collapsed="false">
      <c r="A2781" s="1" t="s">
        <v>2816</v>
      </c>
      <c r="B2781" s="1" t="s">
        <v>26</v>
      </c>
      <c r="C2781" s="1" t="n">
        <v>955000</v>
      </c>
      <c r="D2781" s="1" t="n">
        <v>3105.4</v>
      </c>
      <c r="E2781" s="1" t="n">
        <v>0.0588</v>
      </c>
      <c r="F2781" s="1" t="n">
        <v>0.0951</v>
      </c>
    </row>
    <row r="2782" customFormat="false" ht="15" hidden="false" customHeight="false" outlineLevel="0" collapsed="false">
      <c r="A2782" s="1" t="s">
        <v>2817</v>
      </c>
      <c r="B2782" s="1" t="s">
        <v>53</v>
      </c>
      <c r="C2782" s="1" t="n">
        <v>1300000</v>
      </c>
      <c r="D2782" s="1" t="n">
        <v>274452.9</v>
      </c>
      <c r="E2782" s="1" t="n">
        <v>0.0092</v>
      </c>
      <c r="F2782" s="1" t="n">
        <v>0.0822</v>
      </c>
    </row>
    <row r="2783" customFormat="false" ht="15" hidden="false" customHeight="false" outlineLevel="0" collapsed="false">
      <c r="A2783" s="1" t="s">
        <v>2818</v>
      </c>
      <c r="B2783" s="1" t="s">
        <v>26</v>
      </c>
      <c r="C2783" s="1" t="n">
        <v>1560000</v>
      </c>
      <c r="D2783" s="1" t="n">
        <v>1708697</v>
      </c>
      <c r="E2783" s="1" t="n">
        <v>0.0143</v>
      </c>
      <c r="F2783" s="1" t="n">
        <v>0.0462</v>
      </c>
    </row>
    <row r="2784" customFormat="false" ht="15" hidden="false" customHeight="false" outlineLevel="0" collapsed="false">
      <c r="A2784" s="1" t="s">
        <v>2819</v>
      </c>
      <c r="B2784" s="1" t="s">
        <v>30</v>
      </c>
      <c r="C2784" s="1" t="n">
        <v>2110000</v>
      </c>
      <c r="D2784" s="1" t="n">
        <v>12406493.8</v>
      </c>
      <c r="E2784" s="1" t="n">
        <v>0.0056</v>
      </c>
      <c r="F2784" s="1" t="n">
        <v>0.0822</v>
      </c>
    </row>
    <row r="2785" customFormat="false" ht="15" hidden="false" customHeight="false" outlineLevel="0" collapsed="false">
      <c r="A2785" s="1" t="s">
        <v>2820</v>
      </c>
      <c r="B2785" s="1" t="s">
        <v>41</v>
      </c>
      <c r="C2785" s="1" t="n">
        <v>649000</v>
      </c>
      <c r="D2785" s="1" t="n">
        <v>32278.6</v>
      </c>
      <c r="E2785" s="1" t="n">
        <v>0.0561</v>
      </c>
      <c r="F2785" s="1" t="n">
        <v>0.0759</v>
      </c>
    </row>
    <row r="2786" customFormat="false" ht="15" hidden="false" customHeight="false" outlineLevel="0" collapsed="false">
      <c r="A2786" s="1" t="s">
        <v>2821</v>
      </c>
      <c r="B2786" s="1" t="s">
        <v>26</v>
      </c>
      <c r="C2786" s="1" t="n">
        <v>1570000</v>
      </c>
      <c r="D2786" s="1" t="n">
        <v>49824.4</v>
      </c>
      <c r="E2786" s="1" t="n">
        <v>0.0643</v>
      </c>
      <c r="F2786" s="1" t="n">
        <v>0.0759</v>
      </c>
    </row>
    <row r="2787" customFormat="false" ht="15" hidden="false" customHeight="false" outlineLevel="0" collapsed="false">
      <c r="A2787" s="1" t="s">
        <v>2822</v>
      </c>
      <c r="B2787" s="1" t="s">
        <v>26</v>
      </c>
      <c r="C2787" s="1" t="n">
        <v>1110000</v>
      </c>
      <c r="D2787" s="1" t="n">
        <v>169826.2</v>
      </c>
      <c r="E2787" s="1" t="n">
        <v>0.047</v>
      </c>
      <c r="F2787" s="1" t="n">
        <v>0.0951</v>
      </c>
    </row>
    <row r="2788" customFormat="false" ht="15" hidden="false" customHeight="false" outlineLevel="0" collapsed="false">
      <c r="A2788" s="1" t="s">
        <v>2823</v>
      </c>
      <c r="B2788" s="1" t="s">
        <v>26</v>
      </c>
      <c r="C2788" s="1" t="n">
        <v>1150000</v>
      </c>
      <c r="D2788" s="1" t="n">
        <v>77450.2</v>
      </c>
      <c r="E2788" s="1" t="n">
        <v>0.0555</v>
      </c>
      <c r="F2788" s="1" t="n">
        <v>0.0759</v>
      </c>
    </row>
    <row r="2789" customFormat="false" ht="15" hidden="false" customHeight="false" outlineLevel="0" collapsed="false">
      <c r="A2789" s="1" t="s">
        <v>2824</v>
      </c>
      <c r="B2789" s="1" t="s">
        <v>24</v>
      </c>
      <c r="C2789" s="1" t="n">
        <v>1880000</v>
      </c>
      <c r="D2789" s="1" t="n">
        <v>1644.4</v>
      </c>
      <c r="E2789" s="1" t="n">
        <v>0.0147</v>
      </c>
      <c r="F2789" s="1" t="n">
        <v>0.0765</v>
      </c>
    </row>
    <row r="2790" customFormat="false" ht="15" hidden="false" customHeight="false" outlineLevel="0" collapsed="false">
      <c r="A2790" s="1" t="s">
        <v>2825</v>
      </c>
      <c r="B2790" s="1" t="s">
        <v>26</v>
      </c>
      <c r="C2790" s="1" t="n">
        <v>1330000</v>
      </c>
      <c r="D2790" s="1" t="n">
        <v>157983.5</v>
      </c>
      <c r="E2790" s="1" t="n">
        <v>0.0388</v>
      </c>
      <c r="F2790" s="1" t="n">
        <v>0.0938</v>
      </c>
    </row>
    <row r="2791" customFormat="false" ht="15" hidden="false" customHeight="false" outlineLevel="0" collapsed="false">
      <c r="A2791" s="1" t="s">
        <v>2826</v>
      </c>
      <c r="B2791" s="1" t="s">
        <v>26</v>
      </c>
      <c r="C2791" s="1" t="n">
        <v>1140000</v>
      </c>
      <c r="D2791" s="1" t="n">
        <v>8396.4</v>
      </c>
      <c r="E2791" s="1" t="n">
        <v>0.012</v>
      </c>
      <c r="F2791" s="1" t="n">
        <v>0.0822</v>
      </c>
    </row>
    <row r="2792" customFormat="false" ht="15" hidden="false" customHeight="false" outlineLevel="0" collapsed="false">
      <c r="A2792" s="1" t="s">
        <v>2827</v>
      </c>
      <c r="B2792" s="1" t="s">
        <v>26</v>
      </c>
      <c r="C2792" s="1" t="n">
        <v>1040000</v>
      </c>
      <c r="D2792" s="1" t="n">
        <v>16242.4</v>
      </c>
      <c r="E2792" s="1" t="n">
        <v>0.0367</v>
      </c>
      <c r="F2792" s="1" t="n">
        <v>0.0951</v>
      </c>
    </row>
    <row r="2793" customFormat="false" ht="15" hidden="false" customHeight="false" outlineLevel="0" collapsed="false">
      <c r="A2793" s="1" t="s">
        <v>2828</v>
      </c>
      <c r="B2793" s="1" t="s">
        <v>21</v>
      </c>
      <c r="C2793" s="1" t="n">
        <v>3760000</v>
      </c>
      <c r="D2793" s="1" t="n">
        <v>752371.1</v>
      </c>
      <c r="E2793" s="1" t="n">
        <v>0.0119</v>
      </c>
      <c r="F2793" s="1" t="n">
        <v>0.0584</v>
      </c>
    </row>
    <row r="2794" customFormat="false" ht="15" hidden="false" customHeight="false" outlineLevel="0" collapsed="false">
      <c r="A2794" s="1" t="s">
        <v>2829</v>
      </c>
      <c r="B2794" s="1" t="s">
        <v>26</v>
      </c>
      <c r="C2794" s="1" t="n">
        <v>1070000</v>
      </c>
      <c r="D2794" s="1" t="n">
        <v>13.3</v>
      </c>
      <c r="F2794" s="1" t="n">
        <v>0.0409</v>
      </c>
    </row>
    <row r="2795" customFormat="false" ht="15" hidden="false" customHeight="false" outlineLevel="0" collapsed="false">
      <c r="A2795" s="1" t="s">
        <v>2830</v>
      </c>
      <c r="B2795" s="1" t="s">
        <v>26</v>
      </c>
      <c r="C2795" s="1" t="n">
        <v>1140000</v>
      </c>
      <c r="D2795" s="1" t="n">
        <v>99118.5</v>
      </c>
      <c r="E2795" s="1" t="n">
        <v>0.0699</v>
      </c>
      <c r="F2795" s="1" t="n">
        <v>0.0951</v>
      </c>
    </row>
    <row r="2796" customFormat="false" ht="15" hidden="false" customHeight="false" outlineLevel="0" collapsed="false">
      <c r="A2796" s="1" t="s">
        <v>2831</v>
      </c>
      <c r="B2796" s="1" t="s">
        <v>26</v>
      </c>
      <c r="C2796" s="1" t="n">
        <v>1520000</v>
      </c>
      <c r="D2796" s="1" t="n">
        <v>27686.1</v>
      </c>
      <c r="E2796" s="1" t="n">
        <v>0.0219</v>
      </c>
      <c r="F2796" s="1" t="n">
        <v>0.0576</v>
      </c>
    </row>
    <row r="2797" customFormat="false" ht="15" hidden="false" customHeight="false" outlineLevel="0" collapsed="false">
      <c r="A2797" s="1" t="s">
        <v>2832</v>
      </c>
      <c r="B2797" s="1" t="s">
        <v>41</v>
      </c>
      <c r="C2797" s="1" t="n">
        <v>1840000</v>
      </c>
      <c r="D2797" s="1" t="n">
        <v>364.6</v>
      </c>
      <c r="E2797" s="1" t="n">
        <v>0.0199</v>
      </c>
      <c r="F2797" s="1" t="n">
        <v>0.1053</v>
      </c>
    </row>
    <row r="2798" customFormat="false" ht="15" hidden="false" customHeight="false" outlineLevel="0" collapsed="false">
      <c r="A2798" s="1" t="s">
        <v>2833</v>
      </c>
      <c r="B2798" s="1" t="s">
        <v>92</v>
      </c>
      <c r="C2798" s="1" t="n">
        <v>1240000</v>
      </c>
      <c r="D2798" s="1" t="n">
        <v>13143.7</v>
      </c>
      <c r="E2798" s="1" t="n">
        <v>0.0102</v>
      </c>
      <c r="F2798" s="1" t="n">
        <v>0.0654</v>
      </c>
    </row>
    <row r="2799" customFormat="false" ht="15" hidden="false" customHeight="false" outlineLevel="0" collapsed="false">
      <c r="A2799" s="1" t="s">
        <v>2834</v>
      </c>
      <c r="B2799" s="1" t="s">
        <v>26</v>
      </c>
      <c r="C2799" s="1" t="n">
        <v>1110000</v>
      </c>
      <c r="D2799" s="1" t="n">
        <v>74134.9</v>
      </c>
      <c r="E2799" s="1" t="n">
        <v>0.0386</v>
      </c>
      <c r="F2799" s="1" t="n">
        <v>0.0759</v>
      </c>
    </row>
    <row r="2800" customFormat="false" ht="15" hidden="false" customHeight="false" outlineLevel="0" collapsed="false">
      <c r="A2800" s="1" t="s">
        <v>2835</v>
      </c>
      <c r="B2800" s="1" t="s">
        <v>62</v>
      </c>
      <c r="C2800" s="1" t="n">
        <v>555000</v>
      </c>
      <c r="D2800" s="1" t="n">
        <v>72030.5</v>
      </c>
      <c r="E2800" s="1" t="n">
        <v>0.0279</v>
      </c>
      <c r="F2800" s="1" t="n">
        <v>0.0409</v>
      </c>
    </row>
    <row r="2801" customFormat="false" ht="15" hidden="false" customHeight="false" outlineLevel="0" collapsed="false">
      <c r="A2801" s="1" t="s">
        <v>2836</v>
      </c>
      <c r="B2801" s="1" t="s">
        <v>26</v>
      </c>
      <c r="C2801" s="1" t="n">
        <v>1820000</v>
      </c>
      <c r="D2801" s="1" t="n">
        <v>241435.9</v>
      </c>
      <c r="E2801" s="1" t="n">
        <v>0.0478</v>
      </c>
      <c r="F2801" s="1" t="n">
        <v>0.0759</v>
      </c>
    </row>
    <row r="2802" customFormat="false" ht="15" hidden="false" customHeight="false" outlineLevel="0" collapsed="false">
      <c r="A2802" s="1" t="s">
        <v>2837</v>
      </c>
      <c r="B2802" s="1" t="s">
        <v>26</v>
      </c>
      <c r="C2802" s="1" t="n">
        <v>1080000</v>
      </c>
      <c r="D2802" s="1" t="n">
        <v>23124.4</v>
      </c>
      <c r="E2802" s="1" t="n">
        <v>0.0274</v>
      </c>
      <c r="F2802" s="1" t="n">
        <v>0.0951</v>
      </c>
    </row>
    <row r="2803" customFormat="false" ht="15" hidden="false" customHeight="false" outlineLevel="0" collapsed="false">
      <c r="A2803" s="1" t="s">
        <v>2838</v>
      </c>
      <c r="B2803" s="1" t="s">
        <v>50</v>
      </c>
      <c r="C2803" s="1" t="n">
        <v>1870000</v>
      </c>
      <c r="D2803" s="1" t="n">
        <v>340135.7</v>
      </c>
      <c r="E2803" s="1" t="n">
        <v>0.0089</v>
      </c>
      <c r="F2803" s="1" t="n">
        <v>0.0822</v>
      </c>
    </row>
    <row r="2804" customFormat="false" ht="15" hidden="false" customHeight="false" outlineLevel="0" collapsed="false">
      <c r="A2804" s="1" t="s">
        <v>2839</v>
      </c>
      <c r="B2804" s="1" t="s">
        <v>195</v>
      </c>
      <c r="C2804" s="1" t="n">
        <v>1230000</v>
      </c>
      <c r="D2804" s="1" t="n">
        <v>58749</v>
      </c>
      <c r="E2804" s="1" t="n">
        <v>0.0437</v>
      </c>
      <c r="F2804" s="1" t="n">
        <v>0.0409</v>
      </c>
    </row>
    <row r="2805" customFormat="false" ht="15" hidden="false" customHeight="false" outlineLevel="0" collapsed="false">
      <c r="A2805" s="1" t="s">
        <v>2840</v>
      </c>
      <c r="B2805" s="1" t="s">
        <v>26</v>
      </c>
      <c r="C2805" s="1" t="n">
        <v>1310000</v>
      </c>
      <c r="D2805" s="1" t="n">
        <v>336811.7</v>
      </c>
      <c r="E2805" s="1" t="n">
        <v>0.0459</v>
      </c>
      <c r="F2805" s="1" t="n">
        <v>0.0409</v>
      </c>
    </row>
    <row r="2806" customFormat="false" ht="15" hidden="false" customHeight="false" outlineLevel="0" collapsed="false">
      <c r="A2806" s="1" t="s">
        <v>2841</v>
      </c>
      <c r="B2806" s="1" t="s">
        <v>50</v>
      </c>
      <c r="C2806" s="1" t="n">
        <v>1180000</v>
      </c>
      <c r="D2806" s="1" t="n">
        <v>84991.1</v>
      </c>
      <c r="E2806" s="1" t="n">
        <v>0.0206</v>
      </c>
      <c r="F2806" s="1" t="n">
        <v>0.1053</v>
      </c>
    </row>
    <row r="2807" customFormat="false" ht="15" hidden="false" customHeight="false" outlineLevel="0" collapsed="false">
      <c r="A2807" s="1" t="s">
        <v>2842</v>
      </c>
      <c r="B2807" s="1" t="s">
        <v>92</v>
      </c>
      <c r="C2807" s="1" t="n">
        <v>1520000</v>
      </c>
      <c r="D2807" s="1" t="n">
        <v>207145.7</v>
      </c>
      <c r="E2807" s="1" t="n">
        <v>0.0104</v>
      </c>
      <c r="F2807" s="1" t="n">
        <v>0.0584</v>
      </c>
    </row>
    <row r="2808" customFormat="false" ht="15" hidden="false" customHeight="false" outlineLevel="0" collapsed="false">
      <c r="A2808" s="1" t="s">
        <v>2843</v>
      </c>
      <c r="B2808" s="1" t="s">
        <v>53</v>
      </c>
      <c r="C2808" s="1" t="n">
        <v>2090000</v>
      </c>
      <c r="D2808" s="1" t="n">
        <v>5640191.4</v>
      </c>
      <c r="E2808" s="1" t="n">
        <v>0.0151</v>
      </c>
      <c r="F2808" s="1" t="n">
        <v>0.0585</v>
      </c>
    </row>
    <row r="2809" customFormat="false" ht="15" hidden="false" customHeight="false" outlineLevel="0" collapsed="false">
      <c r="A2809" s="1" t="s">
        <v>2844</v>
      </c>
      <c r="B2809" s="1" t="s">
        <v>490</v>
      </c>
      <c r="C2809" s="1" t="n">
        <v>1360000</v>
      </c>
      <c r="D2809" s="1" t="n">
        <v>15116.4</v>
      </c>
      <c r="E2809" s="1" t="n">
        <v>0.018</v>
      </c>
      <c r="F2809" s="1" t="n">
        <v>0.0576</v>
      </c>
    </row>
    <row r="2810" customFormat="false" ht="15" hidden="false" customHeight="false" outlineLevel="0" collapsed="false">
      <c r="A2810" s="1" t="s">
        <v>2845</v>
      </c>
      <c r="B2810" s="1" t="s">
        <v>62</v>
      </c>
      <c r="C2810" s="1" t="n">
        <v>1190000</v>
      </c>
      <c r="D2810" s="1" t="n">
        <v>46535.9</v>
      </c>
      <c r="E2810" s="1" t="n">
        <v>0.009</v>
      </c>
      <c r="F2810" s="1" t="n">
        <v>0.0822</v>
      </c>
    </row>
    <row r="2811" customFormat="false" ht="15" hidden="false" customHeight="false" outlineLevel="0" collapsed="false">
      <c r="A2811" s="1" t="s">
        <v>2846</v>
      </c>
      <c r="B2811" s="1" t="s">
        <v>88</v>
      </c>
      <c r="C2811" s="1" t="n">
        <v>1150000</v>
      </c>
      <c r="D2811" s="1" t="n">
        <v>249094.8</v>
      </c>
      <c r="E2811" s="1" t="n">
        <v>0.0468</v>
      </c>
      <c r="F2811" s="1" t="n">
        <v>0.0951</v>
      </c>
    </row>
    <row r="2812" customFormat="false" ht="15" hidden="false" customHeight="false" outlineLevel="0" collapsed="false">
      <c r="A2812" s="1" t="s">
        <v>2847</v>
      </c>
      <c r="B2812" s="1" t="s">
        <v>32</v>
      </c>
      <c r="C2812" s="1" t="n">
        <v>1210000</v>
      </c>
      <c r="D2812" s="1" t="n">
        <v>8176.3</v>
      </c>
      <c r="E2812" s="1" t="n">
        <v>0.0292</v>
      </c>
      <c r="F2812" s="1" t="n">
        <v>0.0409</v>
      </c>
    </row>
    <row r="2813" customFormat="false" ht="15" hidden="false" customHeight="false" outlineLevel="0" collapsed="false">
      <c r="A2813" s="1" t="s">
        <v>2848</v>
      </c>
      <c r="B2813" s="1" t="s">
        <v>92</v>
      </c>
      <c r="C2813" s="1" t="n">
        <v>1090000</v>
      </c>
      <c r="D2813" s="1" t="n">
        <v>23213.7</v>
      </c>
      <c r="E2813" s="1" t="n">
        <v>0.0209</v>
      </c>
      <c r="F2813" s="1" t="n">
        <v>0.0757</v>
      </c>
    </row>
    <row r="2814" customFormat="false" ht="15" hidden="false" customHeight="false" outlineLevel="0" collapsed="false">
      <c r="A2814" s="1" t="s">
        <v>2849</v>
      </c>
      <c r="B2814" s="1" t="s">
        <v>53</v>
      </c>
      <c r="C2814" s="1" t="n">
        <v>2960000</v>
      </c>
      <c r="D2814" s="1" t="n">
        <v>427324.3</v>
      </c>
      <c r="E2814" s="1" t="n">
        <v>0.0398</v>
      </c>
      <c r="F2814" s="1" t="n">
        <v>0.0759</v>
      </c>
    </row>
    <row r="2815" customFormat="false" ht="15" hidden="false" customHeight="false" outlineLevel="0" collapsed="false">
      <c r="A2815" s="1" t="s">
        <v>2850</v>
      </c>
      <c r="B2815" s="1" t="s">
        <v>53</v>
      </c>
      <c r="C2815" s="1" t="n">
        <v>1180000</v>
      </c>
      <c r="D2815" s="1" t="n">
        <v>7366.9</v>
      </c>
      <c r="E2815" s="1" t="n">
        <v>0.016</v>
      </c>
      <c r="F2815" s="1" t="n">
        <v>0.0854</v>
      </c>
    </row>
    <row r="2816" customFormat="false" ht="15" hidden="false" customHeight="false" outlineLevel="0" collapsed="false">
      <c r="A2816" s="1" t="s">
        <v>2851</v>
      </c>
      <c r="B2816" s="1" t="s">
        <v>26</v>
      </c>
      <c r="C2816" s="1" t="n">
        <v>1070000</v>
      </c>
      <c r="D2816" s="1" t="n">
        <v>12874.1</v>
      </c>
      <c r="E2816" s="1" t="n">
        <v>0.019</v>
      </c>
      <c r="F2816" s="1" t="n">
        <v>0.0462</v>
      </c>
    </row>
    <row r="2817" customFormat="false" ht="15" hidden="false" customHeight="false" outlineLevel="0" collapsed="false">
      <c r="A2817" s="1" t="s">
        <v>2852</v>
      </c>
      <c r="B2817" s="1" t="s">
        <v>21</v>
      </c>
      <c r="C2817" s="1" t="n">
        <v>1960000</v>
      </c>
      <c r="D2817" s="1" t="n">
        <v>195864.2</v>
      </c>
      <c r="E2817" s="1" t="n">
        <v>0.0395</v>
      </c>
      <c r="F2817" s="1" t="n">
        <v>0.0759</v>
      </c>
    </row>
    <row r="2818" customFormat="false" ht="15" hidden="false" customHeight="false" outlineLevel="0" collapsed="false">
      <c r="A2818" s="1" t="s">
        <v>2853</v>
      </c>
      <c r="B2818" s="1" t="s">
        <v>41</v>
      </c>
      <c r="C2818" s="1" t="n">
        <v>1410000</v>
      </c>
      <c r="D2818" s="1" t="n">
        <v>121531.4</v>
      </c>
      <c r="E2818" s="1" t="n">
        <v>0.0309</v>
      </c>
      <c r="F2818" s="1" t="n">
        <v>0.0672</v>
      </c>
    </row>
    <row r="2819" customFormat="false" ht="15" hidden="false" customHeight="false" outlineLevel="0" collapsed="false">
      <c r="A2819" s="1" t="s">
        <v>2854</v>
      </c>
      <c r="B2819" s="1" t="s">
        <v>50</v>
      </c>
      <c r="C2819" s="1" t="n">
        <v>1860000</v>
      </c>
      <c r="D2819" s="1" t="n">
        <v>58029.6</v>
      </c>
      <c r="E2819" s="1" t="n">
        <v>0.018</v>
      </c>
      <c r="F2819" s="1" t="n">
        <v>0.0576</v>
      </c>
    </row>
    <row r="2820" customFormat="false" ht="15" hidden="false" customHeight="false" outlineLevel="0" collapsed="false">
      <c r="A2820" s="1" t="s">
        <v>2855</v>
      </c>
      <c r="B2820" s="1" t="s">
        <v>92</v>
      </c>
      <c r="C2820" s="1" t="n">
        <v>1010000</v>
      </c>
      <c r="D2820" s="1" t="n">
        <v>639.7</v>
      </c>
      <c r="E2820" s="1" t="n">
        <v>0.0378</v>
      </c>
      <c r="F2820" s="1" t="n">
        <v>0.2545</v>
      </c>
    </row>
    <row r="2821" customFormat="false" ht="15" hidden="false" customHeight="false" outlineLevel="0" collapsed="false">
      <c r="A2821" s="1" t="s">
        <v>2856</v>
      </c>
      <c r="B2821" s="1" t="s">
        <v>214</v>
      </c>
      <c r="C2821" s="1" t="n">
        <v>1170000</v>
      </c>
      <c r="D2821" s="1" t="n">
        <v>47147.8</v>
      </c>
      <c r="E2821" s="1" t="n">
        <v>0.0337</v>
      </c>
      <c r="F2821" s="1" t="n">
        <v>0.0951</v>
      </c>
    </row>
    <row r="2822" customFormat="false" ht="15" hidden="false" customHeight="false" outlineLevel="0" collapsed="false">
      <c r="A2822" s="1" t="s">
        <v>2857</v>
      </c>
      <c r="B2822" s="1" t="s">
        <v>26</v>
      </c>
      <c r="C2822" s="1" t="n">
        <v>1050000</v>
      </c>
      <c r="D2822" s="1" t="n">
        <v>9351.8</v>
      </c>
      <c r="E2822" s="1" t="n">
        <v>0.1163</v>
      </c>
      <c r="F2822" s="1" t="n">
        <v>0.0951</v>
      </c>
    </row>
    <row r="2823" customFormat="false" ht="15" hidden="false" customHeight="false" outlineLevel="0" collapsed="false">
      <c r="A2823" s="1" t="s">
        <v>2858</v>
      </c>
      <c r="B2823" s="1" t="s">
        <v>50</v>
      </c>
      <c r="C2823" s="1" t="n">
        <v>1170000</v>
      </c>
      <c r="D2823" s="1" t="n">
        <v>8116.4</v>
      </c>
      <c r="E2823" s="1" t="n">
        <v>0.0436</v>
      </c>
      <c r="F2823" s="1" t="n">
        <v>0.0759</v>
      </c>
    </row>
    <row r="2824" customFormat="false" ht="15" hidden="false" customHeight="false" outlineLevel="0" collapsed="false">
      <c r="A2824" s="1" t="s">
        <v>2859</v>
      </c>
      <c r="B2824" s="1" t="s">
        <v>30</v>
      </c>
      <c r="C2824" s="1" t="n">
        <v>1090000</v>
      </c>
      <c r="D2824" s="1" t="n">
        <v>2036</v>
      </c>
      <c r="E2824" s="1" t="n">
        <v>0.0038</v>
      </c>
      <c r="F2824" s="1" t="n">
        <v>0.0654</v>
      </c>
    </row>
    <row r="2825" customFormat="false" ht="15" hidden="false" customHeight="false" outlineLevel="0" collapsed="false">
      <c r="A2825" s="1" t="s">
        <v>2860</v>
      </c>
      <c r="B2825" s="1" t="s">
        <v>81</v>
      </c>
      <c r="C2825" s="1" t="n">
        <v>1740000</v>
      </c>
      <c r="D2825" s="1" t="n">
        <v>3554</v>
      </c>
      <c r="E2825" s="1" t="n">
        <v>0.0322</v>
      </c>
      <c r="F2825" s="1" t="n">
        <v>0.0938</v>
      </c>
    </row>
    <row r="2826" customFormat="false" ht="15" hidden="false" customHeight="false" outlineLevel="0" collapsed="false">
      <c r="A2826" s="1" t="s">
        <v>2861</v>
      </c>
      <c r="B2826" s="1" t="s">
        <v>71</v>
      </c>
      <c r="C2826" s="1" t="n">
        <v>3010000</v>
      </c>
      <c r="D2826" s="1" t="n">
        <v>49606.2</v>
      </c>
      <c r="E2826" s="1" t="n">
        <v>0.0076</v>
      </c>
      <c r="F2826" s="1" t="n">
        <v>0.1471</v>
      </c>
    </row>
    <row r="2827" customFormat="false" ht="15" hidden="false" customHeight="false" outlineLevel="0" collapsed="false">
      <c r="A2827" s="1" t="s">
        <v>2862</v>
      </c>
      <c r="B2827" s="1" t="s">
        <v>21</v>
      </c>
      <c r="C2827" s="1" t="n">
        <v>1430000</v>
      </c>
      <c r="D2827" s="1" t="n">
        <v>197113.3</v>
      </c>
      <c r="E2827" s="1" t="n">
        <v>0.0215</v>
      </c>
      <c r="F2827" s="1" t="n">
        <v>0.0576</v>
      </c>
    </row>
    <row r="2828" customFormat="false" ht="15" hidden="false" customHeight="false" outlineLevel="0" collapsed="false">
      <c r="A2828" s="1" t="s">
        <v>2863</v>
      </c>
      <c r="B2828" s="1" t="s">
        <v>88</v>
      </c>
      <c r="C2828" s="1" t="n">
        <v>1300000</v>
      </c>
      <c r="D2828" s="1" t="n">
        <v>6541.7</v>
      </c>
      <c r="E2828" s="1" t="n">
        <v>0.0403</v>
      </c>
      <c r="F2828" s="1" t="n">
        <v>0.0938</v>
      </c>
    </row>
    <row r="2829" customFormat="false" ht="15" hidden="false" customHeight="false" outlineLevel="0" collapsed="false">
      <c r="A2829" s="1" t="s">
        <v>2864</v>
      </c>
      <c r="B2829" s="1" t="s">
        <v>81</v>
      </c>
      <c r="C2829" s="1" t="n">
        <v>1030000</v>
      </c>
      <c r="D2829" s="1" t="n">
        <v>5830.8</v>
      </c>
      <c r="E2829" s="1" t="n">
        <v>0.0205</v>
      </c>
      <c r="F2829" s="1" t="n">
        <v>0.1067</v>
      </c>
    </row>
    <row r="2830" customFormat="false" ht="15" hidden="false" customHeight="false" outlineLevel="0" collapsed="false">
      <c r="A2830" s="1" t="s">
        <v>2865</v>
      </c>
      <c r="B2830" s="1" t="s">
        <v>24</v>
      </c>
      <c r="C2830" s="1" t="n">
        <v>1070000</v>
      </c>
      <c r="D2830" s="1" t="n">
        <v>8329</v>
      </c>
      <c r="E2830" s="1" t="n">
        <v>0.0261</v>
      </c>
      <c r="F2830" s="1" t="n">
        <v>0.0854</v>
      </c>
    </row>
    <row r="2831" customFormat="false" ht="15" hidden="false" customHeight="false" outlineLevel="0" collapsed="false">
      <c r="A2831" s="1" t="s">
        <v>2866</v>
      </c>
      <c r="B2831" s="1" t="s">
        <v>53</v>
      </c>
      <c r="C2831" s="1" t="n">
        <v>2450000</v>
      </c>
      <c r="D2831" s="1" t="n">
        <v>2149279.5</v>
      </c>
      <c r="E2831" s="1" t="n">
        <v>0.0251</v>
      </c>
      <c r="F2831" s="1" t="n">
        <v>0.0854</v>
      </c>
    </row>
    <row r="2832" customFormat="false" ht="15" hidden="false" customHeight="false" outlineLevel="0" collapsed="false">
      <c r="A2832" s="1" t="s">
        <v>2867</v>
      </c>
      <c r="B2832" s="1" t="s">
        <v>26</v>
      </c>
      <c r="C2832" s="1" t="n">
        <v>1090000</v>
      </c>
      <c r="D2832" s="1" t="n">
        <v>41790.3</v>
      </c>
      <c r="E2832" s="1" t="n">
        <v>0.0133</v>
      </c>
      <c r="F2832" s="1" t="n">
        <v>0.0585</v>
      </c>
    </row>
    <row r="2833" customFormat="false" ht="15" hidden="false" customHeight="false" outlineLevel="0" collapsed="false">
      <c r="A2833" s="1" t="s">
        <v>2868</v>
      </c>
      <c r="B2833" s="1" t="s">
        <v>88</v>
      </c>
      <c r="C2833" s="1" t="n">
        <v>1130000</v>
      </c>
      <c r="D2833" s="1" t="n">
        <v>1066</v>
      </c>
      <c r="E2833" s="1" t="n">
        <v>0.0465</v>
      </c>
      <c r="F2833" s="1" t="n">
        <v>0.0938</v>
      </c>
    </row>
    <row r="2834" customFormat="false" ht="15" hidden="false" customHeight="false" outlineLevel="0" collapsed="false">
      <c r="A2834" s="1" t="s">
        <v>2869</v>
      </c>
      <c r="B2834" s="1" t="s">
        <v>88</v>
      </c>
      <c r="C2834" s="1" t="n">
        <v>1310000</v>
      </c>
      <c r="D2834" s="1" t="n">
        <v>3468.1</v>
      </c>
      <c r="E2834" s="1" t="n">
        <v>0.0404</v>
      </c>
      <c r="F2834" s="1" t="n">
        <v>0.0759</v>
      </c>
    </row>
    <row r="2835" customFormat="false" ht="15" hidden="false" customHeight="false" outlineLevel="0" collapsed="false">
      <c r="A2835" s="1" t="s">
        <v>2870</v>
      </c>
      <c r="B2835" s="1" t="s">
        <v>26</v>
      </c>
      <c r="C2835" s="1" t="n">
        <v>1160000</v>
      </c>
      <c r="D2835" s="1" t="n">
        <v>5250726</v>
      </c>
      <c r="E2835" s="1" t="n">
        <v>0.0068</v>
      </c>
      <c r="F2835" s="1" t="n">
        <v>0.0822</v>
      </c>
    </row>
    <row r="2836" customFormat="false" ht="15" hidden="false" customHeight="false" outlineLevel="0" collapsed="false">
      <c r="A2836" s="1" t="s">
        <v>2871</v>
      </c>
      <c r="B2836" s="1" t="s">
        <v>62</v>
      </c>
      <c r="C2836" s="1" t="n">
        <v>2120000</v>
      </c>
      <c r="D2836" s="1" t="n">
        <v>31648.4</v>
      </c>
      <c r="E2836" s="1" t="n">
        <v>0.0253</v>
      </c>
      <c r="F2836" s="1" t="n">
        <v>0.0998</v>
      </c>
    </row>
    <row r="2837" customFormat="false" ht="15" hidden="false" customHeight="false" outlineLevel="0" collapsed="false">
      <c r="A2837" s="1" t="s">
        <v>2872</v>
      </c>
      <c r="B2837" s="1" t="s">
        <v>195</v>
      </c>
      <c r="C2837" s="1" t="n">
        <v>1000000</v>
      </c>
      <c r="D2837" s="1" t="n">
        <v>2003.2</v>
      </c>
      <c r="E2837" s="1" t="n">
        <v>0.0211</v>
      </c>
      <c r="F2837" s="1" t="n">
        <v>0.0951</v>
      </c>
    </row>
    <row r="2838" customFormat="false" ht="15" hidden="false" customHeight="false" outlineLevel="0" collapsed="false">
      <c r="A2838" s="1" t="s">
        <v>2873</v>
      </c>
      <c r="B2838" s="1" t="s">
        <v>26</v>
      </c>
      <c r="C2838" s="1" t="n">
        <v>1900000</v>
      </c>
      <c r="D2838" s="1" t="n">
        <v>1122220.5</v>
      </c>
      <c r="E2838" s="1" t="n">
        <v>0.0686</v>
      </c>
      <c r="F2838" s="1" t="n">
        <v>0.0938</v>
      </c>
    </row>
    <row r="2839" customFormat="false" ht="15" hidden="false" customHeight="false" outlineLevel="0" collapsed="false">
      <c r="A2839" s="1" t="s">
        <v>2874</v>
      </c>
      <c r="B2839" s="1" t="s">
        <v>71</v>
      </c>
      <c r="C2839" s="1" t="n">
        <v>1130000</v>
      </c>
      <c r="D2839" s="1" t="n">
        <v>13622.3</v>
      </c>
      <c r="E2839" s="1" t="n">
        <v>0.0054</v>
      </c>
      <c r="F2839" s="1" t="n">
        <v>0.0654</v>
      </c>
    </row>
    <row r="2840" customFormat="false" ht="15" hidden="false" customHeight="false" outlineLevel="0" collapsed="false">
      <c r="A2840" s="1" t="s">
        <v>2875</v>
      </c>
      <c r="B2840" s="1" t="s">
        <v>24</v>
      </c>
      <c r="C2840" s="1" t="n">
        <v>1510000</v>
      </c>
      <c r="D2840" s="1" t="n">
        <v>62433.2</v>
      </c>
      <c r="E2840" s="1" t="n">
        <v>0.0128</v>
      </c>
      <c r="F2840" s="1" t="n">
        <v>0.0585</v>
      </c>
    </row>
    <row r="2841" customFormat="false" ht="15" hidden="false" customHeight="false" outlineLevel="0" collapsed="false">
      <c r="A2841" s="1" t="s">
        <v>2876</v>
      </c>
      <c r="B2841" s="1" t="s">
        <v>21</v>
      </c>
      <c r="C2841" s="1" t="n">
        <v>1020000</v>
      </c>
      <c r="D2841" s="1" t="n">
        <v>15584.7</v>
      </c>
      <c r="E2841" s="1" t="n">
        <v>0.0594</v>
      </c>
      <c r="F2841" s="1" t="n">
        <v>0.0951</v>
      </c>
    </row>
    <row r="2842" customFormat="false" ht="15" hidden="false" customHeight="false" outlineLevel="0" collapsed="false">
      <c r="A2842" s="1" t="s">
        <v>2877</v>
      </c>
      <c r="B2842" s="1" t="s">
        <v>26</v>
      </c>
      <c r="C2842" s="1" t="n">
        <v>1180000</v>
      </c>
      <c r="D2842" s="1" t="n">
        <v>26794.8</v>
      </c>
      <c r="E2842" s="1" t="n">
        <v>0.0465</v>
      </c>
      <c r="F2842" s="1" t="n">
        <v>0.0759</v>
      </c>
    </row>
    <row r="2843" customFormat="false" ht="15" hidden="false" customHeight="false" outlineLevel="0" collapsed="false">
      <c r="A2843" s="1" t="s">
        <v>2878</v>
      </c>
      <c r="B2843" s="1" t="s">
        <v>41</v>
      </c>
      <c r="C2843" s="1" t="n">
        <v>1440000</v>
      </c>
      <c r="D2843" s="1" t="n">
        <v>43.7</v>
      </c>
      <c r="E2843" s="1" t="n">
        <v>0.0092</v>
      </c>
      <c r="F2843" s="1" t="n">
        <v>0.241</v>
      </c>
    </row>
    <row r="2844" customFormat="false" ht="15" hidden="false" customHeight="false" outlineLevel="0" collapsed="false">
      <c r="A2844" s="1" t="s">
        <v>2879</v>
      </c>
      <c r="B2844" s="1" t="s">
        <v>21</v>
      </c>
      <c r="C2844" s="1" t="n">
        <v>1300000</v>
      </c>
      <c r="D2844" s="1" t="n">
        <v>57966.4</v>
      </c>
      <c r="E2844" s="1" t="n">
        <v>0.0187</v>
      </c>
      <c r="F2844" s="1" t="n">
        <v>0.2294</v>
      </c>
    </row>
    <row r="2845" customFormat="false" ht="15" hidden="false" customHeight="false" outlineLevel="0" collapsed="false">
      <c r="A2845" s="1" t="s">
        <v>2880</v>
      </c>
      <c r="B2845" s="1" t="s">
        <v>53</v>
      </c>
      <c r="C2845" s="1" t="n">
        <v>1160000</v>
      </c>
      <c r="D2845" s="1" t="n">
        <v>41014.6</v>
      </c>
      <c r="E2845" s="1" t="n">
        <v>0.0675</v>
      </c>
      <c r="F2845" s="1" t="n">
        <v>0.0538</v>
      </c>
    </row>
    <row r="2846" customFormat="false" ht="15" hidden="false" customHeight="false" outlineLevel="0" collapsed="false">
      <c r="A2846" s="1" t="s">
        <v>2881</v>
      </c>
      <c r="B2846" s="1" t="s">
        <v>92</v>
      </c>
      <c r="C2846" s="1" t="n">
        <v>1270000</v>
      </c>
      <c r="D2846" s="1" t="n">
        <v>118091.6</v>
      </c>
      <c r="E2846" s="1" t="n">
        <v>0.0125</v>
      </c>
      <c r="F2846" s="1" t="n">
        <v>0.0811</v>
      </c>
    </row>
    <row r="2847" customFormat="false" ht="15" hidden="false" customHeight="false" outlineLevel="0" collapsed="false">
      <c r="A2847" s="1" t="s">
        <v>2882</v>
      </c>
      <c r="B2847" s="1" t="s">
        <v>214</v>
      </c>
      <c r="C2847" s="1" t="n">
        <v>970000</v>
      </c>
      <c r="D2847" s="1" t="n">
        <v>6204.3</v>
      </c>
      <c r="E2847" s="1" t="n">
        <v>0.011</v>
      </c>
      <c r="F2847" s="1" t="n">
        <v>0.1452</v>
      </c>
    </row>
    <row r="2848" customFormat="false" ht="15" hidden="false" customHeight="false" outlineLevel="0" collapsed="false">
      <c r="A2848" s="1" t="s">
        <v>2883</v>
      </c>
      <c r="B2848" s="1" t="s">
        <v>41</v>
      </c>
      <c r="C2848" s="1" t="n">
        <v>1250000</v>
      </c>
      <c r="D2848" s="1" t="n">
        <v>8065.7</v>
      </c>
      <c r="E2848" s="1" t="n">
        <v>0.0316</v>
      </c>
      <c r="F2848" s="1" t="n">
        <v>0.0951</v>
      </c>
    </row>
    <row r="2849" customFormat="false" ht="15" hidden="false" customHeight="false" outlineLevel="0" collapsed="false">
      <c r="A2849" s="1" t="s">
        <v>2884</v>
      </c>
      <c r="B2849" s="1" t="s">
        <v>92</v>
      </c>
      <c r="C2849" s="1" t="n">
        <v>1040000</v>
      </c>
      <c r="D2849" s="1" t="n">
        <v>2472.5</v>
      </c>
      <c r="E2849" s="1" t="n">
        <v>0.0386</v>
      </c>
      <c r="F2849" s="1" t="n">
        <v>0.0938</v>
      </c>
    </row>
    <row r="2850" customFormat="false" ht="15" hidden="false" customHeight="false" outlineLevel="0" collapsed="false">
      <c r="A2850" s="1" t="s">
        <v>2885</v>
      </c>
      <c r="B2850" s="1" t="s">
        <v>21</v>
      </c>
      <c r="C2850" s="1" t="n">
        <v>3380000</v>
      </c>
      <c r="D2850" s="1" t="n">
        <v>12244.4</v>
      </c>
      <c r="E2850" s="1" t="n">
        <v>0.1332</v>
      </c>
      <c r="F2850" s="1" t="n">
        <v>0.5061</v>
      </c>
    </row>
    <row r="2851" customFormat="false" ht="15" hidden="false" customHeight="false" outlineLevel="0" collapsed="false">
      <c r="A2851" s="1" t="s">
        <v>2886</v>
      </c>
      <c r="B2851" s="1" t="s">
        <v>81</v>
      </c>
      <c r="C2851" s="1" t="n">
        <v>1250000</v>
      </c>
      <c r="D2851" s="1" t="n">
        <v>121496.2</v>
      </c>
      <c r="E2851" s="1" t="n">
        <v>0.0256</v>
      </c>
      <c r="F2851" s="1" t="n">
        <v>0.0759</v>
      </c>
    </row>
    <row r="2852" customFormat="false" ht="15" hidden="false" customHeight="false" outlineLevel="0" collapsed="false">
      <c r="A2852" s="1" t="s">
        <v>2887</v>
      </c>
      <c r="B2852" s="1" t="s">
        <v>26</v>
      </c>
      <c r="C2852" s="1" t="n">
        <v>1080000</v>
      </c>
      <c r="D2852" s="1" t="n">
        <v>211456.6</v>
      </c>
      <c r="E2852" s="1" t="n">
        <v>0.0214</v>
      </c>
      <c r="F2852" s="1" t="n">
        <v>0.0518</v>
      </c>
    </row>
    <row r="2853" customFormat="false" ht="15" hidden="false" customHeight="false" outlineLevel="0" collapsed="false">
      <c r="A2853" s="1" t="s">
        <v>2888</v>
      </c>
      <c r="B2853" s="1" t="s">
        <v>287</v>
      </c>
      <c r="C2853" s="1" t="n">
        <v>1290000</v>
      </c>
      <c r="D2853" s="1" t="n">
        <v>4082.7</v>
      </c>
      <c r="E2853" s="1" t="n">
        <v>0.0169</v>
      </c>
      <c r="F2853" s="1" t="n">
        <v>0.0576</v>
      </c>
    </row>
    <row r="2854" customFormat="false" ht="15" hidden="false" customHeight="false" outlineLevel="0" collapsed="false">
      <c r="A2854" s="1" t="s">
        <v>2889</v>
      </c>
      <c r="B2854" s="1" t="s">
        <v>24</v>
      </c>
      <c r="C2854" s="1" t="n">
        <v>1030000</v>
      </c>
      <c r="D2854" s="1" t="n">
        <v>6490.7</v>
      </c>
      <c r="E2854" s="1" t="n">
        <v>0.098</v>
      </c>
      <c r="F2854" s="1" t="n">
        <v>0.0759</v>
      </c>
    </row>
    <row r="2855" customFormat="false" ht="15" hidden="false" customHeight="false" outlineLevel="0" collapsed="false">
      <c r="A2855" s="1" t="s">
        <v>2890</v>
      </c>
      <c r="B2855" s="1" t="s">
        <v>26</v>
      </c>
      <c r="C2855" s="1" t="n">
        <v>1210000</v>
      </c>
      <c r="D2855" s="1" t="n">
        <v>240871.5</v>
      </c>
      <c r="E2855" s="1" t="n">
        <v>0.0623</v>
      </c>
      <c r="F2855" s="1" t="n">
        <v>0.0759</v>
      </c>
    </row>
    <row r="2856" customFormat="false" ht="15" hidden="false" customHeight="false" outlineLevel="0" collapsed="false">
      <c r="A2856" s="1" t="s">
        <v>2891</v>
      </c>
      <c r="B2856" s="1" t="s">
        <v>50</v>
      </c>
      <c r="C2856" s="1" t="n">
        <v>1990000</v>
      </c>
      <c r="D2856" s="1" t="n">
        <v>1749.9</v>
      </c>
      <c r="F2856" s="1" t="n">
        <v>0.0759</v>
      </c>
    </row>
    <row r="2857" customFormat="false" ht="15" hidden="false" customHeight="false" outlineLevel="0" collapsed="false">
      <c r="A2857" s="1" t="s">
        <v>2892</v>
      </c>
      <c r="B2857" s="1" t="s">
        <v>24</v>
      </c>
      <c r="C2857" s="1" t="n">
        <v>1140000</v>
      </c>
      <c r="D2857" s="1" t="n">
        <v>5636748.6</v>
      </c>
      <c r="E2857" s="1" t="n">
        <v>0.0111</v>
      </c>
      <c r="F2857" s="1" t="n">
        <v>0.171</v>
      </c>
    </row>
    <row r="2858" customFormat="false" ht="15" hidden="false" customHeight="false" outlineLevel="0" collapsed="false">
      <c r="A2858" s="1" t="s">
        <v>2893</v>
      </c>
      <c r="B2858" s="1" t="s">
        <v>41</v>
      </c>
      <c r="C2858" s="1" t="n">
        <v>985000</v>
      </c>
      <c r="D2858" s="1" t="n">
        <v>1278.5</v>
      </c>
      <c r="E2858" s="1" t="n">
        <v>0.02</v>
      </c>
      <c r="F2858" s="1" t="n">
        <v>0.139</v>
      </c>
    </row>
    <row r="2859" customFormat="false" ht="15" hidden="false" customHeight="false" outlineLevel="0" collapsed="false">
      <c r="A2859" s="1" t="s">
        <v>2894</v>
      </c>
      <c r="B2859" s="1" t="s">
        <v>26</v>
      </c>
      <c r="C2859" s="1" t="n">
        <v>1100000</v>
      </c>
      <c r="D2859" s="1" t="n">
        <v>8989.9</v>
      </c>
      <c r="E2859" s="1" t="n">
        <v>0.013</v>
      </c>
      <c r="F2859" s="1" t="n">
        <v>0.0585</v>
      </c>
    </row>
    <row r="2860" customFormat="false" ht="15" hidden="false" customHeight="false" outlineLevel="0" collapsed="false">
      <c r="A2860" s="1" t="s">
        <v>2895</v>
      </c>
      <c r="B2860" s="1" t="s">
        <v>30</v>
      </c>
      <c r="C2860" s="1" t="n">
        <v>1560000</v>
      </c>
      <c r="D2860" s="1" t="n">
        <v>3633</v>
      </c>
      <c r="E2860" s="1" t="n">
        <v>0.0336</v>
      </c>
      <c r="F2860" s="1" t="n">
        <v>0.0951</v>
      </c>
    </row>
    <row r="2861" customFormat="false" ht="15" hidden="false" customHeight="false" outlineLevel="0" collapsed="false">
      <c r="A2861" s="1" t="s">
        <v>2896</v>
      </c>
      <c r="B2861" s="1" t="s">
        <v>62</v>
      </c>
      <c r="C2861" s="1" t="n">
        <v>1060000</v>
      </c>
      <c r="D2861" s="1" t="n">
        <v>5194007.2</v>
      </c>
      <c r="E2861" s="1" t="n">
        <v>0.024</v>
      </c>
      <c r="F2861" s="1" t="n">
        <v>0.1242</v>
      </c>
    </row>
    <row r="2862" customFormat="false" ht="15" hidden="false" customHeight="false" outlineLevel="0" collapsed="false">
      <c r="A2862" s="1" t="s">
        <v>2897</v>
      </c>
      <c r="B2862" s="1" t="s">
        <v>88</v>
      </c>
      <c r="C2862" s="1" t="n">
        <v>1960000</v>
      </c>
      <c r="D2862" s="1" t="n">
        <v>17572.5</v>
      </c>
      <c r="E2862" s="1" t="n">
        <v>0.044</v>
      </c>
      <c r="F2862" s="1" t="n">
        <v>0.1168</v>
      </c>
    </row>
    <row r="2863" customFormat="false" ht="15" hidden="false" customHeight="false" outlineLevel="0" collapsed="false">
      <c r="A2863" s="1" t="s">
        <v>2898</v>
      </c>
      <c r="B2863" s="1" t="s">
        <v>50</v>
      </c>
      <c r="C2863" s="1" t="n">
        <v>1020000</v>
      </c>
      <c r="D2863" s="1" t="n">
        <v>10464</v>
      </c>
      <c r="E2863" s="1" t="n">
        <v>0.0212</v>
      </c>
      <c r="F2863" s="1" t="n">
        <v>0.117</v>
      </c>
    </row>
    <row r="2864" customFormat="false" ht="15" hidden="false" customHeight="false" outlineLevel="0" collapsed="false">
      <c r="A2864" s="1" t="s">
        <v>2899</v>
      </c>
      <c r="B2864" s="1" t="s">
        <v>26</v>
      </c>
      <c r="C2864" s="1" t="n">
        <v>917000</v>
      </c>
      <c r="D2864" s="1" t="n">
        <v>10449.9</v>
      </c>
      <c r="E2864" s="1" t="n">
        <v>0.0079</v>
      </c>
      <c r="F2864" s="1" t="n">
        <v>0.0822</v>
      </c>
    </row>
    <row r="2865" customFormat="false" ht="15" hidden="false" customHeight="false" outlineLevel="0" collapsed="false">
      <c r="A2865" s="1" t="s">
        <v>2900</v>
      </c>
      <c r="B2865" s="1" t="s">
        <v>88</v>
      </c>
      <c r="C2865" s="1" t="n">
        <v>1050000</v>
      </c>
      <c r="D2865" s="1" t="n">
        <v>2804</v>
      </c>
      <c r="E2865" s="1" t="n">
        <v>0.0502</v>
      </c>
      <c r="F2865" s="1" t="n">
        <v>0.0938</v>
      </c>
    </row>
    <row r="2866" customFormat="false" ht="15" hidden="false" customHeight="false" outlineLevel="0" collapsed="false">
      <c r="A2866" s="1" t="s">
        <v>2901</v>
      </c>
      <c r="B2866" s="1" t="s">
        <v>92</v>
      </c>
      <c r="C2866" s="1" t="n">
        <v>1390000</v>
      </c>
      <c r="D2866" s="1" t="n">
        <v>12083.3</v>
      </c>
      <c r="E2866" s="1" t="n">
        <v>0.0283</v>
      </c>
      <c r="F2866" s="1" t="n">
        <v>0.0938</v>
      </c>
    </row>
    <row r="2867" customFormat="false" ht="15" hidden="false" customHeight="false" outlineLevel="0" collapsed="false">
      <c r="A2867" s="1" t="s">
        <v>2902</v>
      </c>
      <c r="B2867" s="1" t="s">
        <v>24</v>
      </c>
      <c r="C2867" s="1" t="n">
        <v>1120000</v>
      </c>
      <c r="D2867" s="1" t="n">
        <v>1510.9</v>
      </c>
      <c r="E2867" s="1" t="n">
        <v>0.0375</v>
      </c>
      <c r="F2867" s="1" t="n">
        <v>0.1241</v>
      </c>
    </row>
    <row r="2868" customFormat="false" ht="15" hidden="false" customHeight="false" outlineLevel="0" collapsed="false">
      <c r="A2868" s="1" t="s">
        <v>2903</v>
      </c>
      <c r="B2868" s="1" t="s">
        <v>24</v>
      </c>
      <c r="C2868" s="1" t="n">
        <v>1230000</v>
      </c>
      <c r="D2868" s="1" t="n">
        <v>1668.8</v>
      </c>
      <c r="E2868" s="1" t="n">
        <v>0.0373</v>
      </c>
      <c r="F2868" s="1" t="n">
        <v>0.0938</v>
      </c>
    </row>
    <row r="2869" customFormat="false" ht="15" hidden="false" customHeight="false" outlineLevel="0" collapsed="false">
      <c r="A2869" s="1" t="s">
        <v>2904</v>
      </c>
      <c r="B2869" s="1" t="s">
        <v>92</v>
      </c>
      <c r="C2869" s="1" t="n">
        <v>1040000</v>
      </c>
      <c r="D2869" s="1" t="n">
        <v>32978.3</v>
      </c>
      <c r="E2869" s="1" t="n">
        <v>0.0266</v>
      </c>
      <c r="F2869" s="1" t="n">
        <v>0.0951</v>
      </c>
    </row>
    <row r="2870" customFormat="false" ht="15" hidden="false" customHeight="false" outlineLevel="0" collapsed="false">
      <c r="A2870" s="1" t="s">
        <v>2905</v>
      </c>
      <c r="B2870" s="1" t="s">
        <v>26</v>
      </c>
      <c r="C2870" s="1" t="n">
        <v>1270000</v>
      </c>
      <c r="D2870" s="1" t="n">
        <v>85104.8</v>
      </c>
      <c r="E2870" s="1" t="n">
        <v>0.0496</v>
      </c>
      <c r="F2870" s="1" t="n">
        <v>0.0759</v>
      </c>
    </row>
    <row r="2871" customFormat="false" ht="15" hidden="false" customHeight="false" outlineLevel="0" collapsed="false">
      <c r="A2871" s="1" t="s">
        <v>2906</v>
      </c>
      <c r="B2871" s="1" t="s">
        <v>74</v>
      </c>
      <c r="C2871" s="1" t="n">
        <v>994000</v>
      </c>
      <c r="D2871" s="1" t="n">
        <v>7478.8</v>
      </c>
      <c r="E2871" s="1" t="n">
        <v>0.0596</v>
      </c>
      <c r="F2871" s="1" t="n">
        <v>0.0951</v>
      </c>
    </row>
    <row r="2872" customFormat="false" ht="15" hidden="false" customHeight="false" outlineLevel="0" collapsed="false">
      <c r="A2872" s="1" t="s">
        <v>2907</v>
      </c>
      <c r="B2872" s="1" t="s">
        <v>26</v>
      </c>
      <c r="C2872" s="1" t="n">
        <v>1140000</v>
      </c>
      <c r="D2872" s="1" t="n">
        <v>153351.7</v>
      </c>
      <c r="E2872" s="1" t="n">
        <v>0.035</v>
      </c>
      <c r="F2872" s="1" t="n">
        <v>0.0759</v>
      </c>
    </row>
    <row r="2873" customFormat="false" ht="15" hidden="false" customHeight="false" outlineLevel="0" collapsed="false">
      <c r="A2873" s="1" t="s">
        <v>2908</v>
      </c>
      <c r="B2873" s="1" t="s">
        <v>26</v>
      </c>
      <c r="C2873" s="1" t="n">
        <v>1070000</v>
      </c>
      <c r="D2873" s="1" t="n">
        <v>174189.2</v>
      </c>
      <c r="E2873" s="1" t="n">
        <v>0.0172</v>
      </c>
      <c r="F2873" s="1" t="n">
        <v>0.0518</v>
      </c>
    </row>
    <row r="2874" customFormat="false" ht="15" hidden="false" customHeight="false" outlineLevel="0" collapsed="false">
      <c r="A2874" s="1" t="s">
        <v>2909</v>
      </c>
      <c r="B2874" s="1" t="s">
        <v>26</v>
      </c>
      <c r="C2874" s="1" t="n">
        <v>1060000</v>
      </c>
      <c r="D2874" s="1" t="n">
        <v>727</v>
      </c>
      <c r="E2874" s="1" t="n">
        <v>0.0448</v>
      </c>
      <c r="F2874" s="1" t="n">
        <v>0.0938</v>
      </c>
    </row>
    <row r="2875" customFormat="false" ht="15" hidden="false" customHeight="false" outlineLevel="0" collapsed="false">
      <c r="A2875" s="1" t="s">
        <v>2910</v>
      </c>
      <c r="B2875" s="1" t="s">
        <v>21</v>
      </c>
      <c r="C2875" s="1" t="n">
        <v>1310000</v>
      </c>
      <c r="D2875" s="1" t="n">
        <v>3583</v>
      </c>
      <c r="E2875" s="1" t="n">
        <v>0.0596</v>
      </c>
      <c r="F2875" s="1" t="n">
        <v>0.0713</v>
      </c>
    </row>
    <row r="2876" customFormat="false" ht="15" hidden="false" customHeight="false" outlineLevel="0" collapsed="false">
      <c r="A2876" s="1" t="s">
        <v>2911</v>
      </c>
      <c r="B2876" s="1" t="s">
        <v>26</v>
      </c>
      <c r="C2876" s="1" t="n">
        <v>1700000</v>
      </c>
      <c r="D2876" s="1" t="n">
        <v>529689.8</v>
      </c>
      <c r="E2876" s="1" t="n">
        <v>0.0382</v>
      </c>
      <c r="F2876" s="1" t="n">
        <v>0.0409</v>
      </c>
    </row>
    <row r="2877" customFormat="false" ht="15" hidden="false" customHeight="false" outlineLevel="0" collapsed="false">
      <c r="A2877" s="1" t="s">
        <v>2912</v>
      </c>
      <c r="B2877" s="1" t="s">
        <v>24</v>
      </c>
      <c r="C2877" s="1" t="n">
        <v>1340000</v>
      </c>
      <c r="D2877" s="1" t="n">
        <v>16013.5</v>
      </c>
      <c r="E2877" s="1" t="n">
        <v>0.0184</v>
      </c>
      <c r="F2877" s="1" t="n">
        <v>0.0576</v>
      </c>
    </row>
    <row r="2878" customFormat="false" ht="15" hidden="false" customHeight="false" outlineLevel="0" collapsed="false">
      <c r="A2878" s="1" t="s">
        <v>2913</v>
      </c>
      <c r="B2878" s="1" t="s">
        <v>62</v>
      </c>
      <c r="C2878" s="1" t="n">
        <v>1080000</v>
      </c>
      <c r="D2878" s="1" t="n">
        <v>15010.6</v>
      </c>
      <c r="E2878" s="1" t="n">
        <v>0.0189</v>
      </c>
      <c r="F2878" s="1" t="n">
        <v>0.0462</v>
      </c>
    </row>
    <row r="2879" customFormat="false" ht="15" hidden="false" customHeight="false" outlineLevel="0" collapsed="false">
      <c r="A2879" s="1" t="s">
        <v>2914</v>
      </c>
      <c r="B2879" s="1" t="s">
        <v>26</v>
      </c>
      <c r="C2879" s="1" t="n">
        <v>1000000</v>
      </c>
      <c r="D2879" s="1" t="n">
        <v>30788.8</v>
      </c>
      <c r="E2879" s="1" t="n">
        <v>0.0818</v>
      </c>
      <c r="F2879" s="1" t="n">
        <v>0.0679</v>
      </c>
    </row>
    <row r="2880" customFormat="false" ht="15" hidden="false" customHeight="false" outlineLevel="0" collapsed="false">
      <c r="A2880" s="1" t="s">
        <v>2915</v>
      </c>
      <c r="B2880" s="1" t="s">
        <v>287</v>
      </c>
      <c r="C2880" s="1" t="n">
        <v>1760000</v>
      </c>
      <c r="D2880" s="1" t="n">
        <v>8149.3</v>
      </c>
      <c r="E2880" s="1" t="n">
        <v>0.0135</v>
      </c>
      <c r="F2880" s="1" t="n">
        <v>0.0811</v>
      </c>
    </row>
    <row r="2881" customFormat="false" ht="15" hidden="false" customHeight="false" outlineLevel="0" collapsed="false">
      <c r="A2881" s="1" t="s">
        <v>2916</v>
      </c>
      <c r="B2881" s="1" t="s">
        <v>26</v>
      </c>
      <c r="C2881" s="1" t="n">
        <v>1090000</v>
      </c>
      <c r="D2881" s="1" t="n">
        <v>1055.6</v>
      </c>
      <c r="E2881" s="1" t="n">
        <v>0.052</v>
      </c>
      <c r="F2881" s="1" t="n">
        <v>0.0759</v>
      </c>
    </row>
    <row r="2882" customFormat="false" ht="15" hidden="false" customHeight="false" outlineLevel="0" collapsed="false">
      <c r="A2882" s="1" t="s">
        <v>2917</v>
      </c>
      <c r="B2882" s="1" t="s">
        <v>92</v>
      </c>
      <c r="C2882" s="1" t="n">
        <v>419000</v>
      </c>
      <c r="D2882" s="1" t="n">
        <v>10567.8</v>
      </c>
      <c r="E2882" s="1" t="n">
        <v>0.0324</v>
      </c>
      <c r="F2882" s="1" t="n">
        <v>0.0759</v>
      </c>
    </row>
    <row r="2883" customFormat="false" ht="15" hidden="false" customHeight="false" outlineLevel="0" collapsed="false">
      <c r="A2883" s="1" t="s">
        <v>2918</v>
      </c>
      <c r="B2883" s="1" t="s">
        <v>41</v>
      </c>
      <c r="C2883" s="1" t="n">
        <v>1000000</v>
      </c>
      <c r="D2883" s="1" t="n">
        <v>27484.7</v>
      </c>
      <c r="E2883" s="1" t="n">
        <v>0.0155</v>
      </c>
      <c r="F2883" s="1" t="n">
        <v>0.0726</v>
      </c>
    </row>
    <row r="2884" customFormat="false" ht="15" hidden="false" customHeight="false" outlineLevel="0" collapsed="false">
      <c r="A2884" s="1" t="s">
        <v>2919</v>
      </c>
      <c r="B2884" s="1" t="s">
        <v>92</v>
      </c>
      <c r="C2884" s="1" t="n">
        <v>1110000</v>
      </c>
      <c r="D2884" s="1" t="n">
        <v>18154.1</v>
      </c>
      <c r="E2884" s="1" t="n">
        <v>0.021</v>
      </c>
      <c r="F2884" s="1" t="n">
        <v>0.117</v>
      </c>
    </row>
    <row r="2885" customFormat="false" ht="15" hidden="false" customHeight="false" outlineLevel="0" collapsed="false">
      <c r="A2885" s="1" t="s">
        <v>2920</v>
      </c>
      <c r="B2885" s="1" t="s">
        <v>53</v>
      </c>
      <c r="C2885" s="1" t="n">
        <v>1000000</v>
      </c>
      <c r="D2885" s="1" t="n">
        <v>8409</v>
      </c>
      <c r="E2885" s="1" t="n">
        <v>0.0191</v>
      </c>
      <c r="F2885" s="1" t="n">
        <v>0.0854</v>
      </c>
    </row>
    <row r="2886" customFormat="false" ht="15" hidden="false" customHeight="false" outlineLevel="0" collapsed="false">
      <c r="A2886" s="1" t="s">
        <v>2921</v>
      </c>
      <c r="B2886" s="1" t="s">
        <v>53</v>
      </c>
      <c r="C2886" s="1" t="n">
        <v>990000</v>
      </c>
      <c r="D2886" s="1" t="n">
        <v>166.5</v>
      </c>
      <c r="E2886" s="1" t="n">
        <v>0.0517</v>
      </c>
      <c r="F2886" s="1" t="n">
        <v>0.0759</v>
      </c>
    </row>
    <row r="2887" customFormat="false" ht="15" hidden="false" customHeight="false" outlineLevel="0" collapsed="false">
      <c r="A2887" s="1" t="s">
        <v>2922</v>
      </c>
      <c r="B2887" s="1" t="s">
        <v>26</v>
      </c>
      <c r="C2887" s="1" t="n">
        <v>1000000</v>
      </c>
      <c r="D2887" s="1" t="n">
        <v>291.2</v>
      </c>
      <c r="E2887" s="1" t="n">
        <v>0.0325</v>
      </c>
      <c r="F2887" s="1" t="n">
        <v>0.0412</v>
      </c>
    </row>
    <row r="2888" customFormat="false" ht="15" hidden="false" customHeight="false" outlineLevel="0" collapsed="false">
      <c r="A2888" s="1" t="s">
        <v>2923</v>
      </c>
      <c r="B2888" s="1" t="s">
        <v>30</v>
      </c>
      <c r="C2888" s="1" t="n">
        <v>1380000</v>
      </c>
      <c r="D2888" s="1" t="n">
        <v>73189.3</v>
      </c>
      <c r="E2888" s="1" t="n">
        <v>0.0256</v>
      </c>
      <c r="F2888" s="1" t="n">
        <v>0.0462</v>
      </c>
    </row>
    <row r="2889" customFormat="false" ht="15" hidden="false" customHeight="false" outlineLevel="0" collapsed="false">
      <c r="A2889" s="1" t="s">
        <v>2924</v>
      </c>
      <c r="B2889" s="1" t="s">
        <v>92</v>
      </c>
      <c r="C2889" s="1" t="n">
        <v>1540000</v>
      </c>
      <c r="D2889" s="1" t="n">
        <v>129334.2</v>
      </c>
      <c r="E2889" s="1" t="n">
        <v>0.0267</v>
      </c>
      <c r="F2889" s="1" t="n">
        <v>0.051</v>
      </c>
    </row>
    <row r="2890" customFormat="false" ht="15" hidden="false" customHeight="false" outlineLevel="0" collapsed="false">
      <c r="A2890" s="1" t="s">
        <v>2925</v>
      </c>
      <c r="B2890" s="1" t="s">
        <v>490</v>
      </c>
      <c r="C2890" s="1" t="n">
        <v>1560000</v>
      </c>
      <c r="D2890" s="1" t="n">
        <v>69232.4</v>
      </c>
      <c r="E2890" s="1" t="n">
        <v>0.0212</v>
      </c>
      <c r="F2890" s="1" t="n">
        <v>0.0951</v>
      </c>
    </row>
    <row r="2891" customFormat="false" ht="15" hidden="false" customHeight="false" outlineLevel="0" collapsed="false">
      <c r="A2891" s="1" t="s">
        <v>2926</v>
      </c>
      <c r="B2891" s="1" t="s">
        <v>30</v>
      </c>
      <c r="C2891" s="1" t="n">
        <v>1150000</v>
      </c>
      <c r="D2891" s="1" t="n">
        <v>720867.2</v>
      </c>
      <c r="E2891" s="1" t="n">
        <v>0.031</v>
      </c>
      <c r="F2891" s="1" t="n">
        <v>0.0409</v>
      </c>
    </row>
    <row r="2892" customFormat="false" ht="15" hidden="false" customHeight="false" outlineLevel="0" collapsed="false">
      <c r="A2892" s="1" t="s">
        <v>2927</v>
      </c>
      <c r="B2892" s="1" t="s">
        <v>214</v>
      </c>
      <c r="C2892" s="1" t="n">
        <v>1090000</v>
      </c>
      <c r="D2892" s="1" t="n">
        <v>3112.3</v>
      </c>
      <c r="E2892" s="1" t="n">
        <v>0.0434</v>
      </c>
      <c r="F2892" s="1" t="n">
        <v>0.0759</v>
      </c>
    </row>
    <row r="2893" customFormat="false" ht="15" hidden="false" customHeight="false" outlineLevel="0" collapsed="false">
      <c r="A2893" s="1" t="s">
        <v>2928</v>
      </c>
      <c r="B2893" s="1" t="s">
        <v>214</v>
      </c>
      <c r="C2893" s="1" t="n">
        <v>1070000</v>
      </c>
      <c r="D2893" s="1" t="n">
        <v>10353.4</v>
      </c>
      <c r="E2893" s="1" t="n">
        <v>0.0134</v>
      </c>
      <c r="F2893" s="1" t="n">
        <v>0.1452</v>
      </c>
    </row>
    <row r="2894" customFormat="false" ht="15" hidden="false" customHeight="false" outlineLevel="0" collapsed="false">
      <c r="A2894" s="1" t="s">
        <v>2929</v>
      </c>
      <c r="B2894" s="1" t="s">
        <v>88</v>
      </c>
      <c r="C2894" s="1" t="n">
        <v>1010000</v>
      </c>
      <c r="D2894" s="1" t="n">
        <v>2427.2</v>
      </c>
      <c r="E2894" s="1" t="n">
        <v>0.0344</v>
      </c>
      <c r="F2894" s="1" t="n">
        <v>0.0644</v>
      </c>
    </row>
    <row r="2895" customFormat="false" ht="15" hidden="false" customHeight="false" outlineLevel="0" collapsed="false">
      <c r="A2895" s="1" t="s">
        <v>2930</v>
      </c>
      <c r="B2895" s="1" t="s">
        <v>92</v>
      </c>
      <c r="C2895" s="1" t="n">
        <v>1120000</v>
      </c>
      <c r="D2895" s="1" t="n">
        <v>42778</v>
      </c>
      <c r="E2895" s="1" t="n">
        <v>0.0373</v>
      </c>
      <c r="F2895" s="1" t="n">
        <v>0.051</v>
      </c>
    </row>
    <row r="2896" customFormat="false" ht="15" hidden="false" customHeight="false" outlineLevel="0" collapsed="false">
      <c r="A2896" s="1" t="s">
        <v>2931</v>
      </c>
      <c r="B2896" s="1" t="s">
        <v>92</v>
      </c>
      <c r="C2896" s="1" t="n">
        <v>1410000</v>
      </c>
      <c r="D2896" s="1" t="n">
        <v>2169.3</v>
      </c>
      <c r="E2896" s="1" t="n">
        <v>0.0096</v>
      </c>
      <c r="F2896" s="1" t="n">
        <v>0.1298</v>
      </c>
    </row>
    <row r="2897" customFormat="false" ht="15" hidden="false" customHeight="false" outlineLevel="0" collapsed="false">
      <c r="A2897" s="1" t="s">
        <v>2932</v>
      </c>
      <c r="B2897" s="1" t="s">
        <v>88</v>
      </c>
      <c r="C2897" s="1" t="n">
        <v>1040000</v>
      </c>
      <c r="D2897" s="1" t="n">
        <v>7218</v>
      </c>
      <c r="E2897" s="1" t="n">
        <v>0.0332</v>
      </c>
      <c r="F2897" s="1" t="n">
        <v>0.0938</v>
      </c>
    </row>
    <row r="2898" customFormat="false" ht="15" hidden="false" customHeight="false" outlineLevel="0" collapsed="false">
      <c r="A2898" s="1" t="s">
        <v>2933</v>
      </c>
      <c r="B2898" s="1" t="s">
        <v>26</v>
      </c>
      <c r="C2898" s="1" t="n">
        <v>1540000</v>
      </c>
      <c r="D2898" s="1" t="n">
        <v>961127.4</v>
      </c>
      <c r="E2898" s="1" t="n">
        <v>0.0298</v>
      </c>
      <c r="F2898" s="1" t="n">
        <v>0.0409</v>
      </c>
    </row>
    <row r="2899" customFormat="false" ht="15" hidden="false" customHeight="false" outlineLevel="0" collapsed="false">
      <c r="A2899" s="1" t="s">
        <v>2934</v>
      </c>
      <c r="B2899" s="1" t="s">
        <v>41</v>
      </c>
      <c r="C2899" s="1" t="n">
        <v>1200000</v>
      </c>
      <c r="D2899" s="1" t="n">
        <v>364187.9</v>
      </c>
      <c r="E2899" s="1" t="n">
        <v>0.055</v>
      </c>
      <c r="F2899" s="1" t="n">
        <v>0.1226</v>
      </c>
    </row>
    <row r="2900" customFormat="false" ht="15" hidden="false" customHeight="false" outlineLevel="0" collapsed="false">
      <c r="A2900" s="1" t="s">
        <v>2935</v>
      </c>
      <c r="B2900" s="1" t="s">
        <v>32</v>
      </c>
      <c r="C2900" s="1" t="n">
        <v>949000</v>
      </c>
      <c r="D2900" s="1" t="n">
        <v>527718.8</v>
      </c>
      <c r="E2900" s="1" t="n">
        <v>0.0281</v>
      </c>
      <c r="F2900" s="1" t="n">
        <v>0.0951</v>
      </c>
    </row>
    <row r="2901" customFormat="false" ht="15" hidden="false" customHeight="false" outlineLevel="0" collapsed="false">
      <c r="A2901" s="1" t="s">
        <v>2936</v>
      </c>
      <c r="B2901" s="1" t="s">
        <v>62</v>
      </c>
      <c r="C2901" s="1" t="n">
        <v>1120000</v>
      </c>
      <c r="D2901" s="1" t="n">
        <v>54368.7</v>
      </c>
      <c r="E2901" s="1" t="n">
        <v>0.0325</v>
      </c>
      <c r="F2901" s="1" t="n">
        <v>0.0759</v>
      </c>
    </row>
    <row r="2902" customFormat="false" ht="15" hidden="false" customHeight="false" outlineLevel="0" collapsed="false">
      <c r="A2902" s="1" t="s">
        <v>2937</v>
      </c>
      <c r="B2902" s="1" t="s">
        <v>53</v>
      </c>
      <c r="C2902" s="1" t="n">
        <v>2170000</v>
      </c>
      <c r="D2902" s="1" t="n">
        <v>566924.8</v>
      </c>
      <c r="E2902" s="1" t="n">
        <v>0.0129</v>
      </c>
      <c r="F2902" s="1" t="n">
        <v>0.1471</v>
      </c>
    </row>
    <row r="2903" customFormat="false" ht="15" hidden="false" customHeight="false" outlineLevel="0" collapsed="false">
      <c r="A2903" s="1" t="s">
        <v>2938</v>
      </c>
      <c r="B2903" s="1" t="s">
        <v>26</v>
      </c>
      <c r="C2903" s="1" t="n">
        <v>1170000</v>
      </c>
      <c r="D2903" s="1" t="n">
        <v>56499.3</v>
      </c>
      <c r="E2903" s="1" t="n">
        <v>0.024</v>
      </c>
      <c r="F2903" s="1" t="n">
        <v>0.0462</v>
      </c>
    </row>
    <row r="2904" customFormat="false" ht="15" hidden="false" customHeight="false" outlineLevel="0" collapsed="false">
      <c r="A2904" s="1" t="s">
        <v>2939</v>
      </c>
      <c r="B2904" s="1" t="s">
        <v>35</v>
      </c>
      <c r="C2904" s="1" t="n">
        <v>1030000</v>
      </c>
      <c r="D2904" s="1" t="n">
        <v>27376.9</v>
      </c>
      <c r="E2904" s="1" t="n">
        <v>0.0625</v>
      </c>
      <c r="F2904" s="1" t="n">
        <v>0.0951</v>
      </c>
    </row>
    <row r="2905" customFormat="false" ht="15" hidden="false" customHeight="false" outlineLevel="0" collapsed="false">
      <c r="A2905" s="1" t="s">
        <v>2940</v>
      </c>
      <c r="B2905" s="1" t="s">
        <v>32</v>
      </c>
      <c r="C2905" s="1" t="n">
        <v>1820000</v>
      </c>
      <c r="D2905" s="1" t="n">
        <v>9837.4</v>
      </c>
      <c r="E2905" s="1" t="n">
        <v>0.0098</v>
      </c>
      <c r="F2905" s="1" t="n">
        <v>0.0811</v>
      </c>
    </row>
    <row r="2906" customFormat="false" ht="15" hidden="false" customHeight="false" outlineLevel="0" collapsed="false">
      <c r="A2906" s="1" t="s">
        <v>2941</v>
      </c>
      <c r="B2906" s="1" t="s">
        <v>92</v>
      </c>
      <c r="C2906" s="1" t="n">
        <v>1190000</v>
      </c>
      <c r="D2906" s="1" t="n">
        <v>6828.1</v>
      </c>
      <c r="E2906" s="1" t="n">
        <v>0.0451</v>
      </c>
      <c r="F2906" s="1" t="n">
        <v>0.0938</v>
      </c>
    </row>
    <row r="2907" customFormat="false" ht="15" hidden="false" customHeight="false" outlineLevel="0" collapsed="false">
      <c r="A2907" s="1" t="s">
        <v>2942</v>
      </c>
      <c r="B2907" s="1" t="s">
        <v>41</v>
      </c>
      <c r="C2907" s="1" t="n">
        <v>1030000</v>
      </c>
      <c r="D2907" s="1" t="n">
        <v>799.9</v>
      </c>
      <c r="E2907" s="1" t="n">
        <v>0.0429</v>
      </c>
      <c r="F2907" s="1" t="n">
        <v>0.0538</v>
      </c>
    </row>
    <row r="2908" customFormat="false" ht="15" hidden="false" customHeight="false" outlineLevel="0" collapsed="false">
      <c r="A2908" s="1" t="s">
        <v>2943</v>
      </c>
      <c r="B2908" s="1" t="s">
        <v>26</v>
      </c>
      <c r="C2908" s="1" t="n">
        <v>2570000</v>
      </c>
      <c r="D2908" s="1" t="n">
        <v>8082572.3</v>
      </c>
      <c r="E2908" s="1" t="n">
        <v>0.0287</v>
      </c>
      <c r="F2908" s="1" t="n">
        <v>0.0409</v>
      </c>
    </row>
    <row r="2909" customFormat="false" ht="15" hidden="false" customHeight="false" outlineLevel="0" collapsed="false">
      <c r="A2909" s="1" t="s">
        <v>2944</v>
      </c>
      <c r="B2909" s="1" t="s">
        <v>26</v>
      </c>
      <c r="C2909" s="1" t="n">
        <v>1110000</v>
      </c>
      <c r="D2909" s="1" t="n">
        <v>1933029.9</v>
      </c>
      <c r="E2909" s="1" t="n">
        <v>0.0489</v>
      </c>
      <c r="F2909" s="1" t="n">
        <v>0.0951</v>
      </c>
    </row>
    <row r="2910" customFormat="false" ht="15" hidden="false" customHeight="false" outlineLevel="0" collapsed="false">
      <c r="A2910" s="1" t="s">
        <v>2945</v>
      </c>
      <c r="B2910" s="1" t="s">
        <v>26</v>
      </c>
      <c r="C2910" s="1" t="n">
        <v>1240000</v>
      </c>
      <c r="D2910" s="1" t="n">
        <v>1394382</v>
      </c>
      <c r="E2910" s="1" t="n">
        <v>0.014</v>
      </c>
      <c r="F2910" s="1" t="n">
        <v>0.0462</v>
      </c>
    </row>
    <row r="2911" customFormat="false" ht="15" hidden="false" customHeight="false" outlineLevel="0" collapsed="false">
      <c r="A2911" s="1" t="s">
        <v>2946</v>
      </c>
      <c r="B2911" s="1" t="s">
        <v>30</v>
      </c>
      <c r="C2911" s="1" t="n">
        <v>958000</v>
      </c>
      <c r="D2911" s="1" t="n">
        <v>2303.1</v>
      </c>
      <c r="E2911" s="1" t="n">
        <v>0.0217</v>
      </c>
      <c r="F2911" s="1" t="n">
        <v>0.1325</v>
      </c>
    </row>
    <row r="2912" customFormat="false" ht="15" hidden="false" customHeight="false" outlineLevel="0" collapsed="false">
      <c r="A2912" s="1" t="s">
        <v>2947</v>
      </c>
      <c r="B2912" s="1" t="s">
        <v>30</v>
      </c>
      <c r="C2912" s="1" t="n">
        <v>2110000</v>
      </c>
      <c r="D2912" s="1" t="n">
        <v>2275328.1</v>
      </c>
      <c r="E2912" s="1" t="n">
        <v>0.0283</v>
      </c>
      <c r="F2912" s="1" t="n">
        <v>0.0409</v>
      </c>
    </row>
    <row r="2913" customFormat="false" ht="15" hidden="false" customHeight="false" outlineLevel="0" collapsed="false">
      <c r="A2913" s="1" t="s">
        <v>2948</v>
      </c>
      <c r="B2913" s="1" t="s">
        <v>62</v>
      </c>
      <c r="C2913" s="1" t="n">
        <v>1140000</v>
      </c>
      <c r="D2913" s="1" t="n">
        <v>2799.7</v>
      </c>
      <c r="E2913" s="1" t="n">
        <v>0.0439</v>
      </c>
      <c r="F2913" s="1" t="n">
        <v>0.0951</v>
      </c>
    </row>
    <row r="2914" customFormat="false" ht="15" hidden="false" customHeight="false" outlineLevel="0" collapsed="false">
      <c r="A2914" s="1" t="s">
        <v>2949</v>
      </c>
      <c r="B2914" s="1" t="s">
        <v>26</v>
      </c>
      <c r="C2914" s="1" t="n">
        <v>1360000</v>
      </c>
      <c r="D2914" s="1" t="n">
        <v>1120.5</v>
      </c>
      <c r="E2914" s="1" t="n">
        <v>0.0051</v>
      </c>
      <c r="F2914" s="1" t="n">
        <v>0.0811</v>
      </c>
    </row>
    <row r="2915" customFormat="false" ht="15" hidden="false" customHeight="false" outlineLevel="0" collapsed="false">
      <c r="A2915" s="1" t="s">
        <v>2950</v>
      </c>
      <c r="B2915" s="1" t="s">
        <v>26</v>
      </c>
      <c r="C2915" s="1" t="n">
        <v>1190000</v>
      </c>
      <c r="D2915" s="1" t="n">
        <v>84693.3</v>
      </c>
      <c r="E2915" s="1" t="n">
        <v>0.038</v>
      </c>
      <c r="F2915" s="1" t="n">
        <v>0.0951</v>
      </c>
    </row>
    <row r="2916" customFormat="false" ht="15" hidden="false" customHeight="false" outlineLevel="0" collapsed="false">
      <c r="A2916" s="1" t="s">
        <v>2951</v>
      </c>
      <c r="B2916" s="1" t="s">
        <v>26</v>
      </c>
      <c r="C2916" s="1" t="n">
        <v>997000</v>
      </c>
      <c r="D2916" s="1" t="n">
        <v>460306.6</v>
      </c>
      <c r="E2916" s="1" t="n">
        <v>0.0114</v>
      </c>
      <c r="F2916" s="1" t="n">
        <v>0.0584</v>
      </c>
    </row>
    <row r="2917" customFormat="false" ht="15" hidden="false" customHeight="false" outlineLevel="0" collapsed="false">
      <c r="A2917" s="1" t="s">
        <v>2952</v>
      </c>
      <c r="B2917" s="1" t="s">
        <v>88</v>
      </c>
      <c r="C2917" s="1" t="n">
        <v>1140000</v>
      </c>
      <c r="D2917" s="1" t="n">
        <v>370.2</v>
      </c>
      <c r="E2917" s="1" t="n">
        <v>0.0566</v>
      </c>
      <c r="F2917" s="1" t="n">
        <v>0.0759</v>
      </c>
    </row>
    <row r="2918" customFormat="false" ht="15" hidden="false" customHeight="false" outlineLevel="0" collapsed="false">
      <c r="A2918" s="1" t="s">
        <v>2953</v>
      </c>
      <c r="B2918" s="1" t="s">
        <v>74</v>
      </c>
      <c r="C2918" s="1" t="n">
        <v>1030000</v>
      </c>
      <c r="D2918" s="1" t="n">
        <v>15504.6</v>
      </c>
      <c r="E2918" s="1" t="n">
        <v>0.0328</v>
      </c>
      <c r="F2918" s="1" t="n">
        <v>0.0938</v>
      </c>
    </row>
    <row r="2919" customFormat="false" ht="15" hidden="false" customHeight="false" outlineLevel="0" collapsed="false">
      <c r="A2919" s="1" t="s">
        <v>2954</v>
      </c>
      <c r="B2919" s="1" t="s">
        <v>41</v>
      </c>
      <c r="C2919" s="1" t="n">
        <v>1410000</v>
      </c>
      <c r="D2919" s="1" t="n">
        <v>1658.7</v>
      </c>
      <c r="E2919" s="1" t="n">
        <v>0.0198</v>
      </c>
      <c r="F2919" s="1" t="n">
        <v>0.1053</v>
      </c>
    </row>
    <row r="2920" customFormat="false" ht="15" hidden="false" customHeight="false" outlineLevel="0" collapsed="false">
      <c r="A2920" s="1" t="s">
        <v>2955</v>
      </c>
      <c r="B2920" s="1" t="s">
        <v>26</v>
      </c>
      <c r="C2920" s="1" t="n">
        <v>1140000</v>
      </c>
      <c r="D2920" s="1" t="n">
        <v>22099.7</v>
      </c>
      <c r="E2920" s="1" t="n">
        <v>0.0537</v>
      </c>
      <c r="F2920" s="1" t="n">
        <v>0.0759</v>
      </c>
    </row>
    <row r="2921" customFormat="false" ht="15" hidden="false" customHeight="false" outlineLevel="0" collapsed="false">
      <c r="A2921" s="1" t="s">
        <v>2956</v>
      </c>
      <c r="B2921" s="1" t="s">
        <v>88</v>
      </c>
      <c r="C2921" s="1" t="n">
        <v>1300000</v>
      </c>
      <c r="D2921" s="1" t="n">
        <v>197.2</v>
      </c>
      <c r="E2921" s="1" t="n">
        <v>0.0287</v>
      </c>
      <c r="F2921" s="1" t="n">
        <v>0.1308</v>
      </c>
    </row>
    <row r="2922" customFormat="false" ht="15" hidden="false" customHeight="false" outlineLevel="0" collapsed="false">
      <c r="A2922" s="1" t="s">
        <v>2957</v>
      </c>
      <c r="B2922" s="1" t="s">
        <v>26</v>
      </c>
      <c r="C2922" s="1" t="n">
        <v>980000</v>
      </c>
      <c r="D2922" s="1" t="n">
        <v>551.9</v>
      </c>
      <c r="E2922" s="1" t="n">
        <v>0.024</v>
      </c>
      <c r="F2922" s="1" t="n">
        <v>0.1182</v>
      </c>
    </row>
    <row r="2923" customFormat="false" ht="15" hidden="false" customHeight="false" outlineLevel="0" collapsed="false">
      <c r="A2923" s="1" t="s">
        <v>2958</v>
      </c>
      <c r="B2923" s="1" t="s">
        <v>41</v>
      </c>
      <c r="C2923" s="1" t="n">
        <v>1270000</v>
      </c>
      <c r="D2923" s="1" t="n">
        <v>531.9</v>
      </c>
      <c r="E2923" s="1" t="n">
        <v>0.022</v>
      </c>
      <c r="F2923" s="1" t="n">
        <v>0.1929</v>
      </c>
    </row>
    <row r="2924" customFormat="false" ht="15" hidden="false" customHeight="false" outlineLevel="0" collapsed="false">
      <c r="A2924" s="1" t="s">
        <v>2959</v>
      </c>
      <c r="B2924" s="1" t="s">
        <v>81</v>
      </c>
      <c r="C2924" s="1" t="n">
        <v>1360000</v>
      </c>
      <c r="D2924" s="1" t="n">
        <v>15864.3</v>
      </c>
      <c r="E2924" s="1" t="n">
        <v>0.0403</v>
      </c>
      <c r="F2924" s="1" t="n">
        <v>0.0833</v>
      </c>
    </row>
    <row r="2925" customFormat="false" ht="15" hidden="false" customHeight="false" outlineLevel="0" collapsed="false">
      <c r="A2925" s="1" t="s">
        <v>2960</v>
      </c>
      <c r="B2925" s="1" t="s">
        <v>71</v>
      </c>
      <c r="C2925" s="1" t="n">
        <v>1080000</v>
      </c>
      <c r="D2925" s="1" t="n">
        <v>22268.4</v>
      </c>
      <c r="E2925" s="1" t="n">
        <v>0.0308</v>
      </c>
      <c r="F2925" s="1" t="n">
        <v>0.0759</v>
      </c>
    </row>
    <row r="2926" customFormat="false" ht="15" hidden="false" customHeight="false" outlineLevel="0" collapsed="false">
      <c r="A2926" s="1" t="s">
        <v>2961</v>
      </c>
      <c r="B2926" s="1" t="s">
        <v>26</v>
      </c>
      <c r="C2926" s="1" t="n">
        <v>2050000</v>
      </c>
      <c r="D2926" s="1" t="n">
        <v>39579.2</v>
      </c>
      <c r="E2926" s="1" t="n">
        <v>0.0219</v>
      </c>
      <c r="F2926" s="1" t="n">
        <v>0.0518</v>
      </c>
    </row>
    <row r="2927" customFormat="false" ht="15" hidden="false" customHeight="false" outlineLevel="0" collapsed="false">
      <c r="A2927" s="1" t="s">
        <v>2962</v>
      </c>
      <c r="B2927" s="1" t="s">
        <v>214</v>
      </c>
      <c r="C2927" s="1" t="n">
        <v>2820000</v>
      </c>
      <c r="D2927" s="1" t="n">
        <v>7819.9</v>
      </c>
      <c r="E2927" s="1" t="n">
        <v>0.0049</v>
      </c>
      <c r="F2927" s="1" t="n">
        <v>0.0811</v>
      </c>
    </row>
    <row r="2928" customFormat="false" ht="15" hidden="false" customHeight="false" outlineLevel="0" collapsed="false">
      <c r="A2928" s="1" t="s">
        <v>2963</v>
      </c>
      <c r="B2928" s="1" t="s">
        <v>26</v>
      </c>
      <c r="C2928" s="1" t="n">
        <v>1180000</v>
      </c>
      <c r="D2928" s="1" t="n">
        <v>98614.2</v>
      </c>
      <c r="E2928" s="1" t="n">
        <v>0.0524</v>
      </c>
      <c r="F2928" s="1" t="n">
        <v>0.0759</v>
      </c>
    </row>
    <row r="2929" customFormat="false" ht="15" hidden="false" customHeight="false" outlineLevel="0" collapsed="false">
      <c r="A2929" s="1" t="s">
        <v>2964</v>
      </c>
      <c r="B2929" s="1" t="s">
        <v>92</v>
      </c>
      <c r="C2929" s="1" t="n">
        <v>984000</v>
      </c>
      <c r="D2929" s="1" t="n">
        <v>1109.6</v>
      </c>
      <c r="E2929" s="1" t="n">
        <v>0.0357</v>
      </c>
      <c r="F2929" s="1" t="n">
        <v>0.0951</v>
      </c>
    </row>
    <row r="2930" customFormat="false" ht="15" hidden="false" customHeight="false" outlineLevel="0" collapsed="false">
      <c r="A2930" s="1" t="s">
        <v>2965</v>
      </c>
      <c r="B2930" s="1" t="s">
        <v>92</v>
      </c>
      <c r="C2930" s="1" t="n">
        <v>992000</v>
      </c>
      <c r="D2930" s="1" t="n">
        <v>2134.1</v>
      </c>
      <c r="E2930" s="1" t="n">
        <v>0.0256</v>
      </c>
      <c r="F2930" s="1" t="n">
        <v>0.0951</v>
      </c>
    </row>
    <row r="2931" customFormat="false" ht="15" hidden="false" customHeight="false" outlineLevel="0" collapsed="false">
      <c r="A2931" s="1" t="s">
        <v>2966</v>
      </c>
      <c r="B2931" s="1" t="s">
        <v>62</v>
      </c>
      <c r="C2931" s="1" t="n">
        <v>973000</v>
      </c>
      <c r="D2931" s="1" t="n">
        <v>28296.1</v>
      </c>
      <c r="E2931" s="1" t="n">
        <v>0.0116</v>
      </c>
      <c r="F2931" s="1" t="n">
        <v>0.0775</v>
      </c>
    </row>
    <row r="2932" customFormat="false" ht="15" hidden="false" customHeight="false" outlineLevel="0" collapsed="false">
      <c r="A2932" s="1" t="s">
        <v>2967</v>
      </c>
      <c r="B2932" s="1" t="s">
        <v>24</v>
      </c>
      <c r="C2932" s="1" t="n">
        <v>1690000</v>
      </c>
      <c r="D2932" s="1" t="n">
        <v>6718.7</v>
      </c>
      <c r="E2932" s="1" t="n">
        <v>0.015</v>
      </c>
      <c r="F2932" s="1" t="n">
        <v>0.0854</v>
      </c>
    </row>
    <row r="2933" customFormat="false" ht="15" hidden="false" customHeight="false" outlineLevel="0" collapsed="false">
      <c r="A2933" s="1" t="s">
        <v>2968</v>
      </c>
      <c r="B2933" s="1" t="s">
        <v>74</v>
      </c>
      <c r="C2933" s="1" t="n">
        <v>16200000</v>
      </c>
      <c r="D2933" s="1" t="n">
        <v>2738945.3</v>
      </c>
      <c r="E2933" s="1" t="n">
        <v>0.0031</v>
      </c>
      <c r="F2933" s="1" t="n">
        <v>0.2526</v>
      </c>
    </row>
    <row r="2934" customFormat="false" ht="15" hidden="false" customHeight="false" outlineLevel="0" collapsed="false">
      <c r="A2934" s="1" t="s">
        <v>2969</v>
      </c>
      <c r="B2934" s="1" t="s">
        <v>24</v>
      </c>
      <c r="C2934" s="1" t="n">
        <v>1280000</v>
      </c>
      <c r="D2934" s="1" t="n">
        <v>7446.4</v>
      </c>
      <c r="E2934" s="1" t="n">
        <v>0.037</v>
      </c>
      <c r="F2934" s="1" t="n">
        <v>0.0951</v>
      </c>
    </row>
    <row r="2935" customFormat="false" ht="15" hidden="false" customHeight="false" outlineLevel="0" collapsed="false">
      <c r="A2935" s="1" t="s">
        <v>2970</v>
      </c>
      <c r="B2935" s="1" t="s">
        <v>62</v>
      </c>
      <c r="C2935" s="1" t="n">
        <v>2250000</v>
      </c>
      <c r="D2935" s="1" t="n">
        <v>17396.8</v>
      </c>
      <c r="E2935" s="1" t="n">
        <v>0.0105</v>
      </c>
      <c r="F2935" s="1" t="n">
        <v>0.0726</v>
      </c>
    </row>
    <row r="2936" customFormat="false" ht="15" hidden="false" customHeight="false" outlineLevel="0" collapsed="false">
      <c r="A2936" s="1" t="s">
        <v>2971</v>
      </c>
      <c r="B2936" s="1" t="s">
        <v>88</v>
      </c>
      <c r="C2936" s="1" t="n">
        <v>1390000</v>
      </c>
      <c r="D2936" s="1" t="n">
        <v>3118.8</v>
      </c>
      <c r="E2936" s="1" t="n">
        <v>0.1237</v>
      </c>
      <c r="F2936" s="1" t="n">
        <v>0.0938</v>
      </c>
    </row>
    <row r="2937" customFormat="false" ht="15" hidden="false" customHeight="false" outlineLevel="0" collapsed="false">
      <c r="A2937" s="1" t="s">
        <v>2972</v>
      </c>
      <c r="B2937" s="1" t="s">
        <v>26</v>
      </c>
      <c r="C2937" s="1" t="n">
        <v>1320000</v>
      </c>
      <c r="D2937" s="1" t="n">
        <v>643898.4</v>
      </c>
      <c r="E2937" s="1" t="n">
        <v>0.0324</v>
      </c>
      <c r="F2937" s="1" t="n">
        <v>0.0759</v>
      </c>
    </row>
    <row r="2938" customFormat="false" ht="15" hidden="false" customHeight="false" outlineLevel="0" collapsed="false">
      <c r="A2938" s="1" t="s">
        <v>2973</v>
      </c>
      <c r="B2938" s="1" t="s">
        <v>41</v>
      </c>
      <c r="C2938" s="1" t="n">
        <v>1000000</v>
      </c>
      <c r="D2938" s="1" t="n">
        <v>80064.8</v>
      </c>
      <c r="E2938" s="1" t="n">
        <v>0.0003</v>
      </c>
      <c r="F2938" s="1" t="n">
        <v>0.0822</v>
      </c>
    </row>
    <row r="2939" customFormat="false" ht="15" hidden="false" customHeight="false" outlineLevel="0" collapsed="false">
      <c r="A2939" s="1" t="s">
        <v>2974</v>
      </c>
      <c r="B2939" s="1" t="s">
        <v>26</v>
      </c>
      <c r="C2939" s="1" t="n">
        <v>1640000</v>
      </c>
      <c r="D2939" s="1" t="n">
        <v>282305.8</v>
      </c>
      <c r="E2939" s="1" t="n">
        <v>0.0607</v>
      </c>
      <c r="F2939" s="1" t="n">
        <v>0.0409</v>
      </c>
    </row>
    <row r="2940" customFormat="false" ht="15" hidden="false" customHeight="false" outlineLevel="0" collapsed="false">
      <c r="A2940" s="1" t="s">
        <v>2975</v>
      </c>
      <c r="B2940" s="1" t="s">
        <v>26</v>
      </c>
      <c r="C2940" s="1" t="n">
        <v>1120000</v>
      </c>
      <c r="D2940" s="1" t="n">
        <v>11100.1</v>
      </c>
      <c r="E2940" s="1" t="n">
        <v>0.0465</v>
      </c>
      <c r="F2940" s="1" t="n">
        <v>0.0759</v>
      </c>
    </row>
    <row r="2941" customFormat="false" ht="15" hidden="false" customHeight="false" outlineLevel="0" collapsed="false">
      <c r="A2941" s="1" t="s">
        <v>2976</v>
      </c>
      <c r="B2941" s="1" t="s">
        <v>74</v>
      </c>
      <c r="C2941" s="1" t="n">
        <v>1140000</v>
      </c>
      <c r="D2941" s="1" t="n">
        <v>2383.3</v>
      </c>
      <c r="E2941" s="1" t="n">
        <v>0.0267</v>
      </c>
      <c r="F2941" s="1" t="n">
        <v>0.051</v>
      </c>
    </row>
    <row r="2942" customFormat="false" ht="15" hidden="false" customHeight="false" outlineLevel="0" collapsed="false">
      <c r="A2942" s="1" t="s">
        <v>2977</v>
      </c>
      <c r="B2942" s="1" t="s">
        <v>88</v>
      </c>
      <c r="C2942" s="1" t="n">
        <v>1020000</v>
      </c>
      <c r="D2942" s="1" t="n">
        <v>5556.4</v>
      </c>
      <c r="E2942" s="1" t="n">
        <v>0.0319</v>
      </c>
      <c r="F2942" s="1" t="n">
        <v>0.0938</v>
      </c>
    </row>
    <row r="2943" customFormat="false" ht="15" hidden="false" customHeight="false" outlineLevel="0" collapsed="false">
      <c r="A2943" s="1" t="s">
        <v>2978</v>
      </c>
      <c r="B2943" s="1" t="s">
        <v>214</v>
      </c>
      <c r="C2943" s="1" t="n">
        <v>1110000</v>
      </c>
      <c r="D2943" s="1" t="n">
        <v>1404.8</v>
      </c>
      <c r="E2943" s="1" t="n">
        <v>0.0344</v>
      </c>
      <c r="F2943" s="1" t="n">
        <v>0.0938</v>
      </c>
    </row>
    <row r="2944" customFormat="false" ht="15" hidden="false" customHeight="false" outlineLevel="0" collapsed="false">
      <c r="A2944" s="1" t="s">
        <v>2979</v>
      </c>
      <c r="B2944" s="1" t="s">
        <v>71</v>
      </c>
      <c r="C2944" s="1" t="n">
        <v>974000</v>
      </c>
      <c r="D2944" s="1" t="n">
        <v>3808.8</v>
      </c>
      <c r="E2944" s="1" t="n">
        <v>0.0317</v>
      </c>
      <c r="F2944" s="1" t="n">
        <v>0.1308</v>
      </c>
    </row>
    <row r="2945" customFormat="false" ht="15" hidden="false" customHeight="false" outlineLevel="0" collapsed="false">
      <c r="A2945" s="1" t="s">
        <v>2980</v>
      </c>
      <c r="B2945" s="1" t="s">
        <v>26</v>
      </c>
      <c r="C2945" s="1" t="n">
        <v>968000</v>
      </c>
      <c r="D2945" s="1" t="n">
        <v>867.2</v>
      </c>
      <c r="E2945" s="1" t="n">
        <v>0.0223</v>
      </c>
      <c r="F2945" s="1" t="n">
        <v>0.1688</v>
      </c>
    </row>
    <row r="2946" customFormat="false" ht="15" hidden="false" customHeight="false" outlineLevel="0" collapsed="false">
      <c r="A2946" s="1" t="s">
        <v>2981</v>
      </c>
      <c r="B2946" s="1" t="s">
        <v>28</v>
      </c>
      <c r="C2946" s="1" t="n">
        <v>1060000</v>
      </c>
      <c r="D2946" s="1" t="n">
        <v>32386.8</v>
      </c>
      <c r="E2946" s="1" t="n">
        <v>0.0008</v>
      </c>
      <c r="F2946" s="1" t="n">
        <v>0.0822</v>
      </c>
    </row>
    <row r="2947" customFormat="false" ht="15" hidden="false" customHeight="false" outlineLevel="0" collapsed="false">
      <c r="A2947" s="1" t="s">
        <v>2982</v>
      </c>
      <c r="B2947" s="1" t="s">
        <v>214</v>
      </c>
      <c r="C2947" s="1" t="n">
        <v>1200000</v>
      </c>
      <c r="D2947" s="1" t="n">
        <v>89300.2</v>
      </c>
      <c r="E2947" s="1" t="n">
        <v>0.0355</v>
      </c>
      <c r="F2947" s="1" t="n">
        <v>0.0845</v>
      </c>
    </row>
    <row r="2948" customFormat="false" ht="15" hidden="false" customHeight="false" outlineLevel="0" collapsed="false">
      <c r="A2948" s="1" t="s">
        <v>2983</v>
      </c>
      <c r="B2948" s="1" t="s">
        <v>50</v>
      </c>
      <c r="C2948" s="1" t="n">
        <v>1010000</v>
      </c>
      <c r="D2948" s="1" t="n">
        <v>34243.5</v>
      </c>
      <c r="E2948" s="1" t="n">
        <v>0.0349</v>
      </c>
      <c r="F2948" s="1" t="n">
        <v>0.0951</v>
      </c>
    </row>
    <row r="2949" customFormat="false" ht="15" hidden="false" customHeight="false" outlineLevel="0" collapsed="false">
      <c r="A2949" s="1" t="s">
        <v>2984</v>
      </c>
      <c r="B2949" s="1" t="s">
        <v>195</v>
      </c>
      <c r="C2949" s="1" t="n">
        <v>1280000</v>
      </c>
      <c r="D2949" s="1" t="n">
        <v>16301.8</v>
      </c>
      <c r="F2949" s="1" t="n">
        <v>0.0538</v>
      </c>
    </row>
    <row r="2950" customFormat="false" ht="15" hidden="false" customHeight="false" outlineLevel="0" collapsed="false">
      <c r="A2950" s="1" t="s">
        <v>2985</v>
      </c>
      <c r="B2950" s="1" t="s">
        <v>88</v>
      </c>
      <c r="C2950" s="1" t="n">
        <v>1120000</v>
      </c>
      <c r="D2950" s="1" t="n">
        <v>47096.1</v>
      </c>
      <c r="E2950" s="1" t="n">
        <v>0.0443</v>
      </c>
      <c r="F2950" s="1" t="n">
        <v>0.0951</v>
      </c>
    </row>
    <row r="2951" customFormat="false" ht="15" hidden="false" customHeight="false" outlineLevel="0" collapsed="false">
      <c r="A2951" s="1" t="s">
        <v>2986</v>
      </c>
      <c r="B2951" s="1" t="s">
        <v>26</v>
      </c>
      <c r="C2951" s="1" t="n">
        <v>960000</v>
      </c>
      <c r="D2951" s="1" t="n">
        <v>1297562</v>
      </c>
      <c r="E2951" s="1" t="n">
        <v>0.0045</v>
      </c>
      <c r="F2951" s="1" t="n">
        <v>0.0822</v>
      </c>
    </row>
    <row r="2952" customFormat="false" ht="15" hidden="false" customHeight="false" outlineLevel="0" collapsed="false">
      <c r="A2952" s="1" t="s">
        <v>2987</v>
      </c>
      <c r="B2952" s="1" t="s">
        <v>214</v>
      </c>
      <c r="C2952" s="1" t="n">
        <v>1330000</v>
      </c>
      <c r="D2952" s="1" t="n">
        <v>1997.3</v>
      </c>
      <c r="F2952" s="1" t="n">
        <v>0.0409</v>
      </c>
    </row>
    <row r="2953" customFormat="false" ht="15" hidden="false" customHeight="false" outlineLevel="0" collapsed="false">
      <c r="A2953" s="1" t="s">
        <v>2988</v>
      </c>
      <c r="B2953" s="1" t="s">
        <v>24</v>
      </c>
      <c r="C2953" s="1" t="n">
        <v>1630000</v>
      </c>
      <c r="D2953" s="1" t="n">
        <v>10222.5</v>
      </c>
      <c r="E2953" s="1" t="n">
        <v>0.1129</v>
      </c>
      <c r="F2953" s="1" t="n">
        <v>0.0938</v>
      </c>
    </row>
    <row r="2954" customFormat="false" ht="15" hidden="false" customHeight="false" outlineLevel="0" collapsed="false">
      <c r="A2954" s="1" t="s">
        <v>2989</v>
      </c>
      <c r="B2954" s="1" t="s">
        <v>287</v>
      </c>
      <c r="C2954" s="1" t="n">
        <v>955000</v>
      </c>
      <c r="D2954" s="1" t="n">
        <v>3478.9</v>
      </c>
      <c r="E2954" s="1" t="n">
        <v>0.0166</v>
      </c>
      <c r="F2954" s="1" t="n">
        <v>0.0462</v>
      </c>
    </row>
    <row r="2955" customFormat="false" ht="15" hidden="false" customHeight="false" outlineLevel="0" collapsed="false">
      <c r="A2955" s="1" t="s">
        <v>2990</v>
      </c>
      <c r="B2955" s="1" t="s">
        <v>24</v>
      </c>
      <c r="C2955" s="1" t="n">
        <v>1180000</v>
      </c>
      <c r="D2955" s="1" t="n">
        <v>4224.6</v>
      </c>
      <c r="E2955" s="1" t="n">
        <v>0.0192</v>
      </c>
      <c r="F2955" s="1" t="n">
        <v>0.0759</v>
      </c>
    </row>
    <row r="2956" customFormat="false" ht="15" hidden="false" customHeight="false" outlineLevel="0" collapsed="false">
      <c r="A2956" s="1" t="s">
        <v>2991</v>
      </c>
      <c r="B2956" s="1" t="s">
        <v>26</v>
      </c>
      <c r="C2956" s="1" t="n">
        <v>1200000</v>
      </c>
      <c r="D2956" s="1" t="n">
        <v>35794.2</v>
      </c>
      <c r="E2956" s="1" t="n">
        <v>0.0492</v>
      </c>
      <c r="F2956" s="1" t="n">
        <v>0.0938</v>
      </c>
    </row>
    <row r="2957" customFormat="false" ht="15" hidden="false" customHeight="false" outlineLevel="0" collapsed="false">
      <c r="A2957" s="1" t="s">
        <v>2992</v>
      </c>
      <c r="B2957" s="1" t="s">
        <v>214</v>
      </c>
      <c r="C2957" s="1" t="n">
        <v>998000</v>
      </c>
      <c r="D2957" s="1" t="n">
        <v>7888.7</v>
      </c>
      <c r="E2957" s="1" t="n">
        <v>0.0138</v>
      </c>
      <c r="F2957" s="1" t="n">
        <v>0.0657</v>
      </c>
    </row>
    <row r="2958" customFormat="false" ht="15" hidden="false" customHeight="false" outlineLevel="0" collapsed="false">
      <c r="A2958" s="1" t="s">
        <v>2993</v>
      </c>
      <c r="B2958" s="1" t="s">
        <v>41</v>
      </c>
      <c r="C2958" s="1" t="n">
        <v>1370000</v>
      </c>
      <c r="D2958" s="1" t="n">
        <v>890004.7</v>
      </c>
      <c r="E2958" s="1" t="n">
        <v>0.0186</v>
      </c>
      <c r="F2958" s="1" t="n">
        <v>0.0462</v>
      </c>
    </row>
    <row r="2959" customFormat="false" ht="15" hidden="false" customHeight="false" outlineLevel="0" collapsed="false">
      <c r="A2959" s="1" t="s">
        <v>2994</v>
      </c>
      <c r="B2959" s="1" t="s">
        <v>92</v>
      </c>
      <c r="C2959" s="1" t="n">
        <v>962000</v>
      </c>
      <c r="D2959" s="1" t="n">
        <v>4095.7</v>
      </c>
      <c r="E2959" s="1" t="n">
        <v>0.0161</v>
      </c>
      <c r="F2959" s="1" t="n">
        <v>0.1067</v>
      </c>
    </row>
    <row r="2960" customFormat="false" ht="15" hidden="false" customHeight="false" outlineLevel="0" collapsed="false">
      <c r="A2960" s="1" t="s">
        <v>2995</v>
      </c>
      <c r="B2960" s="1" t="s">
        <v>26</v>
      </c>
      <c r="C2960" s="1" t="n">
        <v>1910000</v>
      </c>
      <c r="D2960" s="1" t="n">
        <v>21386.8</v>
      </c>
      <c r="E2960" s="1" t="n">
        <v>0.041</v>
      </c>
      <c r="F2960" s="1" t="n">
        <v>0.0518</v>
      </c>
    </row>
    <row r="2961" customFormat="false" ht="15" hidden="false" customHeight="false" outlineLevel="0" collapsed="false">
      <c r="A2961" s="1" t="s">
        <v>2996</v>
      </c>
      <c r="B2961" s="1" t="s">
        <v>35</v>
      </c>
      <c r="C2961" s="1" t="n">
        <v>988000</v>
      </c>
      <c r="D2961" s="1" t="n">
        <v>2668.9</v>
      </c>
      <c r="E2961" s="1" t="n">
        <v>0.0227</v>
      </c>
      <c r="F2961" s="1" t="n">
        <v>0.0854</v>
      </c>
    </row>
    <row r="2962" customFormat="false" ht="15" hidden="false" customHeight="false" outlineLevel="0" collapsed="false">
      <c r="A2962" s="1" t="s">
        <v>2997</v>
      </c>
      <c r="B2962" s="1" t="s">
        <v>88</v>
      </c>
      <c r="C2962" s="1" t="n">
        <v>1310000</v>
      </c>
      <c r="D2962" s="1" t="n">
        <v>865794.2</v>
      </c>
      <c r="E2962" s="1" t="n">
        <v>0.0327</v>
      </c>
      <c r="F2962" s="1" t="n">
        <v>0.0518</v>
      </c>
    </row>
    <row r="2963" customFormat="false" ht="15" hidden="false" customHeight="false" outlineLevel="0" collapsed="false">
      <c r="A2963" s="1" t="s">
        <v>2998</v>
      </c>
      <c r="B2963" s="1" t="s">
        <v>88</v>
      </c>
      <c r="C2963" s="1" t="n">
        <v>976000</v>
      </c>
      <c r="D2963" s="1" t="n">
        <v>2089.4</v>
      </c>
      <c r="E2963" s="1" t="n">
        <v>0.0275</v>
      </c>
      <c r="F2963" s="1" t="n">
        <v>0.0759</v>
      </c>
    </row>
    <row r="2964" customFormat="false" ht="15" hidden="false" customHeight="false" outlineLevel="0" collapsed="false">
      <c r="A2964" s="1" t="s">
        <v>2999</v>
      </c>
      <c r="B2964" s="1" t="s">
        <v>21</v>
      </c>
      <c r="C2964" s="1" t="n">
        <v>1200000</v>
      </c>
      <c r="D2964" s="1" t="n">
        <v>845.6</v>
      </c>
      <c r="E2964" s="1" t="n">
        <v>0.0098</v>
      </c>
      <c r="F2964" s="1" t="n">
        <v>0.1013</v>
      </c>
    </row>
    <row r="2965" customFormat="false" ht="15" hidden="false" customHeight="false" outlineLevel="0" collapsed="false">
      <c r="A2965" s="1" t="s">
        <v>3000</v>
      </c>
      <c r="B2965" s="1" t="s">
        <v>41</v>
      </c>
      <c r="C2965" s="1" t="n">
        <v>1140000</v>
      </c>
      <c r="D2965" s="1" t="n">
        <v>898.3</v>
      </c>
      <c r="E2965" s="1" t="n">
        <v>0.0621</v>
      </c>
      <c r="F2965" s="1" t="n">
        <v>0.1516</v>
      </c>
    </row>
    <row r="2966" customFormat="false" ht="15" hidden="false" customHeight="false" outlineLevel="0" collapsed="false">
      <c r="A2966" s="1" t="s">
        <v>3001</v>
      </c>
      <c r="B2966" s="1" t="s">
        <v>26</v>
      </c>
      <c r="C2966" s="1" t="n">
        <v>1080000</v>
      </c>
      <c r="D2966" s="1" t="n">
        <v>196148.9</v>
      </c>
      <c r="E2966" s="1" t="n">
        <v>0.0136</v>
      </c>
      <c r="F2966" s="1" t="n">
        <v>0.0692</v>
      </c>
    </row>
    <row r="2967" customFormat="false" ht="15" hidden="false" customHeight="false" outlineLevel="0" collapsed="false">
      <c r="A2967" s="1" t="s">
        <v>3002</v>
      </c>
      <c r="B2967" s="1" t="s">
        <v>21</v>
      </c>
      <c r="C2967" s="1" t="n">
        <v>1270000</v>
      </c>
      <c r="D2967" s="1" t="n">
        <v>358.5</v>
      </c>
      <c r="E2967" s="1" t="n">
        <v>0.0347</v>
      </c>
      <c r="F2967" s="1" t="n">
        <v>0.051</v>
      </c>
    </row>
    <row r="2968" customFormat="false" ht="15" hidden="false" customHeight="false" outlineLevel="0" collapsed="false">
      <c r="A2968" s="1" t="s">
        <v>3003</v>
      </c>
      <c r="B2968" s="1" t="s">
        <v>26</v>
      </c>
      <c r="C2968" s="1" t="n">
        <v>1110000</v>
      </c>
      <c r="D2968" s="1" t="n">
        <v>31592.1</v>
      </c>
      <c r="E2968" s="1" t="n">
        <v>0.0624</v>
      </c>
      <c r="F2968" s="1" t="n">
        <v>0.0759</v>
      </c>
    </row>
    <row r="2969" customFormat="false" ht="15" hidden="false" customHeight="false" outlineLevel="0" collapsed="false">
      <c r="A2969" s="1" t="s">
        <v>3004</v>
      </c>
      <c r="B2969" s="1" t="s">
        <v>41</v>
      </c>
      <c r="C2969" s="1" t="n">
        <v>1030000</v>
      </c>
      <c r="D2969" s="1" t="n">
        <v>2696</v>
      </c>
      <c r="E2969" s="1" t="n">
        <v>0.0114</v>
      </c>
      <c r="F2969" s="1" t="n">
        <v>0.2267</v>
      </c>
    </row>
    <row r="2970" customFormat="false" ht="15" hidden="false" customHeight="false" outlineLevel="0" collapsed="false">
      <c r="A2970" s="1" t="s">
        <v>3005</v>
      </c>
      <c r="B2970" s="1" t="s">
        <v>26</v>
      </c>
      <c r="C2970" s="1" t="n">
        <v>2080000</v>
      </c>
      <c r="D2970" s="1" t="n">
        <v>75417.7</v>
      </c>
      <c r="F2970" s="1" t="n">
        <v>0.0412</v>
      </c>
    </row>
    <row r="2971" customFormat="false" ht="15" hidden="false" customHeight="false" outlineLevel="0" collapsed="false">
      <c r="A2971" s="1" t="s">
        <v>3006</v>
      </c>
      <c r="B2971" s="1" t="s">
        <v>92</v>
      </c>
      <c r="C2971" s="1" t="n">
        <v>983000</v>
      </c>
      <c r="D2971" s="1" t="n">
        <v>5819.3</v>
      </c>
      <c r="E2971" s="1" t="n">
        <v>0.0342</v>
      </c>
      <c r="F2971" s="1" t="n">
        <v>0.0759</v>
      </c>
    </row>
    <row r="2972" customFormat="false" ht="15" hidden="false" customHeight="false" outlineLevel="0" collapsed="false">
      <c r="A2972" s="1" t="s">
        <v>3007</v>
      </c>
      <c r="B2972" s="1" t="s">
        <v>81</v>
      </c>
      <c r="C2972" s="1" t="n">
        <v>1340000</v>
      </c>
      <c r="D2972" s="1" t="n">
        <v>18094.3</v>
      </c>
      <c r="E2972" s="1" t="n">
        <v>0.0244</v>
      </c>
      <c r="F2972" s="1" t="n">
        <v>0.051</v>
      </c>
    </row>
    <row r="2973" customFormat="false" ht="15" hidden="false" customHeight="false" outlineLevel="0" collapsed="false">
      <c r="A2973" s="1" t="s">
        <v>3008</v>
      </c>
      <c r="B2973" s="1" t="s">
        <v>26</v>
      </c>
      <c r="C2973" s="1" t="n">
        <v>1080000</v>
      </c>
      <c r="D2973" s="1" t="n">
        <v>272844.4</v>
      </c>
      <c r="E2973" s="1" t="n">
        <v>0.0228</v>
      </c>
      <c r="F2973" s="1" t="n">
        <v>0.0951</v>
      </c>
    </row>
    <row r="2974" customFormat="false" ht="15" hidden="false" customHeight="false" outlineLevel="0" collapsed="false">
      <c r="A2974" s="1" t="s">
        <v>3009</v>
      </c>
      <c r="B2974" s="1" t="s">
        <v>30</v>
      </c>
      <c r="C2974" s="1" t="n">
        <v>994000</v>
      </c>
      <c r="D2974" s="1" t="n">
        <v>983.1</v>
      </c>
      <c r="E2974" s="1" t="n">
        <v>0.0074</v>
      </c>
      <c r="F2974" s="1" t="n">
        <v>0.0811</v>
      </c>
    </row>
    <row r="2975" customFormat="false" ht="15" hidden="false" customHeight="false" outlineLevel="0" collapsed="false">
      <c r="A2975" s="1" t="s">
        <v>3010</v>
      </c>
      <c r="B2975" s="1" t="s">
        <v>88</v>
      </c>
      <c r="C2975" s="1" t="n">
        <v>1160000</v>
      </c>
      <c r="D2975" s="1" t="n">
        <v>1544</v>
      </c>
      <c r="E2975" s="1" t="n">
        <v>0.0066</v>
      </c>
      <c r="F2975" s="1" t="n">
        <v>0.0822</v>
      </c>
    </row>
    <row r="2976" customFormat="false" ht="15" hidden="false" customHeight="false" outlineLevel="0" collapsed="false">
      <c r="A2976" s="1" t="s">
        <v>3011</v>
      </c>
      <c r="B2976" s="1" t="s">
        <v>92</v>
      </c>
      <c r="C2976" s="1" t="n">
        <v>1030000</v>
      </c>
      <c r="D2976" s="1" t="n">
        <v>168705.4</v>
      </c>
      <c r="E2976" s="1" t="n">
        <v>0.0146</v>
      </c>
      <c r="F2976" s="1" t="n">
        <v>0.0854</v>
      </c>
    </row>
    <row r="2977" customFormat="false" ht="15" hidden="false" customHeight="false" outlineLevel="0" collapsed="false">
      <c r="A2977" s="1" t="s">
        <v>3012</v>
      </c>
      <c r="B2977" s="1" t="s">
        <v>26</v>
      </c>
      <c r="C2977" s="1" t="n">
        <v>2100000</v>
      </c>
      <c r="D2977" s="1" t="n">
        <v>753577.4</v>
      </c>
      <c r="E2977" s="1" t="n">
        <v>0.0085</v>
      </c>
      <c r="F2977" s="1" t="n">
        <v>0.0654</v>
      </c>
    </row>
    <row r="2978" customFormat="false" ht="15" hidden="false" customHeight="false" outlineLevel="0" collapsed="false">
      <c r="A2978" s="1" t="s">
        <v>3013</v>
      </c>
      <c r="B2978" s="1" t="s">
        <v>214</v>
      </c>
      <c r="C2978" s="1" t="n">
        <v>1230000</v>
      </c>
      <c r="D2978" s="1" t="n">
        <v>38624</v>
      </c>
      <c r="E2978" s="1" t="n">
        <v>0.0315</v>
      </c>
      <c r="F2978" s="1" t="n">
        <v>0.0951</v>
      </c>
    </row>
    <row r="2979" customFormat="false" ht="15" hidden="false" customHeight="false" outlineLevel="0" collapsed="false">
      <c r="A2979" s="1" t="s">
        <v>3014</v>
      </c>
      <c r="B2979" s="1" t="s">
        <v>74</v>
      </c>
      <c r="C2979" s="1" t="n">
        <v>1240000</v>
      </c>
      <c r="D2979" s="1" t="n">
        <v>39560.8</v>
      </c>
      <c r="E2979" s="1" t="n">
        <v>0.0365</v>
      </c>
      <c r="F2979" s="1" t="n">
        <v>0.0938</v>
      </c>
    </row>
    <row r="2980" customFormat="false" ht="15" hidden="false" customHeight="false" outlineLevel="0" collapsed="false">
      <c r="A2980" s="1" t="s">
        <v>3015</v>
      </c>
      <c r="B2980" s="1" t="s">
        <v>53</v>
      </c>
      <c r="C2980" s="1" t="n">
        <v>1430000</v>
      </c>
      <c r="D2980" s="1" t="n">
        <v>67097.1</v>
      </c>
      <c r="E2980" s="1" t="n">
        <v>0.0104</v>
      </c>
      <c r="F2980" s="1" t="n">
        <v>0.0654</v>
      </c>
    </row>
    <row r="2981" customFormat="false" ht="15" hidden="false" customHeight="false" outlineLevel="0" collapsed="false">
      <c r="A2981" s="1" t="s">
        <v>3016</v>
      </c>
      <c r="B2981" s="1" t="s">
        <v>26</v>
      </c>
      <c r="C2981" s="1" t="n">
        <v>964000</v>
      </c>
      <c r="D2981" s="1" t="n">
        <v>3713.7</v>
      </c>
      <c r="E2981" s="1" t="n">
        <v>0.0439</v>
      </c>
      <c r="F2981" s="1" t="n">
        <v>0.0951</v>
      </c>
    </row>
    <row r="2982" customFormat="false" ht="15" hidden="false" customHeight="false" outlineLevel="0" collapsed="false">
      <c r="A2982" s="1" t="s">
        <v>3017</v>
      </c>
      <c r="B2982" s="1" t="s">
        <v>71</v>
      </c>
      <c r="C2982" s="1" t="n">
        <v>1000000</v>
      </c>
      <c r="D2982" s="1" t="n">
        <v>34815.5</v>
      </c>
      <c r="E2982" s="1" t="n">
        <v>0.0158</v>
      </c>
      <c r="F2982" s="1" t="n">
        <v>0.0937</v>
      </c>
    </row>
    <row r="2983" customFormat="false" ht="15" hidden="false" customHeight="false" outlineLevel="0" collapsed="false">
      <c r="A2983" s="1" t="s">
        <v>3018</v>
      </c>
      <c r="B2983" s="1" t="s">
        <v>26</v>
      </c>
      <c r="C2983" s="1" t="n">
        <v>1100000</v>
      </c>
      <c r="D2983" s="1" t="n">
        <v>1598.7</v>
      </c>
      <c r="E2983" s="1" t="n">
        <v>0.0044</v>
      </c>
      <c r="F2983" s="1" t="n">
        <v>0.1068</v>
      </c>
    </row>
    <row r="2984" customFormat="false" ht="15" hidden="false" customHeight="false" outlineLevel="0" collapsed="false">
      <c r="A2984" s="1" t="s">
        <v>3019</v>
      </c>
      <c r="B2984" s="1" t="s">
        <v>81</v>
      </c>
      <c r="C2984" s="1" t="n">
        <v>1000000</v>
      </c>
      <c r="D2984" s="1" t="n">
        <v>16063</v>
      </c>
      <c r="E2984" s="1" t="n">
        <v>0.0635</v>
      </c>
      <c r="F2984" s="1" t="n">
        <v>0.0759</v>
      </c>
    </row>
    <row r="2985" customFormat="false" ht="15" hidden="false" customHeight="false" outlineLevel="0" collapsed="false">
      <c r="A2985" s="1" t="s">
        <v>3020</v>
      </c>
      <c r="B2985" s="1" t="s">
        <v>24</v>
      </c>
      <c r="C2985" s="1" t="n">
        <v>1100000</v>
      </c>
      <c r="D2985" s="1" t="n">
        <v>41771.2</v>
      </c>
      <c r="E2985" s="1" t="n">
        <v>0.0356</v>
      </c>
      <c r="F2985" s="1" t="n">
        <v>0.0951</v>
      </c>
    </row>
    <row r="2986" customFormat="false" ht="15" hidden="false" customHeight="false" outlineLevel="0" collapsed="false">
      <c r="A2986" s="1" t="s">
        <v>3021</v>
      </c>
      <c r="B2986" s="1" t="s">
        <v>62</v>
      </c>
      <c r="C2986" s="1" t="n">
        <v>1520000</v>
      </c>
      <c r="D2986" s="1" t="n">
        <v>238875.3</v>
      </c>
      <c r="E2986" s="1" t="n">
        <v>0.0421</v>
      </c>
      <c r="F2986" s="1" t="n">
        <v>0.0759</v>
      </c>
    </row>
    <row r="2987" customFormat="false" ht="15" hidden="false" customHeight="false" outlineLevel="0" collapsed="false">
      <c r="A2987" s="1" t="s">
        <v>3022</v>
      </c>
      <c r="B2987" s="1" t="s">
        <v>214</v>
      </c>
      <c r="C2987" s="1" t="n">
        <v>976000</v>
      </c>
      <c r="D2987" s="1" t="n">
        <v>8149.8</v>
      </c>
      <c r="E2987" s="1" t="n">
        <v>0.0469</v>
      </c>
      <c r="F2987" s="1" t="n">
        <v>0.0759</v>
      </c>
    </row>
    <row r="2988" customFormat="false" ht="15" hidden="false" customHeight="false" outlineLevel="0" collapsed="false">
      <c r="A2988" s="1" t="s">
        <v>3023</v>
      </c>
      <c r="B2988" s="1" t="s">
        <v>92</v>
      </c>
      <c r="C2988" s="1" t="n">
        <v>1010000</v>
      </c>
      <c r="D2988" s="1" t="n">
        <v>438659.2</v>
      </c>
      <c r="E2988" s="1" t="n">
        <v>0.0471</v>
      </c>
      <c r="F2988" s="1" t="n">
        <v>0.0409</v>
      </c>
    </row>
    <row r="2989" customFormat="false" ht="15" hidden="false" customHeight="false" outlineLevel="0" collapsed="false">
      <c r="A2989" s="1" t="s">
        <v>3024</v>
      </c>
      <c r="B2989" s="1" t="s">
        <v>26</v>
      </c>
      <c r="C2989" s="1" t="n">
        <v>1030000</v>
      </c>
      <c r="D2989" s="1" t="n">
        <v>39217.5</v>
      </c>
      <c r="F2989" s="1" t="n">
        <v>0.0518</v>
      </c>
    </row>
    <row r="2990" customFormat="false" ht="15" hidden="false" customHeight="false" outlineLevel="0" collapsed="false">
      <c r="A2990" s="1" t="s">
        <v>3025</v>
      </c>
      <c r="B2990" s="1" t="s">
        <v>26</v>
      </c>
      <c r="C2990" s="1" t="n">
        <v>1020000</v>
      </c>
      <c r="D2990" s="1" t="n">
        <v>1441.9</v>
      </c>
      <c r="E2990" s="1" t="n">
        <v>0.0216</v>
      </c>
      <c r="F2990" s="1" t="n">
        <v>0.1053</v>
      </c>
    </row>
    <row r="2991" customFormat="false" ht="15" hidden="false" customHeight="false" outlineLevel="0" collapsed="false">
      <c r="A2991" s="1" t="s">
        <v>3026</v>
      </c>
      <c r="B2991" s="1" t="s">
        <v>88</v>
      </c>
      <c r="C2991" s="1" t="n">
        <v>1180000</v>
      </c>
      <c r="D2991" s="1" t="n">
        <v>16818.2</v>
      </c>
      <c r="E2991" s="1" t="n">
        <v>0.0567</v>
      </c>
      <c r="F2991" s="1" t="n">
        <v>0.0938</v>
      </c>
    </row>
    <row r="2992" customFormat="false" ht="15" hidden="false" customHeight="false" outlineLevel="0" collapsed="false">
      <c r="A2992" s="1" t="s">
        <v>3027</v>
      </c>
      <c r="B2992" s="1" t="s">
        <v>53</v>
      </c>
      <c r="C2992" s="1" t="n">
        <v>2620000</v>
      </c>
      <c r="D2992" s="1" t="n">
        <v>1528952.7</v>
      </c>
      <c r="E2992" s="1" t="n">
        <v>0.0202</v>
      </c>
      <c r="F2992" s="1" t="n">
        <v>0.0759</v>
      </c>
    </row>
    <row r="2993" customFormat="false" ht="15" hidden="false" customHeight="false" outlineLevel="0" collapsed="false">
      <c r="A2993" s="1" t="s">
        <v>3028</v>
      </c>
      <c r="B2993" s="1" t="s">
        <v>88</v>
      </c>
      <c r="C2993" s="1" t="n">
        <v>1290000</v>
      </c>
      <c r="D2993" s="1" t="n">
        <v>1130517.4</v>
      </c>
      <c r="E2993" s="1" t="n">
        <v>0.0202</v>
      </c>
      <c r="F2993" s="1" t="n">
        <v>0.1067</v>
      </c>
    </row>
    <row r="2994" customFormat="false" ht="15" hidden="false" customHeight="false" outlineLevel="0" collapsed="false">
      <c r="A2994" s="1" t="s">
        <v>3029</v>
      </c>
      <c r="B2994" s="1" t="s">
        <v>26</v>
      </c>
      <c r="C2994" s="1" t="n">
        <v>1000000</v>
      </c>
      <c r="D2994" s="1" t="n">
        <v>8792.7</v>
      </c>
      <c r="E2994" s="1" t="n">
        <v>0.0274</v>
      </c>
      <c r="F2994" s="1" t="n">
        <v>0.0951</v>
      </c>
    </row>
    <row r="2995" customFormat="false" ht="15" hidden="false" customHeight="false" outlineLevel="0" collapsed="false">
      <c r="A2995" s="1" t="s">
        <v>3030</v>
      </c>
      <c r="B2995" s="1" t="s">
        <v>50</v>
      </c>
      <c r="C2995" s="1" t="n">
        <v>1360000</v>
      </c>
      <c r="D2995" s="1" t="n">
        <v>642924.9</v>
      </c>
      <c r="E2995" s="1" t="n">
        <v>0.0301</v>
      </c>
      <c r="F2995" s="1" t="n">
        <v>0.0518</v>
      </c>
    </row>
    <row r="2996" customFormat="false" ht="15" hidden="false" customHeight="false" outlineLevel="0" collapsed="false">
      <c r="A2996" s="1" t="s">
        <v>3031</v>
      </c>
      <c r="B2996" s="1" t="s">
        <v>21</v>
      </c>
      <c r="C2996" s="1" t="n">
        <v>1060000</v>
      </c>
      <c r="D2996" s="1" t="n">
        <v>476.7</v>
      </c>
      <c r="E2996" s="1" t="n">
        <v>0.0467</v>
      </c>
      <c r="F2996" s="1" t="n">
        <v>0.0938</v>
      </c>
    </row>
    <row r="2997" customFormat="false" ht="15" hidden="false" customHeight="false" outlineLevel="0" collapsed="false">
      <c r="A2997" s="1" t="s">
        <v>3032</v>
      </c>
      <c r="B2997" s="1" t="s">
        <v>26</v>
      </c>
      <c r="C2997" s="1" t="n">
        <v>1930000</v>
      </c>
      <c r="D2997" s="1" t="n">
        <v>81688.9</v>
      </c>
      <c r="E2997" s="1" t="n">
        <v>0.0489</v>
      </c>
      <c r="F2997" s="1" t="n">
        <v>0.0759</v>
      </c>
    </row>
    <row r="2998" customFormat="false" ht="15" hidden="false" customHeight="false" outlineLevel="0" collapsed="false">
      <c r="A2998" s="1" t="s">
        <v>3033</v>
      </c>
      <c r="B2998" s="1" t="s">
        <v>21</v>
      </c>
      <c r="C2998" s="1" t="n">
        <v>3930000</v>
      </c>
      <c r="D2998" s="1" t="n">
        <v>43635.6</v>
      </c>
      <c r="E2998" s="1" t="n">
        <v>0.0061</v>
      </c>
      <c r="F2998" s="1" t="n">
        <v>0.0654</v>
      </c>
    </row>
    <row r="2999" customFormat="false" ht="15" hidden="false" customHeight="false" outlineLevel="0" collapsed="false">
      <c r="A2999" s="1" t="s">
        <v>3034</v>
      </c>
      <c r="B2999" s="1" t="s">
        <v>26</v>
      </c>
      <c r="C2999" s="1" t="n">
        <v>1260000</v>
      </c>
      <c r="D2999" s="1" t="n">
        <v>49457.7</v>
      </c>
      <c r="E2999" s="1" t="n">
        <v>0.024</v>
      </c>
      <c r="F2999" s="1" t="n">
        <v>0.0951</v>
      </c>
    </row>
    <row r="3000" customFormat="false" ht="15" hidden="false" customHeight="false" outlineLevel="0" collapsed="false">
      <c r="A3000" s="1" t="s">
        <v>3035</v>
      </c>
      <c r="B3000" s="1" t="s">
        <v>24</v>
      </c>
      <c r="C3000" s="1" t="n">
        <v>4220000</v>
      </c>
      <c r="D3000" s="1" t="n">
        <v>1378401.7</v>
      </c>
      <c r="E3000" s="1" t="n">
        <v>0.0574</v>
      </c>
      <c r="F3000" s="1" t="n">
        <v>0.0409</v>
      </c>
    </row>
    <row r="3001" customFormat="false" ht="15" hidden="false" customHeight="false" outlineLevel="0" collapsed="false">
      <c r="A3001" s="1" t="s">
        <v>3036</v>
      </c>
      <c r="B3001" s="1" t="s">
        <v>26</v>
      </c>
      <c r="C3001" s="1" t="n">
        <v>916000</v>
      </c>
      <c r="F3001" s="1" t="n">
        <v>0.0759</v>
      </c>
    </row>
    <row r="3002" customFormat="false" ht="15" hidden="false" customHeight="false" outlineLevel="0" collapsed="false">
      <c r="A3002" s="1" t="s">
        <v>3037</v>
      </c>
      <c r="B3002" s="1" t="s">
        <v>26</v>
      </c>
      <c r="C3002" s="1" t="n">
        <v>1080000</v>
      </c>
      <c r="D3002" s="1" t="n">
        <v>46714.8</v>
      </c>
      <c r="E3002" s="1" t="n">
        <v>0.0308</v>
      </c>
      <c r="F3002" s="1" t="n">
        <v>0.0409</v>
      </c>
    </row>
    <row r="3003" customFormat="false" ht="15" hidden="false" customHeight="false" outlineLevel="0" collapsed="false">
      <c r="A3003" s="1" t="s">
        <v>3038</v>
      </c>
      <c r="B3003" s="1" t="s">
        <v>74</v>
      </c>
      <c r="C3003" s="1" t="n">
        <v>986000</v>
      </c>
      <c r="D3003" s="1" t="n">
        <v>155314.8</v>
      </c>
      <c r="E3003" s="1" t="n">
        <v>0.034</v>
      </c>
      <c r="F3003" s="1" t="n">
        <v>0.0951</v>
      </c>
    </row>
    <row r="3004" customFormat="false" ht="15" hidden="false" customHeight="false" outlineLevel="0" collapsed="false">
      <c r="A3004" s="1" t="s">
        <v>3039</v>
      </c>
      <c r="B3004" s="1" t="s">
        <v>88</v>
      </c>
      <c r="C3004" s="1" t="n">
        <v>1470000</v>
      </c>
      <c r="D3004" s="1" t="n">
        <v>1253.1</v>
      </c>
      <c r="E3004" s="1" t="n">
        <v>0.0225</v>
      </c>
      <c r="F3004" s="1" t="n">
        <v>0.0938</v>
      </c>
    </row>
    <row r="3005" customFormat="false" ht="15" hidden="false" customHeight="false" outlineLevel="0" collapsed="false">
      <c r="A3005" s="1" t="s">
        <v>3040</v>
      </c>
      <c r="B3005" s="1" t="s">
        <v>74</v>
      </c>
      <c r="C3005" s="1" t="n">
        <v>960000</v>
      </c>
      <c r="D3005" s="1" t="n">
        <v>8790.4</v>
      </c>
      <c r="E3005" s="1" t="n">
        <v>0.0909</v>
      </c>
      <c r="F3005" s="1" t="n">
        <v>0.0759</v>
      </c>
    </row>
    <row r="3006" customFormat="false" ht="15" hidden="false" customHeight="false" outlineLevel="0" collapsed="false">
      <c r="A3006" s="1" t="s">
        <v>3041</v>
      </c>
      <c r="B3006" s="1" t="s">
        <v>26</v>
      </c>
      <c r="C3006" s="1" t="n">
        <v>1110000</v>
      </c>
      <c r="D3006" s="1" t="n">
        <v>1018505.1</v>
      </c>
      <c r="E3006" s="1" t="n">
        <v>0.0111</v>
      </c>
      <c r="F3006" s="1" t="n">
        <v>0.0822</v>
      </c>
    </row>
    <row r="3007" customFormat="false" ht="15" hidden="false" customHeight="false" outlineLevel="0" collapsed="false">
      <c r="A3007" s="1" t="s">
        <v>3042</v>
      </c>
      <c r="B3007" s="1" t="s">
        <v>81</v>
      </c>
      <c r="C3007" s="1" t="n">
        <v>1060000</v>
      </c>
      <c r="D3007" s="1" t="n">
        <v>305153.2</v>
      </c>
      <c r="E3007" s="1" t="n">
        <v>0.0171</v>
      </c>
      <c r="F3007" s="1" t="n">
        <v>0.1067</v>
      </c>
    </row>
    <row r="3008" customFormat="false" ht="15" hidden="false" customHeight="false" outlineLevel="0" collapsed="false">
      <c r="A3008" s="1" t="s">
        <v>3043</v>
      </c>
      <c r="B3008" s="1" t="s">
        <v>26</v>
      </c>
      <c r="C3008" s="1" t="n">
        <v>1000000</v>
      </c>
      <c r="D3008" s="1" t="n">
        <v>72671.3</v>
      </c>
      <c r="E3008" s="1" t="n">
        <v>0.0171</v>
      </c>
      <c r="F3008" s="1" t="n">
        <v>0.1067</v>
      </c>
    </row>
    <row r="3009" customFormat="false" ht="15" hidden="false" customHeight="false" outlineLevel="0" collapsed="false">
      <c r="A3009" s="1" t="s">
        <v>3044</v>
      </c>
      <c r="B3009" s="1" t="s">
        <v>24</v>
      </c>
      <c r="C3009" s="1" t="n">
        <v>1130000</v>
      </c>
      <c r="D3009" s="1" t="n">
        <v>2031.6</v>
      </c>
      <c r="E3009" s="1" t="n">
        <v>0.0173</v>
      </c>
      <c r="F3009" s="1" t="n">
        <v>0.0462</v>
      </c>
    </row>
    <row r="3010" customFormat="false" ht="15" hidden="false" customHeight="false" outlineLevel="0" collapsed="false">
      <c r="A3010" s="1" t="s">
        <v>3045</v>
      </c>
      <c r="B3010" s="1" t="s">
        <v>92</v>
      </c>
      <c r="C3010" s="1" t="n">
        <v>1010000</v>
      </c>
      <c r="D3010" s="1" t="n">
        <v>9049.3</v>
      </c>
      <c r="E3010" s="1" t="n">
        <v>0.0156</v>
      </c>
      <c r="F3010" s="1" t="n">
        <v>0.1053</v>
      </c>
    </row>
    <row r="3011" customFormat="false" ht="15" hidden="false" customHeight="false" outlineLevel="0" collapsed="false">
      <c r="A3011" s="1" t="s">
        <v>3046</v>
      </c>
      <c r="B3011" s="1" t="s">
        <v>88</v>
      </c>
      <c r="C3011" s="1" t="n">
        <v>2100000</v>
      </c>
      <c r="D3011" s="1" t="n">
        <v>8735</v>
      </c>
      <c r="E3011" s="1" t="n">
        <v>0.088</v>
      </c>
      <c r="F3011" s="1" t="n">
        <v>0.0938</v>
      </c>
    </row>
    <row r="3012" customFormat="false" ht="15" hidden="false" customHeight="false" outlineLevel="0" collapsed="false">
      <c r="A3012" s="1" t="s">
        <v>3047</v>
      </c>
      <c r="B3012" s="1" t="s">
        <v>26</v>
      </c>
      <c r="C3012" s="1" t="n">
        <v>1390000</v>
      </c>
      <c r="D3012" s="1" t="n">
        <v>15278.8</v>
      </c>
      <c r="E3012" s="1" t="n">
        <v>0.0525</v>
      </c>
      <c r="F3012" s="1" t="n">
        <v>0.0938</v>
      </c>
    </row>
    <row r="3013" customFormat="false" ht="15" hidden="false" customHeight="false" outlineLevel="0" collapsed="false">
      <c r="A3013" s="1" t="s">
        <v>3048</v>
      </c>
      <c r="B3013" s="1" t="s">
        <v>287</v>
      </c>
      <c r="C3013" s="1" t="n">
        <v>985000</v>
      </c>
      <c r="D3013" s="1" t="n">
        <v>20404.5</v>
      </c>
      <c r="E3013" s="1" t="n">
        <v>0.0244</v>
      </c>
      <c r="F3013" s="1" t="n">
        <v>0.0759</v>
      </c>
    </row>
    <row r="3014" customFormat="false" ht="15" hidden="false" customHeight="false" outlineLevel="0" collapsed="false">
      <c r="A3014" s="1" t="s">
        <v>3049</v>
      </c>
      <c r="B3014" s="1" t="s">
        <v>21</v>
      </c>
      <c r="C3014" s="1" t="n">
        <v>1180000</v>
      </c>
      <c r="D3014" s="1" t="n">
        <v>27612</v>
      </c>
      <c r="E3014" s="1" t="n">
        <v>0.042</v>
      </c>
      <c r="F3014" s="1" t="n">
        <v>0.1516</v>
      </c>
    </row>
    <row r="3015" customFormat="false" ht="15" hidden="false" customHeight="false" outlineLevel="0" collapsed="false">
      <c r="A3015" s="1" t="s">
        <v>3050</v>
      </c>
      <c r="B3015" s="1" t="s">
        <v>24</v>
      </c>
      <c r="C3015" s="1" t="n">
        <v>1550000</v>
      </c>
      <c r="D3015" s="1" t="n">
        <v>109246.7</v>
      </c>
      <c r="E3015" s="1" t="n">
        <v>0.0127</v>
      </c>
      <c r="F3015" s="1" t="n">
        <v>0.0462</v>
      </c>
    </row>
    <row r="3016" customFormat="false" ht="15" hidden="false" customHeight="false" outlineLevel="0" collapsed="false">
      <c r="A3016" s="1" t="s">
        <v>3051</v>
      </c>
      <c r="B3016" s="1" t="s">
        <v>287</v>
      </c>
      <c r="C3016" s="1" t="n">
        <v>979000</v>
      </c>
      <c r="D3016" s="1" t="n">
        <v>33774.1</v>
      </c>
      <c r="E3016" s="1" t="n">
        <v>0.0174</v>
      </c>
      <c r="F3016" s="1" t="n">
        <v>0.1446</v>
      </c>
    </row>
    <row r="3017" customFormat="false" ht="15" hidden="false" customHeight="false" outlineLevel="0" collapsed="false">
      <c r="A3017" s="1" t="s">
        <v>3052</v>
      </c>
      <c r="B3017" s="1" t="s">
        <v>26</v>
      </c>
      <c r="C3017" s="1" t="n">
        <v>1140000</v>
      </c>
      <c r="D3017" s="1" t="n">
        <v>83403.2</v>
      </c>
      <c r="E3017" s="1" t="n">
        <v>0.0273</v>
      </c>
      <c r="F3017" s="1" t="n">
        <v>0.0518</v>
      </c>
    </row>
    <row r="3018" customFormat="false" ht="15" hidden="false" customHeight="false" outlineLevel="0" collapsed="false">
      <c r="A3018" s="1" t="s">
        <v>3053</v>
      </c>
      <c r="B3018" s="1" t="s">
        <v>88</v>
      </c>
      <c r="C3018" s="1" t="n">
        <v>982000</v>
      </c>
      <c r="D3018" s="1" t="n">
        <v>925.2</v>
      </c>
      <c r="E3018" s="1" t="n">
        <v>0.0245</v>
      </c>
      <c r="F3018" s="1" t="n">
        <v>0.117</v>
      </c>
    </row>
    <row r="3019" customFormat="false" ht="15" hidden="false" customHeight="false" outlineLevel="0" collapsed="false">
      <c r="A3019" s="1" t="s">
        <v>3054</v>
      </c>
      <c r="B3019" s="1" t="s">
        <v>26</v>
      </c>
      <c r="C3019" s="1" t="n">
        <v>959000</v>
      </c>
      <c r="D3019" s="1" t="n">
        <v>1125.8</v>
      </c>
      <c r="E3019" s="1" t="n">
        <v>0.0261</v>
      </c>
      <c r="F3019" s="1" t="n">
        <v>0.0759</v>
      </c>
    </row>
    <row r="3020" customFormat="false" ht="15" hidden="false" customHeight="false" outlineLevel="0" collapsed="false">
      <c r="A3020" s="1" t="s">
        <v>3055</v>
      </c>
      <c r="B3020" s="1" t="s">
        <v>26</v>
      </c>
      <c r="C3020" s="1" t="n">
        <v>955000</v>
      </c>
      <c r="D3020" s="1" t="n">
        <v>176386</v>
      </c>
      <c r="E3020" s="1" t="n">
        <v>0.0078</v>
      </c>
      <c r="F3020" s="1" t="n">
        <v>0.1187</v>
      </c>
    </row>
    <row r="3021" customFormat="false" ht="15" hidden="false" customHeight="false" outlineLevel="0" collapsed="false">
      <c r="A3021" s="1" t="s">
        <v>3056</v>
      </c>
      <c r="B3021" s="1" t="s">
        <v>287</v>
      </c>
      <c r="C3021" s="1" t="n">
        <v>1180000</v>
      </c>
      <c r="D3021" s="1" t="n">
        <v>1195.3</v>
      </c>
      <c r="E3021" s="1" t="n">
        <v>0.0241</v>
      </c>
      <c r="F3021" s="1" t="n">
        <v>0.051</v>
      </c>
    </row>
    <row r="3022" customFormat="false" ht="15" hidden="false" customHeight="false" outlineLevel="0" collapsed="false">
      <c r="A3022" s="1" t="s">
        <v>3057</v>
      </c>
      <c r="B3022" s="1" t="s">
        <v>41</v>
      </c>
      <c r="C3022" s="1" t="n">
        <v>1140000</v>
      </c>
      <c r="D3022" s="1" t="n">
        <v>61250.9</v>
      </c>
      <c r="E3022" s="1" t="n">
        <v>0.0101</v>
      </c>
      <c r="F3022" s="1" t="n">
        <v>0.0654</v>
      </c>
    </row>
    <row r="3023" customFormat="false" ht="15" hidden="false" customHeight="false" outlineLevel="0" collapsed="false">
      <c r="A3023" s="1" t="s">
        <v>3058</v>
      </c>
      <c r="B3023" s="1" t="s">
        <v>92</v>
      </c>
      <c r="C3023" s="1" t="n">
        <v>965000</v>
      </c>
      <c r="D3023" s="1" t="n">
        <v>4555.5</v>
      </c>
      <c r="E3023" s="1" t="n">
        <v>0.0288</v>
      </c>
      <c r="F3023" s="1" t="n">
        <v>0.0759</v>
      </c>
    </row>
    <row r="3024" customFormat="false" ht="15" hidden="false" customHeight="false" outlineLevel="0" collapsed="false">
      <c r="A3024" s="1" t="s">
        <v>3059</v>
      </c>
      <c r="B3024" s="1" t="s">
        <v>26</v>
      </c>
      <c r="C3024" s="1" t="n">
        <v>950000</v>
      </c>
      <c r="D3024" s="1" t="n">
        <v>2277</v>
      </c>
      <c r="E3024" s="1" t="n">
        <v>0.0238</v>
      </c>
      <c r="F3024" s="1" t="n">
        <v>0.0951</v>
      </c>
    </row>
    <row r="3025" customFormat="false" ht="15" hidden="false" customHeight="false" outlineLevel="0" collapsed="false">
      <c r="A3025" s="1" t="s">
        <v>3060</v>
      </c>
      <c r="B3025" s="1" t="s">
        <v>214</v>
      </c>
      <c r="C3025" s="1" t="n">
        <v>1000000</v>
      </c>
      <c r="D3025" s="1" t="n">
        <v>3174.2</v>
      </c>
      <c r="E3025" s="1" t="n">
        <v>0.0163</v>
      </c>
      <c r="F3025" s="1" t="n">
        <v>0.0949</v>
      </c>
    </row>
    <row r="3026" customFormat="false" ht="15" hidden="false" customHeight="false" outlineLevel="0" collapsed="false">
      <c r="A3026" s="1" t="s">
        <v>3061</v>
      </c>
      <c r="B3026" s="1" t="s">
        <v>24</v>
      </c>
      <c r="C3026" s="1" t="n">
        <v>1190000</v>
      </c>
      <c r="D3026" s="1" t="n">
        <v>631514.6</v>
      </c>
      <c r="E3026" s="1" t="n">
        <v>0.0205</v>
      </c>
      <c r="F3026" s="1" t="n">
        <v>0.1067</v>
      </c>
    </row>
    <row r="3027" customFormat="false" ht="15" hidden="false" customHeight="false" outlineLevel="0" collapsed="false">
      <c r="A3027" s="1" t="s">
        <v>3062</v>
      </c>
      <c r="B3027" s="1" t="s">
        <v>26</v>
      </c>
      <c r="C3027" s="1" t="n">
        <v>1300000</v>
      </c>
      <c r="D3027" s="1" t="n">
        <v>464684.1</v>
      </c>
      <c r="E3027" s="1" t="n">
        <v>0.0157</v>
      </c>
      <c r="F3027" s="1" t="n">
        <v>0.0688</v>
      </c>
    </row>
    <row r="3028" customFormat="false" ht="15" hidden="false" customHeight="false" outlineLevel="0" collapsed="false">
      <c r="A3028" s="1" t="s">
        <v>3063</v>
      </c>
      <c r="B3028" s="1" t="s">
        <v>24</v>
      </c>
      <c r="C3028" s="1" t="n">
        <v>1270000</v>
      </c>
      <c r="D3028" s="1" t="n">
        <v>26308.2</v>
      </c>
      <c r="E3028" s="1" t="n">
        <v>0.0297</v>
      </c>
      <c r="F3028" s="1" t="n">
        <v>0.0759</v>
      </c>
    </row>
    <row r="3029" customFormat="false" ht="15" hidden="false" customHeight="false" outlineLevel="0" collapsed="false">
      <c r="A3029" s="1" t="s">
        <v>3064</v>
      </c>
      <c r="B3029" s="1" t="s">
        <v>62</v>
      </c>
      <c r="C3029" s="1" t="n">
        <v>960000</v>
      </c>
      <c r="D3029" s="1" t="n">
        <v>23089.2</v>
      </c>
      <c r="E3029" s="1" t="n">
        <v>0.0354</v>
      </c>
      <c r="F3029" s="1" t="n">
        <v>0.0951</v>
      </c>
    </row>
    <row r="3030" customFormat="false" ht="15" hidden="false" customHeight="false" outlineLevel="0" collapsed="false">
      <c r="A3030" s="1" t="s">
        <v>3065</v>
      </c>
      <c r="B3030" s="1" t="s">
        <v>214</v>
      </c>
      <c r="C3030" s="1" t="n">
        <v>3070000</v>
      </c>
      <c r="D3030" s="1" t="n">
        <v>35715.9</v>
      </c>
      <c r="E3030" s="1" t="n">
        <v>0.0122</v>
      </c>
      <c r="F3030" s="1" t="n">
        <v>0.0462</v>
      </c>
    </row>
    <row r="3031" customFormat="false" ht="15" hidden="false" customHeight="false" outlineLevel="0" collapsed="false">
      <c r="A3031" s="1" t="s">
        <v>3066</v>
      </c>
      <c r="B3031" s="1" t="s">
        <v>88</v>
      </c>
      <c r="C3031" s="1" t="n">
        <v>1520000</v>
      </c>
      <c r="D3031" s="1" t="n">
        <v>31932.9</v>
      </c>
      <c r="E3031" s="1" t="n">
        <v>0.0735</v>
      </c>
      <c r="F3031" s="1" t="n">
        <v>0.0938</v>
      </c>
    </row>
    <row r="3032" customFormat="false" ht="15" hidden="false" customHeight="false" outlineLevel="0" collapsed="false">
      <c r="A3032" s="1" t="s">
        <v>3067</v>
      </c>
      <c r="B3032" s="1" t="s">
        <v>26</v>
      </c>
      <c r="C3032" s="1" t="n">
        <v>1590000</v>
      </c>
      <c r="D3032" s="1" t="n">
        <v>39865.8</v>
      </c>
      <c r="E3032" s="1" t="n">
        <v>0.0563</v>
      </c>
      <c r="F3032" s="1" t="n">
        <v>0.0938</v>
      </c>
    </row>
    <row r="3033" customFormat="false" ht="15" hidden="false" customHeight="false" outlineLevel="0" collapsed="false">
      <c r="A3033" s="1" t="s">
        <v>3068</v>
      </c>
      <c r="B3033" s="1" t="s">
        <v>30</v>
      </c>
      <c r="C3033" s="1" t="n">
        <v>1080000</v>
      </c>
      <c r="D3033" s="1" t="n">
        <v>1769919.4</v>
      </c>
      <c r="E3033" s="1" t="n">
        <v>0.0511</v>
      </c>
      <c r="F3033" s="1" t="n">
        <v>0.0951</v>
      </c>
    </row>
    <row r="3034" customFormat="false" ht="15" hidden="false" customHeight="false" outlineLevel="0" collapsed="false">
      <c r="A3034" s="1" t="s">
        <v>3069</v>
      </c>
      <c r="B3034" s="1" t="s">
        <v>62</v>
      </c>
      <c r="C3034" s="1" t="n">
        <v>2440000</v>
      </c>
      <c r="D3034" s="1" t="n">
        <v>357910.6</v>
      </c>
      <c r="E3034" s="1" t="n">
        <v>0.0439</v>
      </c>
      <c r="F3034" s="1" t="n">
        <v>0.0759</v>
      </c>
    </row>
    <row r="3035" customFormat="false" ht="15" hidden="false" customHeight="false" outlineLevel="0" collapsed="false">
      <c r="A3035" s="1" t="s">
        <v>3070</v>
      </c>
      <c r="B3035" s="1" t="s">
        <v>26</v>
      </c>
      <c r="C3035" s="1" t="n">
        <v>1690000</v>
      </c>
      <c r="D3035" s="1" t="n">
        <v>32273.3</v>
      </c>
      <c r="E3035" s="1" t="n">
        <v>0.0063</v>
      </c>
      <c r="F3035" s="1" t="n">
        <v>0.1436</v>
      </c>
    </row>
    <row r="3036" customFormat="false" ht="15" hidden="false" customHeight="false" outlineLevel="0" collapsed="false">
      <c r="A3036" s="1" t="s">
        <v>3071</v>
      </c>
      <c r="B3036" s="1" t="s">
        <v>30</v>
      </c>
      <c r="C3036" s="1" t="n">
        <v>1510000</v>
      </c>
      <c r="D3036" s="1" t="n">
        <v>131261.3</v>
      </c>
      <c r="E3036" s="1" t="n">
        <v>0.0205</v>
      </c>
      <c r="F3036" s="1" t="n">
        <v>0.0576</v>
      </c>
    </row>
    <row r="3037" customFormat="false" ht="15" hidden="false" customHeight="false" outlineLevel="0" collapsed="false">
      <c r="A3037" s="1" t="s">
        <v>3072</v>
      </c>
      <c r="B3037" s="1" t="s">
        <v>41</v>
      </c>
      <c r="C3037" s="1" t="n">
        <v>961000</v>
      </c>
      <c r="D3037" s="1" t="n">
        <v>601175.9</v>
      </c>
      <c r="E3037" s="1" t="n">
        <v>0.0352</v>
      </c>
      <c r="F3037" s="1" t="n">
        <v>0.0951</v>
      </c>
    </row>
    <row r="3038" customFormat="false" ht="15" hidden="false" customHeight="false" outlineLevel="0" collapsed="false">
      <c r="A3038" s="1" t="s">
        <v>3073</v>
      </c>
      <c r="B3038" s="1" t="s">
        <v>26</v>
      </c>
      <c r="C3038" s="1" t="n">
        <v>1060000</v>
      </c>
      <c r="D3038" s="1" t="n">
        <v>3709.5</v>
      </c>
      <c r="E3038" s="1" t="n">
        <v>0.0143</v>
      </c>
      <c r="F3038" s="1" t="n">
        <v>0.0462</v>
      </c>
    </row>
    <row r="3039" customFormat="false" ht="15" hidden="false" customHeight="false" outlineLevel="0" collapsed="false">
      <c r="A3039" s="1" t="s">
        <v>3074</v>
      </c>
      <c r="B3039" s="1" t="s">
        <v>92</v>
      </c>
      <c r="C3039" s="1" t="n">
        <v>1390000</v>
      </c>
      <c r="D3039" s="1" t="n">
        <v>74877.9</v>
      </c>
      <c r="E3039" s="1" t="n">
        <v>0.0026</v>
      </c>
      <c r="F3039" s="1" t="n">
        <v>0.0821</v>
      </c>
    </row>
    <row r="3040" customFormat="false" ht="15" hidden="false" customHeight="false" outlineLevel="0" collapsed="false">
      <c r="A3040" s="1" t="s">
        <v>3075</v>
      </c>
      <c r="B3040" s="1" t="s">
        <v>62</v>
      </c>
      <c r="C3040" s="1" t="n">
        <v>1520000</v>
      </c>
      <c r="D3040" s="1" t="n">
        <v>47704</v>
      </c>
      <c r="E3040" s="1" t="n">
        <v>0.0648</v>
      </c>
      <c r="F3040" s="1" t="n">
        <v>0.0759</v>
      </c>
    </row>
    <row r="3041" customFormat="false" ht="15" hidden="false" customHeight="false" outlineLevel="0" collapsed="false">
      <c r="A3041" s="1" t="s">
        <v>3076</v>
      </c>
      <c r="B3041" s="1" t="s">
        <v>62</v>
      </c>
      <c r="C3041" s="1" t="n">
        <v>1530000</v>
      </c>
      <c r="D3041" s="1" t="n">
        <v>43662.9</v>
      </c>
      <c r="E3041" s="1" t="n">
        <v>0.0111</v>
      </c>
      <c r="F3041" s="1" t="n">
        <v>0.0811</v>
      </c>
    </row>
    <row r="3042" customFormat="false" ht="15" hidden="false" customHeight="false" outlineLevel="0" collapsed="false">
      <c r="A3042" s="1" t="s">
        <v>3077</v>
      </c>
      <c r="B3042" s="1" t="s">
        <v>26</v>
      </c>
      <c r="C3042" s="1" t="n">
        <v>947000</v>
      </c>
      <c r="D3042" s="1" t="n">
        <v>46988.4</v>
      </c>
      <c r="E3042" s="1" t="n">
        <v>0.0115</v>
      </c>
      <c r="F3042" s="1" t="n">
        <v>0.1471</v>
      </c>
    </row>
    <row r="3043" customFormat="false" ht="15" hidden="false" customHeight="false" outlineLevel="0" collapsed="false">
      <c r="A3043" s="1" t="s">
        <v>3078</v>
      </c>
      <c r="B3043" s="1" t="s">
        <v>214</v>
      </c>
      <c r="C3043" s="1" t="n">
        <v>923000</v>
      </c>
      <c r="D3043" s="1" t="n">
        <v>1089.6</v>
      </c>
      <c r="E3043" s="1" t="n">
        <v>0.0562</v>
      </c>
      <c r="F3043" s="1" t="n">
        <v>0.0938</v>
      </c>
    </row>
    <row r="3044" customFormat="false" ht="15" hidden="false" customHeight="false" outlineLevel="0" collapsed="false">
      <c r="A3044" s="1" t="s">
        <v>3079</v>
      </c>
      <c r="B3044" s="1" t="s">
        <v>50</v>
      </c>
      <c r="C3044" s="1" t="n">
        <v>926000</v>
      </c>
      <c r="D3044" s="1" t="n">
        <v>10599.6</v>
      </c>
      <c r="E3044" s="1" t="n">
        <v>0.0289</v>
      </c>
      <c r="F3044" s="1" t="n">
        <v>0.0951</v>
      </c>
    </row>
    <row r="3045" customFormat="false" ht="15" hidden="false" customHeight="false" outlineLevel="0" collapsed="false">
      <c r="A3045" s="1" t="s">
        <v>3080</v>
      </c>
      <c r="B3045" s="1" t="s">
        <v>88</v>
      </c>
      <c r="C3045" s="1" t="n">
        <v>1370000</v>
      </c>
      <c r="D3045" s="1" t="n">
        <v>1157.5</v>
      </c>
      <c r="E3045" s="1" t="n">
        <v>0.0709</v>
      </c>
      <c r="F3045" s="1" t="n">
        <v>0.0938</v>
      </c>
    </row>
    <row r="3046" customFormat="false" ht="15" hidden="false" customHeight="false" outlineLevel="0" collapsed="false">
      <c r="A3046" s="1" t="s">
        <v>3081</v>
      </c>
      <c r="B3046" s="1" t="s">
        <v>88</v>
      </c>
      <c r="C3046" s="1" t="n">
        <v>1300000</v>
      </c>
      <c r="D3046" s="1" t="n">
        <v>16364.6</v>
      </c>
      <c r="E3046" s="1" t="n">
        <v>0.0468</v>
      </c>
      <c r="F3046" s="1" t="n">
        <v>0.117</v>
      </c>
    </row>
    <row r="3047" customFormat="false" ht="15" hidden="false" customHeight="false" outlineLevel="0" collapsed="false">
      <c r="A3047" s="1" t="s">
        <v>3082</v>
      </c>
      <c r="B3047" s="1" t="s">
        <v>88</v>
      </c>
      <c r="C3047" s="1" t="n">
        <v>2560000</v>
      </c>
      <c r="D3047" s="1" t="n">
        <v>339.9</v>
      </c>
      <c r="E3047" s="1" t="n">
        <v>0.0717</v>
      </c>
      <c r="F3047" s="1" t="n">
        <v>0.0938</v>
      </c>
    </row>
    <row r="3048" customFormat="false" ht="15" hidden="false" customHeight="false" outlineLevel="0" collapsed="false">
      <c r="A3048" s="1" t="s">
        <v>3083</v>
      </c>
      <c r="B3048" s="1" t="s">
        <v>26</v>
      </c>
      <c r="C3048" s="1" t="n">
        <v>1080000</v>
      </c>
      <c r="D3048" s="1" t="n">
        <v>2377</v>
      </c>
      <c r="F3048" s="1" t="n">
        <v>0.0546</v>
      </c>
    </row>
    <row r="3049" customFormat="false" ht="15" hidden="false" customHeight="false" outlineLevel="0" collapsed="false">
      <c r="A3049" s="1" t="s">
        <v>3084</v>
      </c>
      <c r="B3049" s="1" t="s">
        <v>24</v>
      </c>
      <c r="C3049" s="1" t="n">
        <v>1160000</v>
      </c>
      <c r="D3049" s="1" t="n">
        <v>36689.8</v>
      </c>
      <c r="E3049" s="1" t="n">
        <v>0.0554</v>
      </c>
      <c r="F3049" s="1" t="n">
        <v>0.0938</v>
      </c>
    </row>
    <row r="3050" customFormat="false" ht="15" hidden="false" customHeight="false" outlineLevel="0" collapsed="false">
      <c r="A3050" s="1" t="s">
        <v>3085</v>
      </c>
      <c r="B3050" s="1" t="s">
        <v>26</v>
      </c>
      <c r="C3050" s="1" t="n">
        <v>948000</v>
      </c>
      <c r="D3050" s="1" t="n">
        <v>7713.1</v>
      </c>
      <c r="E3050" s="1" t="n">
        <v>0.0195</v>
      </c>
      <c r="F3050" s="1" t="n">
        <v>0.0951</v>
      </c>
    </row>
    <row r="3051" customFormat="false" ht="15" hidden="false" customHeight="false" outlineLevel="0" collapsed="false">
      <c r="A3051" s="1" t="s">
        <v>3086</v>
      </c>
      <c r="B3051" s="1" t="s">
        <v>62</v>
      </c>
      <c r="C3051" s="1" t="n">
        <v>912000</v>
      </c>
      <c r="D3051" s="1" t="n">
        <v>2589.2</v>
      </c>
      <c r="E3051" s="1" t="n">
        <v>0.0258</v>
      </c>
      <c r="F3051" s="1" t="n">
        <v>0.0951</v>
      </c>
    </row>
    <row r="3052" customFormat="false" ht="15" hidden="false" customHeight="false" outlineLevel="0" collapsed="false">
      <c r="A3052" s="1" t="s">
        <v>3087</v>
      </c>
      <c r="B3052" s="1" t="s">
        <v>26</v>
      </c>
      <c r="C3052" s="1" t="n">
        <v>1620000</v>
      </c>
      <c r="D3052" s="1" t="n">
        <v>17838.1</v>
      </c>
      <c r="E3052" s="1" t="n">
        <v>0.0348</v>
      </c>
      <c r="F3052" s="1" t="n">
        <v>0.051</v>
      </c>
    </row>
    <row r="3053" customFormat="false" ht="15" hidden="false" customHeight="false" outlineLevel="0" collapsed="false">
      <c r="A3053" s="1" t="s">
        <v>3088</v>
      </c>
      <c r="B3053" s="1" t="s">
        <v>24</v>
      </c>
      <c r="C3053" s="1" t="n">
        <v>1050000</v>
      </c>
      <c r="D3053" s="1" t="n">
        <v>394724.6</v>
      </c>
      <c r="E3053" s="1" t="n">
        <v>0.0472</v>
      </c>
      <c r="F3053" s="1" t="n">
        <v>0.0951</v>
      </c>
    </row>
    <row r="3054" customFormat="false" ht="15" hidden="false" customHeight="false" outlineLevel="0" collapsed="false">
      <c r="A3054" s="1" t="s">
        <v>3089</v>
      </c>
      <c r="B3054" s="1" t="s">
        <v>88</v>
      </c>
      <c r="C3054" s="1" t="n">
        <v>1240000</v>
      </c>
      <c r="D3054" s="1" t="n">
        <v>884.9</v>
      </c>
      <c r="E3054" s="1" t="n">
        <v>0.0574</v>
      </c>
      <c r="F3054" s="1" t="n">
        <v>0.0538</v>
      </c>
    </row>
    <row r="3055" customFormat="false" ht="15" hidden="false" customHeight="false" outlineLevel="0" collapsed="false">
      <c r="A3055" s="1" t="s">
        <v>3090</v>
      </c>
      <c r="B3055" s="1" t="s">
        <v>50</v>
      </c>
      <c r="C3055" s="1" t="n">
        <v>1550000</v>
      </c>
      <c r="D3055" s="1" t="n">
        <v>397884.3</v>
      </c>
      <c r="E3055" s="1" t="n">
        <v>0.0363</v>
      </c>
      <c r="F3055" s="1" t="n">
        <v>0.0759</v>
      </c>
    </row>
    <row r="3056" customFormat="false" ht="15" hidden="false" customHeight="false" outlineLevel="0" collapsed="false">
      <c r="A3056" s="1" t="s">
        <v>3091</v>
      </c>
      <c r="B3056" s="1" t="s">
        <v>26</v>
      </c>
      <c r="C3056" s="1" t="n">
        <v>907000</v>
      </c>
      <c r="D3056" s="1" t="n">
        <v>2351.2</v>
      </c>
      <c r="E3056" s="1" t="n">
        <v>0.0459</v>
      </c>
      <c r="F3056" s="1" t="n">
        <v>0.0759</v>
      </c>
    </row>
    <row r="3057" customFormat="false" ht="15" hidden="false" customHeight="false" outlineLevel="0" collapsed="false">
      <c r="A3057" s="1" t="s">
        <v>3092</v>
      </c>
      <c r="B3057" s="1" t="s">
        <v>41</v>
      </c>
      <c r="C3057" s="1" t="n">
        <v>1650000</v>
      </c>
      <c r="D3057" s="1" t="n">
        <v>5343.3</v>
      </c>
      <c r="E3057" s="1" t="n">
        <v>0.0225</v>
      </c>
      <c r="F3057" s="1" t="n">
        <v>0.0938</v>
      </c>
    </row>
    <row r="3058" customFormat="false" ht="15" hidden="false" customHeight="false" outlineLevel="0" collapsed="false">
      <c r="A3058" s="1" t="s">
        <v>3093</v>
      </c>
      <c r="B3058" s="1" t="s">
        <v>26</v>
      </c>
      <c r="C3058" s="1" t="n">
        <v>979000</v>
      </c>
      <c r="D3058" s="1" t="n">
        <v>1394.3</v>
      </c>
      <c r="E3058" s="1" t="n">
        <v>0.0041</v>
      </c>
      <c r="F3058" s="1" t="n">
        <v>0.0822</v>
      </c>
    </row>
    <row r="3059" customFormat="false" ht="15" hidden="false" customHeight="false" outlineLevel="0" collapsed="false">
      <c r="A3059" s="1" t="s">
        <v>3094</v>
      </c>
      <c r="B3059" s="1" t="s">
        <v>88</v>
      </c>
      <c r="C3059" s="1" t="n">
        <v>2620000</v>
      </c>
      <c r="D3059" s="1" t="n">
        <v>101333.9</v>
      </c>
      <c r="E3059" s="1" t="n">
        <v>0.0341</v>
      </c>
      <c r="F3059" s="1" t="n">
        <v>0.0759</v>
      </c>
    </row>
    <row r="3060" customFormat="false" ht="15" hidden="false" customHeight="false" outlineLevel="0" collapsed="false">
      <c r="A3060" s="1" t="s">
        <v>3095</v>
      </c>
      <c r="B3060" s="1" t="s">
        <v>41</v>
      </c>
      <c r="C3060" s="1" t="n">
        <v>1080000</v>
      </c>
      <c r="D3060" s="1" t="n">
        <v>12954.5</v>
      </c>
      <c r="E3060" s="1" t="n">
        <v>0.0693</v>
      </c>
      <c r="F3060" s="1" t="n">
        <v>0.051</v>
      </c>
    </row>
    <row r="3061" customFormat="false" ht="15" hidden="false" customHeight="false" outlineLevel="0" collapsed="false">
      <c r="A3061" s="1" t="s">
        <v>3096</v>
      </c>
      <c r="B3061" s="1" t="s">
        <v>26</v>
      </c>
      <c r="C3061" s="1" t="n">
        <v>979000</v>
      </c>
      <c r="D3061" s="1" t="n">
        <v>14490.7</v>
      </c>
      <c r="E3061" s="1" t="n">
        <v>0.0288</v>
      </c>
      <c r="F3061" s="1" t="n">
        <v>0.0951</v>
      </c>
    </row>
    <row r="3062" customFormat="false" ht="15" hidden="false" customHeight="false" outlineLevel="0" collapsed="false">
      <c r="A3062" s="1" t="s">
        <v>3097</v>
      </c>
      <c r="B3062" s="1" t="s">
        <v>26</v>
      </c>
      <c r="C3062" s="1" t="n">
        <v>1130000</v>
      </c>
      <c r="D3062" s="1" t="n">
        <v>52877.9</v>
      </c>
      <c r="E3062" s="1" t="n">
        <v>0.0257</v>
      </c>
      <c r="F3062" s="1" t="n">
        <v>0.0538</v>
      </c>
    </row>
    <row r="3063" customFormat="false" ht="15" hidden="false" customHeight="false" outlineLevel="0" collapsed="false">
      <c r="A3063" s="1" t="s">
        <v>3098</v>
      </c>
      <c r="B3063" s="1" t="s">
        <v>26</v>
      </c>
      <c r="C3063" s="1" t="n">
        <v>1450000</v>
      </c>
      <c r="D3063" s="1" t="n">
        <v>256911.7</v>
      </c>
      <c r="E3063" s="1" t="n">
        <v>0.0344</v>
      </c>
      <c r="F3063" s="1" t="n">
        <v>0.0759</v>
      </c>
    </row>
    <row r="3064" customFormat="false" ht="15" hidden="false" customHeight="false" outlineLevel="0" collapsed="false">
      <c r="A3064" s="1" t="s">
        <v>3099</v>
      </c>
      <c r="B3064" s="1" t="s">
        <v>24</v>
      </c>
      <c r="C3064" s="1" t="n">
        <v>1040000</v>
      </c>
      <c r="D3064" s="1" t="n">
        <v>271721.1</v>
      </c>
      <c r="E3064" s="1" t="n">
        <v>0.0435</v>
      </c>
      <c r="F3064" s="1" t="n">
        <v>0.0759</v>
      </c>
    </row>
    <row r="3065" customFormat="false" ht="15" hidden="false" customHeight="false" outlineLevel="0" collapsed="false">
      <c r="A3065" s="1" t="s">
        <v>3100</v>
      </c>
      <c r="B3065" s="1" t="s">
        <v>88</v>
      </c>
      <c r="C3065" s="1" t="n">
        <v>1060000</v>
      </c>
      <c r="D3065" s="1" t="n">
        <v>189.4</v>
      </c>
      <c r="E3065" s="1" t="n">
        <v>0.0207</v>
      </c>
      <c r="F3065" s="1" t="n">
        <v>0.0576</v>
      </c>
    </row>
    <row r="3066" customFormat="false" ht="15" hidden="false" customHeight="false" outlineLevel="0" collapsed="false">
      <c r="A3066" s="1" t="s">
        <v>3101</v>
      </c>
      <c r="B3066" s="1" t="s">
        <v>26</v>
      </c>
      <c r="C3066" s="1" t="n">
        <v>991000</v>
      </c>
      <c r="D3066" s="1" t="n">
        <v>3642.5</v>
      </c>
      <c r="E3066" s="1" t="n">
        <v>0.0145</v>
      </c>
      <c r="F3066" s="1" t="n">
        <v>0.0462</v>
      </c>
    </row>
    <row r="3067" customFormat="false" ht="15" hidden="false" customHeight="false" outlineLevel="0" collapsed="false">
      <c r="A3067" s="1" t="s">
        <v>3102</v>
      </c>
      <c r="B3067" s="1" t="s">
        <v>92</v>
      </c>
      <c r="C3067" s="1" t="n">
        <v>935000</v>
      </c>
      <c r="D3067" s="1" t="n">
        <v>1281.3</v>
      </c>
      <c r="E3067" s="1" t="n">
        <v>0.0186</v>
      </c>
      <c r="F3067" s="1" t="n">
        <v>0.0462</v>
      </c>
    </row>
    <row r="3068" customFormat="false" ht="15" hidden="false" customHeight="false" outlineLevel="0" collapsed="false">
      <c r="A3068" s="1" t="s">
        <v>3103</v>
      </c>
      <c r="B3068" s="1" t="s">
        <v>41</v>
      </c>
      <c r="C3068" s="1" t="n">
        <v>1100000</v>
      </c>
      <c r="D3068" s="1" t="n">
        <v>9907.4</v>
      </c>
      <c r="E3068" s="1" t="n">
        <v>0.0231</v>
      </c>
      <c r="F3068" s="1" t="n">
        <v>0.0759</v>
      </c>
    </row>
    <row r="3069" customFormat="false" ht="15" hidden="false" customHeight="false" outlineLevel="0" collapsed="false">
      <c r="A3069" s="1" t="s">
        <v>3104</v>
      </c>
      <c r="B3069" s="1" t="s">
        <v>26</v>
      </c>
      <c r="C3069" s="1" t="n">
        <v>897000</v>
      </c>
      <c r="D3069" s="1" t="n">
        <v>3553.7</v>
      </c>
      <c r="E3069" s="1" t="n">
        <v>0.0167</v>
      </c>
      <c r="F3069" s="1" t="n">
        <v>0.0616</v>
      </c>
    </row>
    <row r="3070" customFormat="false" ht="15" hidden="false" customHeight="false" outlineLevel="0" collapsed="false">
      <c r="A3070" s="1" t="s">
        <v>3105</v>
      </c>
      <c r="B3070" s="1" t="s">
        <v>26</v>
      </c>
      <c r="C3070" s="1" t="n">
        <v>1140000</v>
      </c>
      <c r="D3070" s="1" t="n">
        <v>223620</v>
      </c>
      <c r="E3070" s="1" t="n">
        <v>0.0399</v>
      </c>
      <c r="F3070" s="1" t="n">
        <v>0.0759</v>
      </c>
    </row>
    <row r="3071" customFormat="false" ht="15" hidden="false" customHeight="false" outlineLevel="0" collapsed="false">
      <c r="A3071" s="1" t="s">
        <v>3106</v>
      </c>
      <c r="B3071" s="1" t="s">
        <v>74</v>
      </c>
      <c r="C3071" s="1" t="n">
        <v>1210000</v>
      </c>
      <c r="D3071" s="1" t="n">
        <v>16681</v>
      </c>
      <c r="E3071" s="1" t="n">
        <v>0.064</v>
      </c>
      <c r="F3071" s="1" t="n">
        <v>0.0759</v>
      </c>
    </row>
    <row r="3072" customFormat="false" ht="15" hidden="false" customHeight="false" outlineLevel="0" collapsed="false">
      <c r="A3072" s="1" t="s">
        <v>3107</v>
      </c>
      <c r="B3072" s="1" t="s">
        <v>214</v>
      </c>
      <c r="C3072" s="1" t="n">
        <v>956000</v>
      </c>
      <c r="D3072" s="1" t="n">
        <v>4841.5</v>
      </c>
      <c r="E3072" s="1" t="n">
        <v>0.0289</v>
      </c>
      <c r="F3072" s="1" t="n">
        <v>0.0759</v>
      </c>
    </row>
    <row r="3073" customFormat="false" ht="15" hidden="false" customHeight="false" outlineLevel="0" collapsed="false">
      <c r="A3073" s="1" t="s">
        <v>3108</v>
      </c>
      <c r="B3073" s="1" t="s">
        <v>92</v>
      </c>
      <c r="C3073" s="1" t="n">
        <v>1040000</v>
      </c>
      <c r="D3073" s="1" t="n">
        <v>5440.5</v>
      </c>
      <c r="E3073" s="1" t="n">
        <v>0.0081</v>
      </c>
      <c r="F3073" s="1" t="n">
        <v>0.0654</v>
      </c>
    </row>
    <row r="3074" customFormat="false" ht="15" hidden="false" customHeight="false" outlineLevel="0" collapsed="false">
      <c r="A3074" s="1" t="s">
        <v>3109</v>
      </c>
      <c r="B3074" s="1" t="s">
        <v>26</v>
      </c>
      <c r="C3074" s="1" t="n">
        <v>893000</v>
      </c>
      <c r="D3074" s="1" t="n">
        <v>581</v>
      </c>
      <c r="E3074" s="1" t="n">
        <v>0.0344</v>
      </c>
      <c r="F3074" s="1" t="n">
        <v>0.0518</v>
      </c>
    </row>
    <row r="3075" customFormat="false" ht="15" hidden="false" customHeight="false" outlineLevel="0" collapsed="false">
      <c r="A3075" s="1" t="s">
        <v>3110</v>
      </c>
      <c r="B3075" s="1" t="s">
        <v>62</v>
      </c>
      <c r="C3075" s="1" t="n">
        <v>1040000</v>
      </c>
      <c r="D3075" s="1" t="n">
        <v>342.3</v>
      </c>
      <c r="E3075" s="1" t="n">
        <v>0.0299</v>
      </c>
      <c r="F3075" s="1" t="n">
        <v>0.1387</v>
      </c>
    </row>
    <row r="3076" customFormat="false" ht="15" hidden="false" customHeight="false" outlineLevel="0" collapsed="false">
      <c r="A3076" s="1" t="s">
        <v>3111</v>
      </c>
      <c r="B3076" s="1" t="s">
        <v>71</v>
      </c>
      <c r="C3076" s="1" t="n">
        <v>1000000</v>
      </c>
      <c r="D3076" s="1" t="n">
        <v>42751.4</v>
      </c>
      <c r="E3076" s="1" t="n">
        <v>0.0392</v>
      </c>
      <c r="F3076" s="1" t="n">
        <v>0.1241</v>
      </c>
    </row>
    <row r="3077" customFormat="false" ht="15" hidden="false" customHeight="false" outlineLevel="0" collapsed="false">
      <c r="A3077" s="1" t="s">
        <v>3112</v>
      </c>
      <c r="B3077" s="1" t="s">
        <v>74</v>
      </c>
      <c r="C3077" s="1" t="n">
        <v>1020000</v>
      </c>
      <c r="D3077" s="1" t="n">
        <v>32394.3</v>
      </c>
      <c r="E3077" s="1" t="n">
        <v>0.1196</v>
      </c>
      <c r="F3077" s="1" t="n">
        <v>0.0759</v>
      </c>
    </row>
    <row r="3078" customFormat="false" ht="15" hidden="false" customHeight="false" outlineLevel="0" collapsed="false">
      <c r="A3078" s="1" t="s">
        <v>3113</v>
      </c>
      <c r="B3078" s="1" t="s">
        <v>26</v>
      </c>
      <c r="C3078" s="1" t="n">
        <v>1290000</v>
      </c>
      <c r="D3078" s="1" t="n">
        <v>37186.8</v>
      </c>
      <c r="E3078" s="1" t="n">
        <v>0.043</v>
      </c>
      <c r="F3078" s="1" t="n">
        <v>0.0432</v>
      </c>
    </row>
    <row r="3079" customFormat="false" ht="15" hidden="false" customHeight="false" outlineLevel="0" collapsed="false">
      <c r="A3079" s="1" t="s">
        <v>3114</v>
      </c>
      <c r="B3079" s="1" t="s">
        <v>26</v>
      </c>
      <c r="C3079" s="1" t="n">
        <v>1060000</v>
      </c>
      <c r="D3079" s="1" t="n">
        <v>42853.3</v>
      </c>
      <c r="E3079" s="1" t="n">
        <v>0.0292</v>
      </c>
      <c r="F3079" s="1" t="n">
        <v>0.051</v>
      </c>
    </row>
    <row r="3080" customFormat="false" ht="15" hidden="false" customHeight="false" outlineLevel="0" collapsed="false">
      <c r="A3080" s="1" t="s">
        <v>3115</v>
      </c>
      <c r="B3080" s="1" t="s">
        <v>71</v>
      </c>
      <c r="C3080" s="1" t="n">
        <v>946000</v>
      </c>
      <c r="D3080" s="1" t="n">
        <v>4618.1</v>
      </c>
      <c r="E3080" s="1" t="n">
        <v>0.0492</v>
      </c>
      <c r="F3080" s="1" t="n">
        <v>0.0951</v>
      </c>
    </row>
    <row r="3081" customFormat="false" ht="15" hidden="false" customHeight="false" outlineLevel="0" collapsed="false">
      <c r="A3081" s="1" t="s">
        <v>3116</v>
      </c>
      <c r="B3081" s="1" t="s">
        <v>287</v>
      </c>
      <c r="C3081" s="1" t="n">
        <v>969000</v>
      </c>
      <c r="D3081" s="1" t="n">
        <v>2380.9</v>
      </c>
      <c r="E3081" s="1" t="n">
        <v>0.0267</v>
      </c>
      <c r="F3081" s="1" t="n">
        <v>0.1053</v>
      </c>
    </row>
    <row r="3082" customFormat="false" ht="15" hidden="false" customHeight="false" outlineLevel="0" collapsed="false">
      <c r="A3082" s="1" t="s">
        <v>3117</v>
      </c>
      <c r="B3082" s="1" t="s">
        <v>26</v>
      </c>
      <c r="C3082" s="1" t="n">
        <v>1020000</v>
      </c>
      <c r="D3082" s="1" t="n">
        <v>5238.7</v>
      </c>
      <c r="E3082" s="1" t="n">
        <v>0.1062</v>
      </c>
      <c r="F3082" s="1" t="n">
        <v>0.0759</v>
      </c>
    </row>
    <row r="3083" customFormat="false" ht="15" hidden="false" customHeight="false" outlineLevel="0" collapsed="false">
      <c r="A3083" s="1" t="s">
        <v>3118</v>
      </c>
      <c r="B3083" s="1" t="s">
        <v>41</v>
      </c>
      <c r="C3083" s="1" t="n">
        <v>1650000</v>
      </c>
      <c r="D3083" s="1" t="n">
        <v>802116.5</v>
      </c>
      <c r="E3083" s="1" t="n">
        <v>0.0632</v>
      </c>
      <c r="F3083" s="1" t="n">
        <v>0.0759</v>
      </c>
    </row>
    <row r="3084" customFormat="false" ht="15" hidden="false" customHeight="false" outlineLevel="0" collapsed="false">
      <c r="A3084" s="1" t="s">
        <v>3119</v>
      </c>
      <c r="B3084" s="1" t="s">
        <v>26</v>
      </c>
      <c r="C3084" s="1" t="n">
        <v>1280000</v>
      </c>
      <c r="D3084" s="1" t="n">
        <v>2362239.7</v>
      </c>
      <c r="E3084" s="1" t="n">
        <v>0.0288</v>
      </c>
      <c r="F3084" s="1" t="n">
        <v>0.0759</v>
      </c>
    </row>
    <row r="3085" customFormat="false" ht="15" hidden="false" customHeight="false" outlineLevel="0" collapsed="false">
      <c r="A3085" s="1" t="s">
        <v>3120</v>
      </c>
      <c r="B3085" s="1" t="s">
        <v>26</v>
      </c>
      <c r="C3085" s="1" t="n">
        <v>1440000</v>
      </c>
      <c r="D3085" s="1" t="n">
        <v>46733.9</v>
      </c>
      <c r="E3085" s="1" t="n">
        <v>0.0314</v>
      </c>
      <c r="F3085" s="1" t="n">
        <v>0.0938</v>
      </c>
    </row>
    <row r="3086" customFormat="false" ht="15" hidden="false" customHeight="false" outlineLevel="0" collapsed="false">
      <c r="A3086" s="1" t="s">
        <v>3121</v>
      </c>
      <c r="B3086" s="1" t="s">
        <v>26</v>
      </c>
      <c r="C3086" s="1" t="n">
        <v>991000</v>
      </c>
      <c r="D3086" s="1" t="n">
        <v>96364.9</v>
      </c>
      <c r="E3086" s="1" t="n">
        <v>0.0339</v>
      </c>
      <c r="F3086" s="1" t="n">
        <v>0.0409</v>
      </c>
    </row>
    <row r="3087" customFormat="false" ht="15" hidden="false" customHeight="false" outlineLevel="0" collapsed="false">
      <c r="A3087" s="1" t="s">
        <v>3122</v>
      </c>
      <c r="B3087" s="1" t="s">
        <v>287</v>
      </c>
      <c r="C3087" s="1" t="n">
        <v>949000</v>
      </c>
      <c r="D3087" s="1" t="n">
        <v>10910.2</v>
      </c>
      <c r="E3087" s="1" t="n">
        <v>0.009</v>
      </c>
      <c r="F3087" s="1" t="n">
        <v>0.0822</v>
      </c>
    </row>
    <row r="3088" customFormat="false" ht="15" hidden="false" customHeight="false" outlineLevel="0" collapsed="false">
      <c r="A3088" s="1" t="s">
        <v>3123</v>
      </c>
      <c r="B3088" s="1" t="s">
        <v>195</v>
      </c>
      <c r="C3088" s="1" t="n">
        <v>1090000</v>
      </c>
      <c r="D3088" s="1" t="n">
        <v>5792.4</v>
      </c>
      <c r="E3088" s="1" t="n">
        <v>0.0193</v>
      </c>
      <c r="F3088" s="1" t="n">
        <v>0.1053</v>
      </c>
    </row>
    <row r="3089" customFormat="false" ht="15" hidden="false" customHeight="false" outlineLevel="0" collapsed="false">
      <c r="A3089" s="1" t="s">
        <v>3124</v>
      </c>
      <c r="B3089" s="1" t="s">
        <v>26</v>
      </c>
      <c r="C3089" s="1" t="n">
        <v>931000</v>
      </c>
      <c r="D3089" s="1" t="n">
        <v>96306.4</v>
      </c>
      <c r="E3089" s="1" t="n">
        <v>0.0319</v>
      </c>
      <c r="F3089" s="1" t="n">
        <v>0.0518</v>
      </c>
    </row>
    <row r="3090" customFormat="false" ht="15" hidden="false" customHeight="false" outlineLevel="0" collapsed="false">
      <c r="A3090" s="1" t="s">
        <v>3125</v>
      </c>
      <c r="B3090" s="1" t="s">
        <v>41</v>
      </c>
      <c r="C3090" s="1" t="n">
        <v>1700000</v>
      </c>
      <c r="D3090" s="1" t="n">
        <v>22122.1</v>
      </c>
      <c r="E3090" s="1" t="n">
        <v>0.0351</v>
      </c>
      <c r="F3090" s="1" t="n">
        <v>0.0938</v>
      </c>
    </row>
    <row r="3091" customFormat="false" ht="15" hidden="false" customHeight="false" outlineLevel="0" collapsed="false">
      <c r="A3091" s="1" t="s">
        <v>3126</v>
      </c>
      <c r="B3091" s="1" t="s">
        <v>53</v>
      </c>
      <c r="C3091" s="1" t="n">
        <v>1090000</v>
      </c>
      <c r="D3091" s="1" t="n">
        <v>112659.9</v>
      </c>
      <c r="E3091" s="1" t="n">
        <v>0.1253</v>
      </c>
      <c r="F3091" s="1" t="n">
        <v>0.0845</v>
      </c>
    </row>
    <row r="3092" customFormat="false" ht="15" hidden="false" customHeight="false" outlineLevel="0" collapsed="false">
      <c r="A3092" s="1" t="s">
        <v>3127</v>
      </c>
      <c r="B3092" s="1" t="s">
        <v>26</v>
      </c>
      <c r="C3092" s="1" t="n">
        <v>1180000</v>
      </c>
      <c r="D3092" s="1" t="n">
        <v>388529.2</v>
      </c>
      <c r="E3092" s="1" t="n">
        <v>0.0156</v>
      </c>
      <c r="F3092" s="1" t="n">
        <v>0.0462</v>
      </c>
    </row>
    <row r="3093" customFormat="false" ht="15" hidden="false" customHeight="false" outlineLevel="0" collapsed="false">
      <c r="A3093" s="1" t="s">
        <v>3128</v>
      </c>
      <c r="B3093" s="1" t="s">
        <v>490</v>
      </c>
      <c r="C3093" s="1" t="n">
        <v>972000</v>
      </c>
      <c r="D3093" s="1" t="n">
        <v>13779</v>
      </c>
      <c r="E3093" s="1" t="n">
        <v>0.0053</v>
      </c>
      <c r="F3093" s="1" t="n">
        <v>0.0811</v>
      </c>
    </row>
    <row r="3094" customFormat="false" ht="15" hidden="false" customHeight="false" outlineLevel="0" collapsed="false">
      <c r="A3094" s="1" t="s">
        <v>3129</v>
      </c>
      <c r="B3094" s="1" t="s">
        <v>32</v>
      </c>
      <c r="C3094" s="1" t="n">
        <v>965000</v>
      </c>
      <c r="D3094" s="1" t="n">
        <v>6280.1</v>
      </c>
      <c r="E3094" s="1" t="n">
        <v>0.0272</v>
      </c>
      <c r="F3094" s="1" t="n">
        <v>0.0644</v>
      </c>
    </row>
    <row r="3095" customFormat="false" ht="15" hidden="false" customHeight="false" outlineLevel="0" collapsed="false">
      <c r="A3095" s="1" t="s">
        <v>3130</v>
      </c>
      <c r="B3095" s="1" t="s">
        <v>41</v>
      </c>
      <c r="C3095" s="1" t="n">
        <v>1230000</v>
      </c>
      <c r="D3095" s="1" t="n">
        <v>1404</v>
      </c>
      <c r="E3095" s="1" t="n">
        <v>0.02</v>
      </c>
      <c r="F3095" s="1" t="n">
        <v>0.0576</v>
      </c>
    </row>
    <row r="3096" customFormat="false" ht="15" hidden="false" customHeight="false" outlineLevel="0" collapsed="false">
      <c r="A3096" s="1" t="s">
        <v>3131</v>
      </c>
      <c r="B3096" s="1" t="s">
        <v>21</v>
      </c>
      <c r="C3096" s="1" t="n">
        <v>1570000</v>
      </c>
      <c r="D3096" s="1" t="n">
        <v>1509781.4</v>
      </c>
      <c r="E3096" s="1" t="n">
        <v>0.0207</v>
      </c>
      <c r="F3096" s="1" t="n">
        <v>0.0409</v>
      </c>
    </row>
    <row r="3097" customFormat="false" ht="15" hidden="false" customHeight="false" outlineLevel="0" collapsed="false">
      <c r="A3097" s="1" t="s">
        <v>3132</v>
      </c>
      <c r="B3097" s="1" t="s">
        <v>24</v>
      </c>
      <c r="C3097" s="1" t="n">
        <v>1070000</v>
      </c>
      <c r="D3097" s="1" t="n">
        <v>18451.7</v>
      </c>
      <c r="E3097" s="1" t="n">
        <v>0.1352</v>
      </c>
      <c r="F3097" s="1" t="n">
        <v>0.0938</v>
      </c>
    </row>
    <row r="3098" customFormat="false" ht="15" hidden="false" customHeight="false" outlineLevel="0" collapsed="false">
      <c r="A3098" s="1" t="s">
        <v>3133</v>
      </c>
      <c r="B3098" s="1" t="s">
        <v>214</v>
      </c>
      <c r="C3098" s="1" t="n">
        <v>1320000</v>
      </c>
      <c r="D3098" s="1" t="n">
        <v>1059065</v>
      </c>
      <c r="E3098" s="1" t="n">
        <v>0.0212</v>
      </c>
      <c r="F3098" s="1" t="n">
        <v>0.0462</v>
      </c>
    </row>
    <row r="3099" customFormat="false" ht="15" hidden="false" customHeight="false" outlineLevel="0" collapsed="false">
      <c r="A3099" s="1" t="s">
        <v>3134</v>
      </c>
      <c r="B3099" s="1" t="s">
        <v>32</v>
      </c>
      <c r="C3099" s="1" t="n">
        <v>1370000</v>
      </c>
      <c r="D3099" s="1" t="n">
        <v>4513639.2</v>
      </c>
      <c r="E3099" s="1" t="n">
        <v>0.0274</v>
      </c>
      <c r="F3099" s="1" t="n">
        <v>0.0951</v>
      </c>
    </row>
    <row r="3100" customFormat="false" ht="15" hidden="false" customHeight="false" outlineLevel="0" collapsed="false">
      <c r="A3100" s="1" t="s">
        <v>3135</v>
      </c>
      <c r="B3100" s="1" t="s">
        <v>26</v>
      </c>
      <c r="C3100" s="1" t="n">
        <v>1040000</v>
      </c>
      <c r="D3100" s="1" t="n">
        <v>376996.8</v>
      </c>
      <c r="E3100" s="1" t="n">
        <v>0.0171</v>
      </c>
      <c r="F3100" s="1" t="n">
        <v>0.0589</v>
      </c>
    </row>
    <row r="3101" customFormat="false" ht="15" hidden="false" customHeight="false" outlineLevel="0" collapsed="false">
      <c r="A3101" s="1" t="s">
        <v>3136</v>
      </c>
      <c r="B3101" s="1" t="s">
        <v>287</v>
      </c>
      <c r="C3101" s="1" t="n">
        <v>1100000</v>
      </c>
      <c r="D3101" s="1" t="n">
        <v>68011.6</v>
      </c>
      <c r="E3101" s="1" t="n">
        <v>0.0412</v>
      </c>
      <c r="F3101" s="1" t="n">
        <v>0.0951</v>
      </c>
    </row>
    <row r="3102" customFormat="false" ht="15" hidden="false" customHeight="false" outlineLevel="0" collapsed="false">
      <c r="A3102" s="1" t="s">
        <v>3137</v>
      </c>
      <c r="B3102" s="1" t="s">
        <v>287</v>
      </c>
      <c r="C3102" s="1" t="n">
        <v>1210000</v>
      </c>
      <c r="D3102" s="1" t="n">
        <v>14076</v>
      </c>
      <c r="E3102" s="1" t="n">
        <v>0.0072</v>
      </c>
      <c r="F3102" s="1" t="n">
        <v>0.0654</v>
      </c>
    </row>
    <row r="3103" customFormat="false" ht="15" hidden="false" customHeight="false" outlineLevel="0" collapsed="false">
      <c r="A3103" s="1" t="s">
        <v>3138</v>
      </c>
      <c r="B3103" s="1" t="s">
        <v>92</v>
      </c>
      <c r="C3103" s="1" t="n">
        <v>987000</v>
      </c>
      <c r="D3103" s="1" t="n">
        <v>8305.2</v>
      </c>
      <c r="E3103" s="1" t="n">
        <v>0.0148</v>
      </c>
      <c r="F3103" s="1" t="n">
        <v>0.1698</v>
      </c>
    </row>
    <row r="3104" customFormat="false" ht="15" hidden="false" customHeight="false" outlineLevel="0" collapsed="false">
      <c r="A3104" s="1" t="s">
        <v>3139</v>
      </c>
      <c r="B3104" s="1" t="s">
        <v>26</v>
      </c>
      <c r="C3104" s="1" t="n">
        <v>961000</v>
      </c>
      <c r="D3104" s="1" t="n">
        <v>1775.1</v>
      </c>
      <c r="E3104" s="1" t="n">
        <v>0.0261</v>
      </c>
      <c r="F3104" s="1" t="n">
        <v>0.1749</v>
      </c>
    </row>
    <row r="3105" customFormat="false" ht="15" hidden="false" customHeight="false" outlineLevel="0" collapsed="false">
      <c r="A3105" s="1" t="s">
        <v>3140</v>
      </c>
      <c r="B3105" s="1" t="s">
        <v>214</v>
      </c>
      <c r="C3105" s="1" t="n">
        <v>944000</v>
      </c>
      <c r="D3105" s="1" t="n">
        <v>899.2</v>
      </c>
      <c r="E3105" s="1" t="n">
        <v>0.0362</v>
      </c>
      <c r="F3105" s="1" t="n">
        <v>0.0759</v>
      </c>
    </row>
    <row r="3106" customFormat="false" ht="15" hidden="false" customHeight="false" outlineLevel="0" collapsed="false">
      <c r="A3106" s="1" t="s">
        <v>3141</v>
      </c>
      <c r="B3106" s="1" t="s">
        <v>26</v>
      </c>
      <c r="C3106" s="1" t="n">
        <v>1240000</v>
      </c>
      <c r="D3106" s="1" t="n">
        <v>449068.1</v>
      </c>
      <c r="E3106" s="1" t="n">
        <v>0.0614</v>
      </c>
      <c r="F3106" s="1" t="n">
        <v>0.0409</v>
      </c>
    </row>
    <row r="3107" customFormat="false" ht="15" hidden="false" customHeight="false" outlineLevel="0" collapsed="false">
      <c r="A3107" s="1" t="s">
        <v>3142</v>
      </c>
      <c r="B3107" s="1" t="s">
        <v>74</v>
      </c>
      <c r="C3107" s="1" t="n">
        <v>1080000</v>
      </c>
      <c r="D3107" s="1" t="n">
        <v>99660.9</v>
      </c>
      <c r="E3107" s="1" t="n">
        <v>0.0172</v>
      </c>
      <c r="F3107" s="1" t="n">
        <v>0.0462</v>
      </c>
    </row>
    <row r="3108" customFormat="false" ht="15" hidden="false" customHeight="false" outlineLevel="0" collapsed="false">
      <c r="A3108" s="1" t="s">
        <v>3143</v>
      </c>
      <c r="B3108" s="1" t="s">
        <v>88</v>
      </c>
      <c r="C3108" s="1" t="n">
        <v>1510000</v>
      </c>
      <c r="D3108" s="1" t="n">
        <v>11343.7</v>
      </c>
      <c r="E3108" s="1" t="n">
        <v>0.0497</v>
      </c>
      <c r="F3108" s="1" t="n">
        <v>0.0759</v>
      </c>
    </row>
    <row r="3109" customFormat="false" ht="15" hidden="false" customHeight="false" outlineLevel="0" collapsed="false">
      <c r="A3109" s="1" t="s">
        <v>3144</v>
      </c>
      <c r="B3109" s="1" t="s">
        <v>41</v>
      </c>
      <c r="C3109" s="1" t="n">
        <v>1010000</v>
      </c>
      <c r="F3109" s="1" t="n">
        <v>0.0759</v>
      </c>
    </row>
    <row r="3110" customFormat="false" ht="15" hidden="false" customHeight="false" outlineLevel="0" collapsed="false">
      <c r="A3110" s="1" t="s">
        <v>3145</v>
      </c>
      <c r="B3110" s="1" t="s">
        <v>26</v>
      </c>
      <c r="C3110" s="1" t="n">
        <v>973000</v>
      </c>
      <c r="D3110" s="1" t="n">
        <v>600653</v>
      </c>
      <c r="E3110" s="1" t="n">
        <v>0.0222</v>
      </c>
      <c r="F3110" s="1" t="n">
        <v>0.0409</v>
      </c>
    </row>
    <row r="3111" customFormat="false" ht="15" hidden="false" customHeight="false" outlineLevel="0" collapsed="false">
      <c r="A3111" s="1" t="s">
        <v>3146</v>
      </c>
      <c r="B3111" s="1" t="s">
        <v>92</v>
      </c>
      <c r="C3111" s="1" t="n">
        <v>971000</v>
      </c>
      <c r="D3111" s="1" t="n">
        <v>669.1</v>
      </c>
      <c r="E3111" s="1" t="n">
        <v>0.0734</v>
      </c>
      <c r="F3111" s="1" t="n">
        <v>0.0759</v>
      </c>
    </row>
    <row r="3112" customFormat="false" ht="15" hidden="false" customHeight="false" outlineLevel="0" collapsed="false">
      <c r="A3112" s="1" t="s">
        <v>3147</v>
      </c>
      <c r="B3112" s="1" t="s">
        <v>26</v>
      </c>
      <c r="C3112" s="1" t="n">
        <v>4570000</v>
      </c>
      <c r="D3112" s="1" t="n">
        <v>384281.3</v>
      </c>
      <c r="E3112" s="1" t="n">
        <v>0.0338</v>
      </c>
      <c r="F3112" s="1" t="n">
        <v>0.0538</v>
      </c>
    </row>
    <row r="3113" customFormat="false" ht="15" hidden="false" customHeight="false" outlineLevel="0" collapsed="false">
      <c r="A3113" s="1" t="s">
        <v>3148</v>
      </c>
      <c r="B3113" s="1" t="s">
        <v>26</v>
      </c>
      <c r="C3113" s="1" t="n">
        <v>929000</v>
      </c>
      <c r="D3113" s="1" t="n">
        <v>2708.6</v>
      </c>
      <c r="E3113" s="1" t="n">
        <v>0.0144</v>
      </c>
      <c r="F3113" s="1" t="n">
        <v>0.1886</v>
      </c>
    </row>
    <row r="3114" customFormat="false" ht="15" hidden="false" customHeight="false" outlineLevel="0" collapsed="false">
      <c r="A3114" s="1" t="s">
        <v>3149</v>
      </c>
      <c r="B3114" s="1" t="s">
        <v>26</v>
      </c>
      <c r="C3114" s="1" t="n">
        <v>1150000</v>
      </c>
      <c r="D3114" s="1" t="n">
        <v>685693</v>
      </c>
      <c r="E3114" s="1" t="n">
        <v>0.0379</v>
      </c>
      <c r="F3114" s="1" t="n">
        <v>0.0951</v>
      </c>
    </row>
    <row r="3115" customFormat="false" ht="15" hidden="false" customHeight="false" outlineLevel="0" collapsed="false">
      <c r="A3115" s="1" t="s">
        <v>3150</v>
      </c>
      <c r="B3115" s="1" t="s">
        <v>53</v>
      </c>
      <c r="C3115" s="1" t="n">
        <v>968000</v>
      </c>
      <c r="D3115" s="1" t="n">
        <v>11055.2</v>
      </c>
      <c r="E3115" s="1" t="n">
        <v>0.0644</v>
      </c>
      <c r="F3115" s="1" t="n">
        <v>0.0759</v>
      </c>
    </row>
    <row r="3116" customFormat="false" ht="15" hidden="false" customHeight="false" outlineLevel="0" collapsed="false">
      <c r="A3116" s="1" t="s">
        <v>3151</v>
      </c>
      <c r="B3116" s="1" t="s">
        <v>74</v>
      </c>
      <c r="C3116" s="1" t="n">
        <v>1010000</v>
      </c>
      <c r="D3116" s="1" t="n">
        <v>2160.5</v>
      </c>
      <c r="E3116" s="1" t="n">
        <v>0.0479</v>
      </c>
      <c r="F3116" s="1" t="n">
        <v>0.0938</v>
      </c>
    </row>
    <row r="3117" customFormat="false" ht="15" hidden="false" customHeight="false" outlineLevel="0" collapsed="false">
      <c r="A3117" s="1" t="s">
        <v>3152</v>
      </c>
      <c r="B3117" s="1" t="s">
        <v>88</v>
      </c>
      <c r="C3117" s="1" t="n">
        <v>1000000</v>
      </c>
      <c r="D3117" s="1" t="n">
        <v>16027.6</v>
      </c>
      <c r="E3117" s="1" t="n">
        <v>0.0348</v>
      </c>
      <c r="F3117" s="1" t="n">
        <v>0.0951</v>
      </c>
    </row>
    <row r="3118" customFormat="false" ht="15" hidden="false" customHeight="false" outlineLevel="0" collapsed="false">
      <c r="A3118" s="1" t="s">
        <v>3153</v>
      </c>
      <c r="B3118" s="1" t="s">
        <v>24</v>
      </c>
      <c r="C3118" s="1" t="n">
        <v>1210000</v>
      </c>
      <c r="D3118" s="1" t="n">
        <v>19384.3</v>
      </c>
      <c r="E3118" s="1" t="n">
        <v>0.0099</v>
      </c>
      <c r="F3118" s="1" t="n">
        <v>0.0584</v>
      </c>
    </row>
    <row r="3119" customFormat="false" ht="15" hidden="false" customHeight="false" outlineLevel="0" collapsed="false">
      <c r="A3119" s="1" t="s">
        <v>3154</v>
      </c>
      <c r="B3119" s="1" t="s">
        <v>81</v>
      </c>
      <c r="C3119" s="1" t="n">
        <v>959000</v>
      </c>
      <c r="D3119" s="1" t="n">
        <v>4230.6</v>
      </c>
      <c r="E3119" s="1" t="n">
        <v>0.0117</v>
      </c>
      <c r="F3119" s="1" t="n">
        <v>0.1452</v>
      </c>
    </row>
    <row r="3120" customFormat="false" ht="15" hidden="false" customHeight="false" outlineLevel="0" collapsed="false">
      <c r="A3120" s="1" t="s">
        <v>3155</v>
      </c>
      <c r="B3120" s="1" t="s">
        <v>41</v>
      </c>
      <c r="C3120" s="1" t="n">
        <v>952000</v>
      </c>
      <c r="D3120" s="1" t="n">
        <v>5692</v>
      </c>
      <c r="E3120" s="1" t="n">
        <v>0.0714</v>
      </c>
      <c r="F3120" s="1" t="n">
        <v>0.0938</v>
      </c>
    </row>
    <row r="3121" customFormat="false" ht="15" hidden="false" customHeight="false" outlineLevel="0" collapsed="false">
      <c r="A3121" s="1" t="s">
        <v>3156</v>
      </c>
      <c r="B3121" s="1" t="s">
        <v>26</v>
      </c>
      <c r="C3121" s="1" t="n">
        <v>922000</v>
      </c>
      <c r="D3121" s="1" t="n">
        <v>20004.3</v>
      </c>
      <c r="E3121" s="1" t="n">
        <v>0.0663</v>
      </c>
      <c r="F3121" s="1" t="n">
        <v>0.0845</v>
      </c>
    </row>
    <row r="3122" customFormat="false" ht="15" hidden="false" customHeight="false" outlineLevel="0" collapsed="false">
      <c r="A3122" s="1" t="s">
        <v>3157</v>
      </c>
      <c r="B3122" s="1" t="s">
        <v>50</v>
      </c>
      <c r="C3122" s="1" t="n">
        <v>1630000</v>
      </c>
      <c r="D3122" s="1" t="n">
        <v>272547.4</v>
      </c>
      <c r="E3122" s="1" t="n">
        <v>0.0744</v>
      </c>
      <c r="F3122" s="1" t="n">
        <v>0.0409</v>
      </c>
    </row>
    <row r="3123" customFormat="false" ht="15" hidden="false" customHeight="false" outlineLevel="0" collapsed="false">
      <c r="A3123" s="1" t="s">
        <v>3158</v>
      </c>
      <c r="B3123" s="1" t="s">
        <v>287</v>
      </c>
      <c r="C3123" s="1" t="n">
        <v>893000</v>
      </c>
      <c r="D3123" s="1" t="n">
        <v>14833.2</v>
      </c>
      <c r="F3123" s="1" t="n">
        <v>0.0759</v>
      </c>
    </row>
    <row r="3124" customFormat="false" ht="15" hidden="false" customHeight="false" outlineLevel="0" collapsed="false">
      <c r="A3124" s="1" t="s">
        <v>3159</v>
      </c>
      <c r="B3124" s="1" t="s">
        <v>50</v>
      </c>
      <c r="C3124" s="1" t="n">
        <v>1080000</v>
      </c>
      <c r="D3124" s="1" t="n">
        <v>189268.3</v>
      </c>
      <c r="E3124" s="1" t="n">
        <v>0.0591</v>
      </c>
      <c r="F3124" s="1" t="n">
        <v>0.0759</v>
      </c>
    </row>
    <row r="3125" customFormat="false" ht="15" hidden="false" customHeight="false" outlineLevel="0" collapsed="false">
      <c r="A3125" s="1" t="s">
        <v>3160</v>
      </c>
      <c r="B3125" s="1" t="s">
        <v>26</v>
      </c>
      <c r="C3125" s="1" t="n">
        <v>935000</v>
      </c>
      <c r="D3125" s="1" t="n">
        <v>1529.7</v>
      </c>
      <c r="E3125" s="1" t="n">
        <v>0.0069</v>
      </c>
      <c r="F3125" s="1" t="n">
        <v>0.1187</v>
      </c>
    </row>
    <row r="3126" customFormat="false" ht="15" hidden="false" customHeight="false" outlineLevel="0" collapsed="false">
      <c r="A3126" s="1" t="s">
        <v>3161</v>
      </c>
      <c r="B3126" s="1" t="s">
        <v>26</v>
      </c>
      <c r="C3126" s="1" t="n">
        <v>1040000</v>
      </c>
      <c r="D3126" s="1" t="n">
        <v>556092.2</v>
      </c>
      <c r="E3126" s="1" t="n">
        <v>0.0207</v>
      </c>
      <c r="F3126" s="1" t="n">
        <v>0.0462</v>
      </c>
    </row>
    <row r="3127" customFormat="false" ht="15" hidden="false" customHeight="false" outlineLevel="0" collapsed="false">
      <c r="A3127" s="1" t="s">
        <v>3162</v>
      </c>
      <c r="B3127" s="1" t="s">
        <v>195</v>
      </c>
      <c r="C3127" s="1" t="n">
        <v>883000</v>
      </c>
      <c r="D3127" s="1" t="n">
        <v>14977.1</v>
      </c>
      <c r="E3127" s="1" t="n">
        <v>0.0154</v>
      </c>
      <c r="F3127" s="1" t="n">
        <v>0.131</v>
      </c>
    </row>
    <row r="3128" customFormat="false" ht="15" hidden="false" customHeight="false" outlineLevel="0" collapsed="false">
      <c r="A3128" s="1" t="s">
        <v>3163</v>
      </c>
      <c r="B3128" s="1" t="s">
        <v>62</v>
      </c>
      <c r="C3128" s="1" t="n">
        <v>1070000</v>
      </c>
      <c r="D3128" s="1" t="n">
        <v>8714.3</v>
      </c>
      <c r="E3128" s="1" t="n">
        <v>0.0171</v>
      </c>
      <c r="F3128" s="1" t="n">
        <v>0.0576</v>
      </c>
    </row>
    <row r="3129" customFormat="false" ht="15" hidden="false" customHeight="false" outlineLevel="0" collapsed="false">
      <c r="A3129" s="1" t="s">
        <v>3164</v>
      </c>
      <c r="B3129" s="1" t="s">
        <v>41</v>
      </c>
      <c r="C3129" s="1" t="n">
        <v>1540000</v>
      </c>
      <c r="D3129" s="1" t="n">
        <v>44424.5</v>
      </c>
      <c r="E3129" s="1" t="n">
        <v>0.0204</v>
      </c>
      <c r="F3129" s="1" t="n">
        <v>0.0854</v>
      </c>
    </row>
    <row r="3130" customFormat="false" ht="15" hidden="false" customHeight="false" outlineLevel="0" collapsed="false">
      <c r="A3130" s="1" t="s">
        <v>3165</v>
      </c>
      <c r="B3130" s="1" t="s">
        <v>24</v>
      </c>
      <c r="C3130" s="1" t="n">
        <v>958000</v>
      </c>
      <c r="D3130" s="1" t="n">
        <v>46330.2</v>
      </c>
      <c r="E3130" s="1" t="n">
        <v>0.0237</v>
      </c>
      <c r="F3130" s="1" t="n">
        <v>0.0759</v>
      </c>
    </row>
    <row r="3131" customFormat="false" ht="15" hidden="false" customHeight="false" outlineLevel="0" collapsed="false">
      <c r="A3131" s="1" t="s">
        <v>3166</v>
      </c>
      <c r="B3131" s="1" t="s">
        <v>62</v>
      </c>
      <c r="C3131" s="1" t="n">
        <v>1000000</v>
      </c>
      <c r="D3131" s="1" t="n">
        <v>6712.6</v>
      </c>
      <c r="E3131" s="1" t="n">
        <v>0.0571</v>
      </c>
      <c r="F3131" s="1" t="n">
        <v>0.0938</v>
      </c>
    </row>
    <row r="3132" customFormat="false" ht="15" hidden="false" customHeight="false" outlineLevel="0" collapsed="false">
      <c r="A3132" s="1" t="s">
        <v>3167</v>
      </c>
      <c r="B3132" s="1" t="s">
        <v>26</v>
      </c>
      <c r="C3132" s="1" t="n">
        <v>962000</v>
      </c>
      <c r="D3132" s="1" t="n">
        <v>22525.7</v>
      </c>
      <c r="E3132" s="1" t="n">
        <v>0.0074</v>
      </c>
      <c r="F3132" s="1" t="n">
        <v>0.0654</v>
      </c>
    </row>
    <row r="3133" customFormat="false" ht="15" hidden="false" customHeight="false" outlineLevel="0" collapsed="false">
      <c r="A3133" s="1" t="s">
        <v>3168</v>
      </c>
      <c r="B3133" s="1" t="s">
        <v>92</v>
      </c>
      <c r="C3133" s="1" t="n">
        <v>972000</v>
      </c>
      <c r="D3133" s="1" t="n">
        <v>207330.3</v>
      </c>
      <c r="E3133" s="1" t="n">
        <v>0.0219</v>
      </c>
      <c r="F3133" s="1" t="n">
        <v>0.0432</v>
      </c>
    </row>
    <row r="3134" customFormat="false" ht="15" hidden="false" customHeight="false" outlineLevel="0" collapsed="false">
      <c r="A3134" s="1" t="s">
        <v>3169</v>
      </c>
      <c r="B3134" s="1" t="s">
        <v>26</v>
      </c>
      <c r="C3134" s="1" t="n">
        <v>1410000</v>
      </c>
      <c r="D3134" s="1" t="n">
        <v>712.7</v>
      </c>
      <c r="E3134" s="1" t="n">
        <v>0.0237</v>
      </c>
      <c r="F3134" s="1" t="n">
        <v>0.051</v>
      </c>
    </row>
    <row r="3135" customFormat="false" ht="15" hidden="false" customHeight="false" outlineLevel="0" collapsed="false">
      <c r="A3135" s="1" t="s">
        <v>3170</v>
      </c>
      <c r="B3135" s="1" t="s">
        <v>30</v>
      </c>
      <c r="C3135" s="1" t="n">
        <v>1140000</v>
      </c>
      <c r="D3135" s="1" t="n">
        <v>32269.8</v>
      </c>
      <c r="E3135" s="1" t="n">
        <v>0.0364</v>
      </c>
      <c r="F3135" s="1" t="n">
        <v>0.0759</v>
      </c>
    </row>
    <row r="3136" customFormat="false" ht="15" hidden="false" customHeight="false" outlineLevel="0" collapsed="false">
      <c r="A3136" s="1" t="s">
        <v>3171</v>
      </c>
      <c r="B3136" s="1" t="s">
        <v>41</v>
      </c>
      <c r="C3136" s="1" t="n">
        <v>2030000</v>
      </c>
      <c r="D3136" s="1" t="n">
        <v>44765.7</v>
      </c>
      <c r="E3136" s="1" t="n">
        <v>0.0294</v>
      </c>
      <c r="F3136" s="1" t="n">
        <v>0.0759</v>
      </c>
    </row>
    <row r="3137" customFormat="false" ht="15" hidden="false" customHeight="false" outlineLevel="0" collapsed="false">
      <c r="A3137" s="1" t="s">
        <v>3172</v>
      </c>
      <c r="B3137" s="1" t="s">
        <v>32</v>
      </c>
      <c r="C3137" s="1" t="n">
        <v>1050000</v>
      </c>
      <c r="D3137" s="1" t="n">
        <v>15353.8</v>
      </c>
      <c r="E3137" s="1" t="n">
        <v>0.013</v>
      </c>
      <c r="F3137" s="1" t="n">
        <v>0.1866</v>
      </c>
    </row>
    <row r="3138" customFormat="false" ht="15" hidden="false" customHeight="false" outlineLevel="0" collapsed="false">
      <c r="A3138" s="1" t="s">
        <v>3173</v>
      </c>
      <c r="B3138" s="1" t="s">
        <v>71</v>
      </c>
      <c r="C3138" s="1" t="n">
        <v>988000</v>
      </c>
      <c r="D3138" s="1" t="n">
        <v>149512.5</v>
      </c>
      <c r="E3138" s="1" t="n">
        <v>0.0435</v>
      </c>
      <c r="F3138" s="1" t="n">
        <v>0.0759</v>
      </c>
    </row>
    <row r="3139" customFormat="false" ht="15" hidden="false" customHeight="false" outlineLevel="0" collapsed="false">
      <c r="A3139" s="1" t="s">
        <v>3174</v>
      </c>
      <c r="B3139" s="1" t="s">
        <v>62</v>
      </c>
      <c r="C3139" s="1" t="n">
        <v>1520000</v>
      </c>
      <c r="D3139" s="1" t="n">
        <v>159070.1</v>
      </c>
      <c r="E3139" s="1" t="n">
        <v>0.0424</v>
      </c>
      <c r="F3139" s="1" t="n">
        <v>0.051</v>
      </c>
    </row>
    <row r="3140" customFormat="false" ht="15" hidden="false" customHeight="false" outlineLevel="0" collapsed="false">
      <c r="A3140" s="1" t="s">
        <v>3175</v>
      </c>
      <c r="B3140" s="1" t="s">
        <v>50</v>
      </c>
      <c r="C3140" s="1" t="n">
        <v>1220000</v>
      </c>
      <c r="D3140" s="1" t="n">
        <v>75741.9</v>
      </c>
      <c r="E3140" s="1" t="n">
        <v>0.0242</v>
      </c>
      <c r="F3140" s="1" t="n">
        <v>0.0432</v>
      </c>
    </row>
    <row r="3141" customFormat="false" ht="15" hidden="false" customHeight="false" outlineLevel="0" collapsed="false">
      <c r="A3141" s="1" t="s">
        <v>3176</v>
      </c>
      <c r="B3141" s="1" t="s">
        <v>88</v>
      </c>
      <c r="C3141" s="1" t="n">
        <v>1150000</v>
      </c>
      <c r="D3141" s="1" t="n">
        <v>58778.3</v>
      </c>
      <c r="E3141" s="1" t="n">
        <v>0.0548</v>
      </c>
      <c r="F3141" s="1" t="n">
        <v>0.0951</v>
      </c>
    </row>
    <row r="3142" customFormat="false" ht="15" hidden="false" customHeight="false" outlineLevel="0" collapsed="false">
      <c r="A3142" s="1" t="s">
        <v>3177</v>
      </c>
      <c r="B3142" s="1" t="s">
        <v>92</v>
      </c>
      <c r="C3142" s="1" t="n">
        <v>798000</v>
      </c>
      <c r="D3142" s="1" t="n">
        <v>6201.5</v>
      </c>
      <c r="E3142" s="1" t="n">
        <v>0.0215</v>
      </c>
      <c r="F3142" s="1" t="n">
        <v>0.0735</v>
      </c>
    </row>
    <row r="3143" customFormat="false" ht="15" hidden="false" customHeight="false" outlineLevel="0" collapsed="false">
      <c r="A3143" s="1" t="s">
        <v>3178</v>
      </c>
      <c r="B3143" s="1" t="s">
        <v>62</v>
      </c>
      <c r="C3143" s="1" t="n">
        <v>867000</v>
      </c>
      <c r="D3143" s="1" t="n">
        <v>5013.3</v>
      </c>
      <c r="E3143" s="1" t="n">
        <v>0.0123</v>
      </c>
      <c r="F3143" s="1" t="n">
        <v>0.0657</v>
      </c>
    </row>
    <row r="3144" customFormat="false" ht="15" hidden="false" customHeight="false" outlineLevel="0" collapsed="false">
      <c r="A3144" s="1" t="s">
        <v>3179</v>
      </c>
      <c r="B3144" s="1" t="s">
        <v>32</v>
      </c>
      <c r="C3144" s="1" t="n">
        <v>1040000</v>
      </c>
      <c r="D3144" s="1" t="n">
        <v>3798.8</v>
      </c>
      <c r="E3144" s="1" t="n">
        <v>0.0212</v>
      </c>
      <c r="F3144" s="1" t="n">
        <v>0.0759</v>
      </c>
    </row>
    <row r="3145" customFormat="false" ht="15" hidden="false" customHeight="false" outlineLevel="0" collapsed="false">
      <c r="A3145" s="1" t="s">
        <v>3180</v>
      </c>
      <c r="B3145" s="1" t="s">
        <v>50</v>
      </c>
      <c r="C3145" s="1" t="n">
        <v>1160000</v>
      </c>
      <c r="D3145" s="1" t="n">
        <v>57683.6</v>
      </c>
      <c r="E3145" s="1" t="n">
        <v>0.0316</v>
      </c>
      <c r="F3145" s="1" t="n">
        <v>0.0672</v>
      </c>
    </row>
    <row r="3146" customFormat="false" ht="15" hidden="false" customHeight="false" outlineLevel="0" collapsed="false">
      <c r="A3146" s="1" t="s">
        <v>3181</v>
      </c>
      <c r="B3146" s="1" t="s">
        <v>32</v>
      </c>
      <c r="C3146" s="1" t="n">
        <v>1030000</v>
      </c>
      <c r="D3146" s="1" t="n">
        <v>5168.3</v>
      </c>
      <c r="E3146" s="1" t="n">
        <v>0.0035</v>
      </c>
      <c r="F3146" s="1" t="n">
        <v>0.0654</v>
      </c>
    </row>
    <row r="3147" customFormat="false" ht="15" hidden="false" customHeight="false" outlineLevel="0" collapsed="false">
      <c r="A3147" s="1" t="s">
        <v>3182</v>
      </c>
      <c r="B3147" s="1" t="s">
        <v>53</v>
      </c>
      <c r="C3147" s="1" t="n">
        <v>1040000</v>
      </c>
      <c r="D3147" s="1" t="n">
        <v>177101.2</v>
      </c>
      <c r="E3147" s="1" t="n">
        <v>0.0728</v>
      </c>
      <c r="F3147" s="1" t="n">
        <v>0.0759</v>
      </c>
    </row>
    <row r="3148" customFormat="false" ht="15" hidden="false" customHeight="false" outlineLevel="0" collapsed="false">
      <c r="A3148" s="1" t="s">
        <v>3183</v>
      </c>
      <c r="B3148" s="1" t="s">
        <v>88</v>
      </c>
      <c r="C3148" s="1" t="n">
        <v>945000</v>
      </c>
      <c r="D3148" s="1" t="n">
        <v>114.8</v>
      </c>
      <c r="E3148" s="1" t="n">
        <v>0.0148</v>
      </c>
      <c r="F3148" s="1" t="n">
        <v>0.0576</v>
      </c>
    </row>
    <row r="3149" customFormat="false" ht="15" hidden="false" customHeight="false" outlineLevel="0" collapsed="false">
      <c r="A3149" s="1" t="s">
        <v>3184</v>
      </c>
      <c r="B3149" s="1" t="s">
        <v>53</v>
      </c>
      <c r="C3149" s="1" t="n">
        <v>2370000</v>
      </c>
      <c r="D3149" s="1" t="n">
        <v>5867838.6</v>
      </c>
      <c r="E3149" s="1" t="n">
        <v>0.0055</v>
      </c>
      <c r="F3149" s="1" t="n">
        <v>0.0654</v>
      </c>
    </row>
    <row r="3150" customFormat="false" ht="15" hidden="false" customHeight="false" outlineLevel="0" collapsed="false">
      <c r="A3150" s="1" t="s">
        <v>3185</v>
      </c>
      <c r="B3150" s="1" t="s">
        <v>92</v>
      </c>
      <c r="C3150" s="1" t="n">
        <v>895000</v>
      </c>
      <c r="D3150" s="1" t="n">
        <v>1324.6</v>
      </c>
      <c r="E3150" s="1" t="n">
        <v>0.0073</v>
      </c>
      <c r="F3150" s="1" t="n">
        <v>0.0822</v>
      </c>
    </row>
    <row r="3151" customFormat="false" ht="15" hidden="false" customHeight="false" outlineLevel="0" collapsed="false">
      <c r="A3151" s="1" t="s">
        <v>3186</v>
      </c>
      <c r="B3151" s="1" t="s">
        <v>41</v>
      </c>
      <c r="C3151" s="1" t="n">
        <v>1110000</v>
      </c>
      <c r="D3151" s="1" t="n">
        <v>9643.4</v>
      </c>
      <c r="E3151" s="1" t="n">
        <v>0.041</v>
      </c>
      <c r="F3151" s="1" t="n">
        <v>0.0938</v>
      </c>
    </row>
    <row r="3152" customFormat="false" ht="15" hidden="false" customHeight="false" outlineLevel="0" collapsed="false">
      <c r="A3152" s="1" t="s">
        <v>3187</v>
      </c>
      <c r="B3152" s="1" t="s">
        <v>32</v>
      </c>
      <c r="C3152" s="1" t="n">
        <v>1020000</v>
      </c>
      <c r="D3152" s="1" t="n">
        <v>40654.6</v>
      </c>
      <c r="E3152" s="1" t="n">
        <v>0.0034</v>
      </c>
      <c r="F3152" s="1" t="n">
        <v>0.0811</v>
      </c>
    </row>
    <row r="3153" customFormat="false" ht="15" hidden="false" customHeight="false" outlineLevel="0" collapsed="false">
      <c r="A3153" s="1" t="s">
        <v>3188</v>
      </c>
      <c r="B3153" s="1" t="s">
        <v>26</v>
      </c>
      <c r="C3153" s="1" t="n">
        <v>1910000</v>
      </c>
      <c r="D3153" s="1" t="n">
        <v>299018.1</v>
      </c>
      <c r="E3153" s="1" t="n">
        <v>0.0334</v>
      </c>
      <c r="F3153" s="1" t="n">
        <v>0.0409</v>
      </c>
    </row>
    <row r="3154" customFormat="false" ht="15" hidden="false" customHeight="false" outlineLevel="0" collapsed="false">
      <c r="A3154" s="1" t="s">
        <v>3189</v>
      </c>
      <c r="B3154" s="1" t="s">
        <v>26</v>
      </c>
      <c r="C3154" s="1" t="n">
        <v>1040000</v>
      </c>
      <c r="D3154" s="1" t="n">
        <v>47467.6</v>
      </c>
      <c r="E3154" s="1" t="n">
        <v>0.0507</v>
      </c>
      <c r="F3154" s="1" t="n">
        <v>0.0938</v>
      </c>
    </row>
    <row r="3155" customFormat="false" ht="15" hidden="false" customHeight="false" outlineLevel="0" collapsed="false">
      <c r="A3155" s="1" t="s">
        <v>3190</v>
      </c>
      <c r="B3155" s="1" t="s">
        <v>62</v>
      </c>
      <c r="C3155" s="1" t="n">
        <v>995000</v>
      </c>
      <c r="D3155" s="1" t="n">
        <v>48500.5</v>
      </c>
      <c r="E3155" s="1" t="n">
        <v>0.0559</v>
      </c>
      <c r="F3155" s="1" t="n">
        <v>0.0759</v>
      </c>
    </row>
    <row r="3156" customFormat="false" ht="15" hidden="false" customHeight="false" outlineLevel="0" collapsed="false">
      <c r="A3156" s="1" t="s">
        <v>3191</v>
      </c>
      <c r="B3156" s="1" t="s">
        <v>24</v>
      </c>
      <c r="C3156" s="1" t="n">
        <v>1150000</v>
      </c>
      <c r="D3156" s="1" t="n">
        <v>45545.1</v>
      </c>
      <c r="E3156" s="1" t="n">
        <v>0.014</v>
      </c>
      <c r="F3156" s="1" t="n">
        <v>0.1327</v>
      </c>
    </row>
    <row r="3157" customFormat="false" ht="15" hidden="false" customHeight="false" outlineLevel="0" collapsed="false">
      <c r="A3157" s="1" t="s">
        <v>3192</v>
      </c>
      <c r="B3157" s="1" t="s">
        <v>24</v>
      </c>
      <c r="C3157" s="1" t="n">
        <v>2620000</v>
      </c>
      <c r="D3157" s="1" t="n">
        <v>1208151.5</v>
      </c>
      <c r="E3157" s="1" t="n">
        <v>0.0418</v>
      </c>
      <c r="F3157" s="1" t="n">
        <v>0.0672</v>
      </c>
    </row>
    <row r="3158" customFormat="false" ht="15" hidden="false" customHeight="false" outlineLevel="0" collapsed="false">
      <c r="A3158" s="1" t="s">
        <v>3193</v>
      </c>
      <c r="B3158" s="1" t="s">
        <v>88</v>
      </c>
      <c r="C3158" s="1" t="n">
        <v>922000</v>
      </c>
      <c r="D3158" s="1" t="n">
        <v>694.1</v>
      </c>
      <c r="E3158" s="1" t="n">
        <v>0.0196</v>
      </c>
      <c r="F3158" s="1" t="n">
        <v>0.1067</v>
      </c>
    </row>
    <row r="3159" customFormat="false" ht="15" hidden="false" customHeight="false" outlineLevel="0" collapsed="false">
      <c r="A3159" s="1" t="s">
        <v>3194</v>
      </c>
      <c r="B3159" s="1" t="s">
        <v>26</v>
      </c>
      <c r="C3159" s="1" t="n">
        <v>942000</v>
      </c>
      <c r="D3159" s="1" t="n">
        <v>702.7</v>
      </c>
      <c r="E3159" s="1" t="n">
        <v>0.0139</v>
      </c>
      <c r="F3159" s="1" t="n">
        <v>0.073</v>
      </c>
    </row>
    <row r="3160" customFormat="false" ht="15" hidden="false" customHeight="false" outlineLevel="0" collapsed="false">
      <c r="A3160" s="1" t="s">
        <v>3195</v>
      </c>
      <c r="B3160" s="1" t="s">
        <v>287</v>
      </c>
      <c r="C3160" s="1" t="n">
        <v>888000</v>
      </c>
      <c r="D3160" s="1" t="n">
        <v>624.9</v>
      </c>
      <c r="E3160" s="1" t="n">
        <v>0.0156</v>
      </c>
      <c r="F3160" s="1" t="n">
        <v>0.0616</v>
      </c>
    </row>
    <row r="3161" customFormat="false" ht="15" hidden="false" customHeight="false" outlineLevel="0" collapsed="false">
      <c r="A3161" s="1" t="s">
        <v>3196</v>
      </c>
      <c r="B3161" s="1" t="s">
        <v>214</v>
      </c>
      <c r="C3161" s="1" t="n">
        <v>1360000</v>
      </c>
      <c r="D3161" s="1" t="n">
        <v>148913.5</v>
      </c>
      <c r="E3161" s="1" t="n">
        <v>0.0197</v>
      </c>
      <c r="F3161" s="1" t="n">
        <v>0.0854</v>
      </c>
    </row>
    <row r="3162" customFormat="false" ht="15" hidden="false" customHeight="false" outlineLevel="0" collapsed="false">
      <c r="A3162" s="1" t="s">
        <v>3197</v>
      </c>
      <c r="B3162" s="1" t="s">
        <v>81</v>
      </c>
      <c r="C3162" s="1" t="n">
        <v>962000</v>
      </c>
      <c r="D3162" s="1" t="n">
        <v>63230.5</v>
      </c>
      <c r="E3162" s="1" t="n">
        <v>0.0124</v>
      </c>
      <c r="F3162" s="1" t="n">
        <v>0.0956</v>
      </c>
    </row>
    <row r="3163" customFormat="false" ht="15" hidden="false" customHeight="false" outlineLevel="0" collapsed="false">
      <c r="A3163" s="1" t="s">
        <v>3198</v>
      </c>
      <c r="B3163" s="1" t="s">
        <v>214</v>
      </c>
      <c r="C3163" s="1" t="n">
        <v>1010000</v>
      </c>
      <c r="D3163" s="1" t="n">
        <v>7815.5</v>
      </c>
      <c r="E3163" s="1" t="n">
        <v>0.0071</v>
      </c>
      <c r="F3163" s="1" t="n">
        <v>0.0811</v>
      </c>
    </row>
    <row r="3164" customFormat="false" ht="15" hidden="false" customHeight="false" outlineLevel="0" collapsed="false">
      <c r="A3164" s="1" t="s">
        <v>3199</v>
      </c>
      <c r="B3164" s="1" t="s">
        <v>88</v>
      </c>
      <c r="C3164" s="1" t="n">
        <v>1290000</v>
      </c>
      <c r="D3164" s="1" t="n">
        <v>42758.4</v>
      </c>
      <c r="E3164" s="1" t="n">
        <v>0.0359</v>
      </c>
      <c r="F3164" s="1" t="n">
        <v>0.0938</v>
      </c>
    </row>
    <row r="3165" customFormat="false" ht="15" hidden="false" customHeight="false" outlineLevel="0" collapsed="false">
      <c r="A3165" s="1" t="s">
        <v>3200</v>
      </c>
      <c r="B3165" s="1" t="s">
        <v>92</v>
      </c>
      <c r="C3165" s="1" t="n">
        <v>1030000</v>
      </c>
      <c r="D3165" s="1" t="n">
        <v>66973.4</v>
      </c>
      <c r="E3165" s="1" t="n">
        <v>0.0637</v>
      </c>
      <c r="F3165" s="1" t="n">
        <v>0.0759</v>
      </c>
    </row>
    <row r="3166" customFormat="false" ht="15" hidden="false" customHeight="false" outlineLevel="0" collapsed="false">
      <c r="A3166" s="1" t="s">
        <v>3201</v>
      </c>
      <c r="B3166" s="1" t="s">
        <v>53</v>
      </c>
      <c r="C3166" s="1" t="n">
        <v>1240000</v>
      </c>
      <c r="D3166" s="1" t="n">
        <v>57707.8</v>
      </c>
      <c r="E3166" s="1" t="n">
        <v>0.0507</v>
      </c>
      <c r="F3166" s="1" t="n">
        <v>0.0759</v>
      </c>
    </row>
    <row r="3167" customFormat="false" ht="15" hidden="false" customHeight="false" outlineLevel="0" collapsed="false">
      <c r="A3167" s="1" t="s">
        <v>3202</v>
      </c>
      <c r="B3167" s="1" t="s">
        <v>41</v>
      </c>
      <c r="C3167" s="1" t="n">
        <v>904000</v>
      </c>
      <c r="D3167" s="1" t="n">
        <v>96100.7</v>
      </c>
      <c r="E3167" s="1" t="n">
        <v>0.0312</v>
      </c>
      <c r="F3167" s="1" t="n">
        <v>0.0409</v>
      </c>
    </row>
    <row r="3168" customFormat="false" ht="15" hidden="false" customHeight="false" outlineLevel="0" collapsed="false">
      <c r="A3168" s="1" t="s">
        <v>3203</v>
      </c>
      <c r="B3168" s="1" t="s">
        <v>92</v>
      </c>
      <c r="C3168" s="1" t="n">
        <v>943000</v>
      </c>
      <c r="D3168" s="1" t="n">
        <v>52368.5</v>
      </c>
      <c r="E3168" s="1" t="n">
        <v>0.0318</v>
      </c>
      <c r="F3168" s="1" t="n">
        <v>0.0951</v>
      </c>
    </row>
    <row r="3169" customFormat="false" ht="15" hidden="false" customHeight="false" outlineLevel="0" collapsed="false">
      <c r="A3169" s="1" t="s">
        <v>3204</v>
      </c>
      <c r="B3169" s="1" t="s">
        <v>21</v>
      </c>
      <c r="C3169" s="1" t="n">
        <v>2360000</v>
      </c>
      <c r="D3169" s="1" t="n">
        <v>8426.9</v>
      </c>
      <c r="E3169" s="1" t="n">
        <v>0.0177</v>
      </c>
      <c r="F3169" s="1" t="n">
        <v>0.1053</v>
      </c>
    </row>
    <row r="3170" customFormat="false" ht="15" hidden="false" customHeight="false" outlineLevel="0" collapsed="false">
      <c r="A3170" s="1" t="s">
        <v>3205</v>
      </c>
      <c r="B3170" s="1" t="s">
        <v>26</v>
      </c>
      <c r="C3170" s="1" t="n">
        <v>872000</v>
      </c>
      <c r="D3170" s="1" t="n">
        <v>97554.4</v>
      </c>
      <c r="E3170" s="1" t="n">
        <v>0.0251</v>
      </c>
      <c r="F3170" s="1" t="n">
        <v>0.0409</v>
      </c>
    </row>
    <row r="3171" customFormat="false" ht="15" hidden="false" customHeight="false" outlineLevel="0" collapsed="false">
      <c r="A3171" s="1" t="s">
        <v>3206</v>
      </c>
      <c r="B3171" s="1" t="s">
        <v>92</v>
      </c>
      <c r="C3171" s="1" t="n">
        <v>916000</v>
      </c>
      <c r="D3171" s="1" t="n">
        <v>15851.8</v>
      </c>
      <c r="E3171" s="1" t="n">
        <v>0.0135</v>
      </c>
      <c r="F3171" s="1" t="n">
        <v>0.1067</v>
      </c>
    </row>
    <row r="3172" customFormat="false" ht="15" hidden="false" customHeight="false" outlineLevel="0" collapsed="false">
      <c r="A3172" s="1" t="s">
        <v>3207</v>
      </c>
      <c r="B3172" s="1" t="s">
        <v>214</v>
      </c>
      <c r="C3172" s="1" t="n">
        <v>934000</v>
      </c>
      <c r="D3172" s="1" t="n">
        <v>12864</v>
      </c>
      <c r="E3172" s="1" t="n">
        <v>0.0155</v>
      </c>
      <c r="F3172" s="1" t="n">
        <v>0.1067</v>
      </c>
    </row>
    <row r="3173" customFormat="false" ht="15" hidden="false" customHeight="false" outlineLevel="0" collapsed="false">
      <c r="A3173" s="1" t="s">
        <v>3208</v>
      </c>
      <c r="B3173" s="1" t="s">
        <v>62</v>
      </c>
      <c r="C3173" s="1" t="n">
        <v>1240000</v>
      </c>
      <c r="D3173" s="1" t="n">
        <v>9796980.9</v>
      </c>
      <c r="E3173" s="1" t="n">
        <v>0.0062</v>
      </c>
      <c r="F3173" s="1" t="n">
        <v>0.0654</v>
      </c>
    </row>
    <row r="3174" customFormat="false" ht="15" hidden="false" customHeight="false" outlineLevel="0" collapsed="false">
      <c r="A3174" s="1" t="s">
        <v>3209</v>
      </c>
      <c r="B3174" s="1" t="s">
        <v>74</v>
      </c>
      <c r="C3174" s="1" t="n">
        <v>928000</v>
      </c>
      <c r="D3174" s="1" t="n">
        <v>6898.3</v>
      </c>
      <c r="E3174" s="1" t="n">
        <v>0.018</v>
      </c>
      <c r="F3174" s="1" t="n">
        <v>0.131</v>
      </c>
    </row>
    <row r="3175" customFormat="false" ht="15" hidden="false" customHeight="false" outlineLevel="0" collapsed="false">
      <c r="A3175" s="1" t="s">
        <v>3210</v>
      </c>
      <c r="B3175" s="1" t="s">
        <v>24</v>
      </c>
      <c r="C3175" s="1" t="n">
        <v>1090000</v>
      </c>
      <c r="D3175" s="1" t="n">
        <v>45893</v>
      </c>
      <c r="E3175" s="1" t="n">
        <v>0.0372</v>
      </c>
      <c r="F3175" s="1" t="n">
        <v>0.0759</v>
      </c>
    </row>
    <row r="3176" customFormat="false" ht="15" hidden="false" customHeight="false" outlineLevel="0" collapsed="false">
      <c r="A3176" s="1" t="s">
        <v>3211</v>
      </c>
      <c r="B3176" s="1" t="s">
        <v>74</v>
      </c>
      <c r="C3176" s="1" t="n">
        <v>1020000</v>
      </c>
      <c r="D3176" s="1" t="n">
        <v>358532.8</v>
      </c>
      <c r="E3176" s="1" t="n">
        <v>0.0513</v>
      </c>
      <c r="F3176" s="1" t="n">
        <v>0.0759</v>
      </c>
    </row>
    <row r="3177" customFormat="false" ht="15" hidden="false" customHeight="false" outlineLevel="0" collapsed="false">
      <c r="A3177" s="1" t="s">
        <v>3212</v>
      </c>
      <c r="B3177" s="1" t="s">
        <v>41</v>
      </c>
      <c r="C3177" s="1" t="n">
        <v>1170000</v>
      </c>
      <c r="D3177" s="1" t="n">
        <v>3297.1</v>
      </c>
      <c r="E3177" s="1" t="n">
        <v>0.0217</v>
      </c>
      <c r="F3177" s="1" t="n">
        <v>0.0576</v>
      </c>
    </row>
    <row r="3178" customFormat="false" ht="15" hidden="false" customHeight="false" outlineLevel="0" collapsed="false">
      <c r="A3178" s="1" t="s">
        <v>3213</v>
      </c>
      <c r="B3178" s="1" t="s">
        <v>81</v>
      </c>
      <c r="C3178" s="1" t="n">
        <v>910000</v>
      </c>
      <c r="D3178" s="1" t="n">
        <v>2642.1</v>
      </c>
      <c r="E3178" s="1" t="n">
        <v>0.0478</v>
      </c>
      <c r="F3178" s="1" t="n">
        <v>0.0759</v>
      </c>
    </row>
    <row r="3179" customFormat="false" ht="15" hidden="false" customHeight="false" outlineLevel="0" collapsed="false">
      <c r="A3179" s="1" t="s">
        <v>3214</v>
      </c>
      <c r="B3179" s="1" t="s">
        <v>24</v>
      </c>
      <c r="C3179" s="1" t="n">
        <v>977000</v>
      </c>
      <c r="D3179" s="1" t="n">
        <v>1680.1</v>
      </c>
      <c r="E3179" s="1" t="n">
        <v>0.0103</v>
      </c>
      <c r="F3179" s="1" t="n">
        <v>0.0811</v>
      </c>
    </row>
    <row r="3180" customFormat="false" ht="15" hidden="false" customHeight="false" outlineLevel="0" collapsed="false">
      <c r="A3180" s="1" t="s">
        <v>3215</v>
      </c>
      <c r="B3180" s="1" t="s">
        <v>26</v>
      </c>
      <c r="C3180" s="1" t="n">
        <v>966000</v>
      </c>
      <c r="D3180" s="1" t="n">
        <v>88727.1</v>
      </c>
      <c r="E3180" s="1" t="n">
        <v>0.0517</v>
      </c>
      <c r="F3180" s="1" t="n">
        <v>0.0409</v>
      </c>
    </row>
    <row r="3181" customFormat="false" ht="15" hidden="false" customHeight="false" outlineLevel="0" collapsed="false">
      <c r="A3181" s="1" t="s">
        <v>3216</v>
      </c>
      <c r="B3181" s="1" t="s">
        <v>88</v>
      </c>
      <c r="C3181" s="1" t="n">
        <v>897000</v>
      </c>
      <c r="D3181" s="1" t="n">
        <v>1613.7</v>
      </c>
      <c r="E3181" s="1" t="n">
        <v>0.0631</v>
      </c>
      <c r="F3181" s="1" t="n">
        <v>0.0938</v>
      </c>
    </row>
    <row r="3182" customFormat="false" ht="15" hidden="false" customHeight="false" outlineLevel="0" collapsed="false">
      <c r="A3182" s="1" t="s">
        <v>3217</v>
      </c>
      <c r="B3182" s="1" t="s">
        <v>195</v>
      </c>
      <c r="C3182" s="1" t="n">
        <v>909000</v>
      </c>
      <c r="D3182" s="1" t="n">
        <v>275.1</v>
      </c>
      <c r="E3182" s="1" t="n">
        <v>0.0057</v>
      </c>
      <c r="F3182" s="1" t="n">
        <v>0.1133</v>
      </c>
    </row>
    <row r="3183" customFormat="false" ht="15" hidden="false" customHeight="false" outlineLevel="0" collapsed="false">
      <c r="A3183" s="1" t="s">
        <v>3218</v>
      </c>
      <c r="B3183" s="1" t="s">
        <v>41</v>
      </c>
      <c r="C3183" s="1" t="n">
        <v>952000</v>
      </c>
      <c r="D3183" s="1" t="n">
        <v>9375.1</v>
      </c>
      <c r="E3183" s="1" t="n">
        <v>0.0492</v>
      </c>
      <c r="F3183" s="1" t="n">
        <v>0.0938</v>
      </c>
    </row>
    <row r="3184" customFormat="false" ht="15" hidden="false" customHeight="false" outlineLevel="0" collapsed="false">
      <c r="A3184" s="1" t="s">
        <v>3219</v>
      </c>
      <c r="B3184" s="1" t="s">
        <v>26</v>
      </c>
      <c r="C3184" s="1" t="n">
        <v>1050000</v>
      </c>
      <c r="D3184" s="1" t="n">
        <v>177749.2</v>
      </c>
      <c r="E3184" s="1" t="n">
        <v>0.0464</v>
      </c>
      <c r="F3184" s="1" t="n">
        <v>0.0432</v>
      </c>
    </row>
    <row r="3185" customFormat="false" ht="15" hidden="false" customHeight="false" outlineLevel="0" collapsed="false">
      <c r="A3185" s="1" t="s">
        <v>3220</v>
      </c>
      <c r="B3185" s="1" t="s">
        <v>26</v>
      </c>
      <c r="C3185" s="1" t="n">
        <v>2910000</v>
      </c>
      <c r="D3185" s="1" t="n">
        <v>291966.3</v>
      </c>
      <c r="F3185" s="1" t="n">
        <v>0.051</v>
      </c>
    </row>
    <row r="3186" customFormat="false" ht="15" hidden="false" customHeight="false" outlineLevel="0" collapsed="false">
      <c r="A3186" s="1" t="s">
        <v>3221</v>
      </c>
      <c r="B3186" s="1" t="s">
        <v>41</v>
      </c>
      <c r="C3186" s="1" t="n">
        <v>1010000</v>
      </c>
      <c r="D3186" s="1" t="n">
        <v>818.6</v>
      </c>
      <c r="E3186" s="1" t="n">
        <v>0.0206</v>
      </c>
      <c r="F3186" s="1" t="n">
        <v>0.1053</v>
      </c>
    </row>
    <row r="3187" customFormat="false" ht="15" hidden="false" customHeight="false" outlineLevel="0" collapsed="false">
      <c r="A3187" s="1" t="s">
        <v>3222</v>
      </c>
      <c r="B3187" s="1" t="s">
        <v>21</v>
      </c>
      <c r="C3187" s="1" t="n">
        <v>926000</v>
      </c>
      <c r="D3187" s="1" t="n">
        <v>63030.1</v>
      </c>
      <c r="E3187" s="1" t="n">
        <v>0.039</v>
      </c>
      <c r="F3187" s="1" t="n">
        <v>0.0951</v>
      </c>
    </row>
    <row r="3188" customFormat="false" ht="15" hidden="false" customHeight="false" outlineLevel="0" collapsed="false">
      <c r="A3188" s="1" t="s">
        <v>3223</v>
      </c>
      <c r="B3188" s="1" t="s">
        <v>50</v>
      </c>
      <c r="C3188" s="1" t="n">
        <v>1120000</v>
      </c>
      <c r="D3188" s="1" t="n">
        <v>122634.1</v>
      </c>
      <c r="E3188" s="1" t="n">
        <v>0.0491</v>
      </c>
      <c r="F3188" s="1" t="n">
        <v>0.0759</v>
      </c>
    </row>
    <row r="3189" customFormat="false" ht="15" hidden="false" customHeight="false" outlineLevel="0" collapsed="false">
      <c r="A3189" s="1" t="s">
        <v>3224</v>
      </c>
      <c r="B3189" s="1" t="s">
        <v>81</v>
      </c>
      <c r="C3189" s="1" t="n">
        <v>1370000</v>
      </c>
      <c r="D3189" s="1" t="n">
        <v>19719.1</v>
      </c>
      <c r="E3189" s="1" t="n">
        <v>0.0092</v>
      </c>
      <c r="F3189" s="1" t="n">
        <v>0.0811</v>
      </c>
    </row>
    <row r="3190" customFormat="false" ht="15" hidden="false" customHeight="false" outlineLevel="0" collapsed="false">
      <c r="A3190" s="1" t="s">
        <v>3225</v>
      </c>
      <c r="B3190" s="1" t="s">
        <v>92</v>
      </c>
      <c r="C3190" s="1" t="n">
        <v>1540000</v>
      </c>
      <c r="D3190" s="1" t="n">
        <v>732310.5</v>
      </c>
      <c r="E3190" s="1" t="n">
        <v>0.0198</v>
      </c>
      <c r="F3190" s="1" t="n">
        <v>0.0576</v>
      </c>
    </row>
    <row r="3191" customFormat="false" ht="15" hidden="false" customHeight="false" outlineLevel="0" collapsed="false">
      <c r="A3191" s="1" t="s">
        <v>3226</v>
      </c>
      <c r="B3191" s="1" t="s">
        <v>26</v>
      </c>
      <c r="C3191" s="1" t="n">
        <v>2430000</v>
      </c>
      <c r="D3191" s="1" t="n">
        <v>27613.5</v>
      </c>
      <c r="F3191" s="1" t="n">
        <v>0.0432</v>
      </c>
    </row>
    <row r="3192" customFormat="false" ht="15" hidden="false" customHeight="false" outlineLevel="0" collapsed="false">
      <c r="A3192" s="1" t="s">
        <v>3227</v>
      </c>
      <c r="B3192" s="1" t="s">
        <v>24</v>
      </c>
      <c r="C3192" s="1" t="n">
        <v>1200000</v>
      </c>
      <c r="D3192" s="1" t="n">
        <v>4320.7</v>
      </c>
      <c r="E3192" s="1" t="n">
        <v>0.0226</v>
      </c>
      <c r="F3192" s="1" t="n">
        <v>0.0938</v>
      </c>
    </row>
    <row r="3193" customFormat="false" ht="15" hidden="false" customHeight="false" outlineLevel="0" collapsed="false">
      <c r="A3193" s="1" t="s">
        <v>3228</v>
      </c>
      <c r="B3193" s="1" t="s">
        <v>41</v>
      </c>
      <c r="C3193" s="1" t="n">
        <v>1280000</v>
      </c>
      <c r="D3193" s="1" t="n">
        <v>1748.3</v>
      </c>
      <c r="E3193" s="1" t="n">
        <v>0.0135</v>
      </c>
      <c r="F3193" s="1" t="n">
        <v>0.0576</v>
      </c>
    </row>
    <row r="3194" customFormat="false" ht="15" hidden="false" customHeight="false" outlineLevel="0" collapsed="false">
      <c r="A3194" s="1" t="s">
        <v>3229</v>
      </c>
      <c r="B3194" s="1" t="s">
        <v>26</v>
      </c>
      <c r="C3194" s="1" t="n">
        <v>1240000</v>
      </c>
      <c r="D3194" s="1" t="n">
        <v>3316.2</v>
      </c>
      <c r="E3194" s="1" t="n">
        <v>0.019</v>
      </c>
      <c r="F3194" s="1" t="n">
        <v>0.1053</v>
      </c>
    </row>
    <row r="3195" customFormat="false" ht="15" hidden="false" customHeight="false" outlineLevel="0" collapsed="false">
      <c r="A3195" s="1" t="s">
        <v>3230</v>
      </c>
      <c r="B3195" s="1" t="s">
        <v>41</v>
      </c>
      <c r="C3195" s="1" t="n">
        <v>2430000</v>
      </c>
      <c r="D3195" s="1" t="n">
        <v>3284.5</v>
      </c>
      <c r="E3195" s="1" t="n">
        <v>0.0115</v>
      </c>
      <c r="F3195" s="1" t="n">
        <v>0.1866</v>
      </c>
    </row>
    <row r="3196" customFormat="false" ht="15" hidden="false" customHeight="false" outlineLevel="0" collapsed="false">
      <c r="A3196" s="1" t="s">
        <v>3231</v>
      </c>
      <c r="B3196" s="1" t="s">
        <v>26</v>
      </c>
      <c r="C3196" s="1" t="n">
        <v>1100000</v>
      </c>
      <c r="D3196" s="1" t="n">
        <v>268787.4</v>
      </c>
      <c r="E3196" s="1" t="n">
        <v>0.0193</v>
      </c>
      <c r="F3196" s="1" t="n">
        <v>0.2294</v>
      </c>
    </row>
    <row r="3197" customFormat="false" ht="15" hidden="false" customHeight="false" outlineLevel="0" collapsed="false">
      <c r="A3197" s="1" t="s">
        <v>3232</v>
      </c>
      <c r="B3197" s="1" t="s">
        <v>50</v>
      </c>
      <c r="C3197" s="1" t="n">
        <v>1410000</v>
      </c>
      <c r="D3197" s="1" t="n">
        <v>8967.3</v>
      </c>
      <c r="E3197" s="1" t="n">
        <v>0.0317</v>
      </c>
      <c r="F3197" s="1" t="n">
        <v>0.0938</v>
      </c>
    </row>
    <row r="3198" customFormat="false" ht="15" hidden="false" customHeight="false" outlineLevel="0" collapsed="false">
      <c r="A3198" s="1" t="s">
        <v>3233</v>
      </c>
      <c r="B3198" s="1" t="s">
        <v>24</v>
      </c>
      <c r="C3198" s="1" t="n">
        <v>1310000</v>
      </c>
      <c r="D3198" s="1" t="n">
        <v>12459.7</v>
      </c>
      <c r="E3198" s="1" t="n">
        <v>0.0143</v>
      </c>
      <c r="F3198" s="1" t="n">
        <v>0.0689</v>
      </c>
    </row>
    <row r="3199" customFormat="false" ht="15" hidden="false" customHeight="false" outlineLevel="0" collapsed="false">
      <c r="A3199" s="1" t="s">
        <v>3234</v>
      </c>
      <c r="B3199" s="1" t="s">
        <v>26</v>
      </c>
      <c r="C3199" s="1" t="n">
        <v>1000000</v>
      </c>
      <c r="D3199" s="1" t="n">
        <v>40881.9</v>
      </c>
      <c r="E3199" s="1" t="n">
        <v>0.0317</v>
      </c>
      <c r="F3199" s="1" t="n">
        <v>0.0518</v>
      </c>
    </row>
    <row r="3200" customFormat="false" ht="15" hidden="false" customHeight="false" outlineLevel="0" collapsed="false">
      <c r="A3200" s="1" t="s">
        <v>3235</v>
      </c>
      <c r="B3200" s="1" t="s">
        <v>32</v>
      </c>
      <c r="C3200" s="1" t="n">
        <v>1860000</v>
      </c>
      <c r="D3200" s="1" t="n">
        <v>1153.5</v>
      </c>
      <c r="E3200" s="1" t="n">
        <v>0.0274</v>
      </c>
      <c r="F3200" s="1" t="n">
        <v>0.0409</v>
      </c>
    </row>
    <row r="3201" customFormat="false" ht="15" hidden="false" customHeight="false" outlineLevel="0" collapsed="false">
      <c r="A3201" s="1" t="s">
        <v>3236</v>
      </c>
      <c r="B3201" s="1" t="s">
        <v>92</v>
      </c>
      <c r="C3201" s="1" t="n">
        <v>1950000</v>
      </c>
      <c r="D3201" s="1" t="n">
        <v>86678.1</v>
      </c>
      <c r="E3201" s="1" t="n">
        <v>0.0299</v>
      </c>
      <c r="F3201" s="1" t="n">
        <v>0.0409</v>
      </c>
    </row>
    <row r="3202" customFormat="false" ht="15" hidden="false" customHeight="false" outlineLevel="0" collapsed="false">
      <c r="A3202" s="1" t="s">
        <v>3237</v>
      </c>
      <c r="B3202" s="1" t="s">
        <v>50</v>
      </c>
      <c r="C3202" s="1" t="n">
        <v>869000</v>
      </c>
      <c r="D3202" s="1" t="n">
        <v>793.4</v>
      </c>
      <c r="E3202" s="1" t="n">
        <v>0.0306</v>
      </c>
      <c r="F3202" s="1" t="n">
        <v>0.1387</v>
      </c>
    </row>
    <row r="3203" customFormat="false" ht="15" hidden="false" customHeight="false" outlineLevel="0" collapsed="false">
      <c r="A3203" s="1" t="s">
        <v>3238</v>
      </c>
      <c r="B3203" s="1" t="s">
        <v>26</v>
      </c>
      <c r="C3203" s="1" t="n">
        <v>1040000</v>
      </c>
      <c r="D3203" s="1" t="n">
        <v>61328.6</v>
      </c>
      <c r="E3203" s="1" t="n">
        <v>0.0174</v>
      </c>
      <c r="F3203" s="1" t="n">
        <v>0.1709</v>
      </c>
    </row>
    <row r="3204" customFormat="false" ht="15" hidden="false" customHeight="false" outlineLevel="0" collapsed="false">
      <c r="A3204" s="1" t="s">
        <v>3239</v>
      </c>
      <c r="B3204" s="1" t="s">
        <v>41</v>
      </c>
      <c r="C3204" s="1" t="n">
        <v>1060000</v>
      </c>
      <c r="D3204" s="1" t="n">
        <v>5538.8</v>
      </c>
      <c r="E3204" s="1" t="n">
        <v>0.0135</v>
      </c>
      <c r="F3204" s="1" t="n">
        <v>0.1067</v>
      </c>
    </row>
    <row r="3205" customFormat="false" ht="15" hidden="false" customHeight="false" outlineLevel="0" collapsed="false">
      <c r="A3205" s="1" t="s">
        <v>3240</v>
      </c>
      <c r="B3205" s="1" t="s">
        <v>62</v>
      </c>
      <c r="C3205" s="1" t="n">
        <v>883000</v>
      </c>
      <c r="D3205" s="1" t="n">
        <v>1443.4</v>
      </c>
      <c r="E3205" s="1" t="n">
        <v>0.0092</v>
      </c>
      <c r="F3205" s="1" t="n">
        <v>0.0654</v>
      </c>
    </row>
    <row r="3206" customFormat="false" ht="15" hidden="false" customHeight="false" outlineLevel="0" collapsed="false">
      <c r="A3206" s="1" t="s">
        <v>3241</v>
      </c>
      <c r="B3206" s="1" t="s">
        <v>26</v>
      </c>
      <c r="C3206" s="1" t="n">
        <v>1250000</v>
      </c>
      <c r="D3206" s="1" t="n">
        <v>130.2</v>
      </c>
      <c r="E3206" s="1" t="n">
        <v>0.0161</v>
      </c>
      <c r="F3206" s="1" t="n">
        <v>0.6533</v>
      </c>
    </row>
    <row r="3207" customFormat="false" ht="15" hidden="false" customHeight="false" outlineLevel="0" collapsed="false">
      <c r="A3207" s="1" t="s">
        <v>3242</v>
      </c>
      <c r="B3207" s="1" t="s">
        <v>26</v>
      </c>
      <c r="C3207" s="1" t="n">
        <v>861000</v>
      </c>
      <c r="D3207" s="1" t="n">
        <v>392.4</v>
      </c>
      <c r="E3207" s="1" t="n">
        <v>0.0102</v>
      </c>
      <c r="F3207" s="1" t="n">
        <v>0.1698</v>
      </c>
    </row>
    <row r="3208" customFormat="false" ht="15" hidden="false" customHeight="false" outlineLevel="0" collapsed="false">
      <c r="A3208" s="1" t="s">
        <v>3243</v>
      </c>
      <c r="B3208" s="1" t="s">
        <v>214</v>
      </c>
      <c r="C3208" s="1" t="n">
        <v>1160000</v>
      </c>
      <c r="D3208" s="1" t="n">
        <v>62934.3</v>
      </c>
      <c r="E3208" s="1" t="n">
        <v>0.029</v>
      </c>
      <c r="F3208" s="1" t="n">
        <v>0.0759</v>
      </c>
    </row>
    <row r="3209" customFormat="false" ht="15" hidden="false" customHeight="false" outlineLevel="0" collapsed="false">
      <c r="A3209" s="1" t="s">
        <v>3244</v>
      </c>
      <c r="B3209" s="1" t="s">
        <v>21</v>
      </c>
      <c r="C3209" s="1" t="n">
        <v>892000</v>
      </c>
      <c r="D3209" s="1" t="n">
        <v>241.7</v>
      </c>
      <c r="E3209" s="1" t="n">
        <v>0.0594</v>
      </c>
      <c r="F3209" s="1" t="n">
        <v>0.0894</v>
      </c>
    </row>
    <row r="3210" customFormat="false" ht="15" hidden="false" customHeight="false" outlineLevel="0" collapsed="false">
      <c r="A3210" s="1" t="s">
        <v>3245</v>
      </c>
      <c r="B3210" s="1" t="s">
        <v>30</v>
      </c>
      <c r="C3210" s="1" t="n">
        <v>883000</v>
      </c>
      <c r="D3210" s="1" t="n">
        <v>46745.2</v>
      </c>
      <c r="E3210" s="1" t="n">
        <v>0.0463</v>
      </c>
      <c r="F3210" s="1" t="n">
        <v>0.0672</v>
      </c>
    </row>
    <row r="3211" customFormat="false" ht="15" hidden="false" customHeight="false" outlineLevel="0" collapsed="false">
      <c r="A3211" s="1" t="s">
        <v>3246</v>
      </c>
      <c r="B3211" s="1" t="s">
        <v>26</v>
      </c>
      <c r="C3211" s="1" t="n">
        <v>1080000</v>
      </c>
      <c r="D3211" s="1" t="n">
        <v>95854.3</v>
      </c>
      <c r="E3211" s="1" t="n">
        <v>0.0428</v>
      </c>
      <c r="F3211" s="1" t="n">
        <v>0.0546</v>
      </c>
    </row>
    <row r="3212" customFormat="false" ht="15" hidden="false" customHeight="false" outlineLevel="0" collapsed="false">
      <c r="A3212" s="1" t="s">
        <v>3247</v>
      </c>
      <c r="B3212" s="1" t="s">
        <v>88</v>
      </c>
      <c r="C3212" s="1" t="n">
        <v>871000</v>
      </c>
      <c r="D3212" s="1" t="n">
        <v>897</v>
      </c>
      <c r="E3212" s="1" t="n">
        <v>0.0333</v>
      </c>
      <c r="F3212" s="1" t="n">
        <v>0.0938</v>
      </c>
    </row>
    <row r="3213" customFormat="false" ht="15" hidden="false" customHeight="false" outlineLevel="0" collapsed="false">
      <c r="A3213" s="1" t="s">
        <v>3248</v>
      </c>
      <c r="B3213" s="1" t="s">
        <v>81</v>
      </c>
      <c r="C3213" s="1" t="n">
        <v>388000</v>
      </c>
      <c r="D3213" s="1" t="n">
        <v>777.9</v>
      </c>
      <c r="E3213" s="1" t="n">
        <v>0.0246</v>
      </c>
      <c r="F3213" s="1" t="n">
        <v>0.0759</v>
      </c>
    </row>
    <row r="3214" customFormat="false" ht="15" hidden="false" customHeight="false" outlineLevel="0" collapsed="false">
      <c r="A3214" s="1" t="s">
        <v>3249</v>
      </c>
      <c r="B3214" s="1" t="s">
        <v>214</v>
      </c>
      <c r="C3214" s="1" t="n">
        <v>1070000</v>
      </c>
      <c r="D3214" s="1" t="n">
        <v>10559.5</v>
      </c>
      <c r="E3214" s="1" t="n">
        <v>0.0383</v>
      </c>
      <c r="F3214" s="1" t="n">
        <v>0.0938</v>
      </c>
    </row>
    <row r="3215" customFormat="false" ht="15" hidden="false" customHeight="false" outlineLevel="0" collapsed="false">
      <c r="A3215" s="1" t="s">
        <v>3250</v>
      </c>
      <c r="B3215" s="1" t="s">
        <v>92</v>
      </c>
      <c r="C3215" s="1" t="n">
        <v>959000</v>
      </c>
      <c r="D3215" s="1" t="n">
        <v>4890.2</v>
      </c>
      <c r="E3215" s="1" t="n">
        <v>0.0288</v>
      </c>
      <c r="F3215" s="1" t="n">
        <v>0.0951</v>
      </c>
    </row>
    <row r="3216" customFormat="false" ht="15" hidden="false" customHeight="false" outlineLevel="0" collapsed="false">
      <c r="A3216" s="1" t="s">
        <v>3251</v>
      </c>
      <c r="B3216" s="1" t="s">
        <v>92</v>
      </c>
      <c r="C3216" s="1" t="n">
        <v>1000000</v>
      </c>
      <c r="D3216" s="1" t="n">
        <v>13449.4</v>
      </c>
      <c r="E3216" s="1" t="n">
        <v>0.0324</v>
      </c>
      <c r="F3216" s="1" t="n">
        <v>0.0938</v>
      </c>
    </row>
    <row r="3217" customFormat="false" ht="15" hidden="false" customHeight="false" outlineLevel="0" collapsed="false">
      <c r="A3217" s="1" t="s">
        <v>3252</v>
      </c>
      <c r="B3217" s="1" t="s">
        <v>88</v>
      </c>
      <c r="C3217" s="1" t="n">
        <v>1030000</v>
      </c>
      <c r="D3217" s="1" t="n">
        <v>16350</v>
      </c>
      <c r="E3217" s="1" t="n">
        <v>0.0579</v>
      </c>
      <c r="F3217" s="1" t="n">
        <v>0.0938</v>
      </c>
    </row>
    <row r="3218" customFormat="false" ht="15" hidden="false" customHeight="false" outlineLevel="0" collapsed="false">
      <c r="A3218" s="1" t="s">
        <v>3253</v>
      </c>
      <c r="B3218" s="1" t="s">
        <v>287</v>
      </c>
      <c r="C3218" s="1" t="n">
        <v>1020000</v>
      </c>
      <c r="D3218" s="1" t="n">
        <v>23729.3</v>
      </c>
      <c r="E3218" s="1" t="n">
        <v>0.0061</v>
      </c>
      <c r="F3218" s="1" t="n">
        <v>0.3805</v>
      </c>
    </row>
    <row r="3219" customFormat="false" ht="15" hidden="false" customHeight="false" outlineLevel="0" collapsed="false">
      <c r="A3219" s="1" t="s">
        <v>3254</v>
      </c>
      <c r="B3219" s="1" t="s">
        <v>88</v>
      </c>
      <c r="C3219" s="1" t="n">
        <v>1520000</v>
      </c>
      <c r="D3219" s="1" t="n">
        <v>49390.4</v>
      </c>
      <c r="E3219" s="1" t="n">
        <v>0.0725</v>
      </c>
      <c r="F3219" s="1" t="n">
        <v>0.0759</v>
      </c>
    </row>
    <row r="3220" customFormat="false" ht="15" hidden="false" customHeight="false" outlineLevel="0" collapsed="false">
      <c r="A3220" s="1" t="s">
        <v>3255</v>
      </c>
      <c r="B3220" s="1" t="s">
        <v>50</v>
      </c>
      <c r="C3220" s="1" t="n">
        <v>1120000</v>
      </c>
      <c r="D3220" s="1" t="n">
        <v>7537</v>
      </c>
      <c r="E3220" s="1" t="n">
        <v>0.1551</v>
      </c>
      <c r="F3220" s="1" t="n">
        <v>0.2747</v>
      </c>
    </row>
    <row r="3221" customFormat="false" ht="15" hidden="false" customHeight="false" outlineLevel="0" collapsed="false">
      <c r="A3221" s="1" t="s">
        <v>3256</v>
      </c>
      <c r="B3221" s="1" t="s">
        <v>41</v>
      </c>
      <c r="C3221" s="1" t="n">
        <v>1050000</v>
      </c>
      <c r="D3221" s="1" t="n">
        <v>130.3</v>
      </c>
      <c r="E3221" s="1" t="n">
        <v>0.0474</v>
      </c>
      <c r="F3221" s="1" t="n">
        <v>0.1226</v>
      </c>
    </row>
    <row r="3222" customFormat="false" ht="15" hidden="false" customHeight="false" outlineLevel="0" collapsed="false">
      <c r="A3222" s="1" t="s">
        <v>3257</v>
      </c>
      <c r="B3222" s="1" t="s">
        <v>26</v>
      </c>
      <c r="C3222" s="1" t="n">
        <v>974000</v>
      </c>
      <c r="D3222" s="1" t="n">
        <v>30757</v>
      </c>
      <c r="E3222" s="1" t="n">
        <v>0.0295</v>
      </c>
      <c r="F3222" s="1" t="n">
        <v>0.0518</v>
      </c>
    </row>
    <row r="3223" customFormat="false" ht="15" hidden="false" customHeight="false" outlineLevel="0" collapsed="false">
      <c r="A3223" s="1" t="s">
        <v>3258</v>
      </c>
      <c r="B3223" s="1" t="s">
        <v>92</v>
      </c>
      <c r="C3223" s="1" t="n">
        <v>910000</v>
      </c>
      <c r="D3223" s="1" t="n">
        <v>346869.2</v>
      </c>
      <c r="E3223" s="1" t="n">
        <v>0.0496</v>
      </c>
      <c r="F3223" s="1" t="n">
        <v>0.0518</v>
      </c>
    </row>
    <row r="3224" customFormat="false" ht="15" hidden="false" customHeight="false" outlineLevel="0" collapsed="false">
      <c r="A3224" s="1" t="s">
        <v>3259</v>
      </c>
      <c r="B3224" s="1" t="s">
        <v>26</v>
      </c>
      <c r="C3224" s="1" t="n">
        <v>877000</v>
      </c>
      <c r="D3224" s="1" t="n">
        <v>999.6</v>
      </c>
      <c r="E3224" s="1" t="n">
        <v>0.0635</v>
      </c>
      <c r="F3224" s="1" t="n">
        <v>0.0951</v>
      </c>
    </row>
    <row r="3225" customFormat="false" ht="15" hidden="false" customHeight="false" outlineLevel="0" collapsed="false">
      <c r="A3225" s="1" t="s">
        <v>3260</v>
      </c>
      <c r="B3225" s="1" t="s">
        <v>24</v>
      </c>
      <c r="C3225" s="1" t="n">
        <v>1260000</v>
      </c>
      <c r="D3225" s="1" t="n">
        <v>1232998.1</v>
      </c>
      <c r="E3225" s="1" t="n">
        <v>0.0244</v>
      </c>
      <c r="F3225" s="1" t="n">
        <v>0.1067</v>
      </c>
    </row>
    <row r="3226" customFormat="false" ht="15" hidden="false" customHeight="false" outlineLevel="0" collapsed="false">
      <c r="A3226" s="1" t="s">
        <v>3261</v>
      </c>
      <c r="B3226" s="1" t="s">
        <v>26</v>
      </c>
      <c r="C3226" s="1" t="n">
        <v>1010000</v>
      </c>
      <c r="D3226" s="1" t="n">
        <v>397012.6</v>
      </c>
      <c r="E3226" s="1" t="n">
        <v>0.0577</v>
      </c>
      <c r="F3226" s="1" t="n">
        <v>0.1057</v>
      </c>
    </row>
    <row r="3227" customFormat="false" ht="15" hidden="false" customHeight="false" outlineLevel="0" collapsed="false">
      <c r="A3227" s="1" t="s">
        <v>3262</v>
      </c>
      <c r="B3227" s="1" t="s">
        <v>53</v>
      </c>
      <c r="C3227" s="1" t="n">
        <v>924000</v>
      </c>
      <c r="D3227" s="1" t="n">
        <v>105331.9</v>
      </c>
      <c r="E3227" s="1" t="n">
        <v>0.0695</v>
      </c>
      <c r="F3227" s="1" t="n">
        <v>0.0759</v>
      </c>
    </row>
    <row r="3228" customFormat="false" ht="15" hidden="false" customHeight="false" outlineLevel="0" collapsed="false">
      <c r="A3228" s="1" t="s">
        <v>3263</v>
      </c>
      <c r="B3228" s="1" t="s">
        <v>26</v>
      </c>
      <c r="C3228" s="1" t="n">
        <v>1220000</v>
      </c>
      <c r="D3228" s="1" t="n">
        <v>8844.3</v>
      </c>
      <c r="E3228" s="1" t="n">
        <v>0.0096</v>
      </c>
      <c r="F3228" s="1" t="n">
        <v>0.0654</v>
      </c>
    </row>
    <row r="3229" customFormat="false" ht="15" hidden="false" customHeight="false" outlineLevel="0" collapsed="false">
      <c r="A3229" s="1" t="s">
        <v>3264</v>
      </c>
      <c r="B3229" s="1" t="s">
        <v>26</v>
      </c>
      <c r="C3229" s="1" t="n">
        <v>1020000</v>
      </c>
      <c r="D3229" s="1" t="n">
        <v>531904.8</v>
      </c>
      <c r="E3229" s="1" t="n">
        <v>0.0457</v>
      </c>
      <c r="F3229" s="1" t="n">
        <v>0.0409</v>
      </c>
    </row>
    <row r="3230" customFormat="false" ht="15" hidden="false" customHeight="false" outlineLevel="0" collapsed="false">
      <c r="A3230" s="1" t="s">
        <v>3265</v>
      </c>
      <c r="B3230" s="1" t="s">
        <v>71</v>
      </c>
      <c r="C3230" s="1" t="n">
        <v>1030000</v>
      </c>
      <c r="D3230" s="1" t="n">
        <v>87372.6</v>
      </c>
      <c r="E3230" s="1" t="n">
        <v>0.0344</v>
      </c>
      <c r="F3230" s="1" t="n">
        <v>0.0759</v>
      </c>
    </row>
    <row r="3231" customFormat="false" ht="15" hidden="false" customHeight="false" outlineLevel="0" collapsed="false">
      <c r="A3231" s="1" t="s">
        <v>3266</v>
      </c>
      <c r="B3231" s="1" t="s">
        <v>88</v>
      </c>
      <c r="C3231" s="1" t="n">
        <v>911000</v>
      </c>
      <c r="D3231" s="1" t="n">
        <v>2152.8</v>
      </c>
      <c r="E3231" s="1" t="n">
        <v>0.0165</v>
      </c>
      <c r="F3231" s="1" t="n">
        <v>0.095</v>
      </c>
    </row>
    <row r="3232" customFormat="false" ht="15" hidden="false" customHeight="false" outlineLevel="0" collapsed="false">
      <c r="A3232" s="1" t="s">
        <v>3267</v>
      </c>
      <c r="B3232" s="1" t="s">
        <v>88</v>
      </c>
      <c r="C3232" s="1" t="n">
        <v>1220000</v>
      </c>
      <c r="D3232" s="1" t="n">
        <v>2566.8</v>
      </c>
      <c r="E3232" s="1" t="n">
        <v>0.0405</v>
      </c>
      <c r="F3232" s="1" t="n">
        <v>0.0938</v>
      </c>
    </row>
    <row r="3233" customFormat="false" ht="15" hidden="false" customHeight="false" outlineLevel="0" collapsed="false">
      <c r="A3233" s="1" t="s">
        <v>3268</v>
      </c>
      <c r="B3233" s="1" t="s">
        <v>24</v>
      </c>
      <c r="C3233" s="1" t="n">
        <v>1820000</v>
      </c>
      <c r="D3233" s="1" t="n">
        <v>72491.6</v>
      </c>
      <c r="E3233" s="1" t="n">
        <v>0.0267</v>
      </c>
      <c r="F3233" s="1" t="n">
        <v>0.0759</v>
      </c>
    </row>
    <row r="3234" customFormat="false" ht="15" hidden="false" customHeight="false" outlineLevel="0" collapsed="false">
      <c r="A3234" s="1" t="s">
        <v>3269</v>
      </c>
      <c r="B3234" s="1" t="s">
        <v>26</v>
      </c>
      <c r="C3234" s="1" t="n">
        <v>1090000</v>
      </c>
      <c r="D3234" s="1" t="n">
        <v>505390.8</v>
      </c>
      <c r="E3234" s="1" t="n">
        <v>0.06</v>
      </c>
      <c r="F3234" s="1" t="n">
        <v>0.0951</v>
      </c>
    </row>
    <row r="3235" customFormat="false" ht="15" hidden="false" customHeight="false" outlineLevel="0" collapsed="false">
      <c r="A3235" s="1" t="s">
        <v>3270</v>
      </c>
      <c r="B3235" s="1" t="s">
        <v>88</v>
      </c>
      <c r="C3235" s="1" t="n">
        <v>969000</v>
      </c>
      <c r="D3235" s="1" t="n">
        <v>16110.5</v>
      </c>
      <c r="E3235" s="1" t="n">
        <v>0.0285</v>
      </c>
      <c r="F3235" s="1" t="n">
        <v>0.1226</v>
      </c>
    </row>
    <row r="3236" customFormat="false" ht="15" hidden="false" customHeight="false" outlineLevel="0" collapsed="false">
      <c r="A3236" s="1" t="s">
        <v>3271</v>
      </c>
      <c r="B3236" s="1" t="s">
        <v>81</v>
      </c>
      <c r="C3236" s="1" t="n">
        <v>891000</v>
      </c>
      <c r="D3236" s="1" t="n">
        <v>24463.9</v>
      </c>
      <c r="E3236" s="1" t="n">
        <v>0.0338</v>
      </c>
      <c r="F3236" s="1" t="n">
        <v>0.0759</v>
      </c>
    </row>
    <row r="3237" customFormat="false" ht="15" hidden="false" customHeight="false" outlineLevel="0" collapsed="false">
      <c r="A3237" s="1" t="s">
        <v>3272</v>
      </c>
      <c r="B3237" s="1" t="s">
        <v>88</v>
      </c>
      <c r="C3237" s="1" t="n">
        <v>941000</v>
      </c>
      <c r="D3237" s="1" t="n">
        <v>3344.9</v>
      </c>
      <c r="E3237" s="1" t="n">
        <v>0.036</v>
      </c>
      <c r="F3237" s="1" t="n">
        <v>0.0759</v>
      </c>
    </row>
    <row r="3238" customFormat="false" ht="15" hidden="false" customHeight="false" outlineLevel="0" collapsed="false">
      <c r="A3238" s="1" t="s">
        <v>3273</v>
      </c>
      <c r="B3238" s="1" t="s">
        <v>92</v>
      </c>
      <c r="C3238" s="1" t="n">
        <v>857000</v>
      </c>
      <c r="D3238" s="1" t="n">
        <v>9239.5</v>
      </c>
      <c r="E3238" s="1" t="n">
        <v>0.0494</v>
      </c>
      <c r="F3238" s="1" t="n">
        <v>0.0951</v>
      </c>
    </row>
    <row r="3239" customFormat="false" ht="15" hidden="false" customHeight="false" outlineLevel="0" collapsed="false">
      <c r="A3239" s="1" t="s">
        <v>3274</v>
      </c>
      <c r="B3239" s="1" t="s">
        <v>214</v>
      </c>
      <c r="C3239" s="1" t="n">
        <v>858000</v>
      </c>
      <c r="D3239" s="1" t="n">
        <v>1821.9</v>
      </c>
      <c r="E3239" s="1" t="n">
        <v>0.0249</v>
      </c>
      <c r="F3239" s="1" t="n">
        <v>0.0951</v>
      </c>
    </row>
    <row r="3240" customFormat="false" ht="15" hidden="false" customHeight="false" outlineLevel="0" collapsed="false">
      <c r="A3240" s="1" t="s">
        <v>3275</v>
      </c>
      <c r="B3240" s="1" t="s">
        <v>88</v>
      </c>
      <c r="C3240" s="1" t="n">
        <v>1080000</v>
      </c>
      <c r="D3240" s="1" t="n">
        <v>17647</v>
      </c>
      <c r="E3240" s="1" t="n">
        <v>0.0187</v>
      </c>
      <c r="F3240" s="1" t="n">
        <v>0.1053</v>
      </c>
    </row>
    <row r="3241" customFormat="false" ht="15" hidden="false" customHeight="false" outlineLevel="0" collapsed="false">
      <c r="A3241" s="1" t="s">
        <v>3276</v>
      </c>
      <c r="B3241" s="1" t="s">
        <v>92</v>
      </c>
      <c r="C3241" s="1" t="n">
        <v>1030000</v>
      </c>
      <c r="D3241" s="1" t="n">
        <v>32442.2</v>
      </c>
      <c r="E3241" s="1" t="n">
        <v>0.0088</v>
      </c>
      <c r="F3241" s="1" t="n">
        <v>0.0822</v>
      </c>
    </row>
    <row r="3242" customFormat="false" ht="15" hidden="false" customHeight="false" outlineLevel="0" collapsed="false">
      <c r="A3242" s="1" t="s">
        <v>3277</v>
      </c>
      <c r="B3242" s="1" t="s">
        <v>92</v>
      </c>
      <c r="C3242" s="1" t="n">
        <v>883000</v>
      </c>
      <c r="D3242" s="1" t="n">
        <v>15648.2</v>
      </c>
      <c r="E3242" s="1" t="n">
        <v>0.0282</v>
      </c>
      <c r="F3242" s="1" t="n">
        <v>0.0409</v>
      </c>
    </row>
    <row r="3243" customFormat="false" ht="15" hidden="false" customHeight="false" outlineLevel="0" collapsed="false">
      <c r="A3243" s="1" t="s">
        <v>3278</v>
      </c>
      <c r="B3243" s="1" t="s">
        <v>26</v>
      </c>
      <c r="C3243" s="1" t="n">
        <v>989000</v>
      </c>
      <c r="D3243" s="1" t="n">
        <v>949764.7</v>
      </c>
      <c r="E3243" s="1" t="n">
        <v>0.0588</v>
      </c>
      <c r="F3243" s="1" t="n">
        <v>0.0518</v>
      </c>
    </row>
    <row r="3244" customFormat="false" ht="15" hidden="false" customHeight="false" outlineLevel="0" collapsed="false">
      <c r="A3244" s="1" t="s">
        <v>3279</v>
      </c>
      <c r="B3244" s="1" t="s">
        <v>21</v>
      </c>
      <c r="C3244" s="1" t="n">
        <v>865000</v>
      </c>
      <c r="D3244" s="1" t="n">
        <v>161.5</v>
      </c>
      <c r="E3244" s="1" t="n">
        <v>0.0102</v>
      </c>
      <c r="F3244" s="1" t="n">
        <v>0.1015</v>
      </c>
    </row>
    <row r="3245" customFormat="false" ht="15" hidden="false" customHeight="false" outlineLevel="0" collapsed="false">
      <c r="A3245" s="1" t="s">
        <v>3280</v>
      </c>
      <c r="B3245" s="1" t="s">
        <v>287</v>
      </c>
      <c r="C3245" s="1" t="n">
        <v>973000</v>
      </c>
      <c r="D3245" s="1" t="n">
        <v>2942.9</v>
      </c>
      <c r="E3245" s="1" t="n">
        <v>0.0066</v>
      </c>
      <c r="F3245" s="1" t="n">
        <v>0.0654</v>
      </c>
    </row>
    <row r="3246" customFormat="false" ht="15" hidden="false" customHeight="false" outlineLevel="0" collapsed="false">
      <c r="A3246" s="1" t="s">
        <v>3281</v>
      </c>
      <c r="B3246" s="1" t="s">
        <v>26</v>
      </c>
      <c r="C3246" s="1" t="n">
        <v>834000</v>
      </c>
      <c r="D3246" s="1" t="n">
        <v>2117.1</v>
      </c>
      <c r="E3246" s="1" t="n">
        <v>0.0301</v>
      </c>
      <c r="F3246" s="1" t="n">
        <v>0.117</v>
      </c>
    </row>
    <row r="3247" customFormat="false" ht="15" hidden="false" customHeight="false" outlineLevel="0" collapsed="false">
      <c r="A3247" s="1" t="s">
        <v>3282</v>
      </c>
      <c r="B3247" s="1" t="s">
        <v>195</v>
      </c>
      <c r="C3247" s="1" t="n">
        <v>885000</v>
      </c>
      <c r="D3247" s="1" t="n">
        <v>618</v>
      </c>
      <c r="E3247" s="1" t="n">
        <v>0.0247</v>
      </c>
      <c r="F3247" s="1" t="n">
        <v>0.0938</v>
      </c>
    </row>
    <row r="3248" customFormat="false" ht="15" hidden="false" customHeight="false" outlineLevel="0" collapsed="false">
      <c r="A3248" s="1" t="s">
        <v>3283</v>
      </c>
      <c r="B3248" s="1" t="s">
        <v>287</v>
      </c>
      <c r="C3248" s="1" t="n">
        <v>3070000</v>
      </c>
      <c r="D3248" s="1" t="n">
        <v>1843.9</v>
      </c>
      <c r="E3248" s="1" t="n">
        <v>0.0089</v>
      </c>
      <c r="F3248" s="1" t="n">
        <v>0.0811</v>
      </c>
    </row>
    <row r="3249" customFormat="false" ht="15" hidden="false" customHeight="false" outlineLevel="0" collapsed="false">
      <c r="A3249" s="1" t="s">
        <v>3284</v>
      </c>
      <c r="B3249" s="1" t="s">
        <v>21</v>
      </c>
      <c r="C3249" s="1" t="n">
        <v>877000</v>
      </c>
      <c r="D3249" s="1" t="n">
        <v>2881.3</v>
      </c>
      <c r="E3249" s="1" t="n">
        <v>0.03</v>
      </c>
      <c r="F3249" s="1" t="n">
        <v>0.0644</v>
      </c>
    </row>
    <row r="3250" customFormat="false" ht="15" hidden="false" customHeight="false" outlineLevel="0" collapsed="false">
      <c r="A3250" s="1" t="s">
        <v>3285</v>
      </c>
      <c r="B3250" s="1" t="s">
        <v>21</v>
      </c>
      <c r="C3250" s="1" t="n">
        <v>905000</v>
      </c>
      <c r="D3250" s="1" t="n">
        <v>2206.3</v>
      </c>
      <c r="E3250" s="1" t="n">
        <v>0.0221</v>
      </c>
      <c r="F3250" s="1" t="n">
        <v>0.0759</v>
      </c>
    </row>
    <row r="3251" customFormat="false" ht="15" hidden="false" customHeight="false" outlineLevel="0" collapsed="false">
      <c r="A3251" s="1" t="s">
        <v>3286</v>
      </c>
      <c r="B3251" s="1" t="s">
        <v>26</v>
      </c>
      <c r="C3251" s="1" t="n">
        <v>823000</v>
      </c>
      <c r="D3251" s="1" t="n">
        <v>18147.5</v>
      </c>
      <c r="E3251" s="1" t="n">
        <v>0.0222</v>
      </c>
      <c r="F3251" s="1" t="n">
        <v>0.139</v>
      </c>
    </row>
    <row r="3252" customFormat="false" ht="15" hidden="false" customHeight="false" outlineLevel="0" collapsed="false">
      <c r="A3252" s="1" t="s">
        <v>3287</v>
      </c>
      <c r="B3252" s="1" t="s">
        <v>62</v>
      </c>
      <c r="C3252" s="1" t="n">
        <v>893000</v>
      </c>
      <c r="D3252" s="1" t="n">
        <v>12034.3</v>
      </c>
      <c r="E3252" s="1" t="n">
        <v>0.0503</v>
      </c>
      <c r="F3252" s="1" t="n">
        <v>0.0951</v>
      </c>
    </row>
    <row r="3253" customFormat="false" ht="15" hidden="false" customHeight="false" outlineLevel="0" collapsed="false">
      <c r="A3253" s="1" t="s">
        <v>3288</v>
      </c>
      <c r="B3253" s="1" t="s">
        <v>81</v>
      </c>
      <c r="C3253" s="1" t="n">
        <v>878000</v>
      </c>
      <c r="D3253" s="1" t="n">
        <v>10733.5</v>
      </c>
      <c r="E3253" s="1" t="n">
        <v>0.0376</v>
      </c>
      <c r="F3253" s="1" t="n">
        <v>0.0951</v>
      </c>
    </row>
    <row r="3254" customFormat="false" ht="15" hidden="false" customHeight="false" outlineLevel="0" collapsed="false">
      <c r="A3254" s="1" t="s">
        <v>3289</v>
      </c>
      <c r="B3254" s="1" t="s">
        <v>74</v>
      </c>
      <c r="C3254" s="1" t="n">
        <v>951000</v>
      </c>
      <c r="D3254" s="1" t="n">
        <v>12503.6</v>
      </c>
      <c r="E3254" s="1" t="n">
        <v>0.0402</v>
      </c>
      <c r="F3254" s="1" t="n">
        <v>0.0759</v>
      </c>
    </row>
    <row r="3255" customFormat="false" ht="15" hidden="false" customHeight="false" outlineLevel="0" collapsed="false">
      <c r="A3255" s="1" t="s">
        <v>3290</v>
      </c>
      <c r="B3255" s="1" t="s">
        <v>92</v>
      </c>
      <c r="C3255" s="1" t="n">
        <v>1410000</v>
      </c>
      <c r="D3255" s="1" t="n">
        <v>1500025.2</v>
      </c>
      <c r="E3255" s="1" t="n">
        <v>0.0072</v>
      </c>
      <c r="F3255" s="1" t="n">
        <v>0.0811</v>
      </c>
    </row>
    <row r="3256" customFormat="false" ht="15" hidden="false" customHeight="false" outlineLevel="0" collapsed="false">
      <c r="A3256" s="1" t="s">
        <v>3291</v>
      </c>
      <c r="B3256" s="1" t="s">
        <v>32</v>
      </c>
      <c r="C3256" s="1" t="n">
        <v>932000</v>
      </c>
      <c r="D3256" s="1" t="n">
        <v>85034.9</v>
      </c>
      <c r="E3256" s="1" t="n">
        <v>0.0159</v>
      </c>
      <c r="F3256" s="1" t="n">
        <v>0.0589</v>
      </c>
    </row>
    <row r="3257" customFormat="false" ht="15" hidden="false" customHeight="false" outlineLevel="0" collapsed="false">
      <c r="A3257" s="1" t="s">
        <v>3292</v>
      </c>
      <c r="B3257" s="1" t="s">
        <v>88</v>
      </c>
      <c r="C3257" s="1" t="n">
        <v>955000</v>
      </c>
      <c r="D3257" s="1" t="n">
        <v>120.1</v>
      </c>
      <c r="E3257" s="1" t="n">
        <v>0.0332</v>
      </c>
      <c r="F3257" s="1" t="n">
        <v>0.0938</v>
      </c>
    </row>
    <row r="3258" customFormat="false" ht="15" hidden="false" customHeight="false" outlineLevel="0" collapsed="false">
      <c r="A3258" s="1" t="s">
        <v>3293</v>
      </c>
      <c r="B3258" s="1" t="s">
        <v>53</v>
      </c>
      <c r="C3258" s="1" t="n">
        <v>1020000</v>
      </c>
      <c r="D3258" s="1" t="n">
        <v>79702.9</v>
      </c>
      <c r="E3258" s="1" t="n">
        <v>0.0817</v>
      </c>
      <c r="F3258" s="1" t="n">
        <v>0.0518</v>
      </c>
    </row>
    <row r="3259" customFormat="false" ht="15" hidden="false" customHeight="false" outlineLevel="0" collapsed="false">
      <c r="A3259" s="1" t="s">
        <v>3294</v>
      </c>
      <c r="B3259" s="1" t="s">
        <v>32</v>
      </c>
      <c r="C3259" s="1" t="n">
        <v>1010000</v>
      </c>
      <c r="D3259" s="1" t="n">
        <v>28949</v>
      </c>
      <c r="E3259" s="1" t="n">
        <v>0.032</v>
      </c>
      <c r="F3259" s="1" t="n">
        <v>0.0951</v>
      </c>
    </row>
    <row r="3260" customFormat="false" ht="15" hidden="false" customHeight="false" outlineLevel="0" collapsed="false">
      <c r="A3260" s="1" t="s">
        <v>3295</v>
      </c>
      <c r="B3260" s="1" t="s">
        <v>41</v>
      </c>
      <c r="C3260" s="1" t="n">
        <v>891000</v>
      </c>
      <c r="D3260" s="1" t="n">
        <v>5310.6</v>
      </c>
      <c r="E3260" s="1" t="n">
        <v>0.0235</v>
      </c>
      <c r="F3260" s="1" t="n">
        <v>0.1446</v>
      </c>
    </row>
    <row r="3261" customFormat="false" ht="15" hidden="false" customHeight="false" outlineLevel="0" collapsed="false">
      <c r="A3261" s="1" t="s">
        <v>3296</v>
      </c>
      <c r="B3261" s="1" t="s">
        <v>92</v>
      </c>
      <c r="C3261" s="1" t="n">
        <v>887000</v>
      </c>
      <c r="D3261" s="1" t="n">
        <v>38556.1</v>
      </c>
      <c r="E3261" s="1" t="n">
        <v>0.0219</v>
      </c>
      <c r="F3261" s="1" t="n">
        <v>0.0759</v>
      </c>
    </row>
    <row r="3262" customFormat="false" ht="15" hidden="false" customHeight="false" outlineLevel="0" collapsed="false">
      <c r="A3262" s="1" t="s">
        <v>3297</v>
      </c>
      <c r="B3262" s="1" t="s">
        <v>74</v>
      </c>
      <c r="C3262" s="1" t="n">
        <v>1070000</v>
      </c>
      <c r="D3262" s="1" t="n">
        <v>41766.3</v>
      </c>
      <c r="E3262" s="1" t="n">
        <v>0.0462</v>
      </c>
      <c r="F3262" s="1" t="n">
        <v>0.0759</v>
      </c>
    </row>
    <row r="3263" customFormat="false" ht="15" hidden="false" customHeight="false" outlineLevel="0" collapsed="false">
      <c r="A3263" s="1" t="s">
        <v>3298</v>
      </c>
      <c r="B3263" s="1" t="s">
        <v>26</v>
      </c>
      <c r="C3263" s="1" t="n">
        <v>846000</v>
      </c>
      <c r="D3263" s="1" t="n">
        <v>590184.7</v>
      </c>
      <c r="E3263" s="1" t="n">
        <v>0.129</v>
      </c>
      <c r="F3263" s="1" t="n">
        <v>0.0951</v>
      </c>
    </row>
    <row r="3264" customFormat="false" ht="15" hidden="false" customHeight="false" outlineLevel="0" collapsed="false">
      <c r="A3264" s="1" t="s">
        <v>3299</v>
      </c>
      <c r="B3264" s="1" t="s">
        <v>24</v>
      </c>
      <c r="C3264" s="1" t="n">
        <v>1100000</v>
      </c>
      <c r="D3264" s="1" t="n">
        <v>6008.3</v>
      </c>
      <c r="E3264" s="1" t="n">
        <v>0.0057</v>
      </c>
      <c r="F3264" s="1" t="n">
        <v>0.0822</v>
      </c>
    </row>
    <row r="3265" customFormat="false" ht="15" hidden="false" customHeight="false" outlineLevel="0" collapsed="false">
      <c r="A3265" s="1" t="s">
        <v>3300</v>
      </c>
      <c r="B3265" s="1" t="s">
        <v>26</v>
      </c>
      <c r="C3265" s="1" t="n">
        <v>354000</v>
      </c>
      <c r="D3265" s="1" t="n">
        <v>543.2</v>
      </c>
      <c r="E3265" s="1" t="n">
        <v>0.0125</v>
      </c>
      <c r="F3265" s="1" t="n">
        <v>0.0736</v>
      </c>
    </row>
    <row r="3266" customFormat="false" ht="15" hidden="false" customHeight="false" outlineLevel="0" collapsed="false">
      <c r="A3266" s="1" t="s">
        <v>3301</v>
      </c>
      <c r="B3266" s="1" t="s">
        <v>53</v>
      </c>
      <c r="C3266" s="1" t="n">
        <v>1000000</v>
      </c>
      <c r="D3266" s="1" t="n">
        <v>115209.5</v>
      </c>
      <c r="E3266" s="1" t="n">
        <v>0.0352</v>
      </c>
      <c r="F3266" s="1" t="n">
        <v>0.0759</v>
      </c>
    </row>
    <row r="3267" customFormat="false" ht="15" hidden="false" customHeight="false" outlineLevel="0" collapsed="false">
      <c r="A3267" s="1" t="s">
        <v>3302</v>
      </c>
      <c r="B3267" s="1" t="s">
        <v>26</v>
      </c>
      <c r="C3267" s="1" t="n">
        <v>1270000</v>
      </c>
      <c r="D3267" s="1" t="n">
        <v>14055205.4</v>
      </c>
      <c r="E3267" s="1" t="n">
        <v>0.0157</v>
      </c>
      <c r="F3267" s="1" t="n">
        <v>0.1953</v>
      </c>
    </row>
    <row r="3268" customFormat="false" ht="15" hidden="false" customHeight="false" outlineLevel="0" collapsed="false">
      <c r="A3268" s="1" t="s">
        <v>3303</v>
      </c>
      <c r="B3268" s="1" t="s">
        <v>88</v>
      </c>
      <c r="C3268" s="1" t="n">
        <v>882000</v>
      </c>
      <c r="D3268" s="1" t="n">
        <v>141245.4</v>
      </c>
      <c r="E3268" s="1" t="n">
        <v>0.0429</v>
      </c>
      <c r="F3268" s="1" t="n">
        <v>0.0759</v>
      </c>
    </row>
    <row r="3269" customFormat="false" ht="15" hidden="false" customHeight="false" outlineLevel="0" collapsed="false">
      <c r="A3269" s="1" t="s">
        <v>3304</v>
      </c>
      <c r="B3269" s="1" t="s">
        <v>26</v>
      </c>
      <c r="C3269" s="1" t="n">
        <v>891000</v>
      </c>
      <c r="D3269" s="1" t="n">
        <v>30852.4</v>
      </c>
      <c r="E3269" s="1" t="n">
        <v>0.0398</v>
      </c>
      <c r="F3269" s="1" t="n">
        <v>0.0938</v>
      </c>
    </row>
    <row r="3270" customFormat="false" ht="15" hidden="false" customHeight="false" outlineLevel="0" collapsed="false">
      <c r="A3270" s="1" t="s">
        <v>3305</v>
      </c>
      <c r="B3270" s="1" t="s">
        <v>74</v>
      </c>
      <c r="C3270" s="1" t="n">
        <v>871000</v>
      </c>
      <c r="D3270" s="1" t="n">
        <v>1023.2</v>
      </c>
      <c r="E3270" s="1" t="n">
        <v>0.0389</v>
      </c>
      <c r="F3270" s="1" t="n">
        <v>0.0951</v>
      </c>
    </row>
    <row r="3271" customFormat="false" ht="15" hidden="false" customHeight="false" outlineLevel="0" collapsed="false">
      <c r="A3271" s="1" t="s">
        <v>3306</v>
      </c>
      <c r="B3271" s="1" t="s">
        <v>214</v>
      </c>
      <c r="C3271" s="1" t="n">
        <v>1220000</v>
      </c>
      <c r="D3271" s="1" t="n">
        <v>35963.3</v>
      </c>
      <c r="E3271" s="1" t="n">
        <v>0.0247</v>
      </c>
      <c r="F3271" s="1" t="n">
        <v>0.0409</v>
      </c>
    </row>
    <row r="3272" customFormat="false" ht="15" hidden="false" customHeight="false" outlineLevel="0" collapsed="false">
      <c r="A3272" s="1" t="s">
        <v>3307</v>
      </c>
      <c r="B3272" s="1" t="s">
        <v>88</v>
      </c>
      <c r="C3272" s="1" t="n">
        <v>1020000</v>
      </c>
      <c r="D3272" s="1" t="n">
        <v>301.1</v>
      </c>
      <c r="E3272" s="1" t="n">
        <v>0.0154</v>
      </c>
      <c r="F3272" s="1" t="n">
        <v>0.5714</v>
      </c>
    </row>
    <row r="3273" customFormat="false" ht="15" hidden="false" customHeight="false" outlineLevel="0" collapsed="false">
      <c r="A3273" s="1" t="s">
        <v>3308</v>
      </c>
      <c r="B3273" s="1" t="s">
        <v>26</v>
      </c>
      <c r="C3273" s="1" t="n">
        <v>1500000</v>
      </c>
      <c r="D3273" s="1" t="n">
        <v>229820</v>
      </c>
      <c r="E3273" s="1" t="n">
        <v>0.0463</v>
      </c>
      <c r="F3273" s="1" t="n">
        <v>0.0759</v>
      </c>
    </row>
    <row r="3274" customFormat="false" ht="15" hidden="false" customHeight="false" outlineLevel="0" collapsed="false">
      <c r="A3274" s="1" t="s">
        <v>3309</v>
      </c>
      <c r="B3274" s="1" t="s">
        <v>62</v>
      </c>
      <c r="C3274" s="1" t="n">
        <v>1080000</v>
      </c>
      <c r="D3274" s="1" t="n">
        <v>29372.8</v>
      </c>
      <c r="E3274" s="1" t="n">
        <v>0.0585</v>
      </c>
      <c r="F3274" s="1" t="n">
        <v>0.0759</v>
      </c>
    </row>
    <row r="3275" customFormat="false" ht="15" hidden="false" customHeight="false" outlineLevel="0" collapsed="false">
      <c r="A3275" s="1" t="s">
        <v>3310</v>
      </c>
      <c r="B3275" s="1" t="s">
        <v>26</v>
      </c>
      <c r="C3275" s="1" t="n">
        <v>1510000</v>
      </c>
      <c r="D3275" s="1" t="n">
        <v>5060.9</v>
      </c>
      <c r="E3275" s="1" t="n">
        <v>0.0233</v>
      </c>
      <c r="F3275" s="1" t="n">
        <v>0.0938</v>
      </c>
    </row>
    <row r="3276" customFormat="false" ht="15" hidden="false" customHeight="false" outlineLevel="0" collapsed="false">
      <c r="A3276" s="1" t="s">
        <v>3311</v>
      </c>
      <c r="B3276" s="1" t="s">
        <v>53</v>
      </c>
      <c r="C3276" s="1" t="n">
        <v>839000</v>
      </c>
      <c r="D3276" s="1" t="n">
        <v>6324.3</v>
      </c>
      <c r="E3276" s="1" t="n">
        <v>0.0792</v>
      </c>
      <c r="F3276" s="1" t="n">
        <v>0.117</v>
      </c>
    </row>
    <row r="3277" customFormat="false" ht="15" hidden="false" customHeight="false" outlineLevel="0" collapsed="false">
      <c r="A3277" s="1" t="s">
        <v>3312</v>
      </c>
      <c r="B3277" s="1" t="s">
        <v>21</v>
      </c>
      <c r="C3277" s="1" t="n">
        <v>919000</v>
      </c>
      <c r="D3277" s="1" t="n">
        <v>26019.1</v>
      </c>
      <c r="E3277" s="1" t="n">
        <v>0.0331</v>
      </c>
      <c r="F3277" s="1" t="n">
        <v>0.0725</v>
      </c>
    </row>
    <row r="3278" customFormat="false" ht="15" hidden="false" customHeight="false" outlineLevel="0" collapsed="false">
      <c r="A3278" s="1" t="s">
        <v>3313</v>
      </c>
      <c r="B3278" s="1" t="s">
        <v>26</v>
      </c>
      <c r="C3278" s="1" t="n">
        <v>1410000</v>
      </c>
      <c r="D3278" s="1" t="n">
        <v>237654.5</v>
      </c>
      <c r="E3278" s="1" t="n">
        <v>0.0209</v>
      </c>
      <c r="F3278" s="1" t="n">
        <v>0.0854</v>
      </c>
    </row>
    <row r="3279" customFormat="false" ht="15" hidden="false" customHeight="false" outlineLevel="0" collapsed="false">
      <c r="A3279" s="1" t="s">
        <v>3314</v>
      </c>
      <c r="B3279" s="1" t="s">
        <v>41</v>
      </c>
      <c r="C3279" s="1" t="n">
        <v>921000</v>
      </c>
      <c r="D3279" s="1" t="n">
        <v>136103</v>
      </c>
      <c r="E3279" s="1" t="n">
        <v>0.0177</v>
      </c>
      <c r="F3279" s="1" t="n">
        <v>0.131</v>
      </c>
    </row>
    <row r="3280" customFormat="false" ht="15" hidden="false" customHeight="false" outlineLevel="0" collapsed="false">
      <c r="A3280" s="1" t="s">
        <v>3315</v>
      </c>
      <c r="B3280" s="1" t="s">
        <v>195</v>
      </c>
      <c r="C3280" s="1" t="n">
        <v>974000</v>
      </c>
      <c r="D3280" s="1" t="n">
        <v>101.6</v>
      </c>
      <c r="E3280" s="1" t="n">
        <v>0.0318</v>
      </c>
      <c r="F3280" s="1" t="n">
        <v>0.051</v>
      </c>
    </row>
    <row r="3281" customFormat="false" ht="15" hidden="false" customHeight="false" outlineLevel="0" collapsed="false">
      <c r="A3281" s="1" t="s">
        <v>3316</v>
      </c>
      <c r="B3281" s="1" t="s">
        <v>26</v>
      </c>
      <c r="C3281" s="1" t="n">
        <v>1010000</v>
      </c>
      <c r="D3281" s="1" t="n">
        <v>999366.4</v>
      </c>
      <c r="E3281" s="1" t="n">
        <v>0.0261</v>
      </c>
      <c r="F3281" s="1" t="n">
        <v>0.0409</v>
      </c>
    </row>
    <row r="3282" customFormat="false" ht="15" hidden="false" customHeight="false" outlineLevel="0" collapsed="false">
      <c r="A3282" s="1" t="s">
        <v>3317</v>
      </c>
      <c r="B3282" s="1" t="s">
        <v>41</v>
      </c>
      <c r="C3282" s="1" t="n">
        <v>886000</v>
      </c>
      <c r="D3282" s="1" t="n">
        <v>85.5</v>
      </c>
      <c r="E3282" s="1" t="n">
        <v>0.0135</v>
      </c>
      <c r="F3282" s="1" t="n">
        <v>0.3298</v>
      </c>
    </row>
    <row r="3283" customFormat="false" ht="15" hidden="false" customHeight="false" outlineLevel="0" collapsed="false">
      <c r="A3283" s="1" t="s">
        <v>3318</v>
      </c>
      <c r="B3283" s="1" t="s">
        <v>26</v>
      </c>
      <c r="C3283" s="1" t="n">
        <v>1160000</v>
      </c>
      <c r="D3283" s="1" t="n">
        <v>837588.7</v>
      </c>
      <c r="E3283" s="1" t="n">
        <v>0.0048</v>
      </c>
      <c r="F3283" s="1" t="n">
        <v>0.0822</v>
      </c>
    </row>
    <row r="3284" customFormat="false" ht="15" hidden="false" customHeight="false" outlineLevel="0" collapsed="false">
      <c r="A3284" s="1" t="s">
        <v>3319</v>
      </c>
      <c r="B3284" s="1" t="s">
        <v>71</v>
      </c>
      <c r="C3284" s="1" t="n">
        <v>1060000</v>
      </c>
      <c r="D3284" s="1" t="n">
        <v>4852.3</v>
      </c>
      <c r="E3284" s="1" t="n">
        <v>0.0551</v>
      </c>
      <c r="F3284" s="1" t="n">
        <v>0.0938</v>
      </c>
    </row>
    <row r="3285" customFormat="false" ht="15" hidden="false" customHeight="false" outlineLevel="0" collapsed="false">
      <c r="A3285" s="1" t="s">
        <v>3320</v>
      </c>
      <c r="B3285" s="1" t="s">
        <v>287</v>
      </c>
      <c r="C3285" s="1" t="n">
        <v>985000</v>
      </c>
      <c r="D3285" s="1" t="n">
        <v>31441.4</v>
      </c>
      <c r="E3285" s="1" t="n">
        <v>0.025</v>
      </c>
      <c r="F3285" s="1" t="n">
        <v>0.0938</v>
      </c>
    </row>
    <row r="3286" customFormat="false" ht="15" hidden="false" customHeight="false" outlineLevel="0" collapsed="false">
      <c r="A3286" s="1" t="s">
        <v>3321</v>
      </c>
      <c r="B3286" s="1" t="s">
        <v>287</v>
      </c>
      <c r="C3286" s="1" t="n">
        <v>1050000</v>
      </c>
      <c r="D3286" s="1" t="n">
        <v>337168.4</v>
      </c>
      <c r="E3286" s="1" t="n">
        <v>0.0151</v>
      </c>
      <c r="F3286" s="1" t="n">
        <v>0.0462</v>
      </c>
    </row>
    <row r="3287" customFormat="false" ht="15" hidden="false" customHeight="false" outlineLevel="0" collapsed="false">
      <c r="A3287" s="1" t="s">
        <v>3322</v>
      </c>
      <c r="B3287" s="1" t="s">
        <v>26</v>
      </c>
      <c r="C3287" s="1" t="n">
        <v>1080000</v>
      </c>
      <c r="D3287" s="1" t="n">
        <v>300847.9</v>
      </c>
      <c r="E3287" s="1" t="n">
        <v>0.0603</v>
      </c>
      <c r="F3287" s="1" t="n">
        <v>0.0409</v>
      </c>
    </row>
    <row r="3288" customFormat="false" ht="15" hidden="false" customHeight="false" outlineLevel="0" collapsed="false">
      <c r="A3288" s="1" t="s">
        <v>3323</v>
      </c>
      <c r="B3288" s="1" t="s">
        <v>195</v>
      </c>
      <c r="C3288" s="1" t="n">
        <v>833000</v>
      </c>
      <c r="D3288" s="1" t="n">
        <v>823</v>
      </c>
      <c r="E3288" s="1" t="n">
        <v>0.0174</v>
      </c>
      <c r="F3288" s="1" t="n">
        <v>0.2089</v>
      </c>
    </row>
    <row r="3289" customFormat="false" ht="15" hidden="false" customHeight="false" outlineLevel="0" collapsed="false">
      <c r="A3289" s="1" t="s">
        <v>3324</v>
      </c>
      <c r="B3289" s="1" t="s">
        <v>26</v>
      </c>
      <c r="C3289" s="1" t="n">
        <v>1490000</v>
      </c>
      <c r="D3289" s="1" t="n">
        <v>5819512</v>
      </c>
      <c r="E3289" s="1" t="n">
        <v>0.0523</v>
      </c>
      <c r="F3289" s="1" t="n">
        <v>0.0518</v>
      </c>
    </row>
    <row r="3290" customFormat="false" ht="15" hidden="false" customHeight="false" outlineLevel="0" collapsed="false">
      <c r="A3290" s="1" t="s">
        <v>3325</v>
      </c>
      <c r="B3290" s="1" t="s">
        <v>32</v>
      </c>
      <c r="C3290" s="1" t="n">
        <v>943000</v>
      </c>
      <c r="D3290" s="1" t="n">
        <v>16164</v>
      </c>
      <c r="E3290" s="1" t="n">
        <v>0.0154</v>
      </c>
      <c r="F3290" s="1" t="n">
        <v>0.0585</v>
      </c>
    </row>
    <row r="3291" customFormat="false" ht="15" hidden="false" customHeight="false" outlineLevel="0" collapsed="false">
      <c r="A3291" s="1" t="s">
        <v>3326</v>
      </c>
      <c r="B3291" s="1" t="s">
        <v>214</v>
      </c>
      <c r="C3291" s="1" t="n">
        <v>987000</v>
      </c>
      <c r="D3291" s="1" t="n">
        <v>59635.3</v>
      </c>
      <c r="E3291" s="1" t="n">
        <v>0.0207</v>
      </c>
      <c r="F3291" s="1" t="n">
        <v>0.0409</v>
      </c>
    </row>
    <row r="3292" customFormat="false" ht="15" hidden="false" customHeight="false" outlineLevel="0" collapsed="false">
      <c r="A3292" s="1" t="s">
        <v>3327</v>
      </c>
      <c r="B3292" s="1" t="s">
        <v>26</v>
      </c>
      <c r="C3292" s="1" t="n">
        <v>864000</v>
      </c>
      <c r="D3292" s="1" t="n">
        <v>4735</v>
      </c>
      <c r="E3292" s="1" t="n">
        <v>0.0394</v>
      </c>
      <c r="F3292" s="1" t="n">
        <v>0.0938</v>
      </c>
    </row>
    <row r="3293" customFormat="false" ht="15" hidden="false" customHeight="false" outlineLevel="0" collapsed="false">
      <c r="A3293" s="1" t="s">
        <v>3328</v>
      </c>
      <c r="B3293" s="1" t="s">
        <v>88</v>
      </c>
      <c r="C3293" s="1" t="n">
        <v>813000</v>
      </c>
      <c r="D3293" s="1" t="n">
        <v>1476.2</v>
      </c>
      <c r="E3293" s="1" t="n">
        <v>0.0216</v>
      </c>
      <c r="F3293" s="1" t="n">
        <v>0.117</v>
      </c>
    </row>
    <row r="3294" customFormat="false" ht="15" hidden="false" customHeight="false" outlineLevel="0" collapsed="false">
      <c r="A3294" s="1" t="s">
        <v>3329</v>
      </c>
      <c r="B3294" s="1" t="s">
        <v>92</v>
      </c>
      <c r="C3294" s="1" t="n">
        <v>892000</v>
      </c>
      <c r="D3294" s="1" t="n">
        <v>1292.6</v>
      </c>
      <c r="E3294" s="1" t="n">
        <v>0.0219</v>
      </c>
      <c r="F3294" s="1" t="n">
        <v>0.0462</v>
      </c>
    </row>
    <row r="3295" customFormat="false" ht="15" hidden="false" customHeight="false" outlineLevel="0" collapsed="false">
      <c r="A3295" s="1" t="s">
        <v>3330</v>
      </c>
      <c r="B3295" s="1" t="s">
        <v>41</v>
      </c>
      <c r="C3295" s="1" t="n">
        <v>2070000</v>
      </c>
      <c r="D3295" s="1" t="n">
        <v>107851.6</v>
      </c>
      <c r="E3295" s="1" t="n">
        <v>0.0086</v>
      </c>
      <c r="F3295" s="1" t="n">
        <v>0.0654</v>
      </c>
    </row>
    <row r="3296" customFormat="false" ht="15" hidden="false" customHeight="false" outlineLevel="0" collapsed="false">
      <c r="A3296" s="1" t="s">
        <v>3331</v>
      </c>
      <c r="B3296" s="1" t="s">
        <v>32</v>
      </c>
      <c r="C3296" s="1" t="n">
        <v>350000</v>
      </c>
      <c r="D3296" s="1" t="n">
        <v>141476</v>
      </c>
      <c r="E3296" s="1" t="n">
        <v>0.0496</v>
      </c>
      <c r="F3296" s="1" t="n">
        <v>0.1243</v>
      </c>
    </row>
    <row r="3297" customFormat="false" ht="15" hidden="false" customHeight="false" outlineLevel="0" collapsed="false">
      <c r="A3297" s="1" t="s">
        <v>3332</v>
      </c>
      <c r="B3297" s="1" t="s">
        <v>24</v>
      </c>
      <c r="C3297" s="1" t="n">
        <v>984000</v>
      </c>
      <c r="D3297" s="1" t="n">
        <v>6729.2</v>
      </c>
      <c r="E3297" s="1" t="n">
        <v>0.0462</v>
      </c>
      <c r="F3297" s="1" t="n">
        <v>0.0938</v>
      </c>
    </row>
    <row r="3298" customFormat="false" ht="15" hidden="false" customHeight="false" outlineLevel="0" collapsed="false">
      <c r="A3298" s="1" t="s">
        <v>3333</v>
      </c>
      <c r="B3298" s="1" t="s">
        <v>24</v>
      </c>
      <c r="C3298" s="1" t="n">
        <v>1730000</v>
      </c>
      <c r="D3298" s="1" t="n">
        <v>85177.2</v>
      </c>
      <c r="E3298" s="1" t="n">
        <v>0.0144</v>
      </c>
      <c r="F3298" s="1" t="n">
        <v>0.0616</v>
      </c>
    </row>
    <row r="3299" customFormat="false" ht="15" hidden="false" customHeight="false" outlineLevel="0" collapsed="false">
      <c r="A3299" s="1" t="s">
        <v>3334</v>
      </c>
      <c r="B3299" s="1" t="s">
        <v>41</v>
      </c>
      <c r="C3299" s="1" t="n">
        <v>1110000</v>
      </c>
      <c r="D3299" s="1" t="n">
        <v>2953.2</v>
      </c>
      <c r="E3299" s="1" t="n">
        <v>0.0201</v>
      </c>
      <c r="F3299" s="1" t="n">
        <v>0.2267</v>
      </c>
    </row>
    <row r="3300" customFormat="false" ht="15" hidden="false" customHeight="false" outlineLevel="0" collapsed="false">
      <c r="A3300" s="1" t="s">
        <v>3335</v>
      </c>
      <c r="B3300" s="1" t="s">
        <v>287</v>
      </c>
      <c r="C3300" s="1" t="n">
        <v>1000000</v>
      </c>
      <c r="D3300" s="1" t="n">
        <v>3839.7</v>
      </c>
      <c r="E3300" s="1" t="n">
        <v>0.0106</v>
      </c>
      <c r="F3300" s="1" t="n">
        <v>0.1406</v>
      </c>
    </row>
    <row r="3301" customFormat="false" ht="15" hidden="false" customHeight="false" outlineLevel="0" collapsed="false">
      <c r="A3301" s="1" t="s">
        <v>3336</v>
      </c>
      <c r="B3301" s="1" t="s">
        <v>214</v>
      </c>
      <c r="C3301" s="1" t="n">
        <v>899000</v>
      </c>
      <c r="D3301" s="1" t="n">
        <v>5208.5</v>
      </c>
      <c r="E3301" s="1" t="n">
        <v>0.01</v>
      </c>
      <c r="F3301" s="1" t="n">
        <v>0.1067</v>
      </c>
    </row>
    <row r="3302" customFormat="false" ht="15" hidden="false" customHeight="false" outlineLevel="0" collapsed="false">
      <c r="A3302" s="1" t="s">
        <v>3337</v>
      </c>
      <c r="B3302" s="1" t="s">
        <v>74</v>
      </c>
      <c r="C3302" s="1" t="n">
        <v>1070000</v>
      </c>
      <c r="D3302" s="1" t="n">
        <v>6374.7</v>
      </c>
      <c r="E3302" s="1" t="n">
        <v>0.0526</v>
      </c>
      <c r="F3302" s="1" t="n">
        <v>0.0938</v>
      </c>
    </row>
    <row r="3303" customFormat="false" ht="15" hidden="false" customHeight="false" outlineLevel="0" collapsed="false">
      <c r="A3303" s="1" t="s">
        <v>3338</v>
      </c>
      <c r="B3303" s="1" t="s">
        <v>26</v>
      </c>
      <c r="C3303" s="1" t="n">
        <v>859000</v>
      </c>
      <c r="D3303" s="1" t="n">
        <v>111190.1</v>
      </c>
      <c r="E3303" s="1" t="n">
        <v>0.0723</v>
      </c>
      <c r="F3303" s="1" t="n">
        <v>0.0938</v>
      </c>
    </row>
    <row r="3304" customFormat="false" ht="15" hidden="false" customHeight="false" outlineLevel="0" collapsed="false">
      <c r="A3304" s="1" t="s">
        <v>3339</v>
      </c>
      <c r="B3304" s="1" t="s">
        <v>62</v>
      </c>
      <c r="C3304" s="1" t="n">
        <v>832000</v>
      </c>
      <c r="D3304" s="1" t="n">
        <v>643.2</v>
      </c>
      <c r="E3304" s="1" t="n">
        <v>0.0158</v>
      </c>
      <c r="F3304" s="1" t="n">
        <v>0.0576</v>
      </c>
    </row>
    <row r="3305" customFormat="false" ht="15" hidden="false" customHeight="false" outlineLevel="0" collapsed="false">
      <c r="A3305" s="1" t="s">
        <v>3340</v>
      </c>
      <c r="B3305" s="1" t="s">
        <v>24</v>
      </c>
      <c r="C3305" s="1" t="n">
        <v>1420000</v>
      </c>
      <c r="D3305" s="1" t="n">
        <v>77048.1</v>
      </c>
      <c r="E3305" s="1" t="n">
        <v>0.0345</v>
      </c>
      <c r="F3305" s="1" t="n">
        <v>0.0759</v>
      </c>
    </row>
    <row r="3306" customFormat="false" ht="15" hidden="false" customHeight="false" outlineLevel="0" collapsed="false">
      <c r="A3306" s="1" t="s">
        <v>3341</v>
      </c>
      <c r="B3306" s="1" t="s">
        <v>41</v>
      </c>
      <c r="C3306" s="1" t="n">
        <v>836000</v>
      </c>
      <c r="D3306" s="1" t="n">
        <v>715.9</v>
      </c>
      <c r="E3306" s="1" t="n">
        <v>0.0103</v>
      </c>
      <c r="F3306" s="1" t="n">
        <v>0.1786</v>
      </c>
    </row>
    <row r="3307" customFormat="false" ht="15" hidden="false" customHeight="false" outlineLevel="0" collapsed="false">
      <c r="A3307" s="1" t="s">
        <v>3342</v>
      </c>
      <c r="B3307" s="1" t="s">
        <v>26</v>
      </c>
      <c r="C3307" s="1" t="n">
        <v>1110000</v>
      </c>
      <c r="D3307" s="1" t="n">
        <v>275104.2</v>
      </c>
      <c r="E3307" s="1" t="n">
        <v>0.0503</v>
      </c>
      <c r="F3307" s="1" t="n">
        <v>0.0409</v>
      </c>
    </row>
    <row r="3308" customFormat="false" ht="15" hidden="false" customHeight="false" outlineLevel="0" collapsed="false">
      <c r="A3308" s="1" t="s">
        <v>3343</v>
      </c>
      <c r="B3308" s="1" t="s">
        <v>26</v>
      </c>
      <c r="C3308" s="1" t="n">
        <v>961000</v>
      </c>
      <c r="D3308" s="1" t="n">
        <v>3565.9</v>
      </c>
      <c r="E3308" s="1" t="n">
        <v>0.0434</v>
      </c>
      <c r="F3308" s="1" t="n">
        <v>0.0759</v>
      </c>
    </row>
    <row r="3309" customFormat="false" ht="15" hidden="false" customHeight="false" outlineLevel="0" collapsed="false">
      <c r="A3309" s="1" t="s">
        <v>3344</v>
      </c>
      <c r="B3309" s="1" t="s">
        <v>24</v>
      </c>
      <c r="C3309" s="1" t="n">
        <v>989000</v>
      </c>
      <c r="D3309" s="1" t="n">
        <v>272525.9</v>
      </c>
      <c r="E3309" s="1" t="n">
        <v>0.0269</v>
      </c>
      <c r="F3309" s="1" t="n">
        <v>0.0518</v>
      </c>
    </row>
    <row r="3310" customFormat="false" ht="15" hidden="false" customHeight="false" outlineLevel="0" collapsed="false">
      <c r="A3310" s="1" t="s">
        <v>3345</v>
      </c>
      <c r="B3310" s="1" t="s">
        <v>26</v>
      </c>
      <c r="C3310" s="1" t="n">
        <v>885000</v>
      </c>
      <c r="D3310" s="1" t="n">
        <v>1883.2</v>
      </c>
      <c r="E3310" s="1" t="n">
        <v>0.0062</v>
      </c>
      <c r="F3310" s="1" t="n">
        <v>0.0811</v>
      </c>
    </row>
    <row r="3311" customFormat="false" ht="15" hidden="false" customHeight="false" outlineLevel="0" collapsed="false">
      <c r="A3311" s="1" t="s">
        <v>3346</v>
      </c>
      <c r="B3311" s="1" t="s">
        <v>41</v>
      </c>
      <c r="C3311" s="1" t="n">
        <v>1030000</v>
      </c>
      <c r="D3311" s="1" t="n">
        <v>3214.4</v>
      </c>
      <c r="E3311" s="1" t="n">
        <v>0.0175</v>
      </c>
      <c r="F3311" s="1" t="n">
        <v>0.1053</v>
      </c>
    </row>
    <row r="3312" customFormat="false" ht="15" hidden="false" customHeight="false" outlineLevel="0" collapsed="false">
      <c r="A3312" s="1" t="s">
        <v>3347</v>
      </c>
      <c r="B3312" s="1" t="s">
        <v>214</v>
      </c>
      <c r="C3312" s="1" t="n">
        <v>1840000</v>
      </c>
      <c r="D3312" s="1" t="n">
        <v>83191.5</v>
      </c>
      <c r="E3312" s="1" t="n">
        <v>0.0309</v>
      </c>
      <c r="F3312" s="1" t="n">
        <v>0.0409</v>
      </c>
    </row>
    <row r="3313" customFormat="false" ht="15" hidden="false" customHeight="false" outlineLevel="0" collapsed="false">
      <c r="A3313" s="1" t="s">
        <v>3348</v>
      </c>
      <c r="B3313" s="1" t="s">
        <v>71</v>
      </c>
      <c r="C3313" s="1" t="n">
        <v>1540000</v>
      </c>
      <c r="D3313" s="1" t="n">
        <v>112709.3</v>
      </c>
      <c r="E3313" s="1" t="n">
        <v>0.0679</v>
      </c>
      <c r="F3313" s="1" t="n">
        <v>0.0759</v>
      </c>
    </row>
    <row r="3314" customFormat="false" ht="15" hidden="false" customHeight="false" outlineLevel="0" collapsed="false">
      <c r="A3314" s="1" t="s">
        <v>3349</v>
      </c>
      <c r="B3314" s="1" t="s">
        <v>26</v>
      </c>
      <c r="C3314" s="1" t="n">
        <v>1050000</v>
      </c>
      <c r="D3314" s="1" t="n">
        <v>11830.1</v>
      </c>
      <c r="E3314" s="1" t="n">
        <v>0.0592</v>
      </c>
      <c r="F3314" s="1" t="n">
        <v>0.0759</v>
      </c>
    </row>
    <row r="3315" customFormat="false" ht="15" hidden="false" customHeight="false" outlineLevel="0" collapsed="false">
      <c r="A3315" s="1" t="s">
        <v>3350</v>
      </c>
      <c r="B3315" s="1" t="s">
        <v>92</v>
      </c>
      <c r="C3315" s="1" t="n">
        <v>1170000</v>
      </c>
      <c r="D3315" s="1" t="n">
        <v>136643.3</v>
      </c>
      <c r="E3315" s="1" t="n">
        <v>0.0151</v>
      </c>
      <c r="F3315" s="1" t="n">
        <v>0.0576</v>
      </c>
    </row>
    <row r="3316" customFormat="false" ht="15" hidden="false" customHeight="false" outlineLevel="0" collapsed="false">
      <c r="A3316" s="1" t="s">
        <v>3351</v>
      </c>
      <c r="B3316" s="1" t="s">
        <v>26</v>
      </c>
      <c r="C3316" s="1" t="n">
        <v>1570000</v>
      </c>
      <c r="D3316" s="1" t="n">
        <v>140566.6</v>
      </c>
      <c r="E3316" s="1" t="n">
        <v>0.0647</v>
      </c>
      <c r="F3316" s="1" t="n">
        <v>0.0938</v>
      </c>
    </row>
    <row r="3317" customFormat="false" ht="15" hidden="false" customHeight="false" outlineLevel="0" collapsed="false">
      <c r="A3317" s="1" t="s">
        <v>3352</v>
      </c>
      <c r="B3317" s="1" t="s">
        <v>26</v>
      </c>
      <c r="C3317" s="1" t="n">
        <v>2790000</v>
      </c>
      <c r="D3317" s="1" t="n">
        <v>292999.7</v>
      </c>
      <c r="E3317" s="1" t="n">
        <v>0.0127</v>
      </c>
      <c r="F3317" s="1" t="n">
        <v>0.0576</v>
      </c>
    </row>
    <row r="3318" customFormat="false" ht="15" hidden="false" customHeight="false" outlineLevel="0" collapsed="false">
      <c r="A3318" s="1" t="s">
        <v>3353</v>
      </c>
      <c r="B3318" s="1" t="s">
        <v>32</v>
      </c>
      <c r="C3318" s="1" t="n">
        <v>892000</v>
      </c>
      <c r="D3318" s="1" t="n">
        <v>605.6</v>
      </c>
      <c r="E3318" s="1" t="n">
        <v>0.0213</v>
      </c>
      <c r="F3318" s="1" t="n">
        <v>0.0951</v>
      </c>
    </row>
    <row r="3319" customFormat="false" ht="15" hidden="false" customHeight="false" outlineLevel="0" collapsed="false">
      <c r="A3319" s="1" t="s">
        <v>3354</v>
      </c>
      <c r="B3319" s="1" t="s">
        <v>26</v>
      </c>
      <c r="C3319" s="1" t="n">
        <v>504000</v>
      </c>
      <c r="D3319" s="1" t="n">
        <v>31260.7</v>
      </c>
      <c r="E3319" s="1" t="n">
        <v>0.0824</v>
      </c>
      <c r="F3319" s="1" t="n">
        <v>0.0951</v>
      </c>
    </row>
    <row r="3320" customFormat="false" ht="15" hidden="false" customHeight="false" outlineLevel="0" collapsed="false">
      <c r="A3320" s="1" t="s">
        <v>3355</v>
      </c>
      <c r="B3320" s="1" t="s">
        <v>50</v>
      </c>
      <c r="C3320" s="1" t="n">
        <v>2020000</v>
      </c>
      <c r="D3320" s="1" t="n">
        <v>433231</v>
      </c>
      <c r="E3320" s="1" t="n">
        <v>0.0353</v>
      </c>
      <c r="F3320" s="1" t="n">
        <v>0.0759</v>
      </c>
    </row>
    <row r="3321" customFormat="false" ht="15" hidden="false" customHeight="false" outlineLevel="0" collapsed="false">
      <c r="A3321" s="1" t="s">
        <v>3356</v>
      </c>
      <c r="B3321" s="1" t="s">
        <v>24</v>
      </c>
      <c r="C3321" s="1" t="n">
        <v>975000</v>
      </c>
      <c r="D3321" s="1" t="n">
        <v>9236.4</v>
      </c>
      <c r="E3321" s="1" t="n">
        <v>0.0203</v>
      </c>
      <c r="F3321" s="1" t="n">
        <v>0.051</v>
      </c>
    </row>
    <row r="3322" customFormat="false" ht="15" hidden="false" customHeight="false" outlineLevel="0" collapsed="false">
      <c r="A3322" s="1" t="s">
        <v>3357</v>
      </c>
      <c r="B3322" s="1" t="s">
        <v>26</v>
      </c>
      <c r="C3322" s="1" t="n">
        <v>883000</v>
      </c>
      <c r="D3322" s="1" t="n">
        <v>63270.9</v>
      </c>
      <c r="F3322" s="1" t="n">
        <v>0.0409</v>
      </c>
    </row>
    <row r="3323" customFormat="false" ht="15" hidden="false" customHeight="false" outlineLevel="0" collapsed="false">
      <c r="A3323" s="1" t="s">
        <v>3358</v>
      </c>
      <c r="B3323" s="1" t="s">
        <v>28</v>
      </c>
      <c r="C3323" s="1" t="n">
        <v>1290000</v>
      </c>
      <c r="D3323" s="1" t="n">
        <v>26712.1</v>
      </c>
      <c r="E3323" s="1" t="n">
        <v>0.0114</v>
      </c>
      <c r="F3323" s="1" t="n">
        <v>0.0584</v>
      </c>
    </row>
    <row r="3324" customFormat="false" ht="15" hidden="false" customHeight="false" outlineLevel="0" collapsed="false">
      <c r="A3324" s="1" t="s">
        <v>3359</v>
      </c>
      <c r="B3324" s="1" t="s">
        <v>26</v>
      </c>
      <c r="C3324" s="1" t="n">
        <v>1030000</v>
      </c>
      <c r="D3324" s="1" t="n">
        <v>1492</v>
      </c>
      <c r="E3324" s="1" t="n">
        <v>0.1661</v>
      </c>
      <c r="F3324" s="1" t="n">
        <v>0.1377</v>
      </c>
    </row>
    <row r="3325" customFormat="false" ht="15" hidden="false" customHeight="false" outlineLevel="0" collapsed="false">
      <c r="A3325" s="1" t="s">
        <v>3360</v>
      </c>
      <c r="B3325" s="1" t="s">
        <v>30</v>
      </c>
      <c r="C3325" s="1" t="n">
        <v>960000</v>
      </c>
      <c r="D3325" s="1" t="n">
        <v>514172.4</v>
      </c>
      <c r="E3325" s="1" t="n">
        <v>0.0192</v>
      </c>
      <c r="F3325" s="1" t="n">
        <v>0.0462</v>
      </c>
    </row>
    <row r="3326" customFormat="false" ht="15" hidden="false" customHeight="false" outlineLevel="0" collapsed="false">
      <c r="A3326" s="1" t="s">
        <v>3361</v>
      </c>
      <c r="B3326" s="1" t="s">
        <v>92</v>
      </c>
      <c r="C3326" s="1" t="n">
        <v>1200000</v>
      </c>
      <c r="D3326" s="1" t="n">
        <v>22606.8</v>
      </c>
      <c r="E3326" s="1" t="n">
        <v>0.0233</v>
      </c>
      <c r="F3326" s="1" t="n">
        <v>0.0412</v>
      </c>
    </row>
    <row r="3327" customFormat="false" ht="15" hidden="false" customHeight="false" outlineLevel="0" collapsed="false">
      <c r="A3327" s="1" t="s">
        <v>3362</v>
      </c>
      <c r="B3327" s="1" t="s">
        <v>50</v>
      </c>
      <c r="C3327" s="1" t="n">
        <v>1040000</v>
      </c>
      <c r="D3327" s="1" t="n">
        <v>58777.4</v>
      </c>
      <c r="E3327" s="1" t="n">
        <v>0.0353</v>
      </c>
      <c r="F3327" s="1" t="n">
        <v>0.0759</v>
      </c>
    </row>
    <row r="3328" customFormat="false" ht="15" hidden="false" customHeight="false" outlineLevel="0" collapsed="false">
      <c r="A3328" s="1" t="s">
        <v>3363</v>
      </c>
      <c r="B3328" s="1" t="s">
        <v>88</v>
      </c>
      <c r="C3328" s="1" t="n">
        <v>913000</v>
      </c>
      <c r="D3328" s="1" t="n">
        <v>1161.1</v>
      </c>
      <c r="E3328" s="1" t="n">
        <v>0.0497</v>
      </c>
      <c r="F3328" s="1" t="n">
        <v>0.0938</v>
      </c>
    </row>
    <row r="3329" customFormat="false" ht="15" hidden="false" customHeight="false" outlineLevel="0" collapsed="false">
      <c r="A3329" s="1" t="s">
        <v>3364</v>
      </c>
      <c r="B3329" s="1" t="s">
        <v>21</v>
      </c>
      <c r="C3329" s="1" t="n">
        <v>1640000</v>
      </c>
      <c r="D3329" s="1" t="n">
        <v>19486</v>
      </c>
      <c r="E3329" s="1" t="n">
        <v>0.0492</v>
      </c>
      <c r="F3329" s="1" t="n">
        <v>0.0938</v>
      </c>
    </row>
    <row r="3330" customFormat="false" ht="15" hidden="false" customHeight="false" outlineLevel="0" collapsed="false">
      <c r="A3330" s="1" t="s">
        <v>3365</v>
      </c>
      <c r="B3330" s="1" t="s">
        <v>26</v>
      </c>
      <c r="C3330" s="1" t="n">
        <v>782000</v>
      </c>
      <c r="D3330" s="1" t="n">
        <v>1069766.3</v>
      </c>
      <c r="E3330" s="1" t="n">
        <v>0.1058</v>
      </c>
      <c r="F3330" s="1" t="n">
        <v>0.0951</v>
      </c>
    </row>
    <row r="3331" customFormat="false" ht="15" hidden="false" customHeight="false" outlineLevel="0" collapsed="false">
      <c r="A3331" s="1" t="s">
        <v>3366</v>
      </c>
      <c r="B3331" s="1" t="s">
        <v>41</v>
      </c>
      <c r="C3331" s="1" t="n">
        <v>946000</v>
      </c>
      <c r="D3331" s="1" t="n">
        <v>4194.5</v>
      </c>
      <c r="E3331" s="1" t="n">
        <v>0.0229</v>
      </c>
      <c r="F3331" s="1" t="n">
        <v>0.0725</v>
      </c>
    </row>
    <row r="3332" customFormat="false" ht="15" hidden="false" customHeight="false" outlineLevel="0" collapsed="false">
      <c r="A3332" s="1" t="s">
        <v>3367</v>
      </c>
      <c r="B3332" s="1" t="s">
        <v>74</v>
      </c>
      <c r="C3332" s="1" t="n">
        <v>458000</v>
      </c>
      <c r="D3332" s="1" t="n">
        <v>876772.2</v>
      </c>
      <c r="E3332" s="1" t="n">
        <v>0.0409</v>
      </c>
      <c r="F3332" s="1" t="n">
        <v>0.0687</v>
      </c>
    </row>
    <row r="3333" customFormat="false" ht="15" hidden="false" customHeight="false" outlineLevel="0" collapsed="false">
      <c r="A3333" s="1" t="s">
        <v>3368</v>
      </c>
      <c r="B3333" s="1" t="s">
        <v>26</v>
      </c>
      <c r="C3333" s="1" t="n">
        <v>1240000</v>
      </c>
      <c r="D3333" s="1" t="n">
        <v>12242.6</v>
      </c>
      <c r="F3333" s="1" t="n">
        <v>0.0759</v>
      </c>
    </row>
    <row r="3334" customFormat="false" ht="15" hidden="false" customHeight="false" outlineLevel="0" collapsed="false">
      <c r="A3334" s="1" t="s">
        <v>3369</v>
      </c>
      <c r="B3334" s="1" t="s">
        <v>26</v>
      </c>
      <c r="C3334" s="1" t="n">
        <v>840000</v>
      </c>
      <c r="D3334" s="1" t="n">
        <v>11680.9</v>
      </c>
      <c r="E3334" s="1" t="n">
        <v>0.0182</v>
      </c>
      <c r="F3334" s="1" t="n">
        <v>0.0854</v>
      </c>
    </row>
    <row r="3335" customFormat="false" ht="15" hidden="false" customHeight="false" outlineLevel="0" collapsed="false">
      <c r="A3335" s="1" t="s">
        <v>3370</v>
      </c>
      <c r="B3335" s="1" t="s">
        <v>26</v>
      </c>
      <c r="C3335" s="1" t="n">
        <v>853000</v>
      </c>
      <c r="D3335" s="1" t="n">
        <v>2982</v>
      </c>
      <c r="E3335" s="1" t="n">
        <v>0.0218</v>
      </c>
      <c r="F3335" s="1" t="n">
        <v>0.0951</v>
      </c>
    </row>
    <row r="3336" customFormat="false" ht="15" hidden="false" customHeight="false" outlineLevel="0" collapsed="false">
      <c r="A3336" s="1" t="s">
        <v>3371</v>
      </c>
      <c r="B3336" s="1" t="s">
        <v>195</v>
      </c>
      <c r="C3336" s="1" t="n">
        <v>832000</v>
      </c>
      <c r="D3336" s="1" t="n">
        <v>6588.8</v>
      </c>
      <c r="E3336" s="1" t="n">
        <v>0.018</v>
      </c>
      <c r="F3336" s="1" t="n">
        <v>0.0757</v>
      </c>
    </row>
    <row r="3337" customFormat="false" ht="15" hidden="false" customHeight="false" outlineLevel="0" collapsed="false">
      <c r="A3337" s="1" t="s">
        <v>3372</v>
      </c>
      <c r="B3337" s="1" t="s">
        <v>30</v>
      </c>
      <c r="C3337" s="1" t="n">
        <v>1500000</v>
      </c>
      <c r="D3337" s="1" t="n">
        <v>518371.1</v>
      </c>
      <c r="E3337" s="1" t="n">
        <v>0.0275</v>
      </c>
      <c r="F3337" s="1" t="n">
        <v>0.0409</v>
      </c>
    </row>
    <row r="3338" customFormat="false" ht="15" hidden="false" customHeight="false" outlineLevel="0" collapsed="false">
      <c r="A3338" s="1" t="s">
        <v>3373</v>
      </c>
      <c r="B3338" s="1" t="s">
        <v>195</v>
      </c>
      <c r="C3338" s="1" t="n">
        <v>1770000</v>
      </c>
      <c r="D3338" s="1" t="n">
        <v>23451</v>
      </c>
      <c r="E3338" s="1" t="n">
        <v>0.0196</v>
      </c>
      <c r="F3338" s="1" t="n">
        <v>0.0735</v>
      </c>
    </row>
    <row r="3339" customFormat="false" ht="15" hidden="false" customHeight="false" outlineLevel="0" collapsed="false">
      <c r="A3339" s="1" t="s">
        <v>3374</v>
      </c>
      <c r="B3339" s="1" t="s">
        <v>26</v>
      </c>
      <c r="C3339" s="1" t="n">
        <v>1580000</v>
      </c>
      <c r="D3339" s="1" t="n">
        <v>1769937.4</v>
      </c>
      <c r="E3339" s="1" t="n">
        <v>0.0096</v>
      </c>
      <c r="F3339" s="1" t="n">
        <v>0.0654</v>
      </c>
    </row>
    <row r="3340" customFormat="false" ht="15" hidden="false" customHeight="false" outlineLevel="0" collapsed="false">
      <c r="A3340" s="1" t="s">
        <v>3375</v>
      </c>
      <c r="B3340" s="1" t="s">
        <v>88</v>
      </c>
      <c r="C3340" s="1" t="n">
        <v>989000</v>
      </c>
      <c r="D3340" s="1" t="n">
        <v>338.8</v>
      </c>
      <c r="E3340" s="1" t="n">
        <v>0.0164</v>
      </c>
      <c r="F3340" s="1" t="n">
        <v>0.0576</v>
      </c>
    </row>
    <row r="3341" customFormat="false" ht="15" hidden="false" customHeight="false" outlineLevel="0" collapsed="false">
      <c r="A3341" s="1" t="s">
        <v>3376</v>
      </c>
      <c r="B3341" s="1" t="s">
        <v>26</v>
      </c>
      <c r="C3341" s="1" t="n">
        <v>939000</v>
      </c>
      <c r="D3341" s="1" t="n">
        <v>20390.5</v>
      </c>
      <c r="E3341" s="1" t="n">
        <v>0.0117</v>
      </c>
      <c r="F3341" s="1" t="n">
        <v>0.0736</v>
      </c>
    </row>
    <row r="3342" customFormat="false" ht="15" hidden="false" customHeight="false" outlineLevel="0" collapsed="false">
      <c r="A3342" s="1" t="s">
        <v>3377</v>
      </c>
      <c r="B3342" s="1" t="s">
        <v>92</v>
      </c>
      <c r="C3342" s="1" t="n">
        <v>1010000</v>
      </c>
      <c r="D3342" s="1" t="n">
        <v>19464.4</v>
      </c>
      <c r="E3342" s="1" t="n">
        <v>0.0164</v>
      </c>
      <c r="F3342" s="1" t="n">
        <v>0.0576</v>
      </c>
    </row>
    <row r="3343" customFormat="false" ht="15" hidden="false" customHeight="false" outlineLevel="0" collapsed="false">
      <c r="A3343" s="1" t="s">
        <v>3378</v>
      </c>
      <c r="B3343" s="1" t="s">
        <v>71</v>
      </c>
      <c r="C3343" s="1" t="n">
        <v>847000</v>
      </c>
      <c r="D3343" s="1" t="n">
        <v>38974.4</v>
      </c>
      <c r="E3343" s="1" t="n">
        <v>0.0076</v>
      </c>
      <c r="F3343" s="1" t="n">
        <v>0.0822</v>
      </c>
    </row>
    <row r="3344" customFormat="false" ht="15" hidden="false" customHeight="false" outlineLevel="0" collapsed="false">
      <c r="A3344" s="1" t="s">
        <v>3379</v>
      </c>
      <c r="B3344" s="1" t="s">
        <v>53</v>
      </c>
      <c r="C3344" s="1" t="n">
        <v>773000</v>
      </c>
      <c r="D3344" s="1" t="n">
        <v>1497.7</v>
      </c>
      <c r="E3344" s="1" t="n">
        <v>0.015</v>
      </c>
      <c r="F3344" s="1" t="n">
        <v>0.1168</v>
      </c>
    </row>
    <row r="3345" customFormat="false" ht="15" hidden="false" customHeight="false" outlineLevel="0" collapsed="false">
      <c r="A3345" s="1" t="s">
        <v>3380</v>
      </c>
      <c r="B3345" s="1" t="s">
        <v>92</v>
      </c>
      <c r="C3345" s="1" t="n">
        <v>1040000</v>
      </c>
      <c r="D3345" s="1" t="n">
        <v>16314.4</v>
      </c>
      <c r="E3345" s="1" t="n">
        <v>0.0111</v>
      </c>
      <c r="F3345" s="1" t="n">
        <v>0.0811</v>
      </c>
    </row>
    <row r="3346" customFormat="false" ht="15" hidden="false" customHeight="false" outlineLevel="0" collapsed="false">
      <c r="A3346" s="1" t="s">
        <v>3381</v>
      </c>
      <c r="B3346" s="1" t="s">
        <v>26</v>
      </c>
      <c r="C3346" s="1" t="n">
        <v>1050000</v>
      </c>
      <c r="D3346" s="1" t="n">
        <v>261223.6</v>
      </c>
      <c r="E3346" s="1" t="n">
        <v>0.017</v>
      </c>
      <c r="F3346" s="1" t="n">
        <v>0.0462</v>
      </c>
    </row>
    <row r="3347" customFormat="false" ht="15" hidden="false" customHeight="false" outlineLevel="0" collapsed="false">
      <c r="A3347" s="1" t="s">
        <v>3382</v>
      </c>
      <c r="B3347" s="1" t="s">
        <v>41</v>
      </c>
      <c r="C3347" s="1" t="n">
        <v>1010000</v>
      </c>
      <c r="D3347" s="1" t="n">
        <v>1054.3</v>
      </c>
      <c r="E3347" s="1" t="n">
        <v>0.0145</v>
      </c>
      <c r="F3347" s="1" t="n">
        <v>0.0576</v>
      </c>
    </row>
    <row r="3348" customFormat="false" ht="15" hidden="false" customHeight="false" outlineLevel="0" collapsed="false">
      <c r="A3348" s="1" t="s">
        <v>3383</v>
      </c>
      <c r="B3348" s="1" t="s">
        <v>26</v>
      </c>
      <c r="C3348" s="1" t="n">
        <v>920000</v>
      </c>
      <c r="D3348" s="1" t="n">
        <v>43389.4</v>
      </c>
      <c r="E3348" s="1" t="n">
        <v>0.0337</v>
      </c>
      <c r="F3348" s="1" t="n">
        <v>0.0938</v>
      </c>
    </row>
    <row r="3349" customFormat="false" ht="15" hidden="false" customHeight="false" outlineLevel="0" collapsed="false">
      <c r="A3349" s="1" t="s">
        <v>3384</v>
      </c>
      <c r="B3349" s="1" t="s">
        <v>53</v>
      </c>
      <c r="C3349" s="1" t="n">
        <v>1200000</v>
      </c>
      <c r="D3349" s="1" t="n">
        <v>480702.8</v>
      </c>
      <c r="E3349" s="1" t="n">
        <v>0.0554</v>
      </c>
      <c r="F3349" s="1" t="n">
        <v>0.0759</v>
      </c>
    </row>
    <row r="3350" customFormat="false" ht="15" hidden="false" customHeight="false" outlineLevel="0" collapsed="false">
      <c r="A3350" s="1" t="s">
        <v>3385</v>
      </c>
      <c r="B3350" s="1" t="s">
        <v>214</v>
      </c>
      <c r="C3350" s="1" t="n">
        <v>890000</v>
      </c>
      <c r="D3350" s="1" t="n">
        <v>8973.5</v>
      </c>
      <c r="E3350" s="1" t="n">
        <v>0.0241</v>
      </c>
      <c r="F3350" s="1" t="n">
        <v>0.0409</v>
      </c>
    </row>
    <row r="3351" customFormat="false" ht="15" hidden="false" customHeight="false" outlineLevel="0" collapsed="false">
      <c r="A3351" s="1" t="s">
        <v>3386</v>
      </c>
      <c r="B3351" s="1" t="s">
        <v>26</v>
      </c>
      <c r="C3351" s="1" t="n">
        <v>889000</v>
      </c>
      <c r="D3351" s="1" t="n">
        <v>66696.1</v>
      </c>
      <c r="E3351" s="1" t="n">
        <v>0.0343</v>
      </c>
      <c r="F3351" s="1" t="n">
        <v>0.0759</v>
      </c>
    </row>
    <row r="3352" customFormat="false" ht="15" hidden="false" customHeight="false" outlineLevel="0" collapsed="false">
      <c r="A3352" s="1" t="s">
        <v>3387</v>
      </c>
      <c r="B3352" s="1" t="s">
        <v>26</v>
      </c>
      <c r="C3352" s="1" t="n">
        <v>887000</v>
      </c>
      <c r="D3352" s="1" t="n">
        <v>1167937.6</v>
      </c>
      <c r="E3352" s="1" t="n">
        <v>0.0249</v>
      </c>
      <c r="F3352" s="1" t="n">
        <v>0.171</v>
      </c>
    </row>
    <row r="3353" customFormat="false" ht="15" hidden="false" customHeight="false" outlineLevel="0" collapsed="false">
      <c r="A3353" s="1" t="s">
        <v>3388</v>
      </c>
      <c r="B3353" s="1" t="s">
        <v>26</v>
      </c>
      <c r="C3353" s="1" t="n">
        <v>313000</v>
      </c>
      <c r="D3353" s="1" t="n">
        <v>13850.1</v>
      </c>
      <c r="E3353" s="1" t="n">
        <v>0.016</v>
      </c>
      <c r="F3353" s="1" t="n">
        <v>0.2294</v>
      </c>
    </row>
    <row r="3354" customFormat="false" ht="15" hidden="false" customHeight="false" outlineLevel="0" collapsed="false">
      <c r="A3354" s="1" t="s">
        <v>3389</v>
      </c>
      <c r="B3354" s="1" t="s">
        <v>41</v>
      </c>
      <c r="C3354" s="1" t="n">
        <v>2210000</v>
      </c>
      <c r="D3354" s="1" t="n">
        <v>137.9</v>
      </c>
      <c r="E3354" s="1" t="n">
        <v>0.0018</v>
      </c>
      <c r="F3354" s="1" t="n">
        <v>0.2095</v>
      </c>
    </row>
    <row r="3355" customFormat="false" ht="15" hidden="false" customHeight="false" outlineLevel="0" collapsed="false">
      <c r="A3355" s="1" t="s">
        <v>3390</v>
      </c>
      <c r="B3355" s="1" t="s">
        <v>24</v>
      </c>
      <c r="C3355" s="1" t="n">
        <v>1160000</v>
      </c>
      <c r="D3355" s="1" t="n">
        <v>18257.3</v>
      </c>
      <c r="E3355" s="1" t="n">
        <v>0.0355</v>
      </c>
      <c r="F3355" s="1" t="n">
        <v>0.0938</v>
      </c>
    </row>
    <row r="3356" customFormat="false" ht="15" hidden="false" customHeight="false" outlineLevel="0" collapsed="false">
      <c r="A3356" s="1" t="s">
        <v>3391</v>
      </c>
      <c r="B3356" s="1" t="s">
        <v>74</v>
      </c>
      <c r="C3356" s="1" t="n">
        <v>898000</v>
      </c>
      <c r="D3356" s="1" t="n">
        <v>1376</v>
      </c>
      <c r="E3356" s="1" t="n">
        <v>0.0457</v>
      </c>
      <c r="F3356" s="1" t="n">
        <v>0.0759</v>
      </c>
    </row>
    <row r="3357" customFormat="false" ht="15" hidden="false" customHeight="false" outlineLevel="0" collapsed="false">
      <c r="A3357" s="1" t="s">
        <v>3392</v>
      </c>
      <c r="B3357" s="1" t="s">
        <v>287</v>
      </c>
      <c r="C3357" s="1" t="n">
        <v>864000</v>
      </c>
      <c r="D3357" s="1" t="n">
        <v>14227.9</v>
      </c>
      <c r="E3357" s="1" t="n">
        <v>0.0293</v>
      </c>
      <c r="F3357" s="1" t="n">
        <v>0.0998</v>
      </c>
    </row>
    <row r="3358" customFormat="false" ht="15" hidden="false" customHeight="false" outlineLevel="0" collapsed="false">
      <c r="A3358" s="1" t="s">
        <v>3393</v>
      </c>
      <c r="B3358" s="1" t="s">
        <v>287</v>
      </c>
      <c r="C3358" s="1" t="n">
        <v>1070000</v>
      </c>
      <c r="D3358" s="1" t="n">
        <v>23139.6</v>
      </c>
      <c r="E3358" s="1" t="n">
        <v>0.0152</v>
      </c>
      <c r="F3358" s="1" t="n">
        <v>0.0854</v>
      </c>
    </row>
    <row r="3359" customFormat="false" ht="15" hidden="false" customHeight="false" outlineLevel="0" collapsed="false">
      <c r="A3359" s="1" t="s">
        <v>3394</v>
      </c>
      <c r="B3359" s="1" t="s">
        <v>26</v>
      </c>
      <c r="C3359" s="1" t="n">
        <v>903000</v>
      </c>
      <c r="D3359" s="1" t="n">
        <v>8173.2</v>
      </c>
      <c r="E3359" s="1" t="n">
        <v>0.0116</v>
      </c>
      <c r="F3359" s="1" t="n">
        <v>0.0576</v>
      </c>
    </row>
    <row r="3360" customFormat="false" ht="15" hidden="false" customHeight="false" outlineLevel="0" collapsed="false">
      <c r="A3360" s="1" t="s">
        <v>3395</v>
      </c>
      <c r="B3360" s="1" t="s">
        <v>26</v>
      </c>
      <c r="C3360" s="1" t="n">
        <v>913000</v>
      </c>
      <c r="D3360" s="1" t="n">
        <v>129026.6</v>
      </c>
      <c r="E3360" s="1" t="n">
        <v>0.0284</v>
      </c>
      <c r="F3360" s="1" t="n">
        <v>0.0518</v>
      </c>
    </row>
    <row r="3361" customFormat="false" ht="15" hidden="false" customHeight="false" outlineLevel="0" collapsed="false">
      <c r="A3361" s="1" t="s">
        <v>3396</v>
      </c>
      <c r="B3361" s="1" t="s">
        <v>50</v>
      </c>
      <c r="C3361" s="1" t="n">
        <v>963000</v>
      </c>
      <c r="D3361" s="1" t="n">
        <v>57389</v>
      </c>
      <c r="E3361" s="1" t="n">
        <v>0.0802</v>
      </c>
      <c r="F3361" s="1" t="n">
        <v>0.0938</v>
      </c>
    </row>
    <row r="3362" customFormat="false" ht="15" hidden="false" customHeight="false" outlineLevel="0" collapsed="false">
      <c r="A3362" s="1" t="s">
        <v>3397</v>
      </c>
      <c r="B3362" s="1" t="s">
        <v>24</v>
      </c>
      <c r="C3362" s="1" t="n">
        <v>857000</v>
      </c>
      <c r="D3362" s="1" t="n">
        <v>206304</v>
      </c>
      <c r="E3362" s="1" t="n">
        <v>0.0099</v>
      </c>
      <c r="F3362" s="1" t="n">
        <v>0.0822</v>
      </c>
    </row>
    <row r="3363" customFormat="false" ht="15" hidden="false" customHeight="false" outlineLevel="0" collapsed="false">
      <c r="A3363" s="1" t="s">
        <v>3398</v>
      </c>
      <c r="B3363" s="1" t="s">
        <v>214</v>
      </c>
      <c r="C3363" s="1" t="n">
        <v>916000</v>
      </c>
      <c r="D3363" s="1" t="n">
        <v>18806.2</v>
      </c>
      <c r="F3363" s="1" t="n">
        <v>0.0432</v>
      </c>
    </row>
    <row r="3364" customFormat="false" ht="15" hidden="false" customHeight="false" outlineLevel="0" collapsed="false">
      <c r="A3364" s="1" t="s">
        <v>3399</v>
      </c>
      <c r="B3364" s="1" t="s">
        <v>26</v>
      </c>
      <c r="C3364" s="1" t="n">
        <v>383000</v>
      </c>
      <c r="D3364" s="1" t="n">
        <v>19371.4</v>
      </c>
      <c r="E3364" s="1" t="n">
        <v>0.0422</v>
      </c>
      <c r="F3364" s="1" t="n">
        <v>0.0759</v>
      </c>
    </row>
    <row r="3365" customFormat="false" ht="15" hidden="false" customHeight="false" outlineLevel="0" collapsed="false">
      <c r="A3365" s="1" t="s">
        <v>3400</v>
      </c>
      <c r="B3365" s="1" t="s">
        <v>24</v>
      </c>
      <c r="C3365" s="1" t="n">
        <v>2030000</v>
      </c>
      <c r="D3365" s="1" t="n">
        <v>52805.4</v>
      </c>
      <c r="E3365" s="1" t="n">
        <v>0.0082</v>
      </c>
      <c r="F3365" s="1" t="n">
        <v>0.0654</v>
      </c>
    </row>
    <row r="3366" customFormat="false" ht="15" hidden="false" customHeight="false" outlineLevel="0" collapsed="false">
      <c r="A3366" s="1" t="s">
        <v>3401</v>
      </c>
      <c r="B3366" s="1" t="s">
        <v>92</v>
      </c>
      <c r="C3366" s="1" t="n">
        <v>1150000</v>
      </c>
      <c r="D3366" s="1" t="n">
        <v>54838.6</v>
      </c>
      <c r="E3366" s="1" t="n">
        <v>0.0102</v>
      </c>
      <c r="F3366" s="1" t="n">
        <v>0.0822</v>
      </c>
    </row>
    <row r="3367" customFormat="false" ht="15" hidden="false" customHeight="false" outlineLevel="0" collapsed="false">
      <c r="A3367" s="1" t="s">
        <v>3402</v>
      </c>
      <c r="B3367" s="1" t="s">
        <v>92</v>
      </c>
      <c r="C3367" s="1" t="n">
        <v>862000</v>
      </c>
      <c r="D3367" s="1" t="n">
        <v>47678.1</v>
      </c>
      <c r="E3367" s="1" t="n">
        <v>0.0395</v>
      </c>
      <c r="F3367" s="1" t="n">
        <v>0.0518</v>
      </c>
    </row>
    <row r="3368" customFormat="false" ht="15" hidden="false" customHeight="false" outlineLevel="0" collapsed="false">
      <c r="A3368" s="1" t="s">
        <v>3403</v>
      </c>
      <c r="B3368" s="1" t="s">
        <v>214</v>
      </c>
      <c r="C3368" s="1" t="n">
        <v>1140000</v>
      </c>
      <c r="D3368" s="1" t="n">
        <v>6794.1</v>
      </c>
      <c r="E3368" s="1" t="n">
        <v>0.0164</v>
      </c>
      <c r="F3368" s="1" t="n">
        <v>0.1176</v>
      </c>
    </row>
    <row r="3369" customFormat="false" ht="15" hidden="false" customHeight="false" outlineLevel="0" collapsed="false">
      <c r="A3369" s="1" t="s">
        <v>3404</v>
      </c>
      <c r="B3369" s="1" t="s">
        <v>81</v>
      </c>
      <c r="C3369" s="1" t="n">
        <v>877000</v>
      </c>
      <c r="D3369" s="1" t="n">
        <v>8831.1</v>
      </c>
      <c r="E3369" s="1" t="n">
        <v>0.0266</v>
      </c>
      <c r="F3369" s="1" t="n">
        <v>0.0759</v>
      </c>
    </row>
    <row r="3370" customFormat="false" ht="15" hidden="false" customHeight="false" outlineLevel="0" collapsed="false">
      <c r="A3370" s="1" t="s">
        <v>3405</v>
      </c>
      <c r="B3370" s="1" t="s">
        <v>41</v>
      </c>
      <c r="C3370" s="1" t="n">
        <v>962000</v>
      </c>
      <c r="D3370" s="1" t="n">
        <v>60652.1</v>
      </c>
      <c r="E3370" s="1" t="n">
        <v>0.0457</v>
      </c>
      <c r="F3370" s="1" t="n">
        <v>0.0938</v>
      </c>
    </row>
    <row r="3371" customFormat="false" ht="15" hidden="false" customHeight="false" outlineLevel="0" collapsed="false">
      <c r="A3371" s="1" t="s">
        <v>3406</v>
      </c>
      <c r="B3371" s="1" t="s">
        <v>24</v>
      </c>
      <c r="C3371" s="1" t="n">
        <v>1220000</v>
      </c>
      <c r="D3371" s="1" t="n">
        <v>249714.5</v>
      </c>
      <c r="E3371" s="1" t="n">
        <v>0.035</v>
      </c>
      <c r="F3371" s="1" t="n">
        <v>0.0409</v>
      </c>
    </row>
    <row r="3372" customFormat="false" ht="15" hidden="false" customHeight="false" outlineLevel="0" collapsed="false">
      <c r="A3372" s="1" t="s">
        <v>3407</v>
      </c>
      <c r="B3372" s="1" t="s">
        <v>53</v>
      </c>
      <c r="C3372" s="1" t="n">
        <v>1170000</v>
      </c>
      <c r="D3372" s="1" t="n">
        <v>163092.2</v>
      </c>
      <c r="E3372" s="1" t="n">
        <v>0.0408</v>
      </c>
      <c r="F3372" s="1" t="n">
        <v>0.0518</v>
      </c>
    </row>
    <row r="3373" customFormat="false" ht="15" hidden="false" customHeight="false" outlineLevel="0" collapsed="false">
      <c r="A3373" s="1" t="s">
        <v>3408</v>
      </c>
      <c r="B3373" s="1" t="s">
        <v>74</v>
      </c>
      <c r="C3373" s="1" t="n">
        <v>831000</v>
      </c>
      <c r="D3373" s="1" t="n">
        <v>2861185.2</v>
      </c>
      <c r="F3373" s="1" t="n">
        <v>0.117</v>
      </c>
    </row>
    <row r="3374" customFormat="false" ht="15" hidden="false" customHeight="false" outlineLevel="0" collapsed="false">
      <c r="A3374" s="1" t="s">
        <v>3409</v>
      </c>
      <c r="B3374" s="1" t="s">
        <v>41</v>
      </c>
      <c r="C3374" s="1" t="n">
        <v>852000</v>
      </c>
      <c r="D3374" s="1" t="n">
        <v>336.7</v>
      </c>
      <c r="E3374" s="1" t="n">
        <v>0.0173</v>
      </c>
      <c r="F3374" s="1" t="n">
        <v>0.1067</v>
      </c>
    </row>
    <row r="3375" customFormat="false" ht="15" hidden="false" customHeight="false" outlineLevel="0" collapsed="false">
      <c r="A3375" s="1" t="s">
        <v>3410</v>
      </c>
      <c r="B3375" s="1" t="s">
        <v>21</v>
      </c>
      <c r="C3375" s="1" t="n">
        <v>824000</v>
      </c>
      <c r="D3375" s="1" t="n">
        <v>4668.2</v>
      </c>
      <c r="E3375" s="1" t="n">
        <v>0.1134</v>
      </c>
      <c r="F3375" s="1" t="n">
        <v>0.0938</v>
      </c>
    </row>
    <row r="3376" customFormat="false" ht="15" hidden="false" customHeight="false" outlineLevel="0" collapsed="false">
      <c r="A3376" s="1" t="s">
        <v>3411</v>
      </c>
      <c r="B3376" s="1" t="s">
        <v>26</v>
      </c>
      <c r="C3376" s="1" t="n">
        <v>815000</v>
      </c>
      <c r="D3376" s="1" t="n">
        <v>5062</v>
      </c>
      <c r="E3376" s="1" t="n">
        <v>0.0098</v>
      </c>
      <c r="F3376" s="1" t="n">
        <v>0.1471</v>
      </c>
    </row>
    <row r="3377" customFormat="false" ht="15" hidden="false" customHeight="false" outlineLevel="0" collapsed="false">
      <c r="A3377" s="1" t="s">
        <v>3412</v>
      </c>
      <c r="B3377" s="1" t="s">
        <v>26</v>
      </c>
      <c r="C3377" s="1" t="n">
        <v>817000</v>
      </c>
      <c r="D3377" s="1" t="n">
        <v>50289.4</v>
      </c>
      <c r="E3377" s="1" t="n">
        <v>0.0136</v>
      </c>
      <c r="F3377" s="1" t="n">
        <v>0.0822</v>
      </c>
    </row>
    <row r="3378" customFormat="false" ht="15" hidden="false" customHeight="false" outlineLevel="0" collapsed="false">
      <c r="A3378" s="1" t="s">
        <v>3413</v>
      </c>
      <c r="B3378" s="1" t="s">
        <v>71</v>
      </c>
      <c r="C3378" s="1" t="n">
        <v>802000</v>
      </c>
      <c r="D3378" s="1" t="n">
        <v>46090.7</v>
      </c>
      <c r="E3378" s="1" t="n">
        <v>0.043</v>
      </c>
      <c r="F3378" s="1" t="n">
        <v>0.0759</v>
      </c>
    </row>
    <row r="3379" customFormat="false" ht="15" hidden="false" customHeight="false" outlineLevel="0" collapsed="false">
      <c r="A3379" s="1" t="s">
        <v>3414</v>
      </c>
      <c r="B3379" s="1" t="s">
        <v>214</v>
      </c>
      <c r="C3379" s="1" t="n">
        <v>932000</v>
      </c>
      <c r="D3379" s="1" t="n">
        <v>17968.5</v>
      </c>
      <c r="E3379" s="1" t="n">
        <v>0.0357</v>
      </c>
      <c r="F3379" s="1" t="n">
        <v>0.0759</v>
      </c>
    </row>
    <row r="3380" customFormat="false" ht="15" hidden="false" customHeight="false" outlineLevel="0" collapsed="false">
      <c r="A3380" s="1" t="s">
        <v>3415</v>
      </c>
      <c r="B3380" s="1" t="s">
        <v>35</v>
      </c>
      <c r="C3380" s="1" t="n">
        <v>803000</v>
      </c>
      <c r="D3380" s="1" t="n">
        <v>33497.7</v>
      </c>
      <c r="E3380" s="1" t="n">
        <v>0.0172</v>
      </c>
      <c r="F3380" s="1" t="n">
        <v>0.1067</v>
      </c>
    </row>
    <row r="3381" customFormat="false" ht="15" hidden="false" customHeight="false" outlineLevel="0" collapsed="false">
      <c r="A3381" s="1" t="s">
        <v>3416</v>
      </c>
      <c r="B3381" s="1" t="s">
        <v>24</v>
      </c>
      <c r="C3381" s="1" t="n">
        <v>1160000</v>
      </c>
      <c r="D3381" s="1" t="n">
        <v>53215.7</v>
      </c>
      <c r="E3381" s="1" t="n">
        <v>0.0431</v>
      </c>
      <c r="F3381" s="1" t="n">
        <v>0.0938</v>
      </c>
    </row>
    <row r="3382" customFormat="false" ht="15" hidden="false" customHeight="false" outlineLevel="0" collapsed="false">
      <c r="A3382" s="1" t="s">
        <v>3417</v>
      </c>
      <c r="B3382" s="1" t="s">
        <v>88</v>
      </c>
      <c r="C3382" s="1" t="n">
        <v>1020000</v>
      </c>
      <c r="D3382" s="1" t="n">
        <v>238.1</v>
      </c>
      <c r="E3382" s="1" t="n">
        <v>0.0454</v>
      </c>
      <c r="F3382" s="1" t="n">
        <v>0.0938</v>
      </c>
    </row>
    <row r="3383" customFormat="false" ht="15" hidden="false" customHeight="false" outlineLevel="0" collapsed="false">
      <c r="A3383" s="1" t="s">
        <v>3418</v>
      </c>
      <c r="B3383" s="1" t="s">
        <v>88</v>
      </c>
      <c r="C3383" s="1" t="n">
        <v>1030000</v>
      </c>
      <c r="D3383" s="1" t="n">
        <v>1239.8</v>
      </c>
      <c r="E3383" s="1" t="n">
        <v>0.0569</v>
      </c>
      <c r="F3383" s="1" t="n">
        <v>0.0938</v>
      </c>
    </row>
    <row r="3384" customFormat="false" ht="15" hidden="false" customHeight="false" outlineLevel="0" collapsed="false">
      <c r="A3384" s="1" t="s">
        <v>3419</v>
      </c>
      <c r="B3384" s="1" t="s">
        <v>26</v>
      </c>
      <c r="C3384" s="1" t="n">
        <v>814000</v>
      </c>
      <c r="D3384" s="1" t="n">
        <v>26191.7</v>
      </c>
      <c r="E3384" s="1" t="n">
        <v>0.0148</v>
      </c>
      <c r="F3384" s="1" t="n">
        <v>0.095</v>
      </c>
    </row>
    <row r="3385" customFormat="false" ht="15" hidden="false" customHeight="false" outlineLevel="0" collapsed="false">
      <c r="A3385" s="1" t="s">
        <v>3420</v>
      </c>
      <c r="B3385" s="1" t="s">
        <v>41</v>
      </c>
      <c r="C3385" s="1" t="n">
        <v>817000</v>
      </c>
      <c r="D3385" s="1" t="n">
        <v>871518.9</v>
      </c>
      <c r="E3385" s="1" t="n">
        <v>0.0213</v>
      </c>
      <c r="F3385" s="1" t="n">
        <v>0.1067</v>
      </c>
    </row>
    <row r="3386" customFormat="false" ht="15" hidden="false" customHeight="false" outlineLevel="0" collapsed="false">
      <c r="A3386" s="1" t="s">
        <v>3421</v>
      </c>
      <c r="B3386" s="1" t="s">
        <v>26</v>
      </c>
      <c r="C3386" s="1" t="n">
        <v>814000</v>
      </c>
      <c r="D3386" s="1" t="n">
        <v>371170.8</v>
      </c>
      <c r="E3386" s="1" t="n">
        <v>0.0307</v>
      </c>
      <c r="F3386" s="1" t="n">
        <v>0.0998</v>
      </c>
    </row>
    <row r="3387" customFormat="false" ht="15" hidden="false" customHeight="false" outlineLevel="0" collapsed="false">
      <c r="A3387" s="1" t="s">
        <v>3422</v>
      </c>
      <c r="B3387" s="1" t="s">
        <v>88</v>
      </c>
      <c r="C3387" s="1" t="n">
        <v>760000</v>
      </c>
      <c r="D3387" s="1" t="n">
        <v>587.3</v>
      </c>
      <c r="E3387" s="1" t="n">
        <v>0.0202</v>
      </c>
      <c r="F3387" s="1" t="n">
        <v>0.0462</v>
      </c>
    </row>
    <row r="3388" customFormat="false" ht="15" hidden="false" customHeight="false" outlineLevel="0" collapsed="false">
      <c r="A3388" s="1" t="s">
        <v>3423</v>
      </c>
      <c r="B3388" s="1" t="s">
        <v>21</v>
      </c>
      <c r="C3388" s="1" t="n">
        <v>1270000</v>
      </c>
      <c r="D3388" s="1" t="n">
        <v>49218</v>
      </c>
      <c r="E3388" s="1" t="n">
        <v>0.0077</v>
      </c>
      <c r="F3388" s="1" t="n">
        <v>0.0811</v>
      </c>
    </row>
    <row r="3389" customFormat="false" ht="15" hidden="false" customHeight="false" outlineLevel="0" collapsed="false">
      <c r="A3389" s="1" t="s">
        <v>3424</v>
      </c>
      <c r="B3389" s="1" t="s">
        <v>32</v>
      </c>
      <c r="C3389" s="1" t="n">
        <v>1150000</v>
      </c>
      <c r="D3389" s="1" t="n">
        <v>11190.9</v>
      </c>
      <c r="E3389" s="1" t="n">
        <v>0.0206</v>
      </c>
      <c r="F3389" s="1" t="n">
        <v>0.0576</v>
      </c>
    </row>
    <row r="3390" customFormat="false" ht="15" hidden="false" customHeight="false" outlineLevel="0" collapsed="false">
      <c r="A3390" s="1" t="s">
        <v>3425</v>
      </c>
      <c r="B3390" s="1" t="s">
        <v>32</v>
      </c>
      <c r="C3390" s="1" t="n">
        <v>940000</v>
      </c>
      <c r="D3390" s="1" t="n">
        <v>636591.8</v>
      </c>
      <c r="E3390" s="1" t="n">
        <v>0.0064</v>
      </c>
      <c r="F3390" s="1" t="n">
        <v>0.0822</v>
      </c>
    </row>
    <row r="3391" customFormat="false" ht="15" hidden="false" customHeight="false" outlineLevel="0" collapsed="false">
      <c r="A3391" s="1" t="s">
        <v>3426</v>
      </c>
      <c r="B3391" s="1" t="s">
        <v>30</v>
      </c>
      <c r="C3391" s="1" t="n">
        <v>1080000</v>
      </c>
      <c r="D3391" s="1" t="n">
        <v>607659.6</v>
      </c>
      <c r="E3391" s="1" t="n">
        <v>0.0145</v>
      </c>
      <c r="F3391" s="1" t="n">
        <v>0.0585</v>
      </c>
    </row>
    <row r="3392" customFormat="false" ht="15" hidden="false" customHeight="false" outlineLevel="0" collapsed="false">
      <c r="A3392" s="1" t="s">
        <v>3427</v>
      </c>
      <c r="B3392" s="1" t="s">
        <v>26</v>
      </c>
      <c r="C3392" s="1" t="n">
        <v>1590000</v>
      </c>
      <c r="D3392" s="1" t="n">
        <v>6230.1</v>
      </c>
      <c r="F3392" s="1" t="n">
        <v>0.0409</v>
      </c>
    </row>
    <row r="3393" customFormat="false" ht="15" hidden="false" customHeight="false" outlineLevel="0" collapsed="false">
      <c r="A3393" s="1" t="s">
        <v>3428</v>
      </c>
      <c r="B3393" s="1" t="s">
        <v>24</v>
      </c>
      <c r="C3393" s="1" t="n">
        <v>3830000</v>
      </c>
      <c r="D3393" s="1" t="n">
        <v>5706301.2</v>
      </c>
      <c r="E3393" s="1" t="n">
        <v>0.0187</v>
      </c>
      <c r="F3393" s="1" t="n">
        <v>0.0585</v>
      </c>
    </row>
    <row r="3394" customFormat="false" ht="15" hidden="false" customHeight="false" outlineLevel="0" collapsed="false">
      <c r="A3394" s="1" t="s">
        <v>3429</v>
      </c>
      <c r="B3394" s="1" t="s">
        <v>88</v>
      </c>
      <c r="C3394" s="1" t="n">
        <v>1040000</v>
      </c>
      <c r="D3394" s="1" t="n">
        <v>4405</v>
      </c>
      <c r="E3394" s="1" t="n">
        <v>0.0613</v>
      </c>
      <c r="F3394" s="1" t="n">
        <v>0.0938</v>
      </c>
    </row>
    <row r="3395" customFormat="false" ht="15" hidden="false" customHeight="false" outlineLevel="0" collapsed="false">
      <c r="A3395" s="1" t="s">
        <v>3430</v>
      </c>
      <c r="B3395" s="1" t="s">
        <v>92</v>
      </c>
      <c r="C3395" s="1" t="n">
        <v>1340000</v>
      </c>
      <c r="D3395" s="1" t="n">
        <v>18764.2</v>
      </c>
      <c r="E3395" s="1" t="n">
        <v>0.0101</v>
      </c>
      <c r="F3395" s="1" t="n">
        <v>0.0822</v>
      </c>
    </row>
    <row r="3396" customFormat="false" ht="15" hidden="false" customHeight="false" outlineLevel="0" collapsed="false">
      <c r="A3396" s="1" t="s">
        <v>3431</v>
      </c>
      <c r="B3396" s="1" t="s">
        <v>195</v>
      </c>
      <c r="C3396" s="1" t="n">
        <v>898000</v>
      </c>
      <c r="D3396" s="1" t="n">
        <v>7039.8</v>
      </c>
      <c r="E3396" s="1" t="n">
        <v>0.0211</v>
      </c>
      <c r="F3396" s="1" t="n">
        <v>0.0854</v>
      </c>
    </row>
    <row r="3397" customFormat="false" ht="15" hidden="false" customHeight="false" outlineLevel="0" collapsed="false">
      <c r="A3397" s="1" t="s">
        <v>3432</v>
      </c>
      <c r="B3397" s="1" t="s">
        <v>92</v>
      </c>
      <c r="C3397" s="1" t="n">
        <v>868000</v>
      </c>
      <c r="D3397" s="1" t="n">
        <v>95354.1</v>
      </c>
      <c r="E3397" s="1" t="n">
        <v>0.0161</v>
      </c>
      <c r="F3397" s="1" t="n">
        <v>0.0576</v>
      </c>
    </row>
    <row r="3398" customFormat="false" ht="15" hidden="false" customHeight="false" outlineLevel="0" collapsed="false">
      <c r="A3398" s="1" t="s">
        <v>3433</v>
      </c>
      <c r="B3398" s="1" t="s">
        <v>195</v>
      </c>
      <c r="C3398" s="1" t="n">
        <v>969000</v>
      </c>
      <c r="D3398" s="1" t="n">
        <v>39640.2</v>
      </c>
      <c r="E3398" s="1" t="n">
        <v>0.0224</v>
      </c>
      <c r="F3398" s="1" t="n">
        <v>0.0854</v>
      </c>
    </row>
    <row r="3399" customFormat="false" ht="15" hidden="false" customHeight="false" outlineLevel="0" collapsed="false">
      <c r="A3399" s="1" t="s">
        <v>3434</v>
      </c>
      <c r="B3399" s="1" t="s">
        <v>92</v>
      </c>
      <c r="C3399" s="1" t="n">
        <v>940000</v>
      </c>
      <c r="D3399" s="1" t="n">
        <v>208384</v>
      </c>
      <c r="E3399" s="1" t="n">
        <v>0.0411</v>
      </c>
      <c r="F3399" s="1" t="n">
        <v>0.0409</v>
      </c>
    </row>
    <row r="3400" customFormat="false" ht="15" hidden="false" customHeight="false" outlineLevel="0" collapsed="false">
      <c r="A3400" s="1" t="s">
        <v>3435</v>
      </c>
      <c r="B3400" s="1" t="s">
        <v>26</v>
      </c>
      <c r="C3400" s="1" t="n">
        <v>1240000</v>
      </c>
      <c r="D3400" s="1" t="n">
        <v>550008.9</v>
      </c>
      <c r="E3400" s="1" t="n">
        <v>0.0514</v>
      </c>
      <c r="F3400" s="1" t="n">
        <v>0.0409</v>
      </c>
    </row>
    <row r="3401" customFormat="false" ht="15" hidden="false" customHeight="false" outlineLevel="0" collapsed="false">
      <c r="A3401" s="1" t="s">
        <v>3436</v>
      </c>
      <c r="B3401" s="1" t="s">
        <v>62</v>
      </c>
      <c r="C3401" s="1" t="n">
        <v>912000</v>
      </c>
      <c r="D3401" s="1" t="n">
        <v>8244.9</v>
      </c>
      <c r="E3401" s="1" t="n">
        <v>0.0743</v>
      </c>
      <c r="F3401" s="1" t="n">
        <v>0.0759</v>
      </c>
    </row>
    <row r="3402" customFormat="false" ht="15" hidden="false" customHeight="false" outlineLevel="0" collapsed="false">
      <c r="A3402" s="1" t="s">
        <v>3437</v>
      </c>
      <c r="B3402" s="1" t="s">
        <v>24</v>
      </c>
      <c r="C3402" s="1" t="n">
        <v>1010000</v>
      </c>
      <c r="D3402" s="1" t="n">
        <v>15892.8</v>
      </c>
      <c r="E3402" s="1" t="n">
        <v>0.0705</v>
      </c>
      <c r="F3402" s="1" t="n">
        <v>0.0938</v>
      </c>
    </row>
    <row r="3403" customFormat="false" ht="15" hidden="false" customHeight="false" outlineLevel="0" collapsed="false">
      <c r="A3403" s="1" t="s">
        <v>3438</v>
      </c>
      <c r="B3403" s="1" t="s">
        <v>26</v>
      </c>
      <c r="C3403" s="1" t="n">
        <v>958000</v>
      </c>
      <c r="D3403" s="1" t="n">
        <v>1467850.5</v>
      </c>
      <c r="E3403" s="1" t="n">
        <v>0.0152</v>
      </c>
      <c r="F3403" s="1" t="n">
        <v>0.0462</v>
      </c>
    </row>
    <row r="3404" customFormat="false" ht="15" hidden="false" customHeight="false" outlineLevel="0" collapsed="false">
      <c r="A3404" s="1" t="s">
        <v>3439</v>
      </c>
      <c r="B3404" s="1" t="s">
        <v>50</v>
      </c>
      <c r="C3404" s="1" t="n">
        <v>830000</v>
      </c>
      <c r="D3404" s="1" t="n">
        <v>92656.8</v>
      </c>
      <c r="E3404" s="1" t="n">
        <v>0.0215</v>
      </c>
      <c r="F3404" s="1" t="n">
        <v>0.0759</v>
      </c>
    </row>
    <row r="3405" customFormat="false" ht="15" hidden="false" customHeight="false" outlineLevel="0" collapsed="false">
      <c r="A3405" s="1" t="s">
        <v>3440</v>
      </c>
      <c r="B3405" s="1" t="s">
        <v>195</v>
      </c>
      <c r="C3405" s="1" t="n">
        <v>997000</v>
      </c>
      <c r="D3405" s="1" t="n">
        <v>11240.8</v>
      </c>
      <c r="E3405" s="1" t="n">
        <v>0.0256</v>
      </c>
      <c r="F3405" s="1" t="n">
        <v>0.0409</v>
      </c>
    </row>
    <row r="3406" customFormat="false" ht="15" hidden="false" customHeight="false" outlineLevel="0" collapsed="false">
      <c r="A3406" s="1" t="s">
        <v>3441</v>
      </c>
      <c r="B3406" s="1" t="s">
        <v>26</v>
      </c>
      <c r="C3406" s="1" t="n">
        <v>1240000</v>
      </c>
      <c r="D3406" s="1" t="n">
        <v>35844</v>
      </c>
      <c r="E3406" s="1" t="n">
        <v>0.0374</v>
      </c>
      <c r="F3406" s="1" t="n">
        <v>0.0759</v>
      </c>
    </row>
    <row r="3407" customFormat="false" ht="15" hidden="false" customHeight="false" outlineLevel="0" collapsed="false">
      <c r="A3407" s="1" t="s">
        <v>3442</v>
      </c>
      <c r="B3407" s="1" t="s">
        <v>88</v>
      </c>
      <c r="C3407" s="1" t="n">
        <v>805000</v>
      </c>
      <c r="D3407" s="1" t="n">
        <v>64434.8</v>
      </c>
      <c r="E3407" s="1" t="n">
        <v>0.038</v>
      </c>
      <c r="F3407" s="1" t="n">
        <v>0.0951</v>
      </c>
    </row>
    <row r="3408" customFormat="false" ht="15" hidden="false" customHeight="false" outlineLevel="0" collapsed="false">
      <c r="A3408" s="1" t="s">
        <v>3443</v>
      </c>
      <c r="B3408" s="1" t="s">
        <v>92</v>
      </c>
      <c r="C3408" s="1" t="n">
        <v>310000</v>
      </c>
      <c r="D3408" s="1" t="n">
        <v>2970.3</v>
      </c>
      <c r="E3408" s="1" t="n">
        <v>0.006</v>
      </c>
      <c r="F3408" s="1" t="n">
        <v>0.0822</v>
      </c>
    </row>
    <row r="3409" customFormat="false" ht="15" hidden="false" customHeight="false" outlineLevel="0" collapsed="false">
      <c r="A3409" s="1" t="s">
        <v>3444</v>
      </c>
      <c r="B3409" s="1" t="s">
        <v>74</v>
      </c>
      <c r="C3409" s="1" t="n">
        <v>938000</v>
      </c>
      <c r="D3409" s="1" t="n">
        <v>6711.2</v>
      </c>
      <c r="E3409" s="1" t="n">
        <v>0.0469</v>
      </c>
      <c r="F3409" s="1" t="n">
        <v>0.0938</v>
      </c>
    </row>
    <row r="3410" customFormat="false" ht="15" hidden="false" customHeight="false" outlineLevel="0" collapsed="false">
      <c r="A3410" s="1" t="s">
        <v>3445</v>
      </c>
      <c r="B3410" s="1" t="s">
        <v>88</v>
      </c>
      <c r="C3410" s="1" t="n">
        <v>791000</v>
      </c>
      <c r="D3410" s="1" t="n">
        <v>6061</v>
      </c>
      <c r="E3410" s="1" t="n">
        <v>0.0168</v>
      </c>
      <c r="F3410" s="1" t="n">
        <v>0.131</v>
      </c>
    </row>
    <row r="3411" customFormat="false" ht="15" hidden="false" customHeight="false" outlineLevel="0" collapsed="false">
      <c r="A3411" s="1" t="s">
        <v>3446</v>
      </c>
      <c r="B3411" s="1" t="s">
        <v>92</v>
      </c>
      <c r="C3411" s="1" t="n">
        <v>1110000</v>
      </c>
      <c r="D3411" s="1" t="n">
        <v>335745.5</v>
      </c>
      <c r="E3411" s="1" t="n">
        <v>0.0493</v>
      </c>
      <c r="F3411" s="1" t="n">
        <v>0.0409</v>
      </c>
    </row>
    <row r="3412" customFormat="false" ht="15" hidden="false" customHeight="false" outlineLevel="0" collapsed="false">
      <c r="A3412" s="1" t="s">
        <v>3447</v>
      </c>
      <c r="B3412" s="1" t="s">
        <v>92</v>
      </c>
      <c r="C3412" s="1" t="n">
        <v>1260000</v>
      </c>
      <c r="D3412" s="1" t="n">
        <v>39957.4</v>
      </c>
      <c r="E3412" s="1" t="n">
        <v>0.0207</v>
      </c>
      <c r="F3412" s="1" t="n">
        <v>0.0488</v>
      </c>
    </row>
    <row r="3413" customFormat="false" ht="15" hidden="false" customHeight="false" outlineLevel="0" collapsed="false">
      <c r="A3413" s="1" t="s">
        <v>3448</v>
      </c>
      <c r="B3413" s="1" t="s">
        <v>53</v>
      </c>
      <c r="C3413" s="1" t="n">
        <v>2410000</v>
      </c>
      <c r="D3413" s="1" t="n">
        <v>8619.1</v>
      </c>
      <c r="E3413" s="1" t="n">
        <v>0.0143</v>
      </c>
      <c r="F3413" s="1" t="n">
        <v>0.0854</v>
      </c>
    </row>
    <row r="3414" customFormat="false" ht="15" hidden="false" customHeight="false" outlineLevel="0" collapsed="false">
      <c r="A3414" s="1" t="s">
        <v>3449</v>
      </c>
      <c r="B3414" s="1" t="s">
        <v>74</v>
      </c>
      <c r="C3414" s="1" t="n">
        <v>900000</v>
      </c>
      <c r="D3414" s="1" t="n">
        <v>31997.1</v>
      </c>
      <c r="E3414" s="1" t="n">
        <v>0.0938</v>
      </c>
      <c r="F3414" s="1" t="n">
        <v>0.0759</v>
      </c>
    </row>
    <row r="3415" customFormat="false" ht="15" hidden="false" customHeight="false" outlineLevel="0" collapsed="false">
      <c r="A3415" s="1" t="s">
        <v>3450</v>
      </c>
      <c r="B3415" s="1" t="s">
        <v>92</v>
      </c>
      <c r="C3415" s="1" t="n">
        <v>859000</v>
      </c>
      <c r="D3415" s="1" t="n">
        <v>1915.8</v>
      </c>
      <c r="E3415" s="1" t="n">
        <v>0.0149</v>
      </c>
      <c r="F3415" s="1" t="n">
        <v>0.0576</v>
      </c>
    </row>
    <row r="3416" customFormat="false" ht="15" hidden="false" customHeight="false" outlineLevel="0" collapsed="false">
      <c r="A3416" s="1" t="s">
        <v>3451</v>
      </c>
      <c r="B3416" s="1" t="s">
        <v>26</v>
      </c>
      <c r="C3416" s="1" t="n">
        <v>2200000</v>
      </c>
      <c r="D3416" s="1" t="n">
        <v>815123.4</v>
      </c>
      <c r="E3416" s="1" t="n">
        <v>0.0368</v>
      </c>
      <c r="F3416" s="1" t="n">
        <v>0.0759</v>
      </c>
    </row>
    <row r="3417" customFormat="false" ht="15" hidden="false" customHeight="false" outlineLevel="0" collapsed="false">
      <c r="A3417" s="1" t="s">
        <v>3452</v>
      </c>
      <c r="B3417" s="1" t="s">
        <v>287</v>
      </c>
      <c r="C3417" s="1" t="n">
        <v>1080000</v>
      </c>
      <c r="D3417" s="1" t="n">
        <v>9978.7</v>
      </c>
      <c r="E3417" s="1" t="n">
        <v>0.0182</v>
      </c>
      <c r="F3417" s="1" t="n">
        <v>0.0462</v>
      </c>
    </row>
    <row r="3418" customFormat="false" ht="15" hidden="false" customHeight="false" outlineLevel="0" collapsed="false">
      <c r="A3418" s="1" t="s">
        <v>3453</v>
      </c>
      <c r="B3418" s="1" t="s">
        <v>24</v>
      </c>
      <c r="C3418" s="1" t="n">
        <v>1120000</v>
      </c>
      <c r="D3418" s="1" t="n">
        <v>9895.8</v>
      </c>
      <c r="E3418" s="1" t="n">
        <v>0.042</v>
      </c>
      <c r="F3418" s="1" t="n">
        <v>0.0759</v>
      </c>
    </row>
    <row r="3419" customFormat="false" ht="15" hidden="false" customHeight="false" outlineLevel="0" collapsed="false">
      <c r="A3419" s="1" t="s">
        <v>3454</v>
      </c>
      <c r="B3419" s="1" t="s">
        <v>92</v>
      </c>
      <c r="C3419" s="1" t="n">
        <v>1550000</v>
      </c>
      <c r="D3419" s="1" t="n">
        <v>108140.9</v>
      </c>
      <c r="E3419" s="1" t="n">
        <v>0.0403</v>
      </c>
      <c r="F3419" s="1" t="n">
        <v>0.051</v>
      </c>
    </row>
    <row r="3420" customFormat="false" ht="15" hidden="false" customHeight="false" outlineLevel="0" collapsed="false">
      <c r="A3420" s="1" t="s">
        <v>3455</v>
      </c>
      <c r="B3420" s="1" t="s">
        <v>26</v>
      </c>
      <c r="C3420" s="1" t="n">
        <v>1060000</v>
      </c>
      <c r="D3420" s="1" t="n">
        <v>40571.2</v>
      </c>
      <c r="E3420" s="1" t="n">
        <v>0.0473</v>
      </c>
      <c r="F3420" s="1" t="n">
        <v>0.0938</v>
      </c>
    </row>
    <row r="3421" customFormat="false" ht="15" hidden="false" customHeight="false" outlineLevel="0" collapsed="false">
      <c r="A3421" s="1" t="s">
        <v>3456</v>
      </c>
      <c r="B3421" s="1" t="s">
        <v>41</v>
      </c>
      <c r="C3421" s="1" t="n">
        <v>872000</v>
      </c>
      <c r="D3421" s="1" t="n">
        <v>16557.5</v>
      </c>
      <c r="E3421" s="1" t="n">
        <v>0.0297</v>
      </c>
      <c r="F3421" s="1" t="n">
        <v>0.0938</v>
      </c>
    </row>
    <row r="3422" customFormat="false" ht="15" hidden="false" customHeight="false" outlineLevel="0" collapsed="false">
      <c r="A3422" s="1" t="s">
        <v>3457</v>
      </c>
      <c r="B3422" s="1" t="s">
        <v>24</v>
      </c>
      <c r="C3422" s="1" t="n">
        <v>956000</v>
      </c>
      <c r="D3422" s="1" t="n">
        <v>13960.7</v>
      </c>
      <c r="E3422" s="1" t="n">
        <v>0.0343</v>
      </c>
      <c r="F3422" s="1" t="n">
        <v>0.0938</v>
      </c>
    </row>
    <row r="3423" customFormat="false" ht="15" hidden="false" customHeight="false" outlineLevel="0" collapsed="false">
      <c r="A3423" s="1" t="s">
        <v>3458</v>
      </c>
      <c r="B3423" s="1" t="s">
        <v>35</v>
      </c>
      <c r="C3423" s="1" t="n">
        <v>931000</v>
      </c>
      <c r="D3423" s="1" t="n">
        <v>62160.7</v>
      </c>
      <c r="E3423" s="1" t="n">
        <v>0.0336</v>
      </c>
      <c r="F3423" s="1" t="n">
        <v>0.0951</v>
      </c>
    </row>
    <row r="3424" customFormat="false" ht="15" hidden="false" customHeight="false" outlineLevel="0" collapsed="false">
      <c r="A3424" s="1" t="s">
        <v>3459</v>
      </c>
      <c r="B3424" s="1" t="s">
        <v>214</v>
      </c>
      <c r="C3424" s="1" t="n">
        <v>859000</v>
      </c>
      <c r="D3424" s="1" t="n">
        <v>3999.4</v>
      </c>
      <c r="E3424" s="1" t="n">
        <v>0.0139</v>
      </c>
      <c r="F3424" s="1" t="n">
        <v>0.0854</v>
      </c>
    </row>
    <row r="3425" customFormat="false" ht="15" hidden="false" customHeight="false" outlineLevel="0" collapsed="false">
      <c r="A3425" s="1" t="s">
        <v>3460</v>
      </c>
      <c r="B3425" s="1" t="s">
        <v>62</v>
      </c>
      <c r="C3425" s="1" t="n">
        <v>1220000</v>
      </c>
      <c r="D3425" s="1" t="n">
        <v>533.2</v>
      </c>
      <c r="E3425" s="1" t="n">
        <v>0.0199</v>
      </c>
      <c r="F3425" s="1" t="n">
        <v>0.051</v>
      </c>
    </row>
    <row r="3426" customFormat="false" ht="15" hidden="false" customHeight="false" outlineLevel="0" collapsed="false">
      <c r="A3426" s="1" t="s">
        <v>3461</v>
      </c>
      <c r="B3426" s="1" t="s">
        <v>24</v>
      </c>
      <c r="C3426" s="1" t="n">
        <v>838000</v>
      </c>
      <c r="D3426" s="1" t="n">
        <v>99829.3</v>
      </c>
      <c r="E3426" s="1" t="n">
        <v>0.0254</v>
      </c>
      <c r="F3426" s="1" t="n">
        <v>0.0951</v>
      </c>
    </row>
    <row r="3427" customFormat="false" ht="15" hidden="false" customHeight="false" outlineLevel="0" collapsed="false">
      <c r="A3427" s="1" t="s">
        <v>3462</v>
      </c>
      <c r="B3427" s="1" t="s">
        <v>24</v>
      </c>
      <c r="C3427" s="1" t="n">
        <v>821000</v>
      </c>
      <c r="D3427" s="1" t="n">
        <v>1983.6</v>
      </c>
      <c r="E3427" s="1" t="n">
        <v>0.0278</v>
      </c>
      <c r="F3427" s="1" t="n">
        <v>0.051</v>
      </c>
    </row>
    <row r="3428" customFormat="false" ht="15" hidden="false" customHeight="false" outlineLevel="0" collapsed="false">
      <c r="A3428" s="1" t="s">
        <v>3463</v>
      </c>
      <c r="B3428" s="1" t="s">
        <v>41</v>
      </c>
      <c r="C3428" s="1" t="n">
        <v>1150000</v>
      </c>
      <c r="D3428" s="1" t="n">
        <v>2728.1</v>
      </c>
      <c r="E3428" s="1" t="n">
        <v>0.0152</v>
      </c>
      <c r="F3428" s="1" t="n">
        <v>0.2267</v>
      </c>
    </row>
    <row r="3429" customFormat="false" ht="15" hidden="false" customHeight="false" outlineLevel="0" collapsed="false">
      <c r="A3429" s="1" t="s">
        <v>3464</v>
      </c>
      <c r="B3429" s="1" t="s">
        <v>32</v>
      </c>
      <c r="C3429" s="1" t="n">
        <v>864000</v>
      </c>
      <c r="D3429" s="1" t="n">
        <v>203849.6</v>
      </c>
      <c r="E3429" s="1" t="n">
        <v>0.0244</v>
      </c>
      <c r="F3429" s="1" t="n">
        <v>0.0951</v>
      </c>
    </row>
    <row r="3430" customFormat="false" ht="15" hidden="false" customHeight="false" outlineLevel="0" collapsed="false">
      <c r="A3430" s="1" t="s">
        <v>3465</v>
      </c>
      <c r="B3430" s="1" t="s">
        <v>214</v>
      </c>
      <c r="C3430" s="1" t="n">
        <v>873000</v>
      </c>
      <c r="D3430" s="1" t="n">
        <v>3946.1</v>
      </c>
      <c r="E3430" s="1" t="n">
        <v>0.0396</v>
      </c>
      <c r="F3430" s="1" t="n">
        <v>0.0759</v>
      </c>
    </row>
    <row r="3431" customFormat="false" ht="15" hidden="false" customHeight="false" outlineLevel="0" collapsed="false">
      <c r="A3431" s="1" t="s">
        <v>3466</v>
      </c>
      <c r="B3431" s="1" t="s">
        <v>62</v>
      </c>
      <c r="C3431" s="1" t="n">
        <v>3140000</v>
      </c>
      <c r="D3431" s="1" t="n">
        <v>105824.3</v>
      </c>
      <c r="E3431" s="1" t="n">
        <v>0.0469</v>
      </c>
      <c r="F3431" s="1" t="n">
        <v>0.0759</v>
      </c>
    </row>
    <row r="3432" customFormat="false" ht="15" hidden="false" customHeight="false" outlineLevel="0" collapsed="false">
      <c r="A3432" s="1" t="s">
        <v>3467</v>
      </c>
      <c r="B3432" s="1" t="s">
        <v>30</v>
      </c>
      <c r="C3432" s="1" t="n">
        <v>1110000</v>
      </c>
      <c r="D3432" s="1" t="n">
        <v>4498.2</v>
      </c>
      <c r="E3432" s="1" t="n">
        <v>0.0176</v>
      </c>
      <c r="F3432" s="1" t="n">
        <v>0.0462</v>
      </c>
    </row>
    <row r="3433" customFormat="false" ht="15" hidden="false" customHeight="false" outlineLevel="0" collapsed="false">
      <c r="A3433" s="1" t="s">
        <v>3468</v>
      </c>
      <c r="B3433" s="1" t="s">
        <v>81</v>
      </c>
      <c r="C3433" s="1" t="n">
        <v>983000</v>
      </c>
      <c r="D3433" s="1" t="n">
        <v>10313.2</v>
      </c>
      <c r="E3433" s="1" t="n">
        <v>0.0366</v>
      </c>
      <c r="F3433" s="1" t="n">
        <v>0.0759</v>
      </c>
    </row>
    <row r="3434" customFormat="false" ht="15" hidden="false" customHeight="false" outlineLevel="0" collapsed="false">
      <c r="A3434" s="1" t="s">
        <v>3469</v>
      </c>
      <c r="B3434" s="1" t="s">
        <v>53</v>
      </c>
      <c r="C3434" s="1" t="n">
        <v>1150000</v>
      </c>
      <c r="D3434" s="1" t="n">
        <v>17968.7</v>
      </c>
      <c r="E3434" s="1" t="n">
        <v>0.0435</v>
      </c>
      <c r="F3434" s="1" t="n">
        <v>0.0759</v>
      </c>
    </row>
    <row r="3435" customFormat="false" ht="15" hidden="false" customHeight="false" outlineLevel="0" collapsed="false">
      <c r="A3435" s="1" t="s">
        <v>3470</v>
      </c>
      <c r="B3435" s="1" t="s">
        <v>50</v>
      </c>
      <c r="C3435" s="1" t="n">
        <v>932000</v>
      </c>
      <c r="D3435" s="1" t="n">
        <v>21623.6</v>
      </c>
      <c r="E3435" s="1" t="n">
        <v>0.0315</v>
      </c>
      <c r="F3435" s="1" t="n">
        <v>0.0759</v>
      </c>
    </row>
    <row r="3436" customFormat="false" ht="15" hidden="false" customHeight="false" outlineLevel="0" collapsed="false">
      <c r="A3436" s="1" t="s">
        <v>3471</v>
      </c>
      <c r="B3436" s="1" t="s">
        <v>26</v>
      </c>
      <c r="C3436" s="1" t="n">
        <v>893000</v>
      </c>
      <c r="D3436" s="1" t="n">
        <v>114509.1</v>
      </c>
      <c r="E3436" s="1" t="n">
        <v>0.0107</v>
      </c>
      <c r="F3436" s="1" t="n">
        <v>0.0822</v>
      </c>
    </row>
    <row r="3437" customFormat="false" ht="15" hidden="false" customHeight="false" outlineLevel="0" collapsed="false">
      <c r="A3437" s="1" t="s">
        <v>3472</v>
      </c>
      <c r="B3437" s="1" t="s">
        <v>81</v>
      </c>
      <c r="C3437" s="1" t="n">
        <v>795000</v>
      </c>
      <c r="D3437" s="1" t="n">
        <v>2114</v>
      </c>
      <c r="E3437" s="1" t="n">
        <v>0.034</v>
      </c>
      <c r="F3437" s="1" t="n">
        <v>0.0938</v>
      </c>
    </row>
    <row r="3438" customFormat="false" ht="15" hidden="false" customHeight="false" outlineLevel="0" collapsed="false">
      <c r="A3438" s="1" t="s">
        <v>3473</v>
      </c>
      <c r="B3438" s="1" t="s">
        <v>26</v>
      </c>
      <c r="C3438" s="1" t="n">
        <v>945000</v>
      </c>
      <c r="D3438" s="1" t="n">
        <v>4437.5</v>
      </c>
      <c r="E3438" s="1" t="n">
        <v>0.0329</v>
      </c>
      <c r="F3438" s="1" t="n">
        <v>0.0938</v>
      </c>
    </row>
    <row r="3439" customFormat="false" ht="15" hidden="false" customHeight="false" outlineLevel="0" collapsed="false">
      <c r="A3439" s="1" t="s">
        <v>3474</v>
      </c>
      <c r="B3439" s="1" t="s">
        <v>214</v>
      </c>
      <c r="C3439" s="1" t="n">
        <v>834000</v>
      </c>
      <c r="D3439" s="1" t="n">
        <v>8528.4</v>
      </c>
      <c r="E3439" s="1" t="n">
        <v>0.2497</v>
      </c>
      <c r="F3439" s="1" t="n">
        <v>0.5945</v>
      </c>
    </row>
    <row r="3440" customFormat="false" ht="15" hidden="false" customHeight="false" outlineLevel="0" collapsed="false">
      <c r="A3440" s="1" t="s">
        <v>3475</v>
      </c>
      <c r="B3440" s="1" t="s">
        <v>214</v>
      </c>
      <c r="C3440" s="1" t="n">
        <v>819000</v>
      </c>
      <c r="D3440" s="1" t="n">
        <v>16456.2</v>
      </c>
      <c r="E3440" s="1" t="n">
        <v>0.029</v>
      </c>
      <c r="F3440" s="1" t="n">
        <v>0.0759</v>
      </c>
    </row>
    <row r="3441" customFormat="false" ht="15" hidden="false" customHeight="false" outlineLevel="0" collapsed="false">
      <c r="A3441" s="1" t="s">
        <v>3476</v>
      </c>
      <c r="B3441" s="1" t="s">
        <v>32</v>
      </c>
      <c r="C3441" s="1" t="n">
        <v>824000</v>
      </c>
      <c r="D3441" s="1" t="n">
        <v>814341.5</v>
      </c>
      <c r="E3441" s="1" t="n">
        <v>0.022</v>
      </c>
      <c r="F3441" s="1" t="n">
        <v>0.1536</v>
      </c>
    </row>
    <row r="3442" customFormat="false" ht="15" hidden="false" customHeight="false" outlineLevel="0" collapsed="false">
      <c r="A3442" s="1" t="s">
        <v>3477</v>
      </c>
      <c r="B3442" s="1" t="s">
        <v>74</v>
      </c>
      <c r="C3442" s="1" t="n">
        <v>840000</v>
      </c>
      <c r="D3442" s="1" t="n">
        <v>1531.6</v>
      </c>
      <c r="E3442" s="1" t="n">
        <v>0.0197</v>
      </c>
      <c r="F3442" s="1" t="n">
        <v>0.0576</v>
      </c>
    </row>
    <row r="3443" customFormat="false" ht="15" hidden="false" customHeight="false" outlineLevel="0" collapsed="false">
      <c r="A3443" s="1" t="s">
        <v>3478</v>
      </c>
      <c r="B3443" s="1" t="s">
        <v>41</v>
      </c>
      <c r="C3443" s="1" t="n">
        <v>762000</v>
      </c>
      <c r="D3443" s="1" t="n">
        <v>12034.4</v>
      </c>
      <c r="E3443" s="1" t="n">
        <v>0.006</v>
      </c>
      <c r="F3443" s="1" t="n">
        <v>0.0654</v>
      </c>
    </row>
    <row r="3444" customFormat="false" ht="15" hidden="false" customHeight="false" outlineLevel="0" collapsed="false">
      <c r="A3444" s="1" t="s">
        <v>3479</v>
      </c>
      <c r="B3444" s="1" t="s">
        <v>26</v>
      </c>
      <c r="C3444" s="1" t="n">
        <v>748000</v>
      </c>
      <c r="D3444" s="1" t="n">
        <v>84.4</v>
      </c>
      <c r="E3444" s="1" t="n">
        <v>0.0255</v>
      </c>
      <c r="F3444" s="1" t="n">
        <v>0.2064</v>
      </c>
    </row>
    <row r="3445" customFormat="false" ht="15" hidden="false" customHeight="false" outlineLevel="0" collapsed="false">
      <c r="A3445" s="1" t="s">
        <v>3480</v>
      </c>
      <c r="B3445" s="1" t="s">
        <v>92</v>
      </c>
      <c r="C3445" s="1" t="n">
        <v>1050000</v>
      </c>
      <c r="D3445" s="1" t="n">
        <v>16809.5</v>
      </c>
      <c r="E3445" s="1" t="n">
        <v>0.0175</v>
      </c>
      <c r="F3445" s="1" t="n">
        <v>0.1053</v>
      </c>
    </row>
    <row r="3446" customFormat="false" ht="15" hidden="false" customHeight="false" outlineLevel="0" collapsed="false">
      <c r="A3446" s="1" t="s">
        <v>3481</v>
      </c>
      <c r="B3446" s="1" t="s">
        <v>26</v>
      </c>
      <c r="C3446" s="1" t="n">
        <v>780000</v>
      </c>
      <c r="D3446" s="1" t="n">
        <v>2809</v>
      </c>
      <c r="E3446" s="1" t="n">
        <v>0.0363</v>
      </c>
      <c r="F3446" s="1" t="n">
        <v>0.0518</v>
      </c>
    </row>
    <row r="3447" customFormat="false" ht="15" hidden="false" customHeight="false" outlineLevel="0" collapsed="false">
      <c r="A3447" s="1" t="s">
        <v>3482</v>
      </c>
      <c r="B3447" s="1" t="s">
        <v>71</v>
      </c>
      <c r="C3447" s="1" t="n">
        <v>581000</v>
      </c>
      <c r="D3447" s="1" t="n">
        <v>10352.7</v>
      </c>
      <c r="F3447" s="1" t="n">
        <v>0.0518</v>
      </c>
    </row>
    <row r="3448" customFormat="false" ht="15" hidden="false" customHeight="false" outlineLevel="0" collapsed="false">
      <c r="A3448" s="1" t="s">
        <v>3483</v>
      </c>
      <c r="B3448" s="1" t="s">
        <v>50</v>
      </c>
      <c r="C3448" s="1" t="n">
        <v>1100000</v>
      </c>
      <c r="D3448" s="1" t="n">
        <v>10344.7</v>
      </c>
      <c r="E3448" s="1" t="n">
        <v>0.0362</v>
      </c>
      <c r="F3448" s="1" t="n">
        <v>0.0938</v>
      </c>
    </row>
    <row r="3449" customFormat="false" ht="15" hidden="false" customHeight="false" outlineLevel="0" collapsed="false">
      <c r="A3449" s="1" t="s">
        <v>3484</v>
      </c>
      <c r="B3449" s="1" t="s">
        <v>74</v>
      </c>
      <c r="C3449" s="1" t="n">
        <v>937000</v>
      </c>
      <c r="D3449" s="1" t="n">
        <v>40555.7</v>
      </c>
      <c r="E3449" s="1" t="n">
        <v>0.0178</v>
      </c>
      <c r="F3449" s="1" t="n">
        <v>0.0854</v>
      </c>
    </row>
    <row r="3450" customFormat="false" ht="15" hidden="false" customHeight="false" outlineLevel="0" collapsed="false">
      <c r="A3450" s="1" t="s">
        <v>3485</v>
      </c>
      <c r="B3450" s="1" t="s">
        <v>21</v>
      </c>
      <c r="C3450" s="1" t="n">
        <v>862000</v>
      </c>
      <c r="D3450" s="1" t="n">
        <v>55.9</v>
      </c>
      <c r="E3450" s="1" t="n">
        <v>0.0081</v>
      </c>
      <c r="F3450" s="1" t="n">
        <v>0.2657</v>
      </c>
    </row>
    <row r="3451" customFormat="false" ht="15" hidden="false" customHeight="false" outlineLevel="0" collapsed="false">
      <c r="A3451" s="1" t="s">
        <v>3486</v>
      </c>
      <c r="B3451" s="1" t="s">
        <v>21</v>
      </c>
      <c r="C3451" s="1" t="n">
        <v>797000</v>
      </c>
      <c r="D3451" s="1" t="n">
        <v>3916.5</v>
      </c>
      <c r="E3451" s="1" t="n">
        <v>0.0102</v>
      </c>
      <c r="F3451" s="1" t="n">
        <v>0.0911</v>
      </c>
    </row>
    <row r="3452" customFormat="false" ht="15" hidden="false" customHeight="false" outlineLevel="0" collapsed="false">
      <c r="A3452" s="1" t="s">
        <v>3487</v>
      </c>
      <c r="B3452" s="1" t="s">
        <v>28</v>
      </c>
      <c r="C3452" s="1" t="n">
        <v>871000</v>
      </c>
      <c r="D3452" s="1" t="n">
        <v>10070.3</v>
      </c>
      <c r="E3452" s="1" t="n">
        <v>0.0076</v>
      </c>
      <c r="F3452" s="1" t="n">
        <v>0.1015</v>
      </c>
    </row>
    <row r="3453" customFormat="false" ht="15" hidden="false" customHeight="false" outlineLevel="0" collapsed="false">
      <c r="A3453" s="1" t="s">
        <v>3488</v>
      </c>
      <c r="B3453" s="1" t="s">
        <v>62</v>
      </c>
      <c r="C3453" s="1" t="n">
        <v>873000</v>
      </c>
      <c r="D3453" s="1" t="n">
        <v>127.9</v>
      </c>
      <c r="E3453" s="1" t="n">
        <v>0.0172</v>
      </c>
      <c r="F3453" s="1" t="n">
        <v>0.1948</v>
      </c>
    </row>
    <row r="3454" customFormat="false" ht="15" hidden="false" customHeight="false" outlineLevel="0" collapsed="false">
      <c r="A3454" s="1" t="s">
        <v>3489</v>
      </c>
      <c r="B3454" s="1" t="s">
        <v>92</v>
      </c>
      <c r="C3454" s="1" t="n">
        <v>959000</v>
      </c>
      <c r="D3454" s="1" t="n">
        <v>31233.5</v>
      </c>
      <c r="E3454" s="1" t="n">
        <v>0.0267</v>
      </c>
      <c r="F3454" s="1" t="n">
        <v>0.0938</v>
      </c>
    </row>
    <row r="3455" customFormat="false" ht="15" hidden="false" customHeight="false" outlineLevel="0" collapsed="false">
      <c r="A3455" s="1" t="s">
        <v>3490</v>
      </c>
      <c r="B3455" s="1" t="s">
        <v>24</v>
      </c>
      <c r="C3455" s="1" t="n">
        <v>2670000</v>
      </c>
      <c r="D3455" s="1" t="n">
        <v>856969.4</v>
      </c>
      <c r="E3455" s="1" t="n">
        <v>0.0114</v>
      </c>
      <c r="F3455" s="1" t="n">
        <v>0.0822</v>
      </c>
    </row>
    <row r="3456" customFormat="false" ht="15" hidden="false" customHeight="false" outlineLevel="0" collapsed="false">
      <c r="A3456" s="1" t="s">
        <v>3491</v>
      </c>
      <c r="B3456" s="1" t="s">
        <v>50</v>
      </c>
      <c r="C3456" s="1" t="n">
        <v>1030000</v>
      </c>
      <c r="D3456" s="1" t="n">
        <v>113543</v>
      </c>
      <c r="E3456" s="1" t="n">
        <v>0.0362</v>
      </c>
      <c r="F3456" s="1" t="n">
        <v>0.095</v>
      </c>
    </row>
    <row r="3457" customFormat="false" ht="15" hidden="false" customHeight="false" outlineLevel="0" collapsed="false">
      <c r="A3457" s="1" t="s">
        <v>3492</v>
      </c>
      <c r="B3457" s="1" t="s">
        <v>71</v>
      </c>
      <c r="C3457" s="1" t="n">
        <v>1010000</v>
      </c>
      <c r="D3457" s="1" t="n">
        <v>3155.7</v>
      </c>
      <c r="F3457" s="1" t="n">
        <v>0.051</v>
      </c>
    </row>
    <row r="3458" customFormat="false" ht="15" hidden="false" customHeight="false" outlineLevel="0" collapsed="false">
      <c r="A3458" s="1" t="s">
        <v>3493</v>
      </c>
      <c r="B3458" s="1" t="s">
        <v>88</v>
      </c>
      <c r="C3458" s="1" t="n">
        <v>1060000</v>
      </c>
      <c r="D3458" s="1" t="n">
        <v>2876.8</v>
      </c>
      <c r="E3458" s="1" t="n">
        <v>0.0516</v>
      </c>
      <c r="F3458" s="1" t="n">
        <v>0.1518</v>
      </c>
    </row>
    <row r="3459" customFormat="false" ht="15" hidden="false" customHeight="false" outlineLevel="0" collapsed="false">
      <c r="A3459" s="1" t="s">
        <v>3494</v>
      </c>
      <c r="B3459" s="1" t="s">
        <v>287</v>
      </c>
      <c r="C3459" s="1" t="n">
        <v>973000</v>
      </c>
      <c r="D3459" s="1" t="n">
        <v>573380.7</v>
      </c>
      <c r="F3459" s="1" t="n">
        <v>0.0409</v>
      </c>
    </row>
    <row r="3460" customFormat="false" ht="15" hidden="false" customHeight="false" outlineLevel="0" collapsed="false">
      <c r="A3460" s="1" t="s">
        <v>3495</v>
      </c>
      <c r="B3460" s="1" t="s">
        <v>41</v>
      </c>
      <c r="C3460" s="1" t="n">
        <v>2580000</v>
      </c>
      <c r="D3460" s="1" t="n">
        <v>1217.1</v>
      </c>
      <c r="E3460" s="1" t="n">
        <v>0.0207</v>
      </c>
      <c r="F3460" s="1" t="n">
        <v>0.1372</v>
      </c>
    </row>
    <row r="3461" customFormat="false" ht="15" hidden="false" customHeight="false" outlineLevel="0" collapsed="false">
      <c r="A3461" s="1" t="s">
        <v>3496</v>
      </c>
      <c r="B3461" s="1" t="s">
        <v>41</v>
      </c>
      <c r="C3461" s="1" t="n">
        <v>2260000</v>
      </c>
      <c r="D3461" s="1" t="n">
        <v>581.6</v>
      </c>
      <c r="E3461" s="1" t="n">
        <v>0.0662</v>
      </c>
      <c r="F3461" s="1" t="n">
        <v>0.0938</v>
      </c>
    </row>
    <row r="3462" customFormat="false" ht="15" hidden="false" customHeight="false" outlineLevel="0" collapsed="false">
      <c r="A3462" s="1" t="s">
        <v>3497</v>
      </c>
      <c r="B3462" s="1" t="s">
        <v>214</v>
      </c>
      <c r="C3462" s="1" t="n">
        <v>809000</v>
      </c>
      <c r="D3462" s="1" t="n">
        <v>1025</v>
      </c>
      <c r="E3462" s="1" t="n">
        <v>0.0513</v>
      </c>
      <c r="F3462" s="1" t="n">
        <v>0.0951</v>
      </c>
    </row>
    <row r="3463" customFormat="false" ht="15" hidden="false" customHeight="false" outlineLevel="0" collapsed="false">
      <c r="A3463" s="1" t="s">
        <v>3498</v>
      </c>
      <c r="B3463" s="1" t="s">
        <v>50</v>
      </c>
      <c r="C3463" s="1" t="n">
        <v>1030000</v>
      </c>
      <c r="D3463" s="1" t="n">
        <v>16976.3</v>
      </c>
      <c r="E3463" s="1" t="n">
        <v>0.0161</v>
      </c>
      <c r="F3463" s="1" t="n">
        <v>0.0576</v>
      </c>
    </row>
    <row r="3464" customFormat="false" ht="15" hidden="false" customHeight="false" outlineLevel="0" collapsed="false">
      <c r="A3464" s="1" t="s">
        <v>3499</v>
      </c>
      <c r="B3464" s="1" t="s">
        <v>50</v>
      </c>
      <c r="C3464" s="1" t="n">
        <v>803000</v>
      </c>
      <c r="D3464" s="1" t="n">
        <v>1837.8</v>
      </c>
      <c r="E3464" s="1" t="n">
        <v>0.036</v>
      </c>
      <c r="F3464" s="1" t="n">
        <v>0.0951</v>
      </c>
    </row>
    <row r="3465" customFormat="false" ht="15" hidden="false" customHeight="false" outlineLevel="0" collapsed="false">
      <c r="A3465" s="1" t="s">
        <v>3500</v>
      </c>
      <c r="B3465" s="1" t="s">
        <v>71</v>
      </c>
      <c r="C3465" s="1" t="n">
        <v>787000</v>
      </c>
      <c r="D3465" s="1" t="n">
        <v>12680</v>
      </c>
      <c r="E3465" s="1" t="n">
        <v>0.025</v>
      </c>
      <c r="F3465" s="1" t="n">
        <v>0.1067</v>
      </c>
    </row>
    <row r="3466" customFormat="false" ht="15" hidden="false" customHeight="false" outlineLevel="0" collapsed="false">
      <c r="A3466" s="1" t="s">
        <v>3501</v>
      </c>
      <c r="B3466" s="1" t="s">
        <v>26</v>
      </c>
      <c r="C3466" s="1" t="n">
        <v>970000</v>
      </c>
      <c r="D3466" s="1" t="n">
        <v>427279.2</v>
      </c>
      <c r="E3466" s="1" t="n">
        <v>0.0337</v>
      </c>
      <c r="F3466" s="1" t="n">
        <v>0.0409</v>
      </c>
    </row>
    <row r="3467" customFormat="false" ht="15" hidden="false" customHeight="false" outlineLevel="0" collapsed="false">
      <c r="A3467" s="1" t="s">
        <v>3502</v>
      </c>
      <c r="B3467" s="1" t="s">
        <v>214</v>
      </c>
      <c r="C3467" s="1" t="n">
        <v>863000</v>
      </c>
      <c r="D3467" s="1" t="n">
        <v>25362.1</v>
      </c>
      <c r="E3467" s="1" t="n">
        <v>0.0074</v>
      </c>
      <c r="F3467" s="1" t="n">
        <v>0.0822</v>
      </c>
    </row>
    <row r="3468" customFormat="false" ht="15" hidden="false" customHeight="false" outlineLevel="0" collapsed="false">
      <c r="A3468" s="1" t="s">
        <v>3503</v>
      </c>
      <c r="B3468" s="1" t="s">
        <v>24</v>
      </c>
      <c r="C3468" s="1" t="n">
        <v>903000</v>
      </c>
      <c r="D3468" s="1" t="n">
        <v>7461.7</v>
      </c>
      <c r="E3468" s="1" t="n">
        <v>0.0163</v>
      </c>
      <c r="F3468" s="1" t="n">
        <v>0.1067</v>
      </c>
    </row>
    <row r="3469" customFormat="false" ht="15" hidden="false" customHeight="false" outlineLevel="0" collapsed="false">
      <c r="A3469" s="1" t="s">
        <v>3504</v>
      </c>
      <c r="B3469" s="1" t="s">
        <v>26</v>
      </c>
      <c r="C3469" s="1" t="n">
        <v>1370000</v>
      </c>
      <c r="D3469" s="1" t="n">
        <v>2565899.6</v>
      </c>
      <c r="E3469" s="1" t="n">
        <v>0.0221</v>
      </c>
      <c r="F3469" s="1" t="n">
        <v>0.0409</v>
      </c>
    </row>
    <row r="3470" customFormat="false" ht="15" hidden="false" customHeight="false" outlineLevel="0" collapsed="false">
      <c r="A3470" s="1" t="s">
        <v>3505</v>
      </c>
      <c r="B3470" s="1" t="s">
        <v>32</v>
      </c>
      <c r="C3470" s="1" t="n">
        <v>785000</v>
      </c>
      <c r="D3470" s="1" t="n">
        <v>1200831.7</v>
      </c>
      <c r="E3470" s="1" t="n">
        <v>0.0074</v>
      </c>
      <c r="F3470" s="1" t="n">
        <v>0.0822</v>
      </c>
    </row>
    <row r="3471" customFormat="false" ht="15" hidden="false" customHeight="false" outlineLevel="0" collapsed="false">
      <c r="A3471" s="1" t="s">
        <v>3506</v>
      </c>
      <c r="B3471" s="1" t="s">
        <v>41</v>
      </c>
      <c r="C3471" s="1" t="n">
        <v>2830000</v>
      </c>
      <c r="D3471" s="1" t="n">
        <v>462.6</v>
      </c>
      <c r="E3471" s="1" t="n">
        <v>0.0178</v>
      </c>
      <c r="F3471" s="1" t="n">
        <v>0.1372</v>
      </c>
    </row>
    <row r="3472" customFormat="false" ht="15" hidden="false" customHeight="false" outlineLevel="0" collapsed="false">
      <c r="A3472" s="1" t="s">
        <v>3507</v>
      </c>
      <c r="B3472" s="1" t="s">
        <v>53</v>
      </c>
      <c r="C3472" s="1" t="n">
        <v>1110000</v>
      </c>
      <c r="D3472" s="1" t="n">
        <v>202764.9</v>
      </c>
      <c r="E3472" s="1" t="n">
        <v>0.0344</v>
      </c>
      <c r="F3472" s="1" t="n">
        <v>0.0409</v>
      </c>
    </row>
    <row r="3473" customFormat="false" ht="15" hidden="false" customHeight="false" outlineLevel="0" collapsed="false">
      <c r="A3473" s="1" t="s">
        <v>3508</v>
      </c>
      <c r="B3473" s="1" t="s">
        <v>74</v>
      </c>
      <c r="C3473" s="1" t="n">
        <v>1090000</v>
      </c>
      <c r="D3473" s="1" t="n">
        <v>5270.8</v>
      </c>
      <c r="F3473" s="1" t="n">
        <v>0.0409</v>
      </c>
    </row>
    <row r="3474" customFormat="false" ht="15" hidden="false" customHeight="false" outlineLevel="0" collapsed="false">
      <c r="A3474" s="1" t="s">
        <v>3509</v>
      </c>
      <c r="B3474" s="1" t="s">
        <v>26</v>
      </c>
      <c r="C3474" s="1" t="n">
        <v>887000</v>
      </c>
      <c r="D3474" s="1" t="n">
        <v>2366.9</v>
      </c>
      <c r="E3474" s="1" t="n">
        <v>0.0237</v>
      </c>
      <c r="F3474" s="1" t="n">
        <v>0.0759</v>
      </c>
    </row>
    <row r="3475" customFormat="false" ht="15" hidden="false" customHeight="false" outlineLevel="0" collapsed="false">
      <c r="A3475" s="1" t="s">
        <v>3510</v>
      </c>
      <c r="B3475" s="1" t="s">
        <v>26</v>
      </c>
      <c r="C3475" s="1" t="n">
        <v>910000</v>
      </c>
      <c r="D3475" s="1" t="n">
        <v>31960.1</v>
      </c>
      <c r="E3475" s="1" t="n">
        <v>0.0339</v>
      </c>
      <c r="F3475" s="1" t="n">
        <v>0.0759</v>
      </c>
    </row>
    <row r="3476" customFormat="false" ht="15" hidden="false" customHeight="false" outlineLevel="0" collapsed="false">
      <c r="A3476" s="1" t="s">
        <v>3511</v>
      </c>
      <c r="B3476" s="1" t="s">
        <v>32</v>
      </c>
      <c r="C3476" s="1" t="n">
        <v>952000</v>
      </c>
      <c r="D3476" s="1" t="n">
        <v>1534.4</v>
      </c>
      <c r="E3476" s="1" t="n">
        <v>0.0273</v>
      </c>
      <c r="F3476" s="1" t="n">
        <v>0.0725</v>
      </c>
    </row>
    <row r="3477" customFormat="false" ht="15" hidden="false" customHeight="false" outlineLevel="0" collapsed="false">
      <c r="A3477" s="1" t="s">
        <v>3512</v>
      </c>
      <c r="B3477" s="1" t="s">
        <v>26</v>
      </c>
      <c r="C3477" s="1" t="n">
        <v>914000</v>
      </c>
      <c r="D3477" s="1" t="n">
        <v>144031.3</v>
      </c>
      <c r="E3477" s="1" t="n">
        <v>0.0317</v>
      </c>
      <c r="F3477" s="1" t="n">
        <v>0.0951</v>
      </c>
    </row>
    <row r="3478" customFormat="false" ht="15" hidden="false" customHeight="false" outlineLevel="0" collapsed="false">
      <c r="A3478" s="1" t="s">
        <v>3513</v>
      </c>
      <c r="B3478" s="1" t="s">
        <v>24</v>
      </c>
      <c r="C3478" s="1" t="n">
        <v>1080000</v>
      </c>
      <c r="D3478" s="1" t="n">
        <v>390.6</v>
      </c>
      <c r="E3478" s="1" t="n">
        <v>0.0207</v>
      </c>
      <c r="F3478" s="1" t="n">
        <v>0.1053</v>
      </c>
    </row>
    <row r="3479" customFormat="false" ht="15" hidden="false" customHeight="false" outlineLevel="0" collapsed="false">
      <c r="A3479" s="1" t="s">
        <v>3514</v>
      </c>
      <c r="B3479" s="1" t="s">
        <v>88</v>
      </c>
      <c r="C3479" s="1" t="n">
        <v>981000</v>
      </c>
      <c r="D3479" s="1" t="n">
        <v>10249.2</v>
      </c>
      <c r="E3479" s="1" t="n">
        <v>0.048</v>
      </c>
      <c r="F3479" s="1" t="n">
        <v>0.0759</v>
      </c>
    </row>
    <row r="3480" customFormat="false" ht="15" hidden="false" customHeight="false" outlineLevel="0" collapsed="false">
      <c r="A3480" s="1" t="s">
        <v>3515</v>
      </c>
      <c r="B3480" s="1" t="s">
        <v>195</v>
      </c>
      <c r="C3480" s="1" t="n">
        <v>1490000</v>
      </c>
      <c r="D3480" s="1" t="n">
        <v>64643.2</v>
      </c>
      <c r="E3480" s="1" t="n">
        <v>0.0194</v>
      </c>
      <c r="F3480" s="1" t="n">
        <v>0.0409</v>
      </c>
    </row>
    <row r="3481" customFormat="false" ht="15" hidden="false" customHeight="false" outlineLevel="0" collapsed="false">
      <c r="A3481" s="1" t="s">
        <v>3516</v>
      </c>
      <c r="B3481" s="1" t="s">
        <v>28</v>
      </c>
      <c r="C3481" s="1" t="n">
        <v>1010000</v>
      </c>
      <c r="D3481" s="1" t="n">
        <v>53744.7</v>
      </c>
      <c r="E3481" s="1" t="n">
        <v>0.0298</v>
      </c>
      <c r="F3481" s="1" t="n">
        <v>0.0759</v>
      </c>
    </row>
    <row r="3482" customFormat="false" ht="15" hidden="false" customHeight="false" outlineLevel="0" collapsed="false">
      <c r="A3482" s="1" t="s">
        <v>3517</v>
      </c>
      <c r="B3482" s="1" t="s">
        <v>53</v>
      </c>
      <c r="C3482" s="1" t="n">
        <v>1290000</v>
      </c>
      <c r="D3482" s="1" t="n">
        <v>143755.6</v>
      </c>
      <c r="E3482" s="1" t="n">
        <v>0.0073</v>
      </c>
      <c r="F3482" s="1" t="n">
        <v>0.0654</v>
      </c>
    </row>
    <row r="3483" customFormat="false" ht="15" hidden="false" customHeight="false" outlineLevel="0" collapsed="false">
      <c r="A3483" s="1" t="s">
        <v>3518</v>
      </c>
      <c r="B3483" s="1" t="s">
        <v>26</v>
      </c>
      <c r="C3483" s="1" t="n">
        <v>1540000</v>
      </c>
      <c r="D3483" s="1" t="n">
        <v>11725.5</v>
      </c>
      <c r="E3483" s="1" t="n">
        <v>0.0065</v>
      </c>
      <c r="F3483" s="1" t="n">
        <v>0.0811</v>
      </c>
    </row>
    <row r="3484" customFormat="false" ht="15" hidden="false" customHeight="false" outlineLevel="0" collapsed="false">
      <c r="A3484" s="1" t="s">
        <v>3519</v>
      </c>
      <c r="B3484" s="1" t="s">
        <v>41</v>
      </c>
      <c r="C3484" s="1" t="n">
        <v>1080000</v>
      </c>
      <c r="D3484" s="1" t="n">
        <v>78.8</v>
      </c>
      <c r="E3484" s="1" t="n">
        <v>0.0227</v>
      </c>
      <c r="F3484" s="1" t="n">
        <v>0.339</v>
      </c>
    </row>
    <row r="3485" customFormat="false" ht="15" hidden="false" customHeight="false" outlineLevel="0" collapsed="false">
      <c r="A3485" s="1" t="s">
        <v>3520</v>
      </c>
      <c r="B3485" s="1" t="s">
        <v>24</v>
      </c>
      <c r="C3485" s="1" t="n">
        <v>791000</v>
      </c>
      <c r="D3485" s="1" t="n">
        <v>4479</v>
      </c>
      <c r="E3485" s="1" t="n">
        <v>0.0189</v>
      </c>
      <c r="F3485" s="1" t="n">
        <v>0.0585</v>
      </c>
    </row>
    <row r="3486" customFormat="false" ht="15" hidden="false" customHeight="false" outlineLevel="0" collapsed="false">
      <c r="A3486" s="1" t="s">
        <v>3521</v>
      </c>
      <c r="B3486" s="1" t="s">
        <v>92</v>
      </c>
      <c r="C3486" s="1" t="n">
        <v>804000</v>
      </c>
      <c r="D3486" s="1" t="n">
        <v>569.7</v>
      </c>
      <c r="E3486" s="1" t="n">
        <v>0.0324</v>
      </c>
      <c r="F3486" s="1" t="n">
        <v>0.0938</v>
      </c>
    </row>
    <row r="3487" customFormat="false" ht="15" hidden="false" customHeight="false" outlineLevel="0" collapsed="false">
      <c r="A3487" s="1" t="s">
        <v>3522</v>
      </c>
      <c r="B3487" s="1" t="s">
        <v>50</v>
      </c>
      <c r="C3487" s="1" t="n">
        <v>971000</v>
      </c>
      <c r="D3487" s="1" t="n">
        <v>21098.6</v>
      </c>
      <c r="E3487" s="1" t="n">
        <v>0.0788</v>
      </c>
      <c r="F3487" s="1" t="n">
        <v>0.0938</v>
      </c>
    </row>
    <row r="3488" customFormat="false" ht="15" hidden="false" customHeight="false" outlineLevel="0" collapsed="false">
      <c r="A3488" s="1" t="s">
        <v>3523</v>
      </c>
      <c r="B3488" s="1" t="s">
        <v>26</v>
      </c>
      <c r="C3488" s="1" t="n">
        <v>927000</v>
      </c>
      <c r="D3488" s="1" t="n">
        <v>305638.5</v>
      </c>
      <c r="E3488" s="1" t="n">
        <v>0.0274</v>
      </c>
      <c r="F3488" s="1" t="n">
        <v>0.0759</v>
      </c>
    </row>
    <row r="3489" customFormat="false" ht="15" hidden="false" customHeight="false" outlineLevel="0" collapsed="false">
      <c r="A3489" s="1" t="s">
        <v>3524</v>
      </c>
      <c r="B3489" s="1" t="s">
        <v>26</v>
      </c>
      <c r="C3489" s="1" t="n">
        <v>945000</v>
      </c>
      <c r="D3489" s="1" t="n">
        <v>26299.9</v>
      </c>
      <c r="E3489" s="1" t="n">
        <v>0.0877</v>
      </c>
      <c r="F3489" s="1" t="n">
        <v>0.0759</v>
      </c>
    </row>
    <row r="3490" customFormat="false" ht="15" hidden="false" customHeight="false" outlineLevel="0" collapsed="false">
      <c r="A3490" s="1" t="s">
        <v>3525</v>
      </c>
      <c r="B3490" s="1" t="s">
        <v>28</v>
      </c>
      <c r="C3490" s="1" t="n">
        <v>903000</v>
      </c>
      <c r="D3490" s="1" t="n">
        <v>4371.8</v>
      </c>
      <c r="E3490" s="1" t="n">
        <v>0.011</v>
      </c>
      <c r="F3490" s="1" t="n">
        <v>0.0654</v>
      </c>
    </row>
    <row r="3491" customFormat="false" ht="15" hidden="false" customHeight="false" outlineLevel="0" collapsed="false">
      <c r="A3491" s="1" t="s">
        <v>3526</v>
      </c>
      <c r="B3491" s="1" t="s">
        <v>26</v>
      </c>
      <c r="C3491" s="1" t="n">
        <v>292000</v>
      </c>
      <c r="D3491" s="1" t="n">
        <v>58924.1</v>
      </c>
      <c r="E3491" s="1" t="n">
        <v>0.0363</v>
      </c>
      <c r="F3491" s="1" t="n">
        <v>0.1243</v>
      </c>
    </row>
    <row r="3492" customFormat="false" ht="15" hidden="false" customHeight="false" outlineLevel="0" collapsed="false">
      <c r="A3492" s="1" t="s">
        <v>3527</v>
      </c>
      <c r="B3492" s="1" t="s">
        <v>24</v>
      </c>
      <c r="C3492" s="1" t="n">
        <v>884000</v>
      </c>
      <c r="D3492" s="1" t="n">
        <v>1160.1</v>
      </c>
      <c r="E3492" s="1" t="n">
        <v>0.0046</v>
      </c>
      <c r="F3492" s="1" t="n">
        <v>0.0654</v>
      </c>
    </row>
    <row r="3493" customFormat="false" ht="15" hidden="false" customHeight="false" outlineLevel="0" collapsed="false">
      <c r="A3493" s="1" t="s">
        <v>3528</v>
      </c>
      <c r="B3493" s="1" t="s">
        <v>88</v>
      </c>
      <c r="C3493" s="1" t="n">
        <v>1140000</v>
      </c>
      <c r="D3493" s="1" t="n">
        <v>15443.7</v>
      </c>
      <c r="E3493" s="1" t="n">
        <v>0.0217</v>
      </c>
      <c r="F3493" s="1" t="n">
        <v>0.0576</v>
      </c>
    </row>
    <row r="3494" customFormat="false" ht="15" hidden="false" customHeight="false" outlineLevel="0" collapsed="false">
      <c r="A3494" s="1" t="s">
        <v>3529</v>
      </c>
      <c r="B3494" s="1" t="s">
        <v>41</v>
      </c>
      <c r="C3494" s="1" t="n">
        <v>759000</v>
      </c>
      <c r="D3494" s="1" t="n">
        <v>72.8</v>
      </c>
      <c r="E3494" s="1" t="n">
        <v>0.0103</v>
      </c>
      <c r="F3494" s="1" t="n">
        <v>0.2807</v>
      </c>
    </row>
    <row r="3495" customFormat="false" ht="15" hidden="false" customHeight="false" outlineLevel="0" collapsed="false">
      <c r="A3495" s="1" t="s">
        <v>3530</v>
      </c>
      <c r="B3495" s="1" t="s">
        <v>53</v>
      </c>
      <c r="C3495" s="1" t="n">
        <v>1830000</v>
      </c>
      <c r="D3495" s="1" t="n">
        <v>69130</v>
      </c>
      <c r="E3495" s="1" t="n">
        <v>0.016</v>
      </c>
      <c r="F3495" s="1" t="n">
        <v>0.0854</v>
      </c>
    </row>
    <row r="3496" customFormat="false" ht="15" hidden="false" customHeight="false" outlineLevel="0" collapsed="false">
      <c r="A3496" s="1" t="s">
        <v>3531</v>
      </c>
      <c r="B3496" s="1" t="s">
        <v>92</v>
      </c>
      <c r="C3496" s="1" t="n">
        <v>831000</v>
      </c>
      <c r="D3496" s="1" t="n">
        <v>4431.1</v>
      </c>
      <c r="E3496" s="1" t="n">
        <v>0.0328</v>
      </c>
      <c r="F3496" s="1" t="n">
        <v>0.0938</v>
      </c>
    </row>
    <row r="3497" customFormat="false" ht="15" hidden="false" customHeight="false" outlineLevel="0" collapsed="false">
      <c r="A3497" s="1" t="s">
        <v>3532</v>
      </c>
      <c r="B3497" s="1" t="s">
        <v>26</v>
      </c>
      <c r="C3497" s="1" t="n">
        <v>826000</v>
      </c>
      <c r="D3497" s="1" t="n">
        <v>14869.8</v>
      </c>
      <c r="E3497" s="1" t="n">
        <v>0.0147</v>
      </c>
      <c r="F3497" s="1" t="n">
        <v>0.0585</v>
      </c>
    </row>
    <row r="3498" customFormat="false" ht="15" hidden="false" customHeight="false" outlineLevel="0" collapsed="false">
      <c r="A3498" s="1" t="s">
        <v>3533</v>
      </c>
      <c r="B3498" s="1" t="s">
        <v>26</v>
      </c>
      <c r="C3498" s="1" t="n">
        <v>980000</v>
      </c>
      <c r="D3498" s="1" t="n">
        <v>5919728.4</v>
      </c>
      <c r="E3498" s="1" t="n">
        <v>0.009</v>
      </c>
      <c r="F3498" s="1" t="n">
        <v>0.0822</v>
      </c>
    </row>
    <row r="3499" customFormat="false" ht="15" hidden="false" customHeight="false" outlineLevel="0" collapsed="false">
      <c r="A3499" s="1" t="s">
        <v>3534</v>
      </c>
      <c r="B3499" s="1" t="s">
        <v>26</v>
      </c>
      <c r="C3499" s="1" t="n">
        <v>912000</v>
      </c>
      <c r="D3499" s="1" t="n">
        <v>998.2</v>
      </c>
      <c r="E3499" s="1" t="n">
        <v>0.0169</v>
      </c>
      <c r="F3499" s="1" t="n">
        <v>0.0576</v>
      </c>
    </row>
    <row r="3500" customFormat="false" ht="15" hidden="false" customHeight="false" outlineLevel="0" collapsed="false">
      <c r="A3500" s="1" t="s">
        <v>3535</v>
      </c>
      <c r="B3500" s="1" t="s">
        <v>81</v>
      </c>
      <c r="C3500" s="1" t="n">
        <v>767000</v>
      </c>
      <c r="D3500" s="1" t="n">
        <v>37621.3</v>
      </c>
      <c r="E3500" s="1" t="n">
        <v>0.0265</v>
      </c>
      <c r="F3500" s="1" t="n">
        <v>0.117</v>
      </c>
    </row>
    <row r="3501" customFormat="false" ht="15" hidden="false" customHeight="false" outlineLevel="0" collapsed="false">
      <c r="A3501" s="1" t="s">
        <v>3536</v>
      </c>
      <c r="B3501" s="1" t="s">
        <v>41</v>
      </c>
      <c r="C3501" s="1" t="n">
        <v>831000</v>
      </c>
      <c r="D3501" s="1" t="n">
        <v>10229.4</v>
      </c>
      <c r="E3501" s="1" t="n">
        <v>0.0363</v>
      </c>
      <c r="F3501" s="1" t="n">
        <v>0.0938</v>
      </c>
    </row>
    <row r="3502" customFormat="false" ht="15" hidden="false" customHeight="false" outlineLevel="0" collapsed="false">
      <c r="A3502" s="1" t="s">
        <v>3537</v>
      </c>
      <c r="B3502" s="1" t="s">
        <v>214</v>
      </c>
      <c r="C3502" s="1" t="n">
        <v>1550000</v>
      </c>
      <c r="D3502" s="1" t="n">
        <v>23041.9</v>
      </c>
      <c r="F3502" s="1" t="n">
        <v>0.0409</v>
      </c>
    </row>
    <row r="3503" customFormat="false" ht="15" hidden="false" customHeight="false" outlineLevel="0" collapsed="false">
      <c r="A3503" s="1" t="s">
        <v>3538</v>
      </c>
      <c r="B3503" s="1" t="s">
        <v>88</v>
      </c>
      <c r="C3503" s="1" t="n">
        <v>1030000</v>
      </c>
      <c r="D3503" s="1" t="n">
        <v>1979.4</v>
      </c>
      <c r="E3503" s="1" t="n">
        <v>0.0408</v>
      </c>
      <c r="F3503" s="1" t="n">
        <v>0.117</v>
      </c>
    </row>
    <row r="3504" customFormat="false" ht="15" hidden="false" customHeight="false" outlineLevel="0" collapsed="false">
      <c r="A3504" s="1" t="s">
        <v>3539</v>
      </c>
      <c r="B3504" s="1" t="s">
        <v>26</v>
      </c>
      <c r="C3504" s="1" t="n">
        <v>827000</v>
      </c>
      <c r="D3504" s="1" t="n">
        <v>4975</v>
      </c>
      <c r="E3504" s="1" t="n">
        <v>0.0192</v>
      </c>
      <c r="F3504" s="1" t="n">
        <v>0.0854</v>
      </c>
    </row>
    <row r="3505" customFormat="false" ht="15" hidden="false" customHeight="false" outlineLevel="0" collapsed="false">
      <c r="A3505" s="1" t="s">
        <v>3540</v>
      </c>
      <c r="B3505" s="1" t="s">
        <v>26</v>
      </c>
      <c r="C3505" s="1" t="n">
        <v>960000</v>
      </c>
      <c r="D3505" s="1" t="n">
        <v>292.1</v>
      </c>
      <c r="E3505" s="1" t="n">
        <v>0.0339</v>
      </c>
      <c r="F3505" s="1" t="n">
        <v>0.0938</v>
      </c>
    </row>
    <row r="3506" customFormat="false" ht="15" hidden="false" customHeight="false" outlineLevel="0" collapsed="false">
      <c r="A3506" s="1" t="s">
        <v>3541</v>
      </c>
      <c r="B3506" s="1" t="s">
        <v>32</v>
      </c>
      <c r="C3506" s="1" t="n">
        <v>826000</v>
      </c>
      <c r="D3506" s="1" t="n">
        <v>277949.9</v>
      </c>
      <c r="E3506" s="1" t="n">
        <v>0.0221</v>
      </c>
      <c r="F3506" s="1" t="n">
        <v>0.0518</v>
      </c>
    </row>
    <row r="3507" customFormat="false" ht="15" hidden="false" customHeight="false" outlineLevel="0" collapsed="false">
      <c r="A3507" s="1" t="s">
        <v>3542</v>
      </c>
      <c r="B3507" s="1" t="s">
        <v>74</v>
      </c>
      <c r="C3507" s="1" t="n">
        <v>1630000</v>
      </c>
      <c r="D3507" s="1" t="n">
        <v>1494.6</v>
      </c>
      <c r="E3507" s="1" t="n">
        <v>0.0231</v>
      </c>
      <c r="F3507" s="1" t="n">
        <v>0.1226</v>
      </c>
    </row>
    <row r="3508" customFormat="false" ht="15" hidden="false" customHeight="false" outlineLevel="0" collapsed="false">
      <c r="A3508" s="1" t="s">
        <v>3543</v>
      </c>
      <c r="B3508" s="1" t="s">
        <v>26</v>
      </c>
      <c r="C3508" s="1" t="n">
        <v>1580000</v>
      </c>
      <c r="D3508" s="1" t="n">
        <v>1169875.9</v>
      </c>
      <c r="E3508" s="1" t="n">
        <v>0.0621</v>
      </c>
      <c r="F3508" s="1" t="n">
        <v>0.0538</v>
      </c>
    </row>
    <row r="3509" customFormat="false" ht="15" hidden="false" customHeight="false" outlineLevel="0" collapsed="false">
      <c r="A3509" s="1" t="s">
        <v>3544</v>
      </c>
      <c r="B3509" s="1" t="s">
        <v>88</v>
      </c>
      <c r="C3509" s="1" t="n">
        <v>785000</v>
      </c>
      <c r="D3509" s="1" t="n">
        <v>238.5</v>
      </c>
      <c r="E3509" s="1" t="n">
        <v>0.017</v>
      </c>
      <c r="F3509" s="1" t="n">
        <v>0.0576</v>
      </c>
    </row>
    <row r="3510" customFormat="false" ht="15" hidden="false" customHeight="false" outlineLevel="0" collapsed="false">
      <c r="A3510" s="1" t="s">
        <v>3545</v>
      </c>
      <c r="B3510" s="1" t="s">
        <v>214</v>
      </c>
      <c r="C3510" s="1" t="n">
        <v>973000</v>
      </c>
      <c r="D3510" s="1" t="n">
        <v>37924.8</v>
      </c>
      <c r="E3510" s="1" t="n">
        <v>0.0429</v>
      </c>
      <c r="F3510" s="1" t="n">
        <v>0.0759</v>
      </c>
    </row>
    <row r="3511" customFormat="false" ht="15" hidden="false" customHeight="false" outlineLevel="0" collapsed="false">
      <c r="A3511" s="1" t="s">
        <v>3546</v>
      </c>
      <c r="B3511" s="1" t="s">
        <v>26</v>
      </c>
      <c r="C3511" s="1" t="n">
        <v>1120000</v>
      </c>
      <c r="D3511" s="1" t="n">
        <v>346977.2</v>
      </c>
      <c r="E3511" s="1" t="n">
        <v>0.0195</v>
      </c>
      <c r="F3511" s="1" t="n">
        <v>0.1067</v>
      </c>
    </row>
    <row r="3512" customFormat="false" ht="15" hidden="false" customHeight="false" outlineLevel="0" collapsed="false">
      <c r="A3512" s="1" t="s">
        <v>3547</v>
      </c>
      <c r="B3512" s="1" t="s">
        <v>88</v>
      </c>
      <c r="C3512" s="1" t="n">
        <v>1200000</v>
      </c>
      <c r="D3512" s="1" t="n">
        <v>24348.7</v>
      </c>
      <c r="E3512" s="1" t="n">
        <v>0.0307</v>
      </c>
      <c r="F3512" s="1" t="n">
        <v>0.117</v>
      </c>
    </row>
    <row r="3513" customFormat="false" ht="15" hidden="false" customHeight="false" outlineLevel="0" collapsed="false">
      <c r="A3513" s="1" t="s">
        <v>3548</v>
      </c>
      <c r="B3513" s="1" t="s">
        <v>88</v>
      </c>
      <c r="C3513" s="1" t="n">
        <v>1100000</v>
      </c>
      <c r="D3513" s="1" t="n">
        <v>30053.7</v>
      </c>
      <c r="E3513" s="1" t="n">
        <v>0.034</v>
      </c>
      <c r="F3513" s="1" t="n">
        <v>0.0759</v>
      </c>
    </row>
    <row r="3514" customFormat="false" ht="15" hidden="false" customHeight="false" outlineLevel="0" collapsed="false">
      <c r="A3514" s="1" t="s">
        <v>3549</v>
      </c>
      <c r="B3514" s="1" t="s">
        <v>92</v>
      </c>
      <c r="C3514" s="1" t="n">
        <v>1040000</v>
      </c>
      <c r="D3514" s="1" t="n">
        <v>3746.1</v>
      </c>
      <c r="E3514" s="1" t="n">
        <v>0.0297</v>
      </c>
      <c r="F3514" s="1" t="n">
        <v>0.0759</v>
      </c>
    </row>
    <row r="3515" customFormat="false" ht="15" hidden="false" customHeight="false" outlineLevel="0" collapsed="false">
      <c r="A3515" s="1" t="s">
        <v>3550</v>
      </c>
      <c r="B3515" s="1" t="s">
        <v>32</v>
      </c>
      <c r="C3515" s="1" t="n">
        <v>1160000</v>
      </c>
      <c r="D3515" s="1" t="n">
        <v>497019.8</v>
      </c>
      <c r="E3515" s="1" t="n">
        <v>0.03</v>
      </c>
      <c r="F3515" s="1" t="n">
        <v>0.0951</v>
      </c>
    </row>
    <row r="3516" customFormat="false" ht="15" hidden="false" customHeight="false" outlineLevel="0" collapsed="false">
      <c r="A3516" s="1" t="s">
        <v>3551</v>
      </c>
      <c r="B3516" s="1" t="s">
        <v>214</v>
      </c>
      <c r="C3516" s="1" t="n">
        <v>772000</v>
      </c>
      <c r="D3516" s="1" t="n">
        <v>25490.3</v>
      </c>
      <c r="E3516" s="1" t="n">
        <v>0.0327</v>
      </c>
      <c r="F3516" s="1" t="n">
        <v>0.0951</v>
      </c>
    </row>
    <row r="3517" customFormat="false" ht="15" hidden="false" customHeight="false" outlineLevel="0" collapsed="false">
      <c r="A3517" s="1" t="s">
        <v>3552</v>
      </c>
      <c r="B3517" s="1" t="s">
        <v>26</v>
      </c>
      <c r="C3517" s="1" t="n">
        <v>1130000</v>
      </c>
      <c r="D3517" s="1" t="n">
        <v>16658.2</v>
      </c>
      <c r="E3517" s="1" t="n">
        <v>0.0077</v>
      </c>
      <c r="F3517" s="1" t="n">
        <v>0.0811</v>
      </c>
    </row>
    <row r="3518" customFormat="false" ht="15" hidden="false" customHeight="false" outlineLevel="0" collapsed="false">
      <c r="A3518" s="1" t="s">
        <v>3553</v>
      </c>
      <c r="B3518" s="1" t="s">
        <v>74</v>
      </c>
      <c r="C3518" s="1" t="n">
        <v>898000</v>
      </c>
      <c r="D3518" s="1" t="n">
        <v>47079.9</v>
      </c>
      <c r="E3518" s="1" t="n">
        <v>0.0382</v>
      </c>
      <c r="F3518" s="1" t="n">
        <v>0.0951</v>
      </c>
    </row>
    <row r="3519" customFormat="false" ht="15" hidden="false" customHeight="false" outlineLevel="0" collapsed="false">
      <c r="A3519" s="1" t="s">
        <v>3554</v>
      </c>
      <c r="B3519" s="1" t="s">
        <v>88</v>
      </c>
      <c r="C3519" s="1" t="n">
        <v>906000</v>
      </c>
      <c r="D3519" s="1" t="n">
        <v>4720.5</v>
      </c>
      <c r="E3519" s="1" t="n">
        <v>0.0317</v>
      </c>
      <c r="F3519" s="1" t="n">
        <v>0.117</v>
      </c>
    </row>
    <row r="3520" customFormat="false" ht="15" hidden="false" customHeight="false" outlineLevel="0" collapsed="false">
      <c r="A3520" s="1" t="s">
        <v>3555</v>
      </c>
      <c r="B3520" s="1" t="s">
        <v>74</v>
      </c>
      <c r="C3520" s="1" t="n">
        <v>1160000</v>
      </c>
      <c r="D3520" s="1" t="n">
        <v>12245.7</v>
      </c>
      <c r="E3520" s="1" t="n">
        <v>0.0341</v>
      </c>
      <c r="F3520" s="1" t="n">
        <v>0.0938</v>
      </c>
    </row>
    <row r="3521" customFormat="false" ht="15" hidden="false" customHeight="false" outlineLevel="0" collapsed="false">
      <c r="A3521" s="1" t="s">
        <v>3556</v>
      </c>
      <c r="B3521" s="1" t="s">
        <v>24</v>
      </c>
      <c r="C3521" s="1" t="n">
        <v>799000</v>
      </c>
      <c r="D3521" s="1" t="n">
        <v>13631.4</v>
      </c>
      <c r="E3521" s="1" t="n">
        <v>0.0302</v>
      </c>
      <c r="F3521" s="1" t="n">
        <v>0.0951</v>
      </c>
    </row>
    <row r="3522" customFormat="false" ht="15" hidden="false" customHeight="false" outlineLevel="0" collapsed="false">
      <c r="A3522" s="1" t="s">
        <v>3557</v>
      </c>
      <c r="B3522" s="1" t="s">
        <v>35</v>
      </c>
      <c r="C3522" s="1" t="n">
        <v>852000</v>
      </c>
      <c r="D3522" s="1" t="n">
        <v>42150.5</v>
      </c>
      <c r="E3522" s="1" t="n">
        <v>0.0207</v>
      </c>
      <c r="F3522" s="1" t="n">
        <v>0.0854</v>
      </c>
    </row>
    <row r="3523" customFormat="false" ht="15" hidden="false" customHeight="false" outlineLevel="0" collapsed="false">
      <c r="A3523" s="1" t="s">
        <v>3558</v>
      </c>
      <c r="B3523" s="1" t="s">
        <v>92</v>
      </c>
      <c r="C3523" s="1" t="n">
        <v>797000</v>
      </c>
      <c r="D3523" s="1" t="n">
        <v>576.1</v>
      </c>
      <c r="E3523" s="1" t="n">
        <v>0.0468</v>
      </c>
      <c r="F3523" s="1" t="n">
        <v>0.0894</v>
      </c>
    </row>
    <row r="3524" customFormat="false" ht="15" hidden="false" customHeight="false" outlineLevel="0" collapsed="false">
      <c r="A3524" s="1" t="s">
        <v>3559</v>
      </c>
      <c r="B3524" s="1" t="s">
        <v>53</v>
      </c>
      <c r="C3524" s="1" t="n">
        <v>848000</v>
      </c>
      <c r="D3524" s="1" t="n">
        <v>22707.5</v>
      </c>
      <c r="E3524" s="1" t="n">
        <v>0.029</v>
      </c>
      <c r="F3524" s="1" t="n">
        <v>0.0644</v>
      </c>
    </row>
    <row r="3525" customFormat="false" ht="15" hidden="false" customHeight="false" outlineLevel="0" collapsed="false">
      <c r="A3525" s="1" t="s">
        <v>3560</v>
      </c>
      <c r="B3525" s="1" t="s">
        <v>21</v>
      </c>
      <c r="C3525" s="1" t="n">
        <v>2160000</v>
      </c>
      <c r="D3525" s="1" t="n">
        <v>62432.2</v>
      </c>
      <c r="E3525" s="1" t="n">
        <v>0.0074</v>
      </c>
      <c r="F3525" s="1" t="n">
        <v>0.0811</v>
      </c>
    </row>
    <row r="3526" customFormat="false" ht="15" hidden="false" customHeight="false" outlineLevel="0" collapsed="false">
      <c r="A3526" s="1" t="s">
        <v>3561</v>
      </c>
      <c r="B3526" s="1" t="s">
        <v>88</v>
      </c>
      <c r="C3526" s="1" t="n">
        <v>917000</v>
      </c>
      <c r="D3526" s="1" t="n">
        <v>1801.2</v>
      </c>
      <c r="E3526" s="1" t="n">
        <v>0.0213</v>
      </c>
      <c r="F3526" s="1" t="n">
        <v>0.0854</v>
      </c>
    </row>
    <row r="3527" customFormat="false" ht="15" hidden="false" customHeight="false" outlineLevel="0" collapsed="false">
      <c r="A3527" s="1" t="s">
        <v>3562</v>
      </c>
      <c r="B3527" s="1" t="s">
        <v>71</v>
      </c>
      <c r="C3527" s="1" t="n">
        <v>909000</v>
      </c>
      <c r="D3527" s="1" t="n">
        <v>24193</v>
      </c>
      <c r="E3527" s="1" t="n">
        <v>0.0604</v>
      </c>
      <c r="F3527" s="1" t="n">
        <v>0.0938</v>
      </c>
    </row>
    <row r="3528" customFormat="false" ht="15" hidden="false" customHeight="false" outlineLevel="0" collapsed="false">
      <c r="A3528" s="1" t="s">
        <v>3563</v>
      </c>
      <c r="B3528" s="1" t="s">
        <v>88</v>
      </c>
      <c r="C3528" s="1" t="n">
        <v>951000</v>
      </c>
      <c r="D3528" s="1" t="n">
        <v>984.8</v>
      </c>
      <c r="E3528" s="1" t="n">
        <v>0.02</v>
      </c>
      <c r="F3528" s="1" t="n">
        <v>0.1594</v>
      </c>
    </row>
    <row r="3529" customFormat="false" ht="15" hidden="false" customHeight="false" outlineLevel="0" collapsed="false">
      <c r="A3529" s="1" t="s">
        <v>3564</v>
      </c>
      <c r="B3529" s="1" t="s">
        <v>26</v>
      </c>
      <c r="C3529" s="1" t="n">
        <v>753000</v>
      </c>
      <c r="D3529" s="1" t="n">
        <v>1341</v>
      </c>
      <c r="E3529" s="1" t="n">
        <v>0.007</v>
      </c>
      <c r="F3529" s="1" t="n">
        <v>0.0654</v>
      </c>
    </row>
    <row r="3530" customFormat="false" ht="15" hidden="false" customHeight="false" outlineLevel="0" collapsed="false">
      <c r="A3530" s="1" t="s">
        <v>3565</v>
      </c>
      <c r="B3530" s="1" t="s">
        <v>62</v>
      </c>
      <c r="C3530" s="1" t="n">
        <v>1030000</v>
      </c>
      <c r="D3530" s="1" t="n">
        <v>446.7</v>
      </c>
      <c r="E3530" s="1" t="n">
        <v>0.0644</v>
      </c>
      <c r="F3530" s="1" t="n">
        <v>0.0643</v>
      </c>
    </row>
    <row r="3531" customFormat="false" ht="15" hidden="false" customHeight="false" outlineLevel="0" collapsed="false">
      <c r="A3531" s="1" t="s">
        <v>3566</v>
      </c>
      <c r="B3531" s="1" t="s">
        <v>21</v>
      </c>
      <c r="C3531" s="1" t="n">
        <v>1150000</v>
      </c>
      <c r="D3531" s="1" t="n">
        <v>23299.3</v>
      </c>
      <c r="E3531" s="1" t="n">
        <v>0.0208</v>
      </c>
      <c r="F3531" s="1" t="n">
        <v>0.0462</v>
      </c>
    </row>
    <row r="3532" customFormat="false" ht="15" hidden="false" customHeight="false" outlineLevel="0" collapsed="false">
      <c r="A3532" s="1" t="s">
        <v>3567</v>
      </c>
      <c r="B3532" s="1" t="s">
        <v>32</v>
      </c>
      <c r="C3532" s="1" t="n">
        <v>1090000</v>
      </c>
      <c r="D3532" s="1" t="n">
        <v>232658.7</v>
      </c>
      <c r="E3532" s="1" t="n">
        <v>0.0059</v>
      </c>
      <c r="F3532" s="1" t="n">
        <v>0.0822</v>
      </c>
    </row>
    <row r="3533" customFormat="false" ht="15" hidden="false" customHeight="false" outlineLevel="0" collapsed="false">
      <c r="A3533" s="1" t="s">
        <v>3568</v>
      </c>
      <c r="B3533" s="1" t="s">
        <v>81</v>
      </c>
      <c r="C3533" s="1" t="n">
        <v>1110000</v>
      </c>
      <c r="D3533" s="1" t="n">
        <v>80471.5</v>
      </c>
      <c r="E3533" s="1" t="n">
        <v>0.0381</v>
      </c>
      <c r="F3533" s="1" t="n">
        <v>0.0759</v>
      </c>
    </row>
    <row r="3534" customFormat="false" ht="15" hidden="false" customHeight="false" outlineLevel="0" collapsed="false">
      <c r="A3534" s="1" t="s">
        <v>3569</v>
      </c>
      <c r="B3534" s="1" t="s">
        <v>26</v>
      </c>
      <c r="C3534" s="1" t="n">
        <v>734000</v>
      </c>
      <c r="D3534" s="1" t="n">
        <v>182.7</v>
      </c>
      <c r="E3534" s="1" t="n">
        <v>0.0088</v>
      </c>
      <c r="F3534" s="1" t="n">
        <v>0.0822</v>
      </c>
    </row>
    <row r="3535" customFormat="false" ht="15" hidden="false" customHeight="false" outlineLevel="0" collapsed="false">
      <c r="A3535" s="1" t="s">
        <v>3570</v>
      </c>
      <c r="B3535" s="1" t="s">
        <v>32</v>
      </c>
      <c r="C3535" s="1" t="n">
        <v>853000</v>
      </c>
      <c r="D3535" s="1" t="n">
        <v>7012</v>
      </c>
      <c r="E3535" s="1" t="n">
        <v>0.0151</v>
      </c>
      <c r="F3535" s="1" t="n">
        <v>0.0657</v>
      </c>
    </row>
    <row r="3536" customFormat="false" ht="15" hidden="false" customHeight="false" outlineLevel="0" collapsed="false">
      <c r="A3536" s="1" t="s">
        <v>3571</v>
      </c>
      <c r="B3536" s="1" t="s">
        <v>26</v>
      </c>
      <c r="C3536" s="1" t="n">
        <v>1770000</v>
      </c>
      <c r="D3536" s="1" t="n">
        <v>21093.1</v>
      </c>
      <c r="E3536" s="1" t="n">
        <v>0.0359</v>
      </c>
      <c r="F3536" s="1" t="n">
        <v>0.0759</v>
      </c>
    </row>
    <row r="3537" customFormat="false" ht="15" hidden="false" customHeight="false" outlineLevel="0" collapsed="false">
      <c r="A3537" s="1" t="s">
        <v>3572</v>
      </c>
      <c r="B3537" s="1" t="s">
        <v>214</v>
      </c>
      <c r="C3537" s="1" t="n">
        <v>926000</v>
      </c>
      <c r="D3537" s="1" t="n">
        <v>10263.9</v>
      </c>
      <c r="F3537" s="1" t="n">
        <v>0.051</v>
      </c>
    </row>
    <row r="3538" customFormat="false" ht="15" hidden="false" customHeight="false" outlineLevel="0" collapsed="false">
      <c r="A3538" s="1" t="s">
        <v>3573</v>
      </c>
      <c r="B3538" s="1" t="s">
        <v>26</v>
      </c>
      <c r="C3538" s="1" t="n">
        <v>893000</v>
      </c>
      <c r="D3538" s="1" t="n">
        <v>272805.5</v>
      </c>
      <c r="E3538" s="1" t="n">
        <v>0.0236</v>
      </c>
      <c r="F3538" s="1" t="n">
        <v>0.0409</v>
      </c>
    </row>
    <row r="3539" customFormat="false" ht="15" hidden="false" customHeight="false" outlineLevel="0" collapsed="false">
      <c r="A3539" s="1" t="s">
        <v>3574</v>
      </c>
      <c r="B3539" s="1" t="s">
        <v>26</v>
      </c>
      <c r="C3539" s="1" t="n">
        <v>2490000</v>
      </c>
      <c r="D3539" s="1" t="n">
        <v>1603531.4</v>
      </c>
      <c r="E3539" s="1" t="n">
        <v>0.0204</v>
      </c>
      <c r="F3539" s="1" t="n">
        <v>0.0462</v>
      </c>
    </row>
    <row r="3540" customFormat="false" ht="15" hidden="false" customHeight="false" outlineLevel="0" collapsed="false">
      <c r="A3540" s="1" t="s">
        <v>3575</v>
      </c>
      <c r="B3540" s="1" t="s">
        <v>71</v>
      </c>
      <c r="C3540" s="1" t="n">
        <v>834000</v>
      </c>
      <c r="D3540" s="1" t="n">
        <v>395.7</v>
      </c>
      <c r="E3540" s="1" t="n">
        <v>0.0037</v>
      </c>
      <c r="F3540" s="1" t="n">
        <v>0.227</v>
      </c>
    </row>
    <row r="3541" customFormat="false" ht="15" hidden="false" customHeight="false" outlineLevel="0" collapsed="false">
      <c r="A3541" s="1" t="s">
        <v>3576</v>
      </c>
      <c r="B3541" s="1" t="s">
        <v>50</v>
      </c>
      <c r="C3541" s="1" t="n">
        <v>1110000</v>
      </c>
      <c r="D3541" s="1" t="n">
        <v>214528.8</v>
      </c>
      <c r="E3541" s="1" t="n">
        <v>0.0529</v>
      </c>
      <c r="F3541" s="1" t="n">
        <v>0.0759</v>
      </c>
    </row>
    <row r="3542" customFormat="false" ht="15" hidden="false" customHeight="false" outlineLevel="0" collapsed="false">
      <c r="A3542" s="1" t="s">
        <v>3577</v>
      </c>
      <c r="B3542" s="1" t="s">
        <v>53</v>
      </c>
      <c r="C3542" s="1" t="n">
        <v>730000</v>
      </c>
      <c r="D3542" s="1" t="n">
        <v>1963.8</v>
      </c>
      <c r="E3542" s="1" t="n">
        <v>0.0338</v>
      </c>
      <c r="F3542" s="1" t="n">
        <v>0.0951</v>
      </c>
    </row>
    <row r="3543" customFormat="false" ht="15" hidden="false" customHeight="false" outlineLevel="0" collapsed="false">
      <c r="A3543" s="1" t="s">
        <v>3578</v>
      </c>
      <c r="B3543" s="1" t="s">
        <v>21</v>
      </c>
      <c r="C3543" s="1" t="n">
        <v>1970000</v>
      </c>
      <c r="D3543" s="1" t="n">
        <v>2461.9</v>
      </c>
      <c r="E3543" s="1" t="n">
        <v>0.0076</v>
      </c>
      <c r="F3543" s="1" t="n">
        <v>0.0654</v>
      </c>
    </row>
    <row r="3544" customFormat="false" ht="15" hidden="false" customHeight="false" outlineLevel="0" collapsed="false">
      <c r="A3544" s="1" t="s">
        <v>3579</v>
      </c>
      <c r="B3544" s="1" t="s">
        <v>26</v>
      </c>
      <c r="C3544" s="1" t="n">
        <v>1100000</v>
      </c>
      <c r="D3544" s="1" t="n">
        <v>624501.9</v>
      </c>
      <c r="E3544" s="1" t="n">
        <v>0.0262</v>
      </c>
      <c r="F3544" s="1" t="n">
        <v>0.0759</v>
      </c>
    </row>
    <row r="3545" customFormat="false" ht="15" hidden="false" customHeight="false" outlineLevel="0" collapsed="false">
      <c r="A3545" s="1" t="s">
        <v>3580</v>
      </c>
      <c r="B3545" s="1" t="s">
        <v>26</v>
      </c>
      <c r="C3545" s="1" t="n">
        <v>727000</v>
      </c>
      <c r="D3545" s="1" t="n">
        <v>116577.6</v>
      </c>
      <c r="E3545" s="1" t="n">
        <v>0.0373</v>
      </c>
      <c r="F3545" s="1" t="n">
        <v>0.0546</v>
      </c>
    </row>
    <row r="3546" customFormat="false" ht="15" hidden="false" customHeight="false" outlineLevel="0" collapsed="false">
      <c r="A3546" s="1" t="s">
        <v>3581</v>
      </c>
      <c r="B3546" s="1" t="s">
        <v>62</v>
      </c>
      <c r="C3546" s="1" t="n">
        <v>956000</v>
      </c>
      <c r="D3546" s="1" t="n">
        <v>75645.3</v>
      </c>
      <c r="F3546" s="1" t="n">
        <v>0.0518</v>
      </c>
    </row>
    <row r="3547" customFormat="false" ht="15" hidden="false" customHeight="false" outlineLevel="0" collapsed="false">
      <c r="A3547" s="1" t="s">
        <v>3582</v>
      </c>
      <c r="B3547" s="1" t="s">
        <v>24</v>
      </c>
      <c r="C3547" s="1" t="n">
        <v>777000</v>
      </c>
      <c r="D3547" s="1" t="n">
        <v>10774.4</v>
      </c>
      <c r="E3547" s="1" t="n">
        <v>0.0386</v>
      </c>
      <c r="F3547" s="1" t="n">
        <v>0.0938</v>
      </c>
    </row>
    <row r="3548" customFormat="false" ht="15" hidden="false" customHeight="false" outlineLevel="0" collapsed="false">
      <c r="A3548" s="1" t="s">
        <v>3583</v>
      </c>
      <c r="B3548" s="1" t="s">
        <v>32</v>
      </c>
      <c r="C3548" s="1" t="n">
        <v>828000</v>
      </c>
      <c r="D3548" s="1" t="n">
        <v>23471.5</v>
      </c>
      <c r="E3548" s="1" t="n">
        <v>0.011</v>
      </c>
      <c r="F3548" s="1" t="n">
        <v>0.0654</v>
      </c>
    </row>
    <row r="3549" customFormat="false" ht="15" hidden="false" customHeight="false" outlineLevel="0" collapsed="false">
      <c r="A3549" s="1" t="s">
        <v>3584</v>
      </c>
      <c r="B3549" s="1" t="s">
        <v>26</v>
      </c>
      <c r="C3549" s="1" t="n">
        <v>831000</v>
      </c>
      <c r="D3549" s="1" t="n">
        <v>19182.5</v>
      </c>
      <c r="E3549" s="1" t="n">
        <v>0.0472</v>
      </c>
      <c r="F3549" s="1" t="n">
        <v>0.0951</v>
      </c>
    </row>
    <row r="3550" customFormat="false" ht="15" hidden="false" customHeight="false" outlineLevel="0" collapsed="false">
      <c r="A3550" s="1" t="s">
        <v>3585</v>
      </c>
      <c r="B3550" s="1" t="s">
        <v>24</v>
      </c>
      <c r="C3550" s="1" t="n">
        <v>1120000</v>
      </c>
      <c r="D3550" s="1" t="n">
        <v>71282.2</v>
      </c>
      <c r="E3550" s="1" t="n">
        <v>0.0225</v>
      </c>
      <c r="F3550" s="1" t="n">
        <v>0.0759</v>
      </c>
    </row>
    <row r="3551" customFormat="false" ht="15" hidden="false" customHeight="false" outlineLevel="0" collapsed="false">
      <c r="A3551" s="1" t="s">
        <v>3586</v>
      </c>
      <c r="B3551" s="1" t="s">
        <v>53</v>
      </c>
      <c r="C3551" s="1" t="n">
        <v>1220000</v>
      </c>
      <c r="D3551" s="1" t="n">
        <v>86306.7</v>
      </c>
      <c r="E3551" s="1" t="n">
        <v>0.0576</v>
      </c>
      <c r="F3551" s="1" t="n">
        <v>0.0759</v>
      </c>
    </row>
    <row r="3552" customFormat="false" ht="15" hidden="false" customHeight="false" outlineLevel="0" collapsed="false">
      <c r="A3552" s="1" t="s">
        <v>3587</v>
      </c>
      <c r="B3552" s="1" t="s">
        <v>88</v>
      </c>
      <c r="C3552" s="1" t="n">
        <v>782000</v>
      </c>
      <c r="D3552" s="1" t="n">
        <v>8868.1</v>
      </c>
      <c r="E3552" s="1" t="n">
        <v>0.0479</v>
      </c>
      <c r="F3552" s="1" t="n">
        <v>0.0951</v>
      </c>
    </row>
    <row r="3553" customFormat="false" ht="15" hidden="false" customHeight="false" outlineLevel="0" collapsed="false">
      <c r="A3553" s="1" t="s">
        <v>3588</v>
      </c>
      <c r="B3553" s="1" t="s">
        <v>32</v>
      </c>
      <c r="C3553" s="1" t="n">
        <v>800000</v>
      </c>
      <c r="D3553" s="1" t="n">
        <v>77967.3</v>
      </c>
      <c r="E3553" s="1" t="n">
        <v>0.0005</v>
      </c>
      <c r="F3553" s="1" t="n">
        <v>0.1027</v>
      </c>
    </row>
    <row r="3554" customFormat="false" ht="15" hidden="false" customHeight="false" outlineLevel="0" collapsed="false">
      <c r="A3554" s="1" t="s">
        <v>3589</v>
      </c>
      <c r="B3554" s="1" t="s">
        <v>88</v>
      </c>
      <c r="C3554" s="1" t="n">
        <v>1000000</v>
      </c>
      <c r="D3554" s="1" t="n">
        <v>6431.5</v>
      </c>
      <c r="E3554" s="1" t="n">
        <v>0.0473</v>
      </c>
      <c r="F3554" s="1" t="n">
        <v>0.0938</v>
      </c>
    </row>
    <row r="3555" customFormat="false" ht="15" hidden="false" customHeight="false" outlineLevel="0" collapsed="false">
      <c r="A3555" s="1" t="s">
        <v>3590</v>
      </c>
      <c r="B3555" s="1" t="s">
        <v>490</v>
      </c>
      <c r="C3555" s="1" t="n">
        <v>1100000</v>
      </c>
      <c r="D3555" s="1" t="n">
        <v>14864</v>
      </c>
      <c r="E3555" s="1" t="n">
        <v>0.0249</v>
      </c>
      <c r="F3555" s="1" t="n">
        <v>0.0951</v>
      </c>
    </row>
    <row r="3556" customFormat="false" ht="15" hidden="false" customHeight="false" outlineLevel="0" collapsed="false">
      <c r="A3556" s="1" t="s">
        <v>3591</v>
      </c>
      <c r="B3556" s="1" t="s">
        <v>26</v>
      </c>
      <c r="C3556" s="1" t="n">
        <v>848000</v>
      </c>
      <c r="D3556" s="1" t="n">
        <v>2673.6</v>
      </c>
      <c r="E3556" s="1" t="n">
        <v>0.0736</v>
      </c>
      <c r="F3556" s="1" t="n">
        <v>0.0759</v>
      </c>
    </row>
    <row r="3557" customFormat="false" ht="15" hidden="false" customHeight="false" outlineLevel="0" collapsed="false">
      <c r="A3557" s="1" t="s">
        <v>3592</v>
      </c>
      <c r="B3557" s="1" t="s">
        <v>195</v>
      </c>
      <c r="C3557" s="1" t="n">
        <v>841000</v>
      </c>
      <c r="D3557" s="1" t="n">
        <v>7202.9</v>
      </c>
      <c r="E3557" s="1" t="n">
        <v>0.0339</v>
      </c>
      <c r="F3557" s="1" t="n">
        <v>0.0759</v>
      </c>
    </row>
    <row r="3558" customFormat="false" ht="15" hidden="false" customHeight="false" outlineLevel="0" collapsed="false">
      <c r="A3558" s="1" t="s">
        <v>3593</v>
      </c>
      <c r="B3558" s="1" t="s">
        <v>92</v>
      </c>
      <c r="C3558" s="1" t="n">
        <v>896000</v>
      </c>
      <c r="D3558" s="1" t="n">
        <v>46811.3</v>
      </c>
      <c r="E3558" s="1" t="n">
        <v>0.014</v>
      </c>
      <c r="F3558" s="1" t="n">
        <v>0.0462</v>
      </c>
    </row>
    <row r="3559" customFormat="false" ht="15" hidden="false" customHeight="false" outlineLevel="0" collapsed="false">
      <c r="A3559" s="1" t="s">
        <v>3594</v>
      </c>
      <c r="B3559" s="1" t="s">
        <v>74</v>
      </c>
      <c r="C3559" s="1" t="n">
        <v>2320000</v>
      </c>
      <c r="D3559" s="1" t="n">
        <v>20709.8</v>
      </c>
      <c r="E3559" s="1" t="n">
        <v>0.0294</v>
      </c>
      <c r="F3559" s="1" t="n">
        <v>0.0409</v>
      </c>
    </row>
    <row r="3560" customFormat="false" ht="15" hidden="false" customHeight="false" outlineLevel="0" collapsed="false">
      <c r="A3560" s="1" t="s">
        <v>3595</v>
      </c>
      <c r="B3560" s="1" t="s">
        <v>88</v>
      </c>
      <c r="C3560" s="1" t="n">
        <v>1000000</v>
      </c>
      <c r="D3560" s="1" t="n">
        <v>30085.5</v>
      </c>
      <c r="E3560" s="1" t="n">
        <v>0.0504</v>
      </c>
      <c r="F3560" s="1" t="n">
        <v>0.0759</v>
      </c>
    </row>
    <row r="3561" customFormat="false" ht="15" hidden="false" customHeight="false" outlineLevel="0" collapsed="false">
      <c r="A3561" s="1" t="s">
        <v>3596</v>
      </c>
      <c r="B3561" s="1" t="s">
        <v>490</v>
      </c>
      <c r="C3561" s="1" t="n">
        <v>1220000</v>
      </c>
      <c r="D3561" s="1" t="n">
        <v>96892.4</v>
      </c>
      <c r="E3561" s="1" t="n">
        <v>0.0244</v>
      </c>
      <c r="F3561" s="1" t="n">
        <v>0.1066</v>
      </c>
    </row>
    <row r="3562" customFormat="false" ht="15" hidden="false" customHeight="false" outlineLevel="0" collapsed="false">
      <c r="A3562" s="1" t="s">
        <v>3597</v>
      </c>
      <c r="B3562" s="1" t="s">
        <v>88</v>
      </c>
      <c r="C3562" s="1" t="n">
        <v>967000</v>
      </c>
      <c r="D3562" s="1" t="n">
        <v>2542.9</v>
      </c>
      <c r="E3562" s="1" t="n">
        <v>0.0406</v>
      </c>
      <c r="F3562" s="1" t="n">
        <v>0.0938</v>
      </c>
    </row>
    <row r="3563" customFormat="false" ht="15" hidden="false" customHeight="false" outlineLevel="0" collapsed="false">
      <c r="A3563" s="1" t="s">
        <v>3598</v>
      </c>
      <c r="B3563" s="1" t="s">
        <v>26</v>
      </c>
      <c r="C3563" s="1" t="n">
        <v>919000</v>
      </c>
      <c r="D3563" s="1" t="n">
        <v>34113.3</v>
      </c>
      <c r="E3563" s="1" t="n">
        <v>0.0444</v>
      </c>
      <c r="F3563" s="1" t="n">
        <v>0.0759</v>
      </c>
    </row>
    <row r="3564" customFormat="false" ht="15" hidden="false" customHeight="false" outlineLevel="0" collapsed="false">
      <c r="A3564" s="1" t="s">
        <v>3599</v>
      </c>
      <c r="B3564" s="1" t="s">
        <v>92</v>
      </c>
      <c r="C3564" s="1" t="n">
        <v>933000</v>
      </c>
      <c r="D3564" s="1" t="n">
        <v>123723.6</v>
      </c>
      <c r="E3564" s="1" t="n">
        <v>0.0132</v>
      </c>
      <c r="F3564" s="1" t="n">
        <v>0.0584</v>
      </c>
    </row>
    <row r="3565" customFormat="false" ht="15" hidden="false" customHeight="false" outlineLevel="0" collapsed="false">
      <c r="A3565" s="1" t="s">
        <v>3600</v>
      </c>
      <c r="B3565" s="1" t="s">
        <v>21</v>
      </c>
      <c r="C3565" s="1" t="n">
        <v>1170000</v>
      </c>
      <c r="D3565" s="1" t="n">
        <v>28052.4</v>
      </c>
      <c r="E3565" s="1" t="n">
        <v>0.0028</v>
      </c>
      <c r="F3565" s="1" t="n">
        <v>0.0654</v>
      </c>
    </row>
    <row r="3566" customFormat="false" ht="15" hidden="false" customHeight="false" outlineLevel="0" collapsed="false">
      <c r="A3566" s="1" t="s">
        <v>3601</v>
      </c>
      <c r="B3566" s="1" t="s">
        <v>41</v>
      </c>
      <c r="C3566" s="1" t="n">
        <v>1000000</v>
      </c>
      <c r="D3566" s="1" t="n">
        <v>1105181.1</v>
      </c>
      <c r="E3566" s="1" t="n">
        <v>0.0253</v>
      </c>
      <c r="F3566" s="1" t="n">
        <v>0.0432</v>
      </c>
    </row>
    <row r="3567" customFormat="false" ht="15" hidden="false" customHeight="false" outlineLevel="0" collapsed="false">
      <c r="A3567" s="1" t="s">
        <v>3602</v>
      </c>
      <c r="B3567" s="1" t="s">
        <v>24</v>
      </c>
      <c r="C3567" s="1" t="n">
        <v>802000</v>
      </c>
      <c r="D3567" s="1" t="n">
        <v>6140.4</v>
      </c>
      <c r="E3567" s="1" t="n">
        <v>0.0287</v>
      </c>
      <c r="F3567" s="1" t="n">
        <v>0.0938</v>
      </c>
    </row>
    <row r="3568" customFormat="false" ht="15" hidden="false" customHeight="false" outlineLevel="0" collapsed="false">
      <c r="A3568" s="1" t="s">
        <v>3603</v>
      </c>
      <c r="B3568" s="1" t="s">
        <v>92</v>
      </c>
      <c r="C3568" s="1" t="n">
        <v>753000</v>
      </c>
      <c r="D3568" s="1" t="n">
        <v>3905.5</v>
      </c>
      <c r="E3568" s="1" t="n">
        <v>0.0281</v>
      </c>
      <c r="F3568" s="1" t="n">
        <v>0.1066</v>
      </c>
    </row>
    <row r="3569" customFormat="false" ht="15" hidden="false" customHeight="false" outlineLevel="0" collapsed="false">
      <c r="A3569" s="1" t="s">
        <v>3604</v>
      </c>
      <c r="B3569" s="1" t="s">
        <v>26</v>
      </c>
      <c r="C3569" s="1" t="n">
        <v>1260000</v>
      </c>
      <c r="D3569" s="1" t="n">
        <v>8666923.4</v>
      </c>
      <c r="E3569" s="1" t="n">
        <v>0.0198</v>
      </c>
      <c r="F3569" s="1" t="n">
        <v>0.1067</v>
      </c>
    </row>
    <row r="3570" customFormat="false" ht="15" hidden="false" customHeight="false" outlineLevel="0" collapsed="false">
      <c r="A3570" s="1" t="s">
        <v>3605</v>
      </c>
      <c r="B3570" s="1" t="s">
        <v>53</v>
      </c>
      <c r="C3570" s="1" t="n">
        <v>858000</v>
      </c>
      <c r="D3570" s="1" t="n">
        <v>12791</v>
      </c>
      <c r="E3570" s="1" t="n">
        <v>0.0646</v>
      </c>
      <c r="F3570" s="1" t="n">
        <v>0.0759</v>
      </c>
    </row>
    <row r="3571" customFormat="false" ht="15" hidden="false" customHeight="false" outlineLevel="0" collapsed="false">
      <c r="A3571" s="1" t="s">
        <v>3606</v>
      </c>
      <c r="B3571" s="1" t="s">
        <v>41</v>
      </c>
      <c r="C3571" s="1" t="n">
        <v>1080000</v>
      </c>
      <c r="D3571" s="1" t="n">
        <v>560279.6</v>
      </c>
      <c r="E3571" s="1" t="n">
        <v>0.0455</v>
      </c>
      <c r="F3571" s="1" t="n">
        <v>0.0759</v>
      </c>
    </row>
    <row r="3572" customFormat="false" ht="15" hidden="false" customHeight="false" outlineLevel="0" collapsed="false">
      <c r="A3572" s="1" t="s">
        <v>3607</v>
      </c>
      <c r="B3572" s="1" t="s">
        <v>30</v>
      </c>
      <c r="C3572" s="1" t="n">
        <v>1150000</v>
      </c>
      <c r="D3572" s="1" t="n">
        <v>180454.1</v>
      </c>
      <c r="E3572" s="1" t="n">
        <v>0.0089</v>
      </c>
      <c r="F3572" s="1" t="n">
        <v>0.0822</v>
      </c>
    </row>
    <row r="3573" customFormat="false" ht="15" hidden="false" customHeight="false" outlineLevel="0" collapsed="false">
      <c r="A3573" s="1" t="s">
        <v>3608</v>
      </c>
      <c r="B3573" s="1" t="s">
        <v>41</v>
      </c>
      <c r="C3573" s="1" t="n">
        <v>953000</v>
      </c>
      <c r="D3573" s="1" t="n">
        <v>181</v>
      </c>
      <c r="E3573" s="1" t="n">
        <v>0.0132</v>
      </c>
      <c r="F3573" s="1" t="n">
        <v>0.1866</v>
      </c>
    </row>
    <row r="3574" customFormat="false" ht="15" hidden="false" customHeight="false" outlineLevel="0" collapsed="false">
      <c r="A3574" s="1" t="s">
        <v>3609</v>
      </c>
      <c r="B3574" s="1" t="s">
        <v>24</v>
      </c>
      <c r="C3574" s="1" t="n">
        <v>848000</v>
      </c>
      <c r="D3574" s="1" t="n">
        <v>178576.8</v>
      </c>
      <c r="E3574" s="1" t="n">
        <v>0.021</v>
      </c>
      <c r="F3574" s="1" t="n">
        <v>0.0735</v>
      </c>
    </row>
    <row r="3575" customFormat="false" ht="15" hidden="false" customHeight="false" outlineLevel="0" collapsed="false">
      <c r="A3575" s="1" t="s">
        <v>3610</v>
      </c>
      <c r="B3575" s="1" t="s">
        <v>41</v>
      </c>
      <c r="C3575" s="1" t="n">
        <v>829000</v>
      </c>
      <c r="D3575" s="1" t="n">
        <v>12467.9</v>
      </c>
      <c r="E3575" s="1" t="n">
        <v>0.0339</v>
      </c>
      <c r="F3575" s="1" t="n">
        <v>0.0951</v>
      </c>
    </row>
    <row r="3576" customFormat="false" ht="15" hidden="false" customHeight="false" outlineLevel="0" collapsed="false">
      <c r="A3576" s="1" t="s">
        <v>3611</v>
      </c>
      <c r="B3576" s="1" t="s">
        <v>41</v>
      </c>
      <c r="C3576" s="1" t="n">
        <v>3190000</v>
      </c>
      <c r="D3576" s="1" t="n">
        <v>11562.9</v>
      </c>
      <c r="E3576" s="1" t="n">
        <v>0.0086</v>
      </c>
      <c r="F3576" s="1" t="n">
        <v>0.6973</v>
      </c>
    </row>
    <row r="3577" customFormat="false" ht="15" hidden="false" customHeight="false" outlineLevel="0" collapsed="false">
      <c r="A3577" s="1" t="s">
        <v>3612</v>
      </c>
      <c r="B3577" s="1" t="s">
        <v>26</v>
      </c>
      <c r="C3577" s="1" t="n">
        <v>1450000</v>
      </c>
      <c r="D3577" s="1" t="n">
        <v>802666.5</v>
      </c>
      <c r="E3577" s="1" t="n">
        <v>0.0323</v>
      </c>
      <c r="F3577" s="1" t="n">
        <v>0.0409</v>
      </c>
    </row>
    <row r="3578" customFormat="false" ht="15" hidden="false" customHeight="false" outlineLevel="0" collapsed="false">
      <c r="A3578" s="1" t="s">
        <v>3613</v>
      </c>
      <c r="B3578" s="1" t="s">
        <v>26</v>
      </c>
      <c r="C3578" s="1" t="n">
        <v>731000</v>
      </c>
      <c r="D3578" s="1" t="n">
        <v>22693.9</v>
      </c>
      <c r="E3578" s="1" t="n">
        <v>0.0255</v>
      </c>
      <c r="F3578" s="1" t="n">
        <v>0.0518</v>
      </c>
    </row>
    <row r="3579" customFormat="false" ht="15" hidden="false" customHeight="false" outlineLevel="0" collapsed="false">
      <c r="A3579" s="1" t="s">
        <v>3614</v>
      </c>
      <c r="B3579" s="1" t="s">
        <v>92</v>
      </c>
      <c r="C3579" s="1" t="n">
        <v>759000</v>
      </c>
      <c r="D3579" s="1" t="n">
        <v>2231</v>
      </c>
      <c r="E3579" s="1" t="n">
        <v>0.0376</v>
      </c>
      <c r="F3579" s="1" t="n">
        <v>0.0951</v>
      </c>
    </row>
    <row r="3580" customFormat="false" ht="15" hidden="false" customHeight="false" outlineLevel="0" collapsed="false">
      <c r="A3580" s="1" t="s">
        <v>3615</v>
      </c>
      <c r="B3580" s="1" t="s">
        <v>287</v>
      </c>
      <c r="C3580" s="1" t="n">
        <v>750000</v>
      </c>
      <c r="D3580" s="1" t="n">
        <v>16913.2</v>
      </c>
      <c r="E3580" s="1" t="n">
        <v>0.0053</v>
      </c>
      <c r="F3580" s="1" t="n">
        <v>0.1187</v>
      </c>
    </row>
    <row r="3581" customFormat="false" ht="15" hidden="false" customHeight="false" outlineLevel="0" collapsed="false">
      <c r="A3581" s="1" t="s">
        <v>3616</v>
      </c>
      <c r="B3581" s="1" t="s">
        <v>71</v>
      </c>
      <c r="C3581" s="1" t="n">
        <v>1090000</v>
      </c>
      <c r="D3581" s="1" t="n">
        <v>2090.7</v>
      </c>
      <c r="E3581" s="1" t="n">
        <v>0.0044</v>
      </c>
      <c r="F3581" s="1" t="n">
        <v>0.0811</v>
      </c>
    </row>
    <row r="3582" customFormat="false" ht="15" hidden="false" customHeight="false" outlineLevel="0" collapsed="false">
      <c r="A3582" s="1" t="s">
        <v>3617</v>
      </c>
      <c r="B3582" s="1" t="s">
        <v>88</v>
      </c>
      <c r="C3582" s="1" t="n">
        <v>1790000</v>
      </c>
      <c r="D3582" s="1" t="n">
        <v>81236.7</v>
      </c>
      <c r="E3582" s="1" t="n">
        <v>0.0706</v>
      </c>
      <c r="F3582" s="1" t="n">
        <v>0.0938</v>
      </c>
    </row>
    <row r="3583" customFormat="false" ht="15" hidden="false" customHeight="false" outlineLevel="0" collapsed="false">
      <c r="A3583" s="1" t="s">
        <v>3618</v>
      </c>
      <c r="B3583" s="1" t="s">
        <v>26</v>
      </c>
      <c r="C3583" s="1" t="n">
        <v>784000</v>
      </c>
      <c r="D3583" s="1" t="n">
        <v>18521.8</v>
      </c>
      <c r="E3583" s="1" t="n">
        <v>0.0401</v>
      </c>
      <c r="F3583" s="1" t="n">
        <v>0.0938</v>
      </c>
    </row>
    <row r="3584" customFormat="false" ht="15" hidden="false" customHeight="false" outlineLevel="0" collapsed="false">
      <c r="A3584" s="1" t="s">
        <v>3619</v>
      </c>
      <c r="B3584" s="1" t="s">
        <v>26</v>
      </c>
      <c r="C3584" s="1" t="n">
        <v>1120000</v>
      </c>
      <c r="D3584" s="1" t="n">
        <v>1426.9</v>
      </c>
      <c r="E3584" s="1" t="n">
        <v>0.1466</v>
      </c>
      <c r="F3584" s="1" t="n">
        <v>0.0938</v>
      </c>
    </row>
    <row r="3585" customFormat="false" ht="15" hidden="false" customHeight="false" outlineLevel="0" collapsed="false">
      <c r="A3585" s="1" t="s">
        <v>3620</v>
      </c>
      <c r="B3585" s="1" t="s">
        <v>41</v>
      </c>
      <c r="C3585" s="1" t="n">
        <v>782000</v>
      </c>
      <c r="D3585" s="1" t="n">
        <v>36245.8</v>
      </c>
      <c r="E3585" s="1" t="n">
        <v>0.0111</v>
      </c>
      <c r="F3585" s="1" t="n">
        <v>0.0822</v>
      </c>
    </row>
    <row r="3586" customFormat="false" ht="15" hidden="false" customHeight="false" outlineLevel="0" collapsed="false">
      <c r="A3586" s="1" t="s">
        <v>3621</v>
      </c>
      <c r="B3586" s="1" t="s">
        <v>21</v>
      </c>
      <c r="C3586" s="1" t="n">
        <v>1620000</v>
      </c>
      <c r="D3586" s="1" t="n">
        <v>109.6</v>
      </c>
      <c r="E3586" s="1" t="n">
        <v>0.0108</v>
      </c>
      <c r="F3586" s="1" t="n">
        <v>0.1705</v>
      </c>
    </row>
    <row r="3587" customFormat="false" ht="15" hidden="false" customHeight="false" outlineLevel="0" collapsed="false">
      <c r="A3587" s="1" t="s">
        <v>3622</v>
      </c>
      <c r="B3587" s="1" t="s">
        <v>50</v>
      </c>
      <c r="C3587" s="1" t="n">
        <v>973000</v>
      </c>
      <c r="D3587" s="1" t="n">
        <v>35923.3</v>
      </c>
      <c r="E3587" s="1" t="n">
        <v>0.0235</v>
      </c>
      <c r="F3587" s="1" t="n">
        <v>0.0854</v>
      </c>
    </row>
    <row r="3588" customFormat="false" ht="15" hidden="false" customHeight="false" outlineLevel="0" collapsed="false">
      <c r="A3588" s="1" t="s">
        <v>3623</v>
      </c>
      <c r="B3588" s="1" t="s">
        <v>92</v>
      </c>
      <c r="C3588" s="1" t="n">
        <v>1010000</v>
      </c>
      <c r="D3588" s="1" t="n">
        <v>16268.1</v>
      </c>
      <c r="E3588" s="1" t="n">
        <v>0.0335</v>
      </c>
      <c r="F3588" s="1" t="n">
        <v>0.0938</v>
      </c>
    </row>
    <row r="3589" customFormat="false" ht="15" hidden="false" customHeight="false" outlineLevel="0" collapsed="false">
      <c r="A3589" s="1" t="s">
        <v>3624</v>
      </c>
      <c r="B3589" s="1" t="s">
        <v>26</v>
      </c>
      <c r="C3589" s="1" t="n">
        <v>1260000</v>
      </c>
      <c r="D3589" s="1" t="n">
        <v>21574.3</v>
      </c>
      <c r="E3589" s="1" t="n">
        <v>0.1313</v>
      </c>
      <c r="F3589" s="1" t="n">
        <v>0.0759</v>
      </c>
    </row>
    <row r="3590" customFormat="false" ht="15" hidden="false" customHeight="false" outlineLevel="0" collapsed="false">
      <c r="A3590" s="1" t="s">
        <v>3625</v>
      </c>
      <c r="B3590" s="1" t="s">
        <v>21</v>
      </c>
      <c r="C3590" s="1" t="n">
        <v>924000</v>
      </c>
      <c r="D3590" s="1" t="n">
        <v>516.2</v>
      </c>
      <c r="E3590" s="1" t="n">
        <v>0.0128</v>
      </c>
      <c r="F3590" s="1" t="n">
        <v>0.1316</v>
      </c>
    </row>
    <row r="3591" customFormat="false" ht="15" hidden="false" customHeight="false" outlineLevel="0" collapsed="false">
      <c r="A3591" s="1" t="s">
        <v>3626</v>
      </c>
      <c r="B3591" s="1" t="s">
        <v>88</v>
      </c>
      <c r="C3591" s="1" t="n">
        <v>695000</v>
      </c>
      <c r="D3591" s="1" t="n">
        <v>1758.1</v>
      </c>
      <c r="E3591" s="1" t="n">
        <v>0.0127</v>
      </c>
      <c r="F3591" s="1" t="n">
        <v>0.0765</v>
      </c>
    </row>
    <row r="3592" customFormat="false" ht="15" hidden="false" customHeight="false" outlineLevel="0" collapsed="false">
      <c r="A3592" s="1" t="s">
        <v>3627</v>
      </c>
      <c r="B3592" s="1" t="s">
        <v>88</v>
      </c>
      <c r="C3592" s="1" t="n">
        <v>934000</v>
      </c>
      <c r="D3592" s="1" t="n">
        <v>1342.5</v>
      </c>
      <c r="E3592" s="1" t="n">
        <v>0.0409</v>
      </c>
      <c r="F3592" s="1" t="n">
        <v>0.0938</v>
      </c>
    </row>
    <row r="3593" customFormat="false" ht="15" hidden="false" customHeight="false" outlineLevel="0" collapsed="false">
      <c r="A3593" s="1" t="s">
        <v>3628</v>
      </c>
      <c r="B3593" s="1" t="s">
        <v>74</v>
      </c>
      <c r="C3593" s="1" t="n">
        <v>1330000</v>
      </c>
      <c r="D3593" s="1" t="n">
        <v>22281.7</v>
      </c>
      <c r="E3593" s="1" t="n">
        <v>0.039</v>
      </c>
      <c r="F3593" s="1" t="n">
        <v>0.0938</v>
      </c>
    </row>
    <row r="3594" customFormat="false" ht="15" hidden="false" customHeight="false" outlineLevel="0" collapsed="false">
      <c r="A3594" s="1" t="s">
        <v>3629</v>
      </c>
      <c r="B3594" s="1" t="s">
        <v>53</v>
      </c>
      <c r="C3594" s="1" t="n">
        <v>959000</v>
      </c>
      <c r="D3594" s="1" t="n">
        <v>64955.6</v>
      </c>
      <c r="E3594" s="1" t="n">
        <v>0.0109</v>
      </c>
      <c r="F3594" s="1" t="n">
        <v>0.0654</v>
      </c>
    </row>
    <row r="3595" customFormat="false" ht="15" hidden="false" customHeight="false" outlineLevel="0" collapsed="false">
      <c r="A3595" s="1" t="s">
        <v>3630</v>
      </c>
      <c r="B3595" s="1" t="s">
        <v>32</v>
      </c>
      <c r="C3595" s="1" t="n">
        <v>685000</v>
      </c>
      <c r="D3595" s="1" t="n">
        <v>681171.2</v>
      </c>
      <c r="E3595" s="1" t="n">
        <v>0.0521</v>
      </c>
      <c r="F3595" s="1" t="n">
        <v>0.0951</v>
      </c>
    </row>
    <row r="3596" customFormat="false" ht="15" hidden="false" customHeight="false" outlineLevel="0" collapsed="false">
      <c r="A3596" s="1" t="s">
        <v>3631</v>
      </c>
      <c r="B3596" s="1" t="s">
        <v>26</v>
      </c>
      <c r="C3596" s="1" t="n">
        <v>7650000</v>
      </c>
      <c r="D3596" s="1" t="n">
        <v>7903610</v>
      </c>
      <c r="E3596" s="1" t="n">
        <v>0.0122</v>
      </c>
      <c r="F3596" s="1" t="n">
        <v>0.0584</v>
      </c>
    </row>
    <row r="3597" customFormat="false" ht="15" hidden="false" customHeight="false" outlineLevel="0" collapsed="false">
      <c r="A3597" s="1" t="s">
        <v>3632</v>
      </c>
      <c r="B3597" s="1" t="s">
        <v>53</v>
      </c>
      <c r="C3597" s="1" t="n">
        <v>771000</v>
      </c>
      <c r="D3597" s="1" t="n">
        <v>164610.9</v>
      </c>
      <c r="E3597" s="1" t="n">
        <v>0.0685</v>
      </c>
      <c r="F3597" s="1" t="n">
        <v>0.0759</v>
      </c>
    </row>
    <row r="3598" customFormat="false" ht="15" hidden="false" customHeight="false" outlineLevel="0" collapsed="false">
      <c r="A3598" s="1" t="s">
        <v>3633</v>
      </c>
      <c r="B3598" s="1" t="s">
        <v>92</v>
      </c>
      <c r="C3598" s="1" t="n">
        <v>748000</v>
      </c>
      <c r="D3598" s="1" t="n">
        <v>857.5</v>
      </c>
      <c r="E3598" s="1" t="n">
        <v>0.0416</v>
      </c>
      <c r="F3598" s="1" t="n">
        <v>0.0759</v>
      </c>
    </row>
    <row r="3599" customFormat="false" ht="15" hidden="false" customHeight="false" outlineLevel="0" collapsed="false">
      <c r="A3599" s="1" t="s">
        <v>3634</v>
      </c>
      <c r="B3599" s="1" t="s">
        <v>81</v>
      </c>
      <c r="C3599" s="1" t="n">
        <v>856000</v>
      </c>
      <c r="D3599" s="1" t="n">
        <v>51932.8</v>
      </c>
      <c r="E3599" s="1" t="n">
        <v>0.0199</v>
      </c>
      <c r="F3599" s="1" t="n">
        <v>0.0833</v>
      </c>
    </row>
    <row r="3600" customFormat="false" ht="15" hidden="false" customHeight="false" outlineLevel="0" collapsed="false">
      <c r="A3600" s="1" t="s">
        <v>3635</v>
      </c>
      <c r="B3600" s="1" t="s">
        <v>28</v>
      </c>
      <c r="C3600" s="1" t="n">
        <v>1060000</v>
      </c>
      <c r="D3600" s="1" t="n">
        <v>1946408.8</v>
      </c>
      <c r="E3600" s="1" t="n">
        <v>0.0014</v>
      </c>
      <c r="F3600" s="1" t="n">
        <v>0.3805</v>
      </c>
    </row>
    <row r="3601" customFormat="false" ht="15" hidden="false" customHeight="false" outlineLevel="0" collapsed="false">
      <c r="A3601" s="1" t="s">
        <v>3636</v>
      </c>
      <c r="B3601" s="1" t="s">
        <v>26</v>
      </c>
      <c r="C3601" s="1" t="n">
        <v>840000</v>
      </c>
      <c r="D3601" s="1" t="n">
        <v>70745.8</v>
      </c>
      <c r="E3601" s="1" t="n">
        <v>0.0207</v>
      </c>
      <c r="F3601" s="1" t="n">
        <v>0.0757</v>
      </c>
    </row>
    <row r="3602" customFormat="false" ht="15" hidden="false" customHeight="false" outlineLevel="0" collapsed="false">
      <c r="A3602" s="1" t="s">
        <v>3637</v>
      </c>
      <c r="B3602" s="1" t="s">
        <v>26</v>
      </c>
      <c r="C3602" s="1" t="n">
        <v>848000</v>
      </c>
      <c r="D3602" s="1" t="n">
        <v>34231.8</v>
      </c>
      <c r="E3602" s="1" t="n">
        <v>0.0542</v>
      </c>
      <c r="F3602" s="1" t="n">
        <v>0.0951</v>
      </c>
    </row>
    <row r="3603" customFormat="false" ht="15" hidden="false" customHeight="false" outlineLevel="0" collapsed="false">
      <c r="A3603" s="1" t="s">
        <v>3638</v>
      </c>
      <c r="B3603" s="1" t="s">
        <v>74</v>
      </c>
      <c r="C3603" s="1" t="n">
        <v>761000</v>
      </c>
      <c r="D3603" s="1" t="n">
        <v>37612.6</v>
      </c>
      <c r="E3603" s="1" t="n">
        <v>0.0629</v>
      </c>
      <c r="F3603" s="1" t="n">
        <v>0.0951</v>
      </c>
    </row>
    <row r="3604" customFormat="false" ht="15" hidden="false" customHeight="false" outlineLevel="0" collapsed="false">
      <c r="A3604" s="1" t="s">
        <v>3639</v>
      </c>
      <c r="B3604" s="1" t="s">
        <v>53</v>
      </c>
      <c r="C3604" s="1" t="n">
        <v>1010000</v>
      </c>
      <c r="D3604" s="1" t="n">
        <v>85420.1</v>
      </c>
      <c r="E3604" s="1" t="n">
        <v>0.0691</v>
      </c>
      <c r="F3604" s="1" t="n">
        <v>0.0759</v>
      </c>
    </row>
    <row r="3605" customFormat="false" ht="15" hidden="false" customHeight="false" outlineLevel="0" collapsed="false">
      <c r="A3605" s="1" t="s">
        <v>3640</v>
      </c>
      <c r="B3605" s="1" t="s">
        <v>214</v>
      </c>
      <c r="C3605" s="1" t="n">
        <v>778000</v>
      </c>
      <c r="D3605" s="1" t="n">
        <v>34304.9</v>
      </c>
      <c r="E3605" s="1" t="n">
        <v>0.0343</v>
      </c>
      <c r="F3605" s="1" t="n">
        <v>0.0546</v>
      </c>
    </row>
    <row r="3606" customFormat="false" ht="15" hidden="false" customHeight="false" outlineLevel="0" collapsed="false">
      <c r="A3606" s="1" t="s">
        <v>3641</v>
      </c>
      <c r="B3606" s="1" t="s">
        <v>26</v>
      </c>
      <c r="C3606" s="1" t="n">
        <v>1060000</v>
      </c>
      <c r="D3606" s="1" t="n">
        <v>558939.5</v>
      </c>
      <c r="E3606" s="1" t="n">
        <v>0.0448</v>
      </c>
      <c r="F3606" s="1" t="n">
        <v>0.0409</v>
      </c>
    </row>
    <row r="3607" customFormat="false" ht="15" hidden="false" customHeight="false" outlineLevel="0" collapsed="false">
      <c r="A3607" s="1" t="s">
        <v>3642</v>
      </c>
      <c r="B3607" s="1" t="s">
        <v>21</v>
      </c>
      <c r="C3607" s="1" t="n">
        <v>1010000</v>
      </c>
      <c r="D3607" s="1" t="n">
        <v>347</v>
      </c>
      <c r="E3607" s="1" t="n">
        <v>0.0366</v>
      </c>
      <c r="F3607" s="1" t="n">
        <v>0.051</v>
      </c>
    </row>
    <row r="3608" customFormat="false" ht="15" hidden="false" customHeight="false" outlineLevel="0" collapsed="false">
      <c r="A3608" s="1" t="s">
        <v>3643</v>
      </c>
      <c r="B3608" s="1" t="s">
        <v>88</v>
      </c>
      <c r="C3608" s="1" t="n">
        <v>813000</v>
      </c>
      <c r="D3608" s="1" t="n">
        <v>422770</v>
      </c>
      <c r="E3608" s="1" t="n">
        <v>0.0119</v>
      </c>
      <c r="F3608" s="1" t="n">
        <v>0.0736</v>
      </c>
    </row>
    <row r="3609" customFormat="false" ht="15" hidden="false" customHeight="false" outlineLevel="0" collapsed="false">
      <c r="A3609" s="1" t="s">
        <v>3644</v>
      </c>
      <c r="B3609" s="1" t="s">
        <v>88</v>
      </c>
      <c r="C3609" s="1" t="n">
        <v>992000</v>
      </c>
      <c r="D3609" s="1" t="n">
        <v>407.5</v>
      </c>
      <c r="E3609" s="1" t="n">
        <v>0.0333</v>
      </c>
      <c r="F3609" s="1" t="n">
        <v>0.0759</v>
      </c>
    </row>
    <row r="3610" customFormat="false" ht="15" hidden="false" customHeight="false" outlineLevel="0" collapsed="false">
      <c r="A3610" s="1" t="s">
        <v>3645</v>
      </c>
      <c r="B3610" s="1" t="s">
        <v>287</v>
      </c>
      <c r="C3610" s="1" t="n">
        <v>757000</v>
      </c>
      <c r="D3610" s="1" t="n">
        <v>33663.5</v>
      </c>
      <c r="E3610" s="1" t="n">
        <v>0.0267</v>
      </c>
      <c r="F3610" s="1" t="n">
        <v>0.051</v>
      </c>
    </row>
    <row r="3611" customFormat="false" ht="15" hidden="false" customHeight="false" outlineLevel="0" collapsed="false">
      <c r="A3611" s="1" t="s">
        <v>3646</v>
      </c>
      <c r="B3611" s="1" t="s">
        <v>92</v>
      </c>
      <c r="C3611" s="1" t="n">
        <v>763000</v>
      </c>
      <c r="D3611" s="1" t="n">
        <v>9594</v>
      </c>
      <c r="F3611" s="1" t="n">
        <v>0.0951</v>
      </c>
    </row>
    <row r="3612" customFormat="false" ht="15" hidden="false" customHeight="false" outlineLevel="0" collapsed="false">
      <c r="A3612" s="1" t="s">
        <v>3647</v>
      </c>
      <c r="B3612" s="1" t="s">
        <v>88</v>
      </c>
      <c r="C3612" s="1" t="n">
        <v>1090000</v>
      </c>
      <c r="D3612" s="1" t="n">
        <v>1289.3</v>
      </c>
      <c r="E3612" s="1" t="n">
        <v>0.0496</v>
      </c>
      <c r="F3612" s="1" t="n">
        <v>0.0938</v>
      </c>
    </row>
    <row r="3613" customFormat="false" ht="15" hidden="false" customHeight="false" outlineLevel="0" collapsed="false">
      <c r="A3613" s="1" t="s">
        <v>3648</v>
      </c>
      <c r="B3613" s="1" t="s">
        <v>88</v>
      </c>
      <c r="C3613" s="1" t="n">
        <v>851000</v>
      </c>
      <c r="D3613" s="1" t="n">
        <v>9256.8</v>
      </c>
      <c r="E3613" s="1" t="n">
        <v>0.0138</v>
      </c>
      <c r="F3613" s="1" t="n">
        <v>0.0949</v>
      </c>
    </row>
    <row r="3614" customFormat="false" ht="15" hidden="false" customHeight="false" outlineLevel="0" collapsed="false">
      <c r="A3614" s="1" t="s">
        <v>3649</v>
      </c>
      <c r="B3614" s="1" t="s">
        <v>62</v>
      </c>
      <c r="C3614" s="1" t="n">
        <v>757000</v>
      </c>
      <c r="D3614" s="1" t="n">
        <v>1428.7</v>
      </c>
      <c r="E3614" s="1" t="n">
        <v>0.024</v>
      </c>
      <c r="F3614" s="1" t="n">
        <v>0.0757</v>
      </c>
    </row>
    <row r="3615" customFormat="false" ht="15" hidden="false" customHeight="false" outlineLevel="0" collapsed="false">
      <c r="A3615" s="1" t="s">
        <v>3650</v>
      </c>
      <c r="B3615" s="1" t="s">
        <v>26</v>
      </c>
      <c r="C3615" s="1" t="n">
        <v>734000</v>
      </c>
      <c r="D3615" s="1" t="n">
        <v>1440.5</v>
      </c>
      <c r="E3615" s="1" t="n">
        <v>0.0104</v>
      </c>
      <c r="F3615" s="1" t="n">
        <v>0.0822</v>
      </c>
    </row>
    <row r="3616" customFormat="false" ht="15" hidden="false" customHeight="false" outlineLevel="0" collapsed="false">
      <c r="A3616" s="1" t="s">
        <v>3651</v>
      </c>
      <c r="B3616" s="1" t="s">
        <v>92</v>
      </c>
      <c r="C3616" s="1" t="n">
        <v>746000</v>
      </c>
      <c r="D3616" s="1" t="n">
        <v>2130.2</v>
      </c>
      <c r="E3616" s="1" t="n">
        <v>0.0084</v>
      </c>
      <c r="F3616" s="1" t="n">
        <v>0.1015</v>
      </c>
    </row>
    <row r="3617" customFormat="false" ht="15" hidden="false" customHeight="false" outlineLevel="0" collapsed="false">
      <c r="A3617" s="1" t="s">
        <v>3652</v>
      </c>
      <c r="B3617" s="1" t="s">
        <v>26</v>
      </c>
      <c r="C3617" s="1" t="n">
        <v>766000</v>
      </c>
      <c r="D3617" s="1" t="n">
        <v>187</v>
      </c>
      <c r="E3617" s="1" t="n">
        <v>0.0097</v>
      </c>
      <c r="F3617" s="1" t="n">
        <v>0.1713</v>
      </c>
    </row>
    <row r="3618" customFormat="false" ht="15" hidden="false" customHeight="false" outlineLevel="0" collapsed="false">
      <c r="A3618" s="1" t="s">
        <v>3653</v>
      </c>
      <c r="B3618" s="1" t="s">
        <v>92</v>
      </c>
      <c r="C3618" s="1" t="n">
        <v>763000</v>
      </c>
      <c r="D3618" s="1" t="n">
        <v>3439.8</v>
      </c>
      <c r="E3618" s="1" t="n">
        <v>0.0286</v>
      </c>
      <c r="F3618" s="1" t="n">
        <v>0.051</v>
      </c>
    </row>
    <row r="3619" customFormat="false" ht="15" hidden="false" customHeight="false" outlineLevel="0" collapsed="false">
      <c r="A3619" s="1" t="s">
        <v>3654</v>
      </c>
      <c r="B3619" s="1" t="s">
        <v>92</v>
      </c>
      <c r="C3619" s="1" t="n">
        <v>836000</v>
      </c>
      <c r="D3619" s="1" t="n">
        <v>12262.7</v>
      </c>
      <c r="E3619" s="1" t="n">
        <v>0.0387</v>
      </c>
      <c r="F3619" s="1" t="n">
        <v>0.0759</v>
      </c>
    </row>
    <row r="3620" customFormat="false" ht="15" hidden="false" customHeight="false" outlineLevel="0" collapsed="false">
      <c r="A3620" s="1" t="s">
        <v>3655</v>
      </c>
      <c r="B3620" s="1" t="s">
        <v>41</v>
      </c>
      <c r="C3620" s="1" t="n">
        <v>1320000</v>
      </c>
      <c r="D3620" s="1" t="n">
        <v>5269.1</v>
      </c>
      <c r="F3620" s="1" t="n">
        <v>0.0938</v>
      </c>
    </row>
    <row r="3621" customFormat="false" ht="15" hidden="false" customHeight="false" outlineLevel="0" collapsed="false">
      <c r="A3621" s="1" t="s">
        <v>3656</v>
      </c>
      <c r="B3621" s="1" t="s">
        <v>26</v>
      </c>
      <c r="C3621" s="1" t="n">
        <v>809000</v>
      </c>
      <c r="D3621" s="1" t="n">
        <v>24891</v>
      </c>
      <c r="E3621" s="1" t="n">
        <v>0.027</v>
      </c>
      <c r="F3621" s="1" t="n">
        <v>0.0584</v>
      </c>
    </row>
    <row r="3622" customFormat="false" ht="15" hidden="false" customHeight="false" outlineLevel="0" collapsed="false">
      <c r="A3622" s="1" t="s">
        <v>3657</v>
      </c>
      <c r="B3622" s="1" t="s">
        <v>35</v>
      </c>
      <c r="C3622" s="1" t="n">
        <v>837000</v>
      </c>
      <c r="D3622" s="1" t="n">
        <v>21585</v>
      </c>
      <c r="E3622" s="1" t="n">
        <v>0.0225</v>
      </c>
      <c r="F3622" s="1" t="n">
        <v>0.0759</v>
      </c>
    </row>
    <row r="3623" customFormat="false" ht="15" hidden="false" customHeight="false" outlineLevel="0" collapsed="false">
      <c r="A3623" s="1" t="s">
        <v>3658</v>
      </c>
      <c r="B3623" s="1" t="s">
        <v>92</v>
      </c>
      <c r="C3623" s="1" t="n">
        <v>754000</v>
      </c>
      <c r="D3623" s="1" t="n">
        <v>5813.7</v>
      </c>
      <c r="E3623" s="1" t="n">
        <v>0.0087</v>
      </c>
      <c r="F3623" s="1" t="n">
        <v>0.0654</v>
      </c>
    </row>
    <row r="3624" customFormat="false" ht="15" hidden="false" customHeight="false" outlineLevel="0" collapsed="false">
      <c r="A3624" s="1" t="s">
        <v>3659</v>
      </c>
      <c r="B3624" s="1" t="s">
        <v>26</v>
      </c>
      <c r="C3624" s="1" t="n">
        <v>1750000</v>
      </c>
      <c r="D3624" s="1" t="n">
        <v>490797.8</v>
      </c>
      <c r="E3624" s="1" t="n">
        <v>0.0423</v>
      </c>
      <c r="F3624" s="1" t="n">
        <v>0.0409</v>
      </c>
    </row>
    <row r="3625" customFormat="false" ht="15" hidden="false" customHeight="false" outlineLevel="0" collapsed="false">
      <c r="A3625" s="1" t="s">
        <v>3660</v>
      </c>
      <c r="B3625" s="1" t="s">
        <v>26</v>
      </c>
      <c r="C3625" s="1" t="n">
        <v>1270000</v>
      </c>
      <c r="D3625" s="1" t="n">
        <v>56436</v>
      </c>
      <c r="E3625" s="1" t="n">
        <v>0.042</v>
      </c>
      <c r="F3625" s="1" t="n">
        <v>0.0759</v>
      </c>
    </row>
    <row r="3626" customFormat="false" ht="15" hidden="false" customHeight="false" outlineLevel="0" collapsed="false">
      <c r="A3626" s="1" t="s">
        <v>3661</v>
      </c>
      <c r="B3626" s="1" t="s">
        <v>287</v>
      </c>
      <c r="C3626" s="1" t="n">
        <v>808000</v>
      </c>
      <c r="D3626" s="1" t="n">
        <v>9271.9</v>
      </c>
      <c r="E3626" s="1" t="n">
        <v>0.0426</v>
      </c>
      <c r="F3626" s="1" t="n">
        <v>0.0759</v>
      </c>
    </row>
    <row r="3627" customFormat="false" ht="15" hidden="false" customHeight="false" outlineLevel="0" collapsed="false">
      <c r="A3627" s="1" t="s">
        <v>3662</v>
      </c>
      <c r="B3627" s="1" t="s">
        <v>81</v>
      </c>
      <c r="C3627" s="1" t="n">
        <v>800000</v>
      </c>
      <c r="D3627" s="1" t="n">
        <v>99010.8</v>
      </c>
      <c r="E3627" s="1" t="n">
        <v>0.0261</v>
      </c>
      <c r="F3627" s="1" t="n">
        <v>0.0759</v>
      </c>
    </row>
    <row r="3628" customFormat="false" ht="15" hidden="false" customHeight="false" outlineLevel="0" collapsed="false">
      <c r="A3628" s="1" t="s">
        <v>3663</v>
      </c>
      <c r="B3628" s="1" t="s">
        <v>26</v>
      </c>
      <c r="C3628" s="1" t="n">
        <v>1920000</v>
      </c>
      <c r="D3628" s="1" t="n">
        <v>1302238.2</v>
      </c>
      <c r="E3628" s="1" t="n">
        <v>0.0531</v>
      </c>
      <c r="F3628" s="1" t="n">
        <v>0.0409</v>
      </c>
    </row>
    <row r="3629" customFormat="false" ht="15" hidden="false" customHeight="false" outlineLevel="0" collapsed="false">
      <c r="A3629" s="1" t="s">
        <v>3664</v>
      </c>
      <c r="B3629" s="1" t="s">
        <v>30</v>
      </c>
      <c r="C3629" s="1" t="n">
        <v>875000</v>
      </c>
      <c r="D3629" s="1" t="n">
        <v>92545.5</v>
      </c>
      <c r="E3629" s="1" t="n">
        <v>0.0185</v>
      </c>
      <c r="F3629" s="1" t="n">
        <v>0.0462</v>
      </c>
    </row>
    <row r="3630" customFormat="false" ht="15" hidden="false" customHeight="false" outlineLevel="0" collapsed="false">
      <c r="A3630" s="1" t="s">
        <v>3665</v>
      </c>
      <c r="B3630" s="1" t="s">
        <v>88</v>
      </c>
      <c r="C3630" s="1" t="n">
        <v>989000</v>
      </c>
      <c r="D3630" s="1" t="n">
        <v>26277.5</v>
      </c>
      <c r="E3630" s="1" t="n">
        <v>0.0474</v>
      </c>
      <c r="F3630" s="1" t="n">
        <v>0.051</v>
      </c>
    </row>
    <row r="3631" customFormat="false" ht="15" hidden="false" customHeight="false" outlineLevel="0" collapsed="false">
      <c r="A3631" s="1" t="s">
        <v>3666</v>
      </c>
      <c r="B3631" s="1" t="s">
        <v>26</v>
      </c>
      <c r="C3631" s="1" t="n">
        <v>1140000</v>
      </c>
      <c r="D3631" s="1" t="n">
        <v>86106.6</v>
      </c>
      <c r="E3631" s="1" t="n">
        <v>0.0309</v>
      </c>
      <c r="F3631" s="1" t="n">
        <v>0.051</v>
      </c>
    </row>
    <row r="3632" customFormat="false" ht="15" hidden="false" customHeight="false" outlineLevel="0" collapsed="false">
      <c r="A3632" s="1" t="s">
        <v>3667</v>
      </c>
      <c r="B3632" s="1" t="s">
        <v>24</v>
      </c>
      <c r="C3632" s="1" t="n">
        <v>737000</v>
      </c>
      <c r="D3632" s="1" t="n">
        <v>941.6</v>
      </c>
      <c r="E3632" s="1" t="n">
        <v>0.0263</v>
      </c>
      <c r="F3632" s="1" t="n">
        <v>0.0759</v>
      </c>
    </row>
    <row r="3633" customFormat="false" ht="15" hidden="false" customHeight="false" outlineLevel="0" collapsed="false">
      <c r="A3633" s="1" t="s">
        <v>3668</v>
      </c>
      <c r="B3633" s="1" t="s">
        <v>26</v>
      </c>
      <c r="C3633" s="1" t="n">
        <v>937000</v>
      </c>
      <c r="D3633" s="1" t="n">
        <v>229707.7</v>
      </c>
      <c r="E3633" s="1" t="n">
        <v>0.0358</v>
      </c>
      <c r="F3633" s="1" t="n">
        <v>0.0759</v>
      </c>
    </row>
    <row r="3634" customFormat="false" ht="15" hidden="false" customHeight="false" outlineLevel="0" collapsed="false">
      <c r="A3634" s="1" t="s">
        <v>3669</v>
      </c>
      <c r="B3634" s="1" t="s">
        <v>24</v>
      </c>
      <c r="C3634" s="1" t="n">
        <v>847000</v>
      </c>
      <c r="D3634" s="1" t="n">
        <v>382050.9</v>
      </c>
      <c r="E3634" s="1" t="n">
        <v>0.0119</v>
      </c>
      <c r="F3634" s="1" t="n">
        <v>0.0584</v>
      </c>
    </row>
    <row r="3635" customFormat="false" ht="15" hidden="false" customHeight="false" outlineLevel="0" collapsed="false">
      <c r="A3635" s="1" t="s">
        <v>3670</v>
      </c>
      <c r="B3635" s="1" t="s">
        <v>24</v>
      </c>
      <c r="C3635" s="1" t="n">
        <v>760000</v>
      </c>
      <c r="D3635" s="1" t="n">
        <v>12446.8</v>
      </c>
      <c r="E3635" s="1" t="n">
        <v>0.0451</v>
      </c>
      <c r="F3635" s="1" t="n">
        <v>0.0759</v>
      </c>
    </row>
    <row r="3636" customFormat="false" ht="15" hidden="false" customHeight="false" outlineLevel="0" collapsed="false">
      <c r="A3636" s="1" t="s">
        <v>3671</v>
      </c>
      <c r="B3636" s="1" t="s">
        <v>62</v>
      </c>
      <c r="C3636" s="1" t="n">
        <v>1010000</v>
      </c>
      <c r="D3636" s="1" t="n">
        <v>262786.6</v>
      </c>
      <c r="E3636" s="1" t="n">
        <v>0.0412</v>
      </c>
      <c r="F3636" s="1" t="n">
        <v>0.0409</v>
      </c>
    </row>
    <row r="3637" customFormat="false" ht="15" hidden="false" customHeight="false" outlineLevel="0" collapsed="false">
      <c r="A3637" s="1" t="s">
        <v>3672</v>
      </c>
      <c r="B3637" s="1" t="s">
        <v>53</v>
      </c>
      <c r="C3637" s="1" t="n">
        <v>715000</v>
      </c>
      <c r="D3637" s="1" t="n">
        <v>1509.7</v>
      </c>
      <c r="E3637" s="1" t="n">
        <v>0.0168</v>
      </c>
      <c r="F3637" s="1" t="n">
        <v>0.0585</v>
      </c>
    </row>
    <row r="3638" customFormat="false" ht="15" hidden="false" customHeight="false" outlineLevel="0" collapsed="false">
      <c r="A3638" s="1" t="s">
        <v>3673</v>
      </c>
      <c r="B3638" s="1" t="s">
        <v>53</v>
      </c>
      <c r="C3638" s="1" t="n">
        <v>1080000</v>
      </c>
      <c r="D3638" s="1" t="n">
        <v>3637.7</v>
      </c>
      <c r="E3638" s="1" t="n">
        <v>0.0248</v>
      </c>
      <c r="F3638" s="1" t="n">
        <v>0.0951</v>
      </c>
    </row>
    <row r="3639" customFormat="false" ht="15" hidden="false" customHeight="false" outlineLevel="0" collapsed="false">
      <c r="A3639" s="1" t="s">
        <v>3674</v>
      </c>
      <c r="B3639" s="1" t="s">
        <v>26</v>
      </c>
      <c r="C3639" s="1" t="n">
        <v>1190000</v>
      </c>
      <c r="D3639" s="1" t="n">
        <v>3004279.2</v>
      </c>
      <c r="E3639" s="1" t="n">
        <v>0.0201</v>
      </c>
      <c r="F3639" s="1" t="n">
        <v>0.0585</v>
      </c>
    </row>
    <row r="3640" customFormat="false" ht="15" hidden="false" customHeight="false" outlineLevel="0" collapsed="false">
      <c r="A3640" s="1" t="s">
        <v>3675</v>
      </c>
      <c r="B3640" s="1" t="s">
        <v>74</v>
      </c>
      <c r="C3640" s="1" t="n">
        <v>343000</v>
      </c>
      <c r="D3640" s="1" t="n">
        <v>16484.9</v>
      </c>
      <c r="E3640" s="1" t="n">
        <v>0.0361</v>
      </c>
      <c r="F3640" s="1" t="n">
        <v>0.0845</v>
      </c>
    </row>
    <row r="3641" customFormat="false" ht="15" hidden="false" customHeight="false" outlineLevel="0" collapsed="false">
      <c r="A3641" s="1" t="s">
        <v>3676</v>
      </c>
      <c r="B3641" s="1" t="s">
        <v>26</v>
      </c>
      <c r="C3641" s="1" t="n">
        <v>778000</v>
      </c>
      <c r="D3641" s="1" t="n">
        <v>220525.2</v>
      </c>
      <c r="E3641" s="1" t="n">
        <v>0.0768</v>
      </c>
      <c r="F3641" s="1" t="n">
        <v>0.0759</v>
      </c>
    </row>
    <row r="3642" customFormat="false" ht="15" hidden="false" customHeight="false" outlineLevel="0" collapsed="false">
      <c r="A3642" s="1" t="s">
        <v>3677</v>
      </c>
      <c r="B3642" s="1" t="s">
        <v>26</v>
      </c>
      <c r="C3642" s="1" t="n">
        <v>1020000</v>
      </c>
      <c r="D3642" s="1" t="n">
        <v>24141.2</v>
      </c>
      <c r="E3642" s="1" t="n">
        <v>0.0144</v>
      </c>
      <c r="F3642" s="1" t="n">
        <v>0.0576</v>
      </c>
    </row>
    <row r="3643" customFormat="false" ht="15" hidden="false" customHeight="false" outlineLevel="0" collapsed="false">
      <c r="A3643" s="1" t="s">
        <v>3678</v>
      </c>
      <c r="B3643" s="1" t="s">
        <v>88</v>
      </c>
      <c r="C3643" s="1" t="n">
        <v>945000</v>
      </c>
      <c r="D3643" s="1" t="n">
        <v>660.1</v>
      </c>
      <c r="E3643" s="1" t="n">
        <v>0.0194</v>
      </c>
      <c r="F3643" s="1" t="n">
        <v>0.1053</v>
      </c>
    </row>
    <row r="3644" customFormat="false" ht="15" hidden="false" customHeight="false" outlineLevel="0" collapsed="false">
      <c r="A3644" s="1" t="s">
        <v>3679</v>
      </c>
      <c r="B3644" s="1" t="s">
        <v>26</v>
      </c>
      <c r="C3644" s="1" t="n">
        <v>812000</v>
      </c>
      <c r="D3644" s="1" t="n">
        <v>138037.1</v>
      </c>
      <c r="E3644" s="1" t="n">
        <v>0.0409</v>
      </c>
      <c r="F3644" s="1" t="n">
        <v>0.0951</v>
      </c>
    </row>
    <row r="3645" customFormat="false" ht="15" hidden="false" customHeight="false" outlineLevel="0" collapsed="false">
      <c r="A3645" s="1" t="s">
        <v>3680</v>
      </c>
      <c r="B3645" s="1" t="s">
        <v>24</v>
      </c>
      <c r="C3645" s="1" t="n">
        <v>815000</v>
      </c>
      <c r="D3645" s="1" t="n">
        <v>3134.8</v>
      </c>
      <c r="E3645" s="1" t="n">
        <v>0.0366</v>
      </c>
      <c r="F3645" s="1" t="n">
        <v>0.0938</v>
      </c>
    </row>
    <row r="3646" customFormat="false" ht="15" hidden="false" customHeight="false" outlineLevel="0" collapsed="false">
      <c r="A3646" s="1" t="s">
        <v>3681</v>
      </c>
      <c r="B3646" s="1" t="s">
        <v>74</v>
      </c>
      <c r="C3646" s="1" t="n">
        <v>907000</v>
      </c>
      <c r="D3646" s="1" t="n">
        <v>3139.3</v>
      </c>
      <c r="E3646" s="1" t="n">
        <v>0.0112</v>
      </c>
      <c r="F3646" s="1" t="n">
        <v>0.0736</v>
      </c>
    </row>
    <row r="3647" customFormat="false" ht="15" hidden="false" customHeight="false" outlineLevel="0" collapsed="false">
      <c r="A3647" s="1" t="s">
        <v>3682</v>
      </c>
      <c r="B3647" s="1" t="s">
        <v>26</v>
      </c>
      <c r="C3647" s="1" t="n">
        <v>769000</v>
      </c>
      <c r="D3647" s="1" t="n">
        <v>9362.4</v>
      </c>
      <c r="E3647" s="1" t="n">
        <v>0.0415</v>
      </c>
      <c r="F3647" s="1" t="n">
        <v>0.0951</v>
      </c>
    </row>
    <row r="3648" customFormat="false" ht="15" hidden="false" customHeight="false" outlineLevel="0" collapsed="false">
      <c r="A3648" s="1" t="s">
        <v>3683</v>
      </c>
      <c r="B3648" s="1" t="s">
        <v>88</v>
      </c>
      <c r="C3648" s="1" t="n">
        <v>773000</v>
      </c>
      <c r="D3648" s="1" t="n">
        <v>4773.3</v>
      </c>
      <c r="E3648" s="1" t="n">
        <v>0.1226</v>
      </c>
      <c r="F3648" s="1" t="n">
        <v>0.0938</v>
      </c>
    </row>
    <row r="3649" customFormat="false" ht="15" hidden="false" customHeight="false" outlineLevel="0" collapsed="false">
      <c r="A3649" s="1" t="s">
        <v>3684</v>
      </c>
      <c r="B3649" s="1" t="s">
        <v>24</v>
      </c>
      <c r="C3649" s="1" t="n">
        <v>923000</v>
      </c>
      <c r="D3649" s="1" t="n">
        <v>5644</v>
      </c>
      <c r="E3649" s="1" t="n">
        <v>0.009</v>
      </c>
      <c r="F3649" s="1" t="n">
        <v>0.0811</v>
      </c>
    </row>
    <row r="3650" customFormat="false" ht="15" hidden="false" customHeight="false" outlineLevel="0" collapsed="false">
      <c r="A3650" s="1" t="s">
        <v>3685</v>
      </c>
      <c r="B3650" s="1" t="s">
        <v>30</v>
      </c>
      <c r="C3650" s="1" t="n">
        <v>1220000</v>
      </c>
      <c r="D3650" s="1" t="n">
        <v>704858.1</v>
      </c>
      <c r="E3650" s="1" t="n">
        <v>0.0542</v>
      </c>
      <c r="F3650" s="1" t="n">
        <v>0.0409</v>
      </c>
    </row>
    <row r="3651" customFormat="false" ht="15" hidden="false" customHeight="false" outlineLevel="0" collapsed="false">
      <c r="A3651" s="1" t="s">
        <v>3686</v>
      </c>
      <c r="B3651" s="1" t="s">
        <v>41</v>
      </c>
      <c r="C3651" s="1" t="n">
        <v>1000000</v>
      </c>
      <c r="D3651" s="1" t="n">
        <v>32062.4</v>
      </c>
      <c r="E3651" s="1" t="n">
        <v>0.012</v>
      </c>
      <c r="F3651" s="1" t="n">
        <v>0.0657</v>
      </c>
    </row>
    <row r="3652" customFormat="false" ht="15" hidden="false" customHeight="false" outlineLevel="0" collapsed="false">
      <c r="A3652" s="1" t="s">
        <v>3687</v>
      </c>
      <c r="B3652" s="1" t="s">
        <v>74</v>
      </c>
      <c r="C3652" s="1" t="n">
        <v>801000</v>
      </c>
      <c r="D3652" s="1" t="n">
        <v>5743.3</v>
      </c>
      <c r="E3652" s="1" t="n">
        <v>0.0521</v>
      </c>
      <c r="F3652" s="1" t="n">
        <v>0.0759</v>
      </c>
    </row>
    <row r="3653" customFormat="false" ht="15" hidden="false" customHeight="false" outlineLevel="0" collapsed="false">
      <c r="A3653" s="1" t="s">
        <v>3688</v>
      </c>
      <c r="B3653" s="1" t="s">
        <v>50</v>
      </c>
      <c r="C3653" s="1" t="n">
        <v>761000</v>
      </c>
      <c r="D3653" s="1" t="n">
        <v>16931.7</v>
      </c>
      <c r="E3653" s="1" t="n">
        <v>0.0069</v>
      </c>
      <c r="F3653" s="1" t="n">
        <v>0.0822</v>
      </c>
    </row>
    <row r="3654" customFormat="false" ht="15" hidden="false" customHeight="false" outlineLevel="0" collapsed="false">
      <c r="A3654" s="1" t="s">
        <v>3689</v>
      </c>
      <c r="B3654" s="1" t="s">
        <v>26</v>
      </c>
      <c r="C3654" s="1" t="n">
        <v>923000</v>
      </c>
      <c r="D3654" s="1" t="n">
        <v>165393.5</v>
      </c>
      <c r="E3654" s="1" t="n">
        <v>0.0179</v>
      </c>
      <c r="F3654" s="1" t="n">
        <v>0.0488</v>
      </c>
    </row>
    <row r="3655" customFormat="false" ht="15" hidden="false" customHeight="false" outlineLevel="0" collapsed="false">
      <c r="A3655" s="1" t="s">
        <v>3690</v>
      </c>
      <c r="B3655" s="1" t="s">
        <v>74</v>
      </c>
      <c r="C3655" s="1" t="n">
        <v>735000</v>
      </c>
      <c r="D3655" s="1" t="n">
        <v>2008</v>
      </c>
      <c r="E3655" s="1" t="n">
        <v>0.0895</v>
      </c>
      <c r="F3655" s="1" t="n">
        <v>0.0938</v>
      </c>
    </row>
    <row r="3656" customFormat="false" ht="15" hidden="false" customHeight="false" outlineLevel="0" collapsed="false">
      <c r="A3656" s="1" t="s">
        <v>3691</v>
      </c>
      <c r="B3656" s="1" t="s">
        <v>53</v>
      </c>
      <c r="C3656" s="1" t="n">
        <v>1220000</v>
      </c>
      <c r="D3656" s="1" t="n">
        <v>551155.6</v>
      </c>
      <c r="E3656" s="1" t="n">
        <v>0.0512</v>
      </c>
      <c r="F3656" s="1" t="n">
        <v>0.0672</v>
      </c>
    </row>
    <row r="3657" customFormat="false" ht="15" hidden="false" customHeight="false" outlineLevel="0" collapsed="false">
      <c r="A3657" s="1" t="s">
        <v>3692</v>
      </c>
      <c r="B3657" s="1" t="s">
        <v>26</v>
      </c>
      <c r="C3657" s="1" t="n">
        <v>853000</v>
      </c>
      <c r="D3657" s="1" t="n">
        <v>17019.6</v>
      </c>
      <c r="E3657" s="1" t="n">
        <v>0.0587</v>
      </c>
      <c r="F3657" s="1" t="n">
        <v>0.0951</v>
      </c>
    </row>
    <row r="3658" customFormat="false" ht="15" hidden="false" customHeight="false" outlineLevel="0" collapsed="false">
      <c r="A3658" s="1" t="s">
        <v>3693</v>
      </c>
      <c r="B3658" s="1" t="s">
        <v>30</v>
      </c>
      <c r="C3658" s="1" t="n">
        <v>888000</v>
      </c>
      <c r="D3658" s="1" t="n">
        <v>173103.7</v>
      </c>
      <c r="E3658" s="1" t="n">
        <v>0.1488</v>
      </c>
      <c r="F3658" s="1" t="n">
        <v>0.7193</v>
      </c>
    </row>
    <row r="3659" customFormat="false" ht="15" hidden="false" customHeight="false" outlineLevel="0" collapsed="false">
      <c r="A3659" s="1" t="s">
        <v>3694</v>
      </c>
      <c r="B3659" s="1" t="s">
        <v>41</v>
      </c>
      <c r="C3659" s="1" t="n">
        <v>871000</v>
      </c>
      <c r="D3659" s="1" t="n">
        <v>107049.1</v>
      </c>
      <c r="E3659" s="1" t="n">
        <v>0.0215</v>
      </c>
      <c r="F3659" s="1" t="n">
        <v>0.0759</v>
      </c>
    </row>
    <row r="3660" customFormat="false" ht="15" hidden="false" customHeight="false" outlineLevel="0" collapsed="false">
      <c r="A3660" s="1" t="s">
        <v>3695</v>
      </c>
      <c r="B3660" s="1" t="s">
        <v>24</v>
      </c>
      <c r="C3660" s="1" t="n">
        <v>798000</v>
      </c>
      <c r="D3660" s="1" t="n">
        <v>8434.4</v>
      </c>
      <c r="E3660" s="1" t="n">
        <v>0.0326</v>
      </c>
      <c r="F3660" s="1" t="n">
        <v>0.0938</v>
      </c>
    </row>
    <row r="3661" customFormat="false" ht="15" hidden="false" customHeight="false" outlineLevel="0" collapsed="false">
      <c r="A3661" s="1" t="s">
        <v>3696</v>
      </c>
      <c r="B3661" s="1" t="s">
        <v>26</v>
      </c>
      <c r="C3661" s="1" t="n">
        <v>1150000</v>
      </c>
      <c r="D3661" s="1" t="n">
        <v>28438.4</v>
      </c>
      <c r="E3661" s="1" t="n">
        <v>0.0197</v>
      </c>
      <c r="F3661" s="1" t="n">
        <v>0.0757</v>
      </c>
    </row>
    <row r="3662" customFormat="false" ht="15" hidden="false" customHeight="false" outlineLevel="0" collapsed="false">
      <c r="A3662" s="1" t="s">
        <v>3697</v>
      </c>
      <c r="B3662" s="1" t="s">
        <v>287</v>
      </c>
      <c r="C3662" s="1" t="n">
        <v>1040000</v>
      </c>
      <c r="D3662" s="1" t="n">
        <v>173292.1</v>
      </c>
      <c r="E3662" s="1" t="n">
        <v>0.0465</v>
      </c>
      <c r="F3662" s="1" t="n">
        <v>0.0409</v>
      </c>
    </row>
    <row r="3663" customFormat="false" ht="15" hidden="false" customHeight="false" outlineLevel="0" collapsed="false">
      <c r="A3663" s="1" t="s">
        <v>3698</v>
      </c>
      <c r="B3663" s="1" t="s">
        <v>26</v>
      </c>
      <c r="C3663" s="1" t="n">
        <v>1070000</v>
      </c>
      <c r="D3663" s="1" t="n">
        <v>53456.5</v>
      </c>
      <c r="E3663" s="1" t="n">
        <v>0.0308</v>
      </c>
      <c r="F3663" s="1" t="n">
        <v>0.0759</v>
      </c>
    </row>
    <row r="3664" customFormat="false" ht="15" hidden="false" customHeight="false" outlineLevel="0" collapsed="false">
      <c r="A3664" s="1" t="s">
        <v>3699</v>
      </c>
      <c r="B3664" s="1" t="s">
        <v>32</v>
      </c>
      <c r="C3664" s="1" t="n">
        <v>1260000</v>
      </c>
      <c r="D3664" s="1" t="n">
        <v>269467.3</v>
      </c>
      <c r="E3664" s="1" t="n">
        <v>0.0467</v>
      </c>
      <c r="F3664" s="1" t="n">
        <v>0.0759</v>
      </c>
    </row>
    <row r="3665" customFormat="false" ht="15" hidden="false" customHeight="false" outlineLevel="0" collapsed="false">
      <c r="A3665" s="1" t="s">
        <v>3700</v>
      </c>
      <c r="B3665" s="1" t="s">
        <v>26</v>
      </c>
      <c r="C3665" s="1" t="n">
        <v>895000</v>
      </c>
      <c r="D3665" s="1" t="n">
        <v>106808.8</v>
      </c>
      <c r="E3665" s="1" t="n">
        <v>0.0027</v>
      </c>
      <c r="F3665" s="1" t="n">
        <v>0.0822</v>
      </c>
    </row>
    <row r="3666" customFormat="false" ht="15" hidden="false" customHeight="false" outlineLevel="0" collapsed="false">
      <c r="A3666" s="1" t="s">
        <v>3701</v>
      </c>
      <c r="B3666" s="1" t="s">
        <v>24</v>
      </c>
      <c r="C3666" s="1" t="n">
        <v>751000</v>
      </c>
      <c r="D3666" s="1" t="n">
        <v>767950</v>
      </c>
      <c r="E3666" s="1" t="n">
        <v>0.0349</v>
      </c>
      <c r="F3666" s="1" t="n">
        <v>0.0951</v>
      </c>
    </row>
    <row r="3667" customFormat="false" ht="15" hidden="false" customHeight="false" outlineLevel="0" collapsed="false">
      <c r="A3667" s="1" t="s">
        <v>3702</v>
      </c>
      <c r="B3667" s="1" t="s">
        <v>26</v>
      </c>
      <c r="C3667" s="1" t="n">
        <v>1380000</v>
      </c>
      <c r="D3667" s="1" t="n">
        <v>60973.5</v>
      </c>
      <c r="F3667" s="1" t="n">
        <v>0.051</v>
      </c>
    </row>
    <row r="3668" customFormat="false" ht="15" hidden="false" customHeight="false" outlineLevel="0" collapsed="false">
      <c r="A3668" s="1" t="s">
        <v>3703</v>
      </c>
      <c r="B3668" s="1" t="s">
        <v>26</v>
      </c>
      <c r="C3668" s="1" t="n">
        <v>718000</v>
      </c>
      <c r="D3668" s="1" t="n">
        <v>49545.3</v>
      </c>
      <c r="E3668" s="1" t="n">
        <v>0.0751</v>
      </c>
      <c r="F3668" s="1" t="n">
        <v>0.0951</v>
      </c>
    </row>
    <row r="3669" customFormat="false" ht="15" hidden="false" customHeight="false" outlineLevel="0" collapsed="false">
      <c r="A3669" s="1" t="s">
        <v>3704</v>
      </c>
      <c r="B3669" s="1" t="s">
        <v>26</v>
      </c>
      <c r="C3669" s="1" t="n">
        <v>844000</v>
      </c>
      <c r="D3669" s="1" t="n">
        <v>1773.3</v>
      </c>
      <c r="E3669" s="1" t="n">
        <v>0.0099</v>
      </c>
      <c r="F3669" s="1" t="n">
        <v>0.1471</v>
      </c>
    </row>
    <row r="3670" customFormat="false" ht="15" hidden="false" customHeight="false" outlineLevel="0" collapsed="false">
      <c r="A3670" s="1" t="s">
        <v>3705</v>
      </c>
      <c r="B3670" s="1" t="s">
        <v>32</v>
      </c>
      <c r="C3670" s="1" t="n">
        <v>932000</v>
      </c>
      <c r="D3670" s="1" t="n">
        <v>1145.5</v>
      </c>
      <c r="E3670" s="1" t="n">
        <v>0.0147</v>
      </c>
      <c r="F3670" s="1" t="n">
        <v>0.0462</v>
      </c>
    </row>
    <row r="3671" customFormat="false" ht="15" hidden="false" customHeight="false" outlineLevel="0" collapsed="false">
      <c r="A3671" s="1" t="s">
        <v>3706</v>
      </c>
      <c r="B3671" s="1" t="s">
        <v>24</v>
      </c>
      <c r="C3671" s="1" t="n">
        <v>2010000</v>
      </c>
      <c r="D3671" s="1" t="n">
        <v>18960.5</v>
      </c>
      <c r="E3671" s="1" t="n">
        <v>0.0408</v>
      </c>
      <c r="F3671" s="1" t="n">
        <v>0.0759</v>
      </c>
    </row>
    <row r="3672" customFormat="false" ht="15" hidden="false" customHeight="false" outlineLevel="0" collapsed="false">
      <c r="A3672" s="1" t="s">
        <v>3707</v>
      </c>
      <c r="B3672" s="1" t="s">
        <v>50</v>
      </c>
      <c r="C3672" s="1" t="n">
        <v>745000</v>
      </c>
      <c r="D3672" s="1" t="n">
        <v>40933.5</v>
      </c>
      <c r="E3672" s="1" t="n">
        <v>0.014</v>
      </c>
      <c r="F3672" s="1" t="n">
        <v>0.0726</v>
      </c>
    </row>
    <row r="3673" customFormat="false" ht="15" hidden="false" customHeight="false" outlineLevel="0" collapsed="false">
      <c r="A3673" s="1" t="s">
        <v>3708</v>
      </c>
      <c r="B3673" s="1" t="s">
        <v>26</v>
      </c>
      <c r="C3673" s="1" t="n">
        <v>753000</v>
      </c>
      <c r="D3673" s="1" t="n">
        <v>53952.2</v>
      </c>
      <c r="E3673" s="1" t="n">
        <v>0.0471</v>
      </c>
      <c r="F3673" s="1" t="n">
        <v>0.0759</v>
      </c>
    </row>
    <row r="3674" customFormat="false" ht="15" hidden="false" customHeight="false" outlineLevel="0" collapsed="false">
      <c r="A3674" s="1" t="s">
        <v>3709</v>
      </c>
      <c r="B3674" s="1" t="s">
        <v>53</v>
      </c>
      <c r="C3674" s="1" t="n">
        <v>735000</v>
      </c>
      <c r="D3674" s="1" t="n">
        <v>16129.3</v>
      </c>
      <c r="E3674" s="1" t="n">
        <v>0.121</v>
      </c>
      <c r="F3674" s="1" t="n">
        <v>0.0938</v>
      </c>
    </row>
    <row r="3675" customFormat="false" ht="15" hidden="false" customHeight="false" outlineLevel="0" collapsed="false">
      <c r="A3675" s="1" t="s">
        <v>3710</v>
      </c>
      <c r="B3675" s="1" t="s">
        <v>26</v>
      </c>
      <c r="C3675" s="1" t="n">
        <v>1840000</v>
      </c>
      <c r="D3675" s="1" t="n">
        <v>1237336</v>
      </c>
      <c r="E3675" s="1" t="n">
        <v>0.0025</v>
      </c>
      <c r="F3675" s="1" t="n">
        <v>0.0822</v>
      </c>
    </row>
    <row r="3676" customFormat="false" ht="15" hidden="false" customHeight="false" outlineLevel="0" collapsed="false">
      <c r="A3676" s="1" t="s">
        <v>3711</v>
      </c>
      <c r="B3676" s="1" t="s">
        <v>26</v>
      </c>
      <c r="C3676" s="1" t="n">
        <v>802000</v>
      </c>
      <c r="D3676" s="1" t="n">
        <v>2980.3</v>
      </c>
      <c r="F3676" s="1" t="n">
        <v>0.0538</v>
      </c>
    </row>
    <row r="3677" customFormat="false" ht="15" hidden="false" customHeight="false" outlineLevel="0" collapsed="false">
      <c r="A3677" s="1" t="s">
        <v>3712</v>
      </c>
      <c r="B3677" s="1" t="s">
        <v>88</v>
      </c>
      <c r="C3677" s="1" t="n">
        <v>717000</v>
      </c>
      <c r="D3677" s="1" t="n">
        <v>159898.2</v>
      </c>
      <c r="E3677" s="1" t="n">
        <v>0.0295</v>
      </c>
      <c r="F3677" s="1" t="n">
        <v>0.0951</v>
      </c>
    </row>
    <row r="3678" customFormat="false" ht="15" hidden="false" customHeight="false" outlineLevel="0" collapsed="false">
      <c r="A3678" s="1" t="s">
        <v>3713</v>
      </c>
      <c r="B3678" s="1" t="s">
        <v>92</v>
      </c>
      <c r="C3678" s="1" t="n">
        <v>790000</v>
      </c>
      <c r="D3678" s="1" t="n">
        <v>26863.7</v>
      </c>
      <c r="E3678" s="1" t="n">
        <v>0.0337</v>
      </c>
      <c r="F3678" s="1" t="n">
        <v>0.0759</v>
      </c>
    </row>
    <row r="3679" customFormat="false" ht="15" hidden="false" customHeight="false" outlineLevel="0" collapsed="false">
      <c r="A3679" s="1" t="s">
        <v>3714</v>
      </c>
      <c r="B3679" s="1" t="s">
        <v>71</v>
      </c>
      <c r="C3679" s="1" t="n">
        <v>709000</v>
      </c>
      <c r="D3679" s="1" t="n">
        <v>11980.2</v>
      </c>
      <c r="E3679" s="1" t="n">
        <v>0.0148</v>
      </c>
      <c r="F3679" s="1" t="n">
        <v>0.0585</v>
      </c>
    </row>
    <row r="3680" customFormat="false" ht="15" hidden="false" customHeight="false" outlineLevel="0" collapsed="false">
      <c r="A3680" s="1" t="s">
        <v>3715</v>
      </c>
      <c r="B3680" s="1" t="s">
        <v>24</v>
      </c>
      <c r="C3680" s="1" t="n">
        <v>792000</v>
      </c>
      <c r="D3680" s="1" t="n">
        <v>2765</v>
      </c>
      <c r="E3680" s="1" t="n">
        <v>0.0557</v>
      </c>
      <c r="F3680" s="1" t="n">
        <v>0.0409</v>
      </c>
    </row>
    <row r="3681" customFormat="false" ht="15" hidden="false" customHeight="false" outlineLevel="0" collapsed="false">
      <c r="A3681" s="1" t="s">
        <v>3716</v>
      </c>
      <c r="B3681" s="1" t="s">
        <v>41</v>
      </c>
      <c r="C3681" s="1" t="n">
        <v>831000</v>
      </c>
      <c r="D3681" s="1" t="n">
        <v>837.9</v>
      </c>
      <c r="F3681" s="1" t="n">
        <v>0.0938</v>
      </c>
    </row>
    <row r="3682" customFormat="false" ht="15" hidden="false" customHeight="false" outlineLevel="0" collapsed="false">
      <c r="A3682" s="1" t="s">
        <v>3717</v>
      </c>
      <c r="B3682" s="1" t="s">
        <v>88</v>
      </c>
      <c r="C3682" s="1" t="n">
        <v>1250000</v>
      </c>
      <c r="D3682" s="1" t="n">
        <v>1549.7</v>
      </c>
      <c r="E3682" s="1" t="n">
        <v>0.1124</v>
      </c>
      <c r="F3682" s="1" t="n">
        <v>0.0938</v>
      </c>
    </row>
    <row r="3683" customFormat="false" ht="15" hidden="false" customHeight="false" outlineLevel="0" collapsed="false">
      <c r="A3683" s="1" t="s">
        <v>3718</v>
      </c>
      <c r="B3683" s="1" t="s">
        <v>26</v>
      </c>
      <c r="C3683" s="1" t="n">
        <v>803000</v>
      </c>
      <c r="D3683" s="1" t="n">
        <v>5261.5</v>
      </c>
      <c r="E3683" s="1" t="n">
        <v>0.0166</v>
      </c>
      <c r="F3683" s="1" t="n">
        <v>0.1886</v>
      </c>
    </row>
    <row r="3684" customFormat="false" ht="15" hidden="false" customHeight="false" outlineLevel="0" collapsed="false">
      <c r="A3684" s="1" t="s">
        <v>3719</v>
      </c>
      <c r="B3684" s="1" t="s">
        <v>71</v>
      </c>
      <c r="C3684" s="1" t="n">
        <v>780000</v>
      </c>
      <c r="D3684" s="1" t="n">
        <v>5019.2</v>
      </c>
      <c r="E3684" s="1" t="n">
        <v>0.0245</v>
      </c>
      <c r="F3684" s="1" t="n">
        <v>0.0951</v>
      </c>
    </row>
    <row r="3685" customFormat="false" ht="15" hidden="false" customHeight="false" outlineLevel="0" collapsed="false">
      <c r="A3685" s="1" t="s">
        <v>3720</v>
      </c>
      <c r="B3685" s="1" t="s">
        <v>26</v>
      </c>
      <c r="C3685" s="1" t="n">
        <v>820000</v>
      </c>
      <c r="D3685" s="1" t="n">
        <v>46615.4</v>
      </c>
      <c r="E3685" s="1" t="n">
        <v>0.0108</v>
      </c>
      <c r="F3685" s="1" t="n">
        <v>0.0911</v>
      </c>
    </row>
    <row r="3686" customFormat="false" ht="15" hidden="false" customHeight="false" outlineLevel="0" collapsed="false">
      <c r="A3686" s="1" t="s">
        <v>3721</v>
      </c>
      <c r="B3686" s="1" t="s">
        <v>24</v>
      </c>
      <c r="C3686" s="1" t="n">
        <v>926000</v>
      </c>
      <c r="D3686" s="1" t="n">
        <v>13631.8</v>
      </c>
      <c r="E3686" s="1" t="n">
        <v>0.0164</v>
      </c>
      <c r="F3686" s="1" t="n">
        <v>0.0585</v>
      </c>
    </row>
    <row r="3687" customFormat="false" ht="15" hidden="false" customHeight="false" outlineLevel="0" collapsed="false">
      <c r="A3687" s="1" t="s">
        <v>3722</v>
      </c>
      <c r="B3687" s="1" t="s">
        <v>62</v>
      </c>
      <c r="C3687" s="1" t="n">
        <v>712000</v>
      </c>
      <c r="D3687" s="1" t="n">
        <v>8163.7</v>
      </c>
      <c r="E3687" s="1" t="n">
        <v>0.0178</v>
      </c>
      <c r="F3687" s="1" t="n">
        <v>0.0616</v>
      </c>
    </row>
    <row r="3688" customFormat="false" ht="15" hidden="false" customHeight="false" outlineLevel="0" collapsed="false">
      <c r="A3688" s="1" t="s">
        <v>3723</v>
      </c>
      <c r="B3688" s="1" t="s">
        <v>74</v>
      </c>
      <c r="C3688" s="1" t="n">
        <v>852000</v>
      </c>
      <c r="D3688" s="1" t="n">
        <v>2898.9</v>
      </c>
      <c r="E3688" s="1" t="n">
        <v>0.0488</v>
      </c>
      <c r="F3688" s="1" t="n">
        <v>0.0938</v>
      </c>
    </row>
    <row r="3689" customFormat="false" ht="15" hidden="false" customHeight="false" outlineLevel="0" collapsed="false">
      <c r="A3689" s="1" t="s">
        <v>3724</v>
      </c>
      <c r="B3689" s="1" t="s">
        <v>26</v>
      </c>
      <c r="C3689" s="1" t="n">
        <v>1020000</v>
      </c>
      <c r="D3689" s="1" t="n">
        <v>38286.2</v>
      </c>
      <c r="E3689" s="1" t="n">
        <v>0.0154</v>
      </c>
      <c r="F3689" s="1" t="n">
        <v>0.2267</v>
      </c>
    </row>
    <row r="3690" customFormat="false" ht="15" hidden="false" customHeight="false" outlineLevel="0" collapsed="false">
      <c r="A3690" s="1" t="s">
        <v>3725</v>
      </c>
      <c r="B3690" s="1" t="s">
        <v>214</v>
      </c>
      <c r="C3690" s="1" t="n">
        <v>758000</v>
      </c>
      <c r="D3690" s="1" t="n">
        <v>8109.3</v>
      </c>
      <c r="E3690" s="1" t="n">
        <v>0.0187</v>
      </c>
      <c r="F3690" s="1" t="n">
        <v>0.1053</v>
      </c>
    </row>
    <row r="3691" customFormat="false" ht="15" hidden="false" customHeight="false" outlineLevel="0" collapsed="false">
      <c r="A3691" s="1" t="s">
        <v>3726</v>
      </c>
      <c r="B3691" s="1" t="s">
        <v>92</v>
      </c>
      <c r="C3691" s="1" t="n">
        <v>823000</v>
      </c>
      <c r="D3691" s="1" t="n">
        <v>24867.8</v>
      </c>
      <c r="E3691" s="1" t="n">
        <v>0.0131</v>
      </c>
      <c r="F3691" s="1" t="n">
        <v>0.0654</v>
      </c>
    </row>
    <row r="3692" customFormat="false" ht="15" hidden="false" customHeight="false" outlineLevel="0" collapsed="false">
      <c r="A3692" s="1" t="s">
        <v>3727</v>
      </c>
      <c r="B3692" s="1" t="s">
        <v>26</v>
      </c>
      <c r="C3692" s="1" t="n">
        <v>764000</v>
      </c>
      <c r="D3692" s="1" t="n">
        <v>78152.5</v>
      </c>
      <c r="E3692" s="1" t="n">
        <v>0.0246</v>
      </c>
      <c r="F3692" s="1" t="n">
        <v>0.0759</v>
      </c>
    </row>
    <row r="3693" customFormat="false" ht="15" hidden="false" customHeight="false" outlineLevel="0" collapsed="false">
      <c r="A3693" s="1" t="s">
        <v>3728</v>
      </c>
      <c r="B3693" s="1" t="s">
        <v>26</v>
      </c>
      <c r="C3693" s="1" t="n">
        <v>723000</v>
      </c>
      <c r="D3693" s="1" t="n">
        <v>73247</v>
      </c>
      <c r="E3693" s="1" t="n">
        <v>0.0263</v>
      </c>
      <c r="F3693" s="1" t="n">
        <v>0.0759</v>
      </c>
    </row>
    <row r="3694" customFormat="false" ht="15" hidden="false" customHeight="false" outlineLevel="0" collapsed="false">
      <c r="A3694" s="1" t="s">
        <v>3729</v>
      </c>
      <c r="B3694" s="1" t="s">
        <v>30</v>
      </c>
      <c r="C3694" s="1" t="n">
        <v>796000</v>
      </c>
      <c r="D3694" s="1" t="n">
        <v>57852.6</v>
      </c>
      <c r="E3694" s="1" t="n">
        <v>0.0279</v>
      </c>
      <c r="F3694" s="1" t="n">
        <v>0.0759</v>
      </c>
    </row>
    <row r="3695" customFormat="false" ht="15" hidden="false" customHeight="false" outlineLevel="0" collapsed="false">
      <c r="A3695" s="1" t="s">
        <v>3730</v>
      </c>
      <c r="B3695" s="1" t="s">
        <v>26</v>
      </c>
      <c r="C3695" s="1" t="n">
        <v>1090000</v>
      </c>
      <c r="D3695" s="1" t="n">
        <v>4809.2</v>
      </c>
      <c r="F3695" s="1" t="n">
        <v>0.0409</v>
      </c>
    </row>
    <row r="3696" customFormat="false" ht="15" hidden="false" customHeight="false" outlineLevel="0" collapsed="false">
      <c r="A3696" s="1" t="s">
        <v>3731</v>
      </c>
      <c r="B3696" s="1" t="s">
        <v>26</v>
      </c>
      <c r="C3696" s="1" t="n">
        <v>901000</v>
      </c>
      <c r="D3696" s="1" t="n">
        <v>1784</v>
      </c>
      <c r="E3696" s="1" t="n">
        <v>0.0064</v>
      </c>
      <c r="F3696" s="1" t="n">
        <v>0.0654</v>
      </c>
    </row>
    <row r="3697" customFormat="false" ht="15" hidden="false" customHeight="false" outlineLevel="0" collapsed="false">
      <c r="A3697" s="1" t="s">
        <v>3732</v>
      </c>
      <c r="B3697" s="1" t="s">
        <v>32</v>
      </c>
      <c r="C3697" s="1" t="n">
        <v>770000</v>
      </c>
      <c r="D3697" s="1" t="n">
        <v>25335.6</v>
      </c>
      <c r="E3697" s="1" t="n">
        <v>0.0062</v>
      </c>
      <c r="F3697" s="1" t="n">
        <v>0.1953</v>
      </c>
    </row>
    <row r="3698" customFormat="false" ht="15" hidden="false" customHeight="false" outlineLevel="0" collapsed="false">
      <c r="A3698" s="1" t="s">
        <v>3733</v>
      </c>
      <c r="B3698" s="1" t="s">
        <v>26</v>
      </c>
      <c r="C3698" s="1" t="n">
        <v>886000</v>
      </c>
      <c r="D3698" s="1" t="n">
        <v>10105.1</v>
      </c>
      <c r="F3698" s="1" t="n">
        <v>0.0518</v>
      </c>
    </row>
    <row r="3699" customFormat="false" ht="15" hidden="false" customHeight="false" outlineLevel="0" collapsed="false">
      <c r="A3699" s="1" t="s">
        <v>3734</v>
      </c>
      <c r="B3699" s="1" t="s">
        <v>214</v>
      </c>
      <c r="C3699" s="1" t="n">
        <v>878000</v>
      </c>
      <c r="D3699" s="1" t="n">
        <v>4138.8</v>
      </c>
      <c r="E3699" s="1" t="n">
        <v>0.0249</v>
      </c>
      <c r="F3699" s="1" t="n">
        <v>0.0938</v>
      </c>
    </row>
    <row r="3700" customFormat="false" ht="15" hidden="false" customHeight="false" outlineLevel="0" collapsed="false">
      <c r="A3700" s="1" t="s">
        <v>3735</v>
      </c>
      <c r="B3700" s="1" t="s">
        <v>41</v>
      </c>
      <c r="C3700" s="1" t="n">
        <v>908000</v>
      </c>
      <c r="D3700" s="1" t="n">
        <v>8995</v>
      </c>
      <c r="E3700" s="1" t="n">
        <v>0.014</v>
      </c>
      <c r="F3700" s="1" t="n">
        <v>0.0608</v>
      </c>
    </row>
    <row r="3701" customFormat="false" ht="15" hidden="false" customHeight="false" outlineLevel="0" collapsed="false">
      <c r="A3701" s="1" t="s">
        <v>3736</v>
      </c>
      <c r="B3701" s="1" t="s">
        <v>26</v>
      </c>
      <c r="C3701" s="1" t="n">
        <v>723000</v>
      </c>
      <c r="D3701" s="1" t="n">
        <v>1266.6</v>
      </c>
      <c r="E3701" s="1" t="n">
        <v>0.008</v>
      </c>
      <c r="F3701" s="1" t="n">
        <v>0.0654</v>
      </c>
    </row>
    <row r="3702" customFormat="false" ht="15" hidden="false" customHeight="false" outlineLevel="0" collapsed="false">
      <c r="A3702" s="1" t="s">
        <v>3737</v>
      </c>
      <c r="B3702" s="1" t="s">
        <v>88</v>
      </c>
      <c r="C3702" s="1" t="n">
        <v>717000</v>
      </c>
      <c r="D3702" s="1" t="n">
        <v>556828.6</v>
      </c>
      <c r="E3702" s="1" t="n">
        <v>0.0236</v>
      </c>
      <c r="F3702" s="1" t="n">
        <v>0.1067</v>
      </c>
    </row>
    <row r="3703" customFormat="false" ht="15" hidden="false" customHeight="false" outlineLevel="0" collapsed="false">
      <c r="A3703" s="1" t="s">
        <v>3738</v>
      </c>
      <c r="B3703" s="1" t="s">
        <v>41</v>
      </c>
      <c r="C3703" s="1" t="n">
        <v>750000</v>
      </c>
      <c r="D3703" s="1" t="n">
        <v>834.8</v>
      </c>
      <c r="E3703" s="1" t="n">
        <v>0.0256</v>
      </c>
      <c r="F3703" s="1" t="n">
        <v>0.0951</v>
      </c>
    </row>
    <row r="3704" customFormat="false" ht="15" hidden="false" customHeight="false" outlineLevel="0" collapsed="false">
      <c r="A3704" s="1" t="s">
        <v>3739</v>
      </c>
      <c r="B3704" s="1" t="s">
        <v>88</v>
      </c>
      <c r="C3704" s="1" t="n">
        <v>966000</v>
      </c>
      <c r="D3704" s="1" t="n">
        <v>23373</v>
      </c>
      <c r="E3704" s="1" t="n">
        <v>0.0071</v>
      </c>
      <c r="F3704" s="1" t="n">
        <v>0.1027</v>
      </c>
    </row>
    <row r="3705" customFormat="false" ht="15" hidden="false" customHeight="false" outlineLevel="0" collapsed="false">
      <c r="A3705" s="1" t="s">
        <v>3740</v>
      </c>
      <c r="B3705" s="1" t="s">
        <v>26</v>
      </c>
      <c r="C3705" s="1" t="n">
        <v>785000</v>
      </c>
      <c r="D3705" s="1" t="n">
        <v>5785.2</v>
      </c>
      <c r="E3705" s="1" t="n">
        <v>0.0276</v>
      </c>
      <c r="F3705" s="1" t="n">
        <v>0.0538</v>
      </c>
    </row>
    <row r="3706" customFormat="false" ht="15" hidden="false" customHeight="false" outlineLevel="0" collapsed="false">
      <c r="A3706" s="1" t="s">
        <v>3741</v>
      </c>
      <c r="B3706" s="1" t="s">
        <v>26</v>
      </c>
      <c r="C3706" s="1" t="n">
        <v>854000</v>
      </c>
      <c r="D3706" s="1" t="n">
        <v>23473.4</v>
      </c>
      <c r="E3706" s="1" t="n">
        <v>0.008</v>
      </c>
      <c r="F3706" s="1" t="n">
        <v>0.0822</v>
      </c>
    </row>
    <row r="3707" customFormat="false" ht="15" hidden="false" customHeight="false" outlineLevel="0" collapsed="false">
      <c r="A3707" s="1" t="s">
        <v>3742</v>
      </c>
      <c r="B3707" s="1" t="s">
        <v>26</v>
      </c>
      <c r="C3707" s="1" t="n">
        <v>1670000</v>
      </c>
      <c r="D3707" s="1" t="n">
        <v>1696566.2</v>
      </c>
      <c r="E3707" s="1" t="n">
        <v>0.0454</v>
      </c>
      <c r="F3707" s="1" t="n">
        <v>0.0409</v>
      </c>
    </row>
    <row r="3708" customFormat="false" ht="15" hidden="false" customHeight="false" outlineLevel="0" collapsed="false">
      <c r="A3708" s="1" t="s">
        <v>3743</v>
      </c>
      <c r="B3708" s="1" t="s">
        <v>32</v>
      </c>
      <c r="C3708" s="1" t="n">
        <v>880000</v>
      </c>
      <c r="D3708" s="1" t="n">
        <v>105944.2</v>
      </c>
      <c r="E3708" s="1" t="n">
        <v>0.0068</v>
      </c>
      <c r="F3708" s="1" t="n">
        <v>0.0654</v>
      </c>
    </row>
    <row r="3709" customFormat="false" ht="15" hidden="false" customHeight="false" outlineLevel="0" collapsed="false">
      <c r="A3709" s="1" t="s">
        <v>3744</v>
      </c>
      <c r="B3709" s="1" t="s">
        <v>214</v>
      </c>
      <c r="C3709" s="1" t="n">
        <v>701000</v>
      </c>
      <c r="D3709" s="1" t="n">
        <v>127299.3</v>
      </c>
      <c r="E3709" s="1" t="n">
        <v>0.0372</v>
      </c>
      <c r="F3709" s="1" t="n">
        <v>0.0518</v>
      </c>
    </row>
    <row r="3710" customFormat="false" ht="15" hidden="false" customHeight="false" outlineLevel="0" collapsed="false">
      <c r="A3710" s="1" t="s">
        <v>3745</v>
      </c>
      <c r="B3710" s="1" t="s">
        <v>26</v>
      </c>
      <c r="C3710" s="1" t="n">
        <v>1180000</v>
      </c>
      <c r="D3710" s="1" t="n">
        <v>120213.6</v>
      </c>
      <c r="E3710" s="1" t="n">
        <v>0.0276</v>
      </c>
      <c r="F3710" s="1" t="n">
        <v>0.0951</v>
      </c>
    </row>
    <row r="3711" customFormat="false" ht="15" hidden="false" customHeight="false" outlineLevel="0" collapsed="false">
      <c r="A3711" s="1" t="s">
        <v>3746</v>
      </c>
      <c r="B3711" s="1" t="s">
        <v>26</v>
      </c>
      <c r="C3711" s="1" t="n">
        <v>797000</v>
      </c>
      <c r="D3711" s="1" t="n">
        <v>1564528.3</v>
      </c>
      <c r="E3711" s="1" t="n">
        <v>0.0114</v>
      </c>
      <c r="F3711" s="1" t="n">
        <v>0.0736</v>
      </c>
    </row>
    <row r="3712" customFormat="false" ht="15" hidden="false" customHeight="false" outlineLevel="0" collapsed="false">
      <c r="A3712" s="1" t="s">
        <v>3747</v>
      </c>
      <c r="B3712" s="1" t="s">
        <v>21</v>
      </c>
      <c r="C3712" s="1" t="n">
        <v>776000</v>
      </c>
      <c r="D3712" s="1" t="n">
        <v>25202.7</v>
      </c>
      <c r="E3712" s="1" t="n">
        <v>0.0628</v>
      </c>
      <c r="F3712" s="1" t="n">
        <v>0.4909</v>
      </c>
    </row>
    <row r="3713" customFormat="false" ht="15" hidden="false" customHeight="false" outlineLevel="0" collapsed="false">
      <c r="A3713" s="1" t="s">
        <v>3748</v>
      </c>
      <c r="B3713" s="1" t="s">
        <v>41</v>
      </c>
      <c r="C3713" s="1" t="n">
        <v>707000</v>
      </c>
      <c r="D3713" s="1" t="n">
        <v>2331.1</v>
      </c>
      <c r="E3713" s="1" t="n">
        <v>0.0171</v>
      </c>
      <c r="F3713" s="1" t="n">
        <v>0.0462</v>
      </c>
    </row>
    <row r="3714" customFormat="false" ht="15" hidden="false" customHeight="false" outlineLevel="0" collapsed="false">
      <c r="A3714" s="1" t="s">
        <v>3749</v>
      </c>
      <c r="B3714" s="1" t="s">
        <v>92</v>
      </c>
      <c r="C3714" s="1" t="n">
        <v>775000</v>
      </c>
      <c r="D3714" s="1" t="n">
        <v>89915.1</v>
      </c>
      <c r="E3714" s="1" t="n">
        <v>0.0226</v>
      </c>
      <c r="F3714" s="1" t="n">
        <v>0.0518</v>
      </c>
    </row>
    <row r="3715" customFormat="false" ht="15" hidden="false" customHeight="false" outlineLevel="0" collapsed="false">
      <c r="A3715" s="1" t="s">
        <v>3750</v>
      </c>
      <c r="B3715" s="1" t="s">
        <v>92</v>
      </c>
      <c r="C3715" s="1" t="n">
        <v>552000</v>
      </c>
      <c r="D3715" s="1" t="n">
        <v>22433.3</v>
      </c>
      <c r="E3715" s="1" t="n">
        <v>0.019</v>
      </c>
      <c r="F3715" s="1" t="n">
        <v>0.0951</v>
      </c>
    </row>
    <row r="3716" customFormat="false" ht="15" hidden="false" customHeight="false" outlineLevel="0" collapsed="false">
      <c r="A3716" s="1" t="s">
        <v>3751</v>
      </c>
      <c r="B3716" s="1" t="s">
        <v>28</v>
      </c>
      <c r="C3716" s="1" t="n">
        <v>1080000</v>
      </c>
      <c r="D3716" s="1" t="n">
        <v>14441.9</v>
      </c>
      <c r="E3716" s="1" t="n">
        <v>0.0015</v>
      </c>
      <c r="F3716" s="1" t="n">
        <v>0.0811</v>
      </c>
    </row>
    <row r="3717" customFormat="false" ht="15" hidden="false" customHeight="false" outlineLevel="0" collapsed="false">
      <c r="A3717" s="1" t="s">
        <v>3752</v>
      </c>
      <c r="B3717" s="1" t="s">
        <v>26</v>
      </c>
      <c r="C3717" s="1" t="n">
        <v>1430000</v>
      </c>
      <c r="D3717" s="1" t="n">
        <v>1964128.5</v>
      </c>
      <c r="E3717" s="1" t="n">
        <v>0.0405</v>
      </c>
      <c r="F3717" s="1" t="n">
        <v>0.0951</v>
      </c>
    </row>
    <row r="3718" customFormat="false" ht="15" hidden="false" customHeight="false" outlineLevel="0" collapsed="false">
      <c r="A3718" s="1" t="s">
        <v>3753</v>
      </c>
      <c r="B3718" s="1" t="s">
        <v>26</v>
      </c>
      <c r="C3718" s="1" t="n">
        <v>772000</v>
      </c>
      <c r="D3718" s="1" t="n">
        <v>988.9</v>
      </c>
      <c r="E3718" s="1" t="n">
        <v>0.0121</v>
      </c>
      <c r="F3718" s="1" t="n">
        <v>0.0811</v>
      </c>
    </row>
    <row r="3719" customFormat="false" ht="15" hidden="false" customHeight="false" outlineLevel="0" collapsed="false">
      <c r="A3719" s="1" t="s">
        <v>3754</v>
      </c>
      <c r="B3719" s="1" t="s">
        <v>26</v>
      </c>
      <c r="C3719" s="1" t="n">
        <v>750000</v>
      </c>
      <c r="D3719" s="1" t="n">
        <v>41129.5</v>
      </c>
      <c r="E3719" s="1" t="n">
        <v>0.0341</v>
      </c>
      <c r="F3719" s="1" t="n">
        <v>0.1243</v>
      </c>
    </row>
    <row r="3720" customFormat="false" ht="15" hidden="false" customHeight="false" outlineLevel="0" collapsed="false">
      <c r="A3720" s="1" t="s">
        <v>3755</v>
      </c>
      <c r="B3720" s="1" t="s">
        <v>24</v>
      </c>
      <c r="C3720" s="1" t="n">
        <v>991000</v>
      </c>
      <c r="D3720" s="1" t="n">
        <v>17917.6</v>
      </c>
      <c r="E3720" s="1" t="n">
        <v>0.1182</v>
      </c>
      <c r="F3720" s="1" t="n">
        <v>0.0938</v>
      </c>
    </row>
    <row r="3721" customFormat="false" ht="15" hidden="false" customHeight="false" outlineLevel="0" collapsed="false">
      <c r="A3721" s="1" t="s">
        <v>3756</v>
      </c>
      <c r="B3721" s="1" t="s">
        <v>26</v>
      </c>
      <c r="C3721" s="1" t="n">
        <v>846000</v>
      </c>
      <c r="D3721" s="1" t="n">
        <v>1597.1</v>
      </c>
      <c r="E3721" s="1" t="n">
        <v>0.1458</v>
      </c>
      <c r="F3721" s="1" t="n">
        <v>0.0938</v>
      </c>
    </row>
    <row r="3722" customFormat="false" ht="15" hidden="false" customHeight="false" outlineLevel="0" collapsed="false">
      <c r="A3722" s="1" t="s">
        <v>3757</v>
      </c>
      <c r="B3722" s="1" t="s">
        <v>88</v>
      </c>
      <c r="C3722" s="1" t="n">
        <v>761000</v>
      </c>
      <c r="D3722" s="1" t="n">
        <v>4247.7</v>
      </c>
      <c r="E3722" s="1" t="n">
        <v>0.0285</v>
      </c>
      <c r="F3722" s="1" t="n">
        <v>0.0538</v>
      </c>
    </row>
    <row r="3723" customFormat="false" ht="15" hidden="false" customHeight="false" outlineLevel="0" collapsed="false">
      <c r="A3723" s="1" t="s">
        <v>3758</v>
      </c>
      <c r="B3723" s="1" t="s">
        <v>24</v>
      </c>
      <c r="C3723" s="1" t="n">
        <v>740000</v>
      </c>
      <c r="D3723" s="1" t="n">
        <v>3906</v>
      </c>
      <c r="E3723" s="1" t="n">
        <v>0.018</v>
      </c>
      <c r="F3723" s="1" t="n">
        <v>0.1053</v>
      </c>
    </row>
    <row r="3724" customFormat="false" ht="15" hidden="false" customHeight="false" outlineLevel="0" collapsed="false">
      <c r="A3724" s="1" t="s">
        <v>3759</v>
      </c>
      <c r="B3724" s="1" t="s">
        <v>92</v>
      </c>
      <c r="C3724" s="1" t="n">
        <v>911000</v>
      </c>
      <c r="D3724" s="1" t="n">
        <v>10075.4</v>
      </c>
      <c r="E3724" s="1" t="n">
        <v>0.0317</v>
      </c>
      <c r="F3724" s="1" t="n">
        <v>0.2545</v>
      </c>
    </row>
    <row r="3725" customFormat="false" ht="15" hidden="false" customHeight="false" outlineLevel="0" collapsed="false">
      <c r="A3725" s="1" t="s">
        <v>3760</v>
      </c>
      <c r="B3725" s="1" t="s">
        <v>26</v>
      </c>
      <c r="C3725" s="1" t="n">
        <v>840000</v>
      </c>
      <c r="D3725" s="1" t="n">
        <v>15931.5</v>
      </c>
      <c r="E3725" s="1" t="n">
        <v>0.02</v>
      </c>
      <c r="F3725" s="1" t="n">
        <v>0.0854</v>
      </c>
    </row>
    <row r="3726" customFormat="false" ht="15" hidden="false" customHeight="false" outlineLevel="0" collapsed="false">
      <c r="A3726" s="1" t="s">
        <v>3761</v>
      </c>
      <c r="B3726" s="1" t="s">
        <v>26</v>
      </c>
      <c r="C3726" s="1" t="n">
        <v>850000</v>
      </c>
      <c r="D3726" s="1" t="n">
        <v>52469.9</v>
      </c>
      <c r="E3726" s="1" t="n">
        <v>0.0165</v>
      </c>
      <c r="F3726" s="1" t="n">
        <v>0.0616</v>
      </c>
    </row>
    <row r="3727" customFormat="false" ht="15" hidden="false" customHeight="false" outlineLevel="0" collapsed="false">
      <c r="A3727" s="1" t="s">
        <v>3762</v>
      </c>
      <c r="B3727" s="1" t="s">
        <v>21</v>
      </c>
      <c r="C3727" s="1" t="n">
        <v>950000</v>
      </c>
      <c r="D3727" s="1" t="n">
        <v>10772</v>
      </c>
      <c r="E3727" s="1" t="n">
        <v>0.0087</v>
      </c>
      <c r="F3727" s="1" t="n">
        <v>0.0654</v>
      </c>
    </row>
    <row r="3728" customFormat="false" ht="15" hidden="false" customHeight="false" outlineLevel="0" collapsed="false">
      <c r="A3728" s="1" t="s">
        <v>3763</v>
      </c>
      <c r="B3728" s="1" t="s">
        <v>26</v>
      </c>
      <c r="C3728" s="1" t="n">
        <v>782000</v>
      </c>
      <c r="D3728" s="1" t="n">
        <v>1305.4</v>
      </c>
      <c r="E3728" s="1" t="n">
        <v>0.0762</v>
      </c>
      <c r="F3728" s="1" t="n">
        <v>0.0938</v>
      </c>
    </row>
    <row r="3729" customFormat="false" ht="15" hidden="false" customHeight="false" outlineLevel="0" collapsed="false">
      <c r="A3729" s="1" t="s">
        <v>3764</v>
      </c>
      <c r="B3729" s="1" t="s">
        <v>74</v>
      </c>
      <c r="C3729" s="1" t="n">
        <v>692000</v>
      </c>
      <c r="D3729" s="1" t="n">
        <v>201116</v>
      </c>
      <c r="E3729" s="1" t="n">
        <v>0.05</v>
      </c>
      <c r="F3729" s="1" t="n">
        <v>0.0518</v>
      </c>
    </row>
    <row r="3730" customFormat="false" ht="15" hidden="false" customHeight="false" outlineLevel="0" collapsed="false">
      <c r="A3730" s="1" t="s">
        <v>3765</v>
      </c>
      <c r="B3730" s="1" t="s">
        <v>26</v>
      </c>
      <c r="C3730" s="1" t="n">
        <v>918000</v>
      </c>
      <c r="D3730" s="1" t="n">
        <v>16693.7</v>
      </c>
      <c r="E3730" s="1" t="n">
        <v>0.0281</v>
      </c>
      <c r="F3730" s="1" t="n">
        <v>0.0938</v>
      </c>
    </row>
    <row r="3731" customFormat="false" ht="15" hidden="false" customHeight="false" outlineLevel="0" collapsed="false">
      <c r="A3731" s="1" t="s">
        <v>3766</v>
      </c>
      <c r="B3731" s="1" t="s">
        <v>214</v>
      </c>
      <c r="C3731" s="1" t="n">
        <v>741000</v>
      </c>
      <c r="D3731" s="1" t="n">
        <v>2788.2</v>
      </c>
      <c r="E3731" s="1" t="n">
        <v>0.0097</v>
      </c>
      <c r="F3731" s="1" t="n">
        <v>0.0654</v>
      </c>
    </row>
    <row r="3732" customFormat="false" ht="15" hidden="false" customHeight="false" outlineLevel="0" collapsed="false">
      <c r="A3732" s="1" t="s">
        <v>3767</v>
      </c>
      <c r="B3732" s="1" t="s">
        <v>41</v>
      </c>
      <c r="C3732" s="1" t="n">
        <v>713000</v>
      </c>
      <c r="D3732" s="1" t="n">
        <v>19891.3</v>
      </c>
      <c r="E3732" s="1" t="n">
        <v>0.063</v>
      </c>
      <c r="F3732" s="1" t="n">
        <v>0.0938</v>
      </c>
    </row>
    <row r="3733" customFormat="false" ht="15" hidden="false" customHeight="false" outlineLevel="0" collapsed="false">
      <c r="A3733" s="1" t="s">
        <v>3768</v>
      </c>
      <c r="B3733" s="1" t="s">
        <v>26</v>
      </c>
      <c r="C3733" s="1" t="n">
        <v>720000</v>
      </c>
      <c r="D3733" s="1" t="n">
        <v>14633.2</v>
      </c>
      <c r="E3733" s="1" t="n">
        <v>0.0422</v>
      </c>
      <c r="F3733" s="1" t="n">
        <v>0.0951</v>
      </c>
    </row>
    <row r="3734" customFormat="false" ht="15" hidden="false" customHeight="false" outlineLevel="0" collapsed="false">
      <c r="A3734" s="1" t="s">
        <v>3769</v>
      </c>
      <c r="B3734" s="1" t="s">
        <v>88</v>
      </c>
      <c r="C3734" s="1" t="n">
        <v>952000</v>
      </c>
      <c r="D3734" s="1" t="n">
        <v>1699.4</v>
      </c>
      <c r="E3734" s="1" t="n">
        <v>0.0169</v>
      </c>
      <c r="F3734" s="1" t="n">
        <v>0.1053</v>
      </c>
    </row>
    <row r="3735" customFormat="false" ht="15" hidden="false" customHeight="false" outlineLevel="0" collapsed="false">
      <c r="A3735" s="1" t="s">
        <v>3770</v>
      </c>
      <c r="B3735" s="1" t="s">
        <v>26</v>
      </c>
      <c r="C3735" s="1" t="n">
        <v>904000</v>
      </c>
      <c r="D3735" s="1" t="n">
        <v>278314</v>
      </c>
      <c r="E3735" s="1" t="n">
        <v>0.0301</v>
      </c>
      <c r="F3735" s="1" t="n">
        <v>0.0759</v>
      </c>
    </row>
    <row r="3736" customFormat="false" ht="15" hidden="false" customHeight="false" outlineLevel="0" collapsed="false">
      <c r="A3736" s="1" t="s">
        <v>3771</v>
      </c>
      <c r="B3736" s="1" t="s">
        <v>195</v>
      </c>
      <c r="C3736" s="1" t="n">
        <v>774000</v>
      </c>
      <c r="D3736" s="1" t="n">
        <v>958.5</v>
      </c>
      <c r="E3736" s="1" t="n">
        <v>0.0251</v>
      </c>
      <c r="F3736" s="1" t="n">
        <v>0.051</v>
      </c>
    </row>
    <row r="3737" customFormat="false" ht="15" hidden="false" customHeight="false" outlineLevel="0" collapsed="false">
      <c r="A3737" s="1" t="s">
        <v>3772</v>
      </c>
      <c r="B3737" s="1" t="s">
        <v>21</v>
      </c>
      <c r="C3737" s="1" t="n">
        <v>2050000</v>
      </c>
      <c r="D3737" s="1" t="n">
        <v>10723.8</v>
      </c>
      <c r="E3737" s="1" t="n">
        <v>0.0111</v>
      </c>
      <c r="F3737" s="1" t="n">
        <v>0.0811</v>
      </c>
    </row>
    <row r="3738" customFormat="false" ht="15" hidden="false" customHeight="false" outlineLevel="0" collapsed="false">
      <c r="A3738" s="1" t="s">
        <v>3773</v>
      </c>
      <c r="B3738" s="1" t="s">
        <v>24</v>
      </c>
      <c r="C3738" s="1" t="n">
        <v>1160000</v>
      </c>
      <c r="D3738" s="1" t="n">
        <v>38033.5</v>
      </c>
      <c r="E3738" s="1" t="n">
        <v>0.0246</v>
      </c>
      <c r="F3738" s="1" t="n">
        <v>0.0518</v>
      </c>
    </row>
    <row r="3739" customFormat="false" ht="15" hidden="false" customHeight="false" outlineLevel="0" collapsed="false">
      <c r="A3739" s="1" t="s">
        <v>3774</v>
      </c>
      <c r="B3739" s="1" t="s">
        <v>30</v>
      </c>
      <c r="C3739" s="1" t="n">
        <v>748000</v>
      </c>
      <c r="D3739" s="1" t="n">
        <v>9154418.1</v>
      </c>
      <c r="E3739" s="1" t="n">
        <v>0.0478</v>
      </c>
      <c r="F3739" s="1" t="n">
        <v>0.0845</v>
      </c>
    </row>
    <row r="3740" customFormat="false" ht="15" hidden="false" customHeight="false" outlineLevel="0" collapsed="false">
      <c r="A3740" s="1" t="s">
        <v>3775</v>
      </c>
      <c r="B3740" s="1" t="s">
        <v>62</v>
      </c>
      <c r="C3740" s="1" t="n">
        <v>710000</v>
      </c>
      <c r="D3740" s="1" t="n">
        <v>634</v>
      </c>
      <c r="E3740" s="1" t="n">
        <v>0.0206</v>
      </c>
      <c r="F3740" s="1" t="n">
        <v>0.0951</v>
      </c>
    </row>
    <row r="3741" customFormat="false" ht="15" hidden="false" customHeight="false" outlineLevel="0" collapsed="false">
      <c r="A3741" s="1" t="s">
        <v>3776</v>
      </c>
      <c r="B3741" s="1" t="s">
        <v>88</v>
      </c>
      <c r="C3741" s="1" t="n">
        <v>685000</v>
      </c>
      <c r="D3741" s="1" t="n">
        <v>401.2</v>
      </c>
      <c r="E3741" s="1" t="n">
        <v>0.021</v>
      </c>
      <c r="F3741" s="1" t="n">
        <v>0.0576</v>
      </c>
    </row>
    <row r="3742" customFormat="false" ht="15" hidden="false" customHeight="false" outlineLevel="0" collapsed="false">
      <c r="A3742" s="1" t="s">
        <v>3777</v>
      </c>
      <c r="B3742" s="1" t="s">
        <v>26</v>
      </c>
      <c r="C3742" s="1" t="n">
        <v>1140000</v>
      </c>
      <c r="D3742" s="1" t="n">
        <v>76373.2</v>
      </c>
      <c r="E3742" s="1" t="n">
        <v>0.0312</v>
      </c>
      <c r="F3742" s="1" t="n">
        <v>0.0759</v>
      </c>
    </row>
    <row r="3743" customFormat="false" ht="15" hidden="false" customHeight="false" outlineLevel="0" collapsed="false">
      <c r="A3743" s="1" t="s">
        <v>3778</v>
      </c>
      <c r="B3743" s="1" t="s">
        <v>74</v>
      </c>
      <c r="C3743" s="1" t="n">
        <v>2440000</v>
      </c>
      <c r="D3743" s="1" t="n">
        <v>12060.9</v>
      </c>
      <c r="E3743" s="1" t="n">
        <v>0.0111</v>
      </c>
      <c r="F3743" s="1" t="n">
        <v>0.1604</v>
      </c>
    </row>
    <row r="3744" customFormat="false" ht="15" hidden="false" customHeight="false" outlineLevel="0" collapsed="false">
      <c r="A3744" s="1" t="s">
        <v>3779</v>
      </c>
      <c r="B3744" s="1" t="s">
        <v>53</v>
      </c>
      <c r="C3744" s="1" t="n">
        <v>1100000</v>
      </c>
      <c r="D3744" s="1" t="n">
        <v>1114314.6</v>
      </c>
      <c r="E3744" s="1" t="n">
        <v>0.0194</v>
      </c>
      <c r="F3744" s="1" t="n">
        <v>0.0409</v>
      </c>
    </row>
    <row r="3745" customFormat="false" ht="15" hidden="false" customHeight="false" outlineLevel="0" collapsed="false">
      <c r="A3745" s="1" t="s">
        <v>3780</v>
      </c>
      <c r="B3745" s="1" t="s">
        <v>92</v>
      </c>
      <c r="C3745" s="1" t="n">
        <v>726000</v>
      </c>
      <c r="D3745" s="1" t="n">
        <v>1224.6</v>
      </c>
      <c r="E3745" s="1" t="n">
        <v>0.0145</v>
      </c>
      <c r="F3745" s="1" t="n">
        <v>0.0585</v>
      </c>
    </row>
    <row r="3746" customFormat="false" ht="15" hidden="false" customHeight="false" outlineLevel="0" collapsed="false">
      <c r="A3746" s="1" t="s">
        <v>3781</v>
      </c>
      <c r="B3746" s="1" t="s">
        <v>30</v>
      </c>
      <c r="C3746" s="1" t="n">
        <v>767000</v>
      </c>
      <c r="D3746" s="1" t="n">
        <v>1705715.3</v>
      </c>
      <c r="E3746" s="1" t="n">
        <v>0.0496</v>
      </c>
      <c r="F3746" s="1" t="n">
        <v>0.0845</v>
      </c>
    </row>
    <row r="3747" customFormat="false" ht="15" hidden="false" customHeight="false" outlineLevel="0" collapsed="false">
      <c r="A3747" s="1" t="s">
        <v>3782</v>
      </c>
      <c r="B3747" s="1" t="s">
        <v>21</v>
      </c>
      <c r="C3747" s="1" t="n">
        <v>881000</v>
      </c>
      <c r="D3747" s="1" t="n">
        <v>788898.4</v>
      </c>
      <c r="E3747" s="1" t="n">
        <v>0.0252</v>
      </c>
      <c r="F3747" s="1" t="n">
        <v>0.0546</v>
      </c>
    </row>
    <row r="3748" customFormat="false" ht="15" hidden="false" customHeight="false" outlineLevel="0" collapsed="false">
      <c r="A3748" s="1" t="s">
        <v>3783</v>
      </c>
      <c r="B3748" s="1" t="s">
        <v>62</v>
      </c>
      <c r="C3748" s="1" t="n">
        <v>715000</v>
      </c>
      <c r="D3748" s="1" t="n">
        <v>3067.9</v>
      </c>
      <c r="E3748" s="1" t="n">
        <v>0.017</v>
      </c>
      <c r="F3748" s="1" t="n">
        <v>0.095</v>
      </c>
    </row>
    <row r="3749" customFormat="false" ht="15" hidden="false" customHeight="false" outlineLevel="0" collapsed="false">
      <c r="A3749" s="1" t="s">
        <v>3784</v>
      </c>
      <c r="B3749" s="1" t="s">
        <v>88</v>
      </c>
      <c r="C3749" s="1" t="n">
        <v>1390000</v>
      </c>
      <c r="D3749" s="1" t="n">
        <v>211.6</v>
      </c>
      <c r="E3749" s="1" t="n">
        <v>0.032</v>
      </c>
      <c r="F3749" s="1" t="n">
        <v>0.0938</v>
      </c>
    </row>
    <row r="3750" customFormat="false" ht="15" hidden="false" customHeight="false" outlineLevel="0" collapsed="false">
      <c r="A3750" s="1" t="s">
        <v>3785</v>
      </c>
      <c r="B3750" s="1" t="s">
        <v>287</v>
      </c>
      <c r="C3750" s="1" t="n">
        <v>903000</v>
      </c>
      <c r="D3750" s="1" t="n">
        <v>16640.2</v>
      </c>
      <c r="E3750" s="1" t="n">
        <v>0.0462</v>
      </c>
      <c r="F3750" s="1" t="n">
        <v>0.0759</v>
      </c>
    </row>
    <row r="3751" customFormat="false" ht="15" hidden="false" customHeight="false" outlineLevel="0" collapsed="false">
      <c r="A3751" s="1" t="s">
        <v>3786</v>
      </c>
      <c r="B3751" s="1" t="s">
        <v>32</v>
      </c>
      <c r="C3751" s="1" t="n">
        <v>890000</v>
      </c>
      <c r="D3751" s="1" t="n">
        <v>530225</v>
      </c>
      <c r="E3751" s="1" t="n">
        <v>0.0622</v>
      </c>
      <c r="F3751" s="1" t="n">
        <v>0.0951</v>
      </c>
    </row>
    <row r="3752" customFormat="false" ht="15" hidden="false" customHeight="false" outlineLevel="0" collapsed="false">
      <c r="A3752" s="1" t="s">
        <v>3787</v>
      </c>
      <c r="B3752" s="1" t="s">
        <v>41</v>
      </c>
      <c r="C3752" s="1" t="n">
        <v>1830000</v>
      </c>
      <c r="D3752" s="1" t="n">
        <v>5601.5</v>
      </c>
      <c r="E3752" s="1" t="n">
        <v>0.0396</v>
      </c>
      <c r="F3752" s="1" t="n">
        <v>0.0938</v>
      </c>
    </row>
    <row r="3753" customFormat="false" ht="15" hidden="false" customHeight="false" outlineLevel="0" collapsed="false">
      <c r="A3753" s="1" t="s">
        <v>3788</v>
      </c>
      <c r="B3753" s="1" t="s">
        <v>287</v>
      </c>
      <c r="C3753" s="1" t="n">
        <v>718000</v>
      </c>
      <c r="D3753" s="1" t="n">
        <v>22244.1</v>
      </c>
      <c r="E3753" s="1" t="n">
        <v>0.0263</v>
      </c>
      <c r="F3753" s="1" t="n">
        <v>0.0759</v>
      </c>
    </row>
    <row r="3754" customFormat="false" ht="15" hidden="false" customHeight="false" outlineLevel="0" collapsed="false">
      <c r="A3754" s="1" t="s">
        <v>3789</v>
      </c>
      <c r="B3754" s="1" t="s">
        <v>24</v>
      </c>
      <c r="C3754" s="1" t="n">
        <v>932000</v>
      </c>
      <c r="D3754" s="1" t="n">
        <v>979.8</v>
      </c>
      <c r="E3754" s="1" t="n">
        <v>0.0169</v>
      </c>
      <c r="F3754" s="1" t="n">
        <v>0.0576</v>
      </c>
    </row>
    <row r="3755" customFormat="false" ht="15" hidden="false" customHeight="false" outlineLevel="0" collapsed="false">
      <c r="A3755" s="1" t="s">
        <v>3790</v>
      </c>
      <c r="B3755" s="1" t="s">
        <v>26</v>
      </c>
      <c r="C3755" s="1" t="n">
        <v>1370000</v>
      </c>
      <c r="D3755" s="1" t="n">
        <v>1591608.2</v>
      </c>
      <c r="E3755" s="1" t="n">
        <v>0.0203</v>
      </c>
      <c r="F3755" s="1" t="n">
        <v>0.0576</v>
      </c>
    </row>
    <row r="3756" customFormat="false" ht="15" hidden="false" customHeight="false" outlineLevel="0" collapsed="false">
      <c r="A3756" s="1" t="s">
        <v>3791</v>
      </c>
      <c r="B3756" s="1" t="s">
        <v>26</v>
      </c>
      <c r="C3756" s="1" t="n">
        <v>1570000</v>
      </c>
      <c r="D3756" s="1" t="n">
        <v>1014123.6</v>
      </c>
      <c r="E3756" s="1" t="n">
        <v>0.0308</v>
      </c>
      <c r="F3756" s="1" t="n">
        <v>0.0409</v>
      </c>
    </row>
    <row r="3757" customFormat="false" ht="15" hidden="false" customHeight="false" outlineLevel="0" collapsed="false">
      <c r="A3757" s="1" t="s">
        <v>3792</v>
      </c>
      <c r="B3757" s="1" t="s">
        <v>24</v>
      </c>
      <c r="C3757" s="1" t="n">
        <v>670000</v>
      </c>
      <c r="D3757" s="1" t="n">
        <v>6987</v>
      </c>
      <c r="E3757" s="1" t="n">
        <v>0.2828</v>
      </c>
      <c r="F3757" s="1" t="n">
        <v>0.3521</v>
      </c>
    </row>
    <row r="3758" customFormat="false" ht="15" hidden="false" customHeight="false" outlineLevel="0" collapsed="false">
      <c r="A3758" s="1" t="s">
        <v>3793</v>
      </c>
      <c r="B3758" s="1" t="s">
        <v>26</v>
      </c>
      <c r="C3758" s="1" t="n">
        <v>724000</v>
      </c>
      <c r="D3758" s="1" t="n">
        <v>2119.6</v>
      </c>
      <c r="E3758" s="1" t="n">
        <v>0.0305</v>
      </c>
      <c r="F3758" s="1" t="n">
        <v>0.051</v>
      </c>
    </row>
    <row r="3759" customFormat="false" ht="15" hidden="false" customHeight="false" outlineLevel="0" collapsed="false">
      <c r="A3759" s="1" t="s">
        <v>3794</v>
      </c>
      <c r="B3759" s="1" t="s">
        <v>26</v>
      </c>
      <c r="C3759" s="1" t="n">
        <v>710000</v>
      </c>
      <c r="D3759" s="1" t="n">
        <v>3491</v>
      </c>
      <c r="E3759" s="1" t="n">
        <v>0.0286</v>
      </c>
      <c r="F3759" s="1" t="n">
        <v>0.0759</v>
      </c>
    </row>
    <row r="3760" customFormat="false" ht="15" hidden="false" customHeight="false" outlineLevel="0" collapsed="false">
      <c r="A3760" s="1" t="s">
        <v>3795</v>
      </c>
      <c r="B3760" s="1" t="s">
        <v>24</v>
      </c>
      <c r="C3760" s="1" t="n">
        <v>987000</v>
      </c>
      <c r="D3760" s="1" t="n">
        <v>68840.8</v>
      </c>
      <c r="E3760" s="1" t="n">
        <v>0.0347</v>
      </c>
      <c r="F3760" s="1" t="n">
        <v>0.0409</v>
      </c>
    </row>
    <row r="3761" customFormat="false" ht="15" hidden="false" customHeight="false" outlineLevel="0" collapsed="false">
      <c r="A3761" s="1" t="s">
        <v>3796</v>
      </c>
      <c r="B3761" s="1" t="s">
        <v>88</v>
      </c>
      <c r="C3761" s="1" t="n">
        <v>872000</v>
      </c>
      <c r="D3761" s="1" t="n">
        <v>1385</v>
      </c>
      <c r="E3761" s="1" t="n">
        <v>0.0493</v>
      </c>
      <c r="F3761" s="1" t="n">
        <v>0.0759</v>
      </c>
    </row>
    <row r="3762" customFormat="false" ht="15" hidden="false" customHeight="false" outlineLevel="0" collapsed="false">
      <c r="A3762" s="1" t="s">
        <v>3797</v>
      </c>
      <c r="B3762" s="1" t="s">
        <v>74</v>
      </c>
      <c r="C3762" s="1" t="n">
        <v>792000</v>
      </c>
      <c r="D3762" s="1" t="n">
        <v>3986.2</v>
      </c>
      <c r="E3762" s="1" t="n">
        <v>0.054</v>
      </c>
      <c r="F3762" s="1" t="n">
        <v>0.0938</v>
      </c>
    </row>
    <row r="3763" customFormat="false" ht="15" hidden="false" customHeight="false" outlineLevel="0" collapsed="false">
      <c r="A3763" s="1" t="s">
        <v>3798</v>
      </c>
      <c r="B3763" s="1" t="s">
        <v>26</v>
      </c>
      <c r="C3763" s="1" t="n">
        <v>798000</v>
      </c>
      <c r="D3763" s="1" t="n">
        <v>9797.9</v>
      </c>
      <c r="E3763" s="1" t="n">
        <v>0.0192</v>
      </c>
      <c r="F3763" s="1" t="n">
        <v>0.1067</v>
      </c>
    </row>
    <row r="3764" customFormat="false" ht="15" hidden="false" customHeight="false" outlineLevel="0" collapsed="false">
      <c r="A3764" s="1" t="s">
        <v>3799</v>
      </c>
      <c r="B3764" s="1" t="s">
        <v>26</v>
      </c>
      <c r="C3764" s="1" t="n">
        <v>5230000</v>
      </c>
      <c r="D3764" s="1" t="n">
        <v>1029084</v>
      </c>
      <c r="F3764" s="1" t="n">
        <v>0.0409</v>
      </c>
    </row>
    <row r="3765" customFormat="false" ht="15" hidden="false" customHeight="false" outlineLevel="0" collapsed="false">
      <c r="A3765" s="1" t="s">
        <v>3800</v>
      </c>
      <c r="B3765" s="1" t="s">
        <v>81</v>
      </c>
      <c r="C3765" s="1" t="n">
        <v>696000</v>
      </c>
      <c r="D3765" s="1" t="n">
        <v>1497.7</v>
      </c>
      <c r="E3765" s="1" t="n">
        <v>0.0188</v>
      </c>
      <c r="F3765" s="1" t="n">
        <v>0.3868</v>
      </c>
    </row>
    <row r="3766" customFormat="false" ht="15" hidden="false" customHeight="false" outlineLevel="0" collapsed="false">
      <c r="A3766" s="1" t="s">
        <v>3801</v>
      </c>
      <c r="B3766" s="1" t="s">
        <v>32</v>
      </c>
      <c r="C3766" s="1" t="n">
        <v>1120000</v>
      </c>
      <c r="D3766" s="1" t="n">
        <v>10537.5</v>
      </c>
      <c r="E3766" s="1" t="n">
        <v>0.0205</v>
      </c>
      <c r="F3766" s="1" t="n">
        <v>0.0462</v>
      </c>
    </row>
    <row r="3767" customFormat="false" ht="15" hidden="false" customHeight="false" outlineLevel="0" collapsed="false">
      <c r="A3767" s="1" t="s">
        <v>3802</v>
      </c>
      <c r="B3767" s="1" t="s">
        <v>62</v>
      </c>
      <c r="C3767" s="1" t="n">
        <v>885000</v>
      </c>
      <c r="D3767" s="1" t="n">
        <v>6596.4</v>
      </c>
      <c r="E3767" s="1" t="n">
        <v>0.0406</v>
      </c>
      <c r="F3767" s="1" t="n">
        <v>0.0938</v>
      </c>
    </row>
    <row r="3768" customFormat="false" ht="15" hidden="false" customHeight="false" outlineLevel="0" collapsed="false">
      <c r="A3768" s="1" t="s">
        <v>3803</v>
      </c>
      <c r="B3768" s="1" t="s">
        <v>88</v>
      </c>
      <c r="C3768" s="1" t="n">
        <v>1670000</v>
      </c>
      <c r="D3768" s="1" t="n">
        <v>19023.9</v>
      </c>
      <c r="E3768" s="1" t="n">
        <v>0.0723</v>
      </c>
      <c r="F3768" s="1" t="n">
        <v>0.0938</v>
      </c>
    </row>
    <row r="3769" customFormat="false" ht="15" hidden="false" customHeight="false" outlineLevel="0" collapsed="false">
      <c r="A3769" s="1" t="s">
        <v>3804</v>
      </c>
      <c r="B3769" s="1" t="s">
        <v>28</v>
      </c>
      <c r="C3769" s="1" t="n">
        <v>887000</v>
      </c>
      <c r="D3769" s="1" t="n">
        <v>430.4</v>
      </c>
      <c r="E3769" s="1" t="n">
        <v>0.0305</v>
      </c>
      <c r="F3769" s="1" t="n">
        <v>0.051</v>
      </c>
    </row>
    <row r="3770" customFormat="false" ht="15" hidden="false" customHeight="false" outlineLevel="0" collapsed="false">
      <c r="A3770" s="1" t="s">
        <v>3805</v>
      </c>
      <c r="B3770" s="1" t="s">
        <v>30</v>
      </c>
      <c r="C3770" s="1" t="n">
        <v>823000</v>
      </c>
      <c r="D3770" s="1" t="n">
        <v>344984.6</v>
      </c>
      <c r="E3770" s="1" t="n">
        <v>0.0506</v>
      </c>
      <c r="F3770" s="1" t="n">
        <v>0.0951</v>
      </c>
    </row>
    <row r="3771" customFormat="false" ht="15" hidden="false" customHeight="false" outlineLevel="0" collapsed="false">
      <c r="A3771" s="1" t="s">
        <v>3806</v>
      </c>
      <c r="B3771" s="1" t="s">
        <v>26</v>
      </c>
      <c r="C3771" s="1" t="n">
        <v>1140000</v>
      </c>
      <c r="D3771" s="1" t="n">
        <v>2049.4</v>
      </c>
      <c r="E3771" s="1" t="n">
        <v>0.0166</v>
      </c>
      <c r="F3771" s="1" t="n">
        <v>0.1013</v>
      </c>
    </row>
    <row r="3772" customFormat="false" ht="15" hidden="false" customHeight="false" outlineLevel="0" collapsed="false">
      <c r="A3772" s="1" t="s">
        <v>3807</v>
      </c>
      <c r="B3772" s="1" t="s">
        <v>26</v>
      </c>
      <c r="C3772" s="1" t="n">
        <v>684000</v>
      </c>
      <c r="D3772" s="1" t="n">
        <v>1317881.4</v>
      </c>
      <c r="E3772" s="1" t="n">
        <v>0.0865</v>
      </c>
      <c r="F3772" s="1" t="n">
        <v>0.0518</v>
      </c>
    </row>
    <row r="3773" customFormat="false" ht="15" hidden="false" customHeight="false" outlineLevel="0" collapsed="false">
      <c r="A3773" s="1" t="s">
        <v>3808</v>
      </c>
      <c r="B3773" s="1" t="s">
        <v>88</v>
      </c>
      <c r="C3773" s="1" t="n">
        <v>1070000</v>
      </c>
      <c r="D3773" s="1" t="n">
        <v>15964.9</v>
      </c>
      <c r="E3773" s="1" t="n">
        <v>0.0929</v>
      </c>
      <c r="F3773" s="1" t="n">
        <v>0.0759</v>
      </c>
    </row>
    <row r="3774" customFormat="false" ht="15" hidden="false" customHeight="false" outlineLevel="0" collapsed="false">
      <c r="A3774" s="1" t="s">
        <v>3809</v>
      </c>
      <c r="B3774" s="1" t="s">
        <v>81</v>
      </c>
      <c r="C3774" s="1" t="n">
        <v>738000</v>
      </c>
      <c r="D3774" s="1" t="n">
        <v>49613.1</v>
      </c>
      <c r="E3774" s="1" t="n">
        <v>0.0426</v>
      </c>
      <c r="F3774" s="1" t="n">
        <v>0.0759</v>
      </c>
    </row>
    <row r="3775" customFormat="false" ht="15" hidden="false" customHeight="false" outlineLevel="0" collapsed="false">
      <c r="A3775" s="1" t="s">
        <v>3810</v>
      </c>
      <c r="B3775" s="1" t="s">
        <v>81</v>
      </c>
      <c r="C3775" s="1" t="n">
        <v>772000</v>
      </c>
      <c r="D3775" s="1" t="n">
        <v>4332.6</v>
      </c>
      <c r="E3775" s="1" t="n">
        <v>0.0149</v>
      </c>
      <c r="F3775" s="1" t="n">
        <v>0.0488</v>
      </c>
    </row>
    <row r="3776" customFormat="false" ht="15" hidden="false" customHeight="false" outlineLevel="0" collapsed="false">
      <c r="A3776" s="1" t="s">
        <v>3811</v>
      </c>
      <c r="B3776" s="1" t="s">
        <v>26</v>
      </c>
      <c r="C3776" s="1" t="n">
        <v>771000</v>
      </c>
      <c r="D3776" s="1" t="n">
        <v>125595.3</v>
      </c>
      <c r="E3776" s="1" t="n">
        <v>0.0132</v>
      </c>
      <c r="F3776" s="1" t="n">
        <v>0.0585</v>
      </c>
    </row>
    <row r="3777" customFormat="false" ht="15" hidden="false" customHeight="false" outlineLevel="0" collapsed="false">
      <c r="A3777" s="1" t="s">
        <v>3812</v>
      </c>
      <c r="B3777" s="1" t="s">
        <v>41</v>
      </c>
      <c r="C3777" s="1" t="n">
        <v>854000</v>
      </c>
      <c r="D3777" s="1" t="n">
        <v>107668.4</v>
      </c>
      <c r="E3777" s="1" t="n">
        <v>0.0468</v>
      </c>
      <c r="F3777" s="1" t="n">
        <v>0.0759</v>
      </c>
    </row>
    <row r="3778" customFormat="false" ht="15" hidden="false" customHeight="false" outlineLevel="0" collapsed="false">
      <c r="A3778" s="1" t="s">
        <v>3813</v>
      </c>
      <c r="B3778" s="1" t="s">
        <v>26</v>
      </c>
      <c r="C3778" s="1" t="n">
        <v>1310000</v>
      </c>
      <c r="D3778" s="1" t="n">
        <v>22791.6</v>
      </c>
      <c r="E3778" s="1" t="n">
        <v>0.0069</v>
      </c>
      <c r="F3778" s="1" t="n">
        <v>0.0822</v>
      </c>
    </row>
    <row r="3779" customFormat="false" ht="15" hidden="false" customHeight="false" outlineLevel="0" collapsed="false">
      <c r="A3779" s="1" t="s">
        <v>3814</v>
      </c>
      <c r="B3779" s="1" t="s">
        <v>26</v>
      </c>
      <c r="C3779" s="1" t="n">
        <v>1350000</v>
      </c>
      <c r="D3779" s="1" t="n">
        <v>122058.7</v>
      </c>
      <c r="E3779" s="1" t="n">
        <v>0.072</v>
      </c>
      <c r="F3779" s="1" t="n">
        <v>0.0938</v>
      </c>
    </row>
    <row r="3780" customFormat="false" ht="15" hidden="false" customHeight="false" outlineLevel="0" collapsed="false">
      <c r="A3780" s="1" t="s">
        <v>3815</v>
      </c>
      <c r="B3780" s="1" t="s">
        <v>26</v>
      </c>
      <c r="C3780" s="1" t="n">
        <v>852000</v>
      </c>
      <c r="D3780" s="1" t="n">
        <v>75120.4</v>
      </c>
      <c r="E3780" s="1" t="n">
        <v>0.0211</v>
      </c>
      <c r="F3780" s="1" t="n">
        <v>0.1053</v>
      </c>
    </row>
    <row r="3781" customFormat="false" ht="15" hidden="false" customHeight="false" outlineLevel="0" collapsed="false">
      <c r="A3781" s="1" t="s">
        <v>3816</v>
      </c>
      <c r="B3781" s="1" t="s">
        <v>53</v>
      </c>
      <c r="C3781" s="1" t="n">
        <v>1980000</v>
      </c>
      <c r="D3781" s="1" t="n">
        <v>423588</v>
      </c>
      <c r="E3781" s="1" t="n">
        <v>0.0613</v>
      </c>
      <c r="F3781" s="1" t="n">
        <v>0.051</v>
      </c>
    </row>
    <row r="3782" customFormat="false" ht="15" hidden="false" customHeight="false" outlineLevel="0" collapsed="false">
      <c r="A3782" s="1" t="s">
        <v>3817</v>
      </c>
      <c r="B3782" s="1" t="s">
        <v>24</v>
      </c>
      <c r="C3782" s="1" t="n">
        <v>728000</v>
      </c>
      <c r="D3782" s="1" t="n">
        <v>424.7</v>
      </c>
      <c r="E3782" s="1" t="n">
        <v>0.0526</v>
      </c>
      <c r="F3782" s="1" t="n">
        <v>0.117</v>
      </c>
    </row>
    <row r="3783" customFormat="false" ht="15" hidden="false" customHeight="false" outlineLevel="0" collapsed="false">
      <c r="A3783" s="1" t="s">
        <v>3818</v>
      </c>
      <c r="B3783" s="1" t="s">
        <v>26</v>
      </c>
      <c r="C3783" s="1" t="n">
        <v>930000</v>
      </c>
      <c r="D3783" s="1" t="n">
        <v>28382</v>
      </c>
      <c r="E3783" s="1" t="n">
        <v>0.0367</v>
      </c>
      <c r="F3783" s="1" t="n">
        <v>0.0759</v>
      </c>
    </row>
    <row r="3784" customFormat="false" ht="15" hidden="false" customHeight="false" outlineLevel="0" collapsed="false">
      <c r="A3784" s="1" t="s">
        <v>3819</v>
      </c>
      <c r="B3784" s="1" t="s">
        <v>88</v>
      </c>
      <c r="C3784" s="1" t="n">
        <v>823000</v>
      </c>
      <c r="D3784" s="1" t="n">
        <v>5455.8</v>
      </c>
      <c r="E3784" s="1" t="n">
        <v>0.0427</v>
      </c>
      <c r="F3784" s="1" t="n">
        <v>0.0759</v>
      </c>
    </row>
    <row r="3785" customFormat="false" ht="15" hidden="false" customHeight="false" outlineLevel="0" collapsed="false">
      <c r="A3785" s="1" t="s">
        <v>3820</v>
      </c>
      <c r="B3785" s="1" t="s">
        <v>41</v>
      </c>
      <c r="C3785" s="1" t="n">
        <v>2270000</v>
      </c>
      <c r="D3785" s="1" t="n">
        <v>89596.8</v>
      </c>
      <c r="E3785" s="1" t="n">
        <v>0.0294</v>
      </c>
      <c r="F3785" s="1" t="n">
        <v>0.0759</v>
      </c>
    </row>
    <row r="3786" customFormat="false" ht="15" hidden="false" customHeight="false" outlineLevel="0" collapsed="false">
      <c r="A3786" s="1" t="s">
        <v>3821</v>
      </c>
      <c r="B3786" s="1" t="s">
        <v>88</v>
      </c>
      <c r="C3786" s="1" t="n">
        <v>1040000</v>
      </c>
      <c r="D3786" s="1" t="n">
        <v>45862.4</v>
      </c>
      <c r="E3786" s="1" t="n">
        <v>0.0791</v>
      </c>
      <c r="F3786" s="1" t="n">
        <v>0.0759</v>
      </c>
    </row>
    <row r="3787" customFormat="false" ht="15" hidden="false" customHeight="false" outlineLevel="0" collapsed="false">
      <c r="A3787" s="1" t="s">
        <v>3822</v>
      </c>
      <c r="B3787" s="1" t="s">
        <v>92</v>
      </c>
      <c r="C3787" s="1" t="n">
        <v>858000</v>
      </c>
      <c r="D3787" s="1" t="n">
        <v>175300.6</v>
      </c>
      <c r="E3787" s="1" t="n">
        <v>0.0181</v>
      </c>
      <c r="F3787" s="1" t="n">
        <v>0.0585</v>
      </c>
    </row>
    <row r="3788" customFormat="false" ht="15" hidden="false" customHeight="false" outlineLevel="0" collapsed="false">
      <c r="A3788" s="1" t="s">
        <v>3823</v>
      </c>
      <c r="B3788" s="1" t="s">
        <v>21</v>
      </c>
      <c r="C3788" s="1" t="n">
        <v>2620000</v>
      </c>
      <c r="D3788" s="1" t="n">
        <v>933.2</v>
      </c>
      <c r="E3788" s="1" t="n">
        <v>0.0112</v>
      </c>
      <c r="F3788" s="1" t="n">
        <v>0.0811</v>
      </c>
    </row>
    <row r="3789" customFormat="false" ht="15" hidden="false" customHeight="false" outlineLevel="0" collapsed="false">
      <c r="A3789" s="1" t="s">
        <v>3824</v>
      </c>
      <c r="B3789" s="1" t="s">
        <v>92</v>
      </c>
      <c r="C3789" s="1" t="n">
        <v>691000</v>
      </c>
      <c r="D3789" s="1" t="n">
        <v>2306.2</v>
      </c>
      <c r="E3789" s="1" t="n">
        <v>0.0095</v>
      </c>
      <c r="F3789" s="1" t="n">
        <v>0.1695</v>
      </c>
    </row>
    <row r="3790" customFormat="false" ht="15" hidden="false" customHeight="false" outlineLevel="0" collapsed="false">
      <c r="A3790" s="1" t="s">
        <v>3825</v>
      </c>
      <c r="B3790" s="1" t="s">
        <v>24</v>
      </c>
      <c r="C3790" s="1" t="n">
        <v>841000</v>
      </c>
      <c r="D3790" s="1" t="n">
        <v>1753.7</v>
      </c>
      <c r="E3790" s="1" t="n">
        <v>0.0243</v>
      </c>
      <c r="F3790" s="1" t="n">
        <v>0.0759</v>
      </c>
    </row>
    <row r="3791" customFormat="false" ht="15" hidden="false" customHeight="false" outlineLevel="0" collapsed="false">
      <c r="A3791" s="1" t="s">
        <v>3826</v>
      </c>
      <c r="B3791" s="1" t="s">
        <v>26</v>
      </c>
      <c r="C3791" s="1" t="n">
        <v>743000</v>
      </c>
      <c r="D3791" s="1" t="n">
        <v>25594.3</v>
      </c>
      <c r="E3791" s="1" t="n">
        <v>0.0175</v>
      </c>
      <c r="F3791" s="1" t="n">
        <v>0.0462</v>
      </c>
    </row>
    <row r="3792" customFormat="false" ht="15" hidden="false" customHeight="false" outlineLevel="0" collapsed="false">
      <c r="A3792" s="1" t="s">
        <v>3827</v>
      </c>
      <c r="B3792" s="1" t="s">
        <v>71</v>
      </c>
      <c r="C3792" s="1" t="n">
        <v>802000</v>
      </c>
      <c r="D3792" s="1" t="n">
        <v>84460.1</v>
      </c>
      <c r="E3792" s="1" t="n">
        <v>0.0052</v>
      </c>
      <c r="F3792" s="1" t="n">
        <v>0.0654</v>
      </c>
    </row>
    <row r="3793" customFormat="false" ht="15" hidden="false" customHeight="false" outlineLevel="0" collapsed="false">
      <c r="A3793" s="1" t="s">
        <v>3828</v>
      </c>
      <c r="B3793" s="1" t="s">
        <v>35</v>
      </c>
      <c r="C3793" s="1" t="n">
        <v>810000</v>
      </c>
      <c r="D3793" s="1" t="n">
        <v>18080.8</v>
      </c>
      <c r="E3793" s="1" t="n">
        <v>0.0271</v>
      </c>
      <c r="F3793" s="1" t="n">
        <v>0.0462</v>
      </c>
    </row>
    <row r="3794" customFormat="false" ht="15" hidden="false" customHeight="false" outlineLevel="0" collapsed="false">
      <c r="A3794" s="1" t="s">
        <v>3829</v>
      </c>
      <c r="B3794" s="1" t="s">
        <v>287</v>
      </c>
      <c r="C3794" s="1" t="n">
        <v>1720000</v>
      </c>
      <c r="D3794" s="1" t="n">
        <v>131412.1</v>
      </c>
      <c r="E3794" s="1" t="n">
        <v>0.0366</v>
      </c>
      <c r="F3794" s="1" t="n">
        <v>0.0759</v>
      </c>
    </row>
    <row r="3795" customFormat="false" ht="15" hidden="false" customHeight="false" outlineLevel="0" collapsed="false">
      <c r="A3795" s="1" t="s">
        <v>3830</v>
      </c>
      <c r="B3795" s="1" t="s">
        <v>195</v>
      </c>
      <c r="C3795" s="1" t="n">
        <v>813000</v>
      </c>
      <c r="D3795" s="1" t="n">
        <v>8881.5</v>
      </c>
      <c r="E3795" s="1" t="n">
        <v>0.0323</v>
      </c>
      <c r="F3795" s="1" t="n">
        <v>0.0938</v>
      </c>
    </row>
    <row r="3796" customFormat="false" ht="15" hidden="false" customHeight="false" outlineLevel="0" collapsed="false">
      <c r="A3796" s="1" t="s">
        <v>3831</v>
      </c>
      <c r="B3796" s="1" t="s">
        <v>490</v>
      </c>
      <c r="C3796" s="1" t="n">
        <v>1170000</v>
      </c>
      <c r="D3796" s="1" t="n">
        <v>2155962.7</v>
      </c>
      <c r="E3796" s="1" t="n">
        <v>0.0213</v>
      </c>
      <c r="F3796" s="1" t="n">
        <v>0.0462</v>
      </c>
    </row>
    <row r="3797" customFormat="false" ht="15" hidden="false" customHeight="false" outlineLevel="0" collapsed="false">
      <c r="A3797" s="1" t="s">
        <v>3832</v>
      </c>
      <c r="B3797" s="1" t="s">
        <v>26</v>
      </c>
      <c r="C3797" s="1" t="n">
        <v>758000</v>
      </c>
      <c r="D3797" s="1" t="n">
        <v>15242.4</v>
      </c>
      <c r="E3797" s="1" t="n">
        <v>0.0089</v>
      </c>
      <c r="F3797" s="1" t="n">
        <v>0.0822</v>
      </c>
    </row>
    <row r="3798" customFormat="false" ht="15" hidden="false" customHeight="false" outlineLevel="0" collapsed="false">
      <c r="A3798" s="1" t="s">
        <v>3833</v>
      </c>
      <c r="B3798" s="1" t="s">
        <v>214</v>
      </c>
      <c r="C3798" s="1" t="n">
        <v>742000</v>
      </c>
      <c r="D3798" s="1" t="n">
        <v>4344.9</v>
      </c>
      <c r="E3798" s="1" t="n">
        <v>0.0212</v>
      </c>
      <c r="F3798" s="1" t="n">
        <v>0.2089</v>
      </c>
    </row>
    <row r="3799" customFormat="false" ht="15" hidden="false" customHeight="false" outlineLevel="0" collapsed="false">
      <c r="A3799" s="1" t="s">
        <v>3834</v>
      </c>
      <c r="B3799" s="1" t="s">
        <v>28</v>
      </c>
      <c r="C3799" s="1" t="n">
        <v>729000</v>
      </c>
      <c r="D3799" s="1" t="n">
        <v>1366524.4</v>
      </c>
      <c r="E3799" s="1" t="n">
        <v>0.0194</v>
      </c>
      <c r="F3799" s="1" t="n">
        <v>0.0409</v>
      </c>
    </row>
    <row r="3800" customFormat="false" ht="15" hidden="false" customHeight="false" outlineLevel="0" collapsed="false">
      <c r="A3800" s="1" t="s">
        <v>3835</v>
      </c>
      <c r="B3800" s="1" t="s">
        <v>24</v>
      </c>
      <c r="C3800" s="1" t="n">
        <v>684000</v>
      </c>
      <c r="D3800" s="1" t="n">
        <v>4558.1</v>
      </c>
      <c r="E3800" s="1" t="n">
        <v>0.017</v>
      </c>
      <c r="F3800" s="1" t="n">
        <v>0.095</v>
      </c>
    </row>
    <row r="3801" customFormat="false" ht="15" hidden="false" customHeight="false" outlineLevel="0" collapsed="false">
      <c r="A3801" s="1" t="s">
        <v>3836</v>
      </c>
      <c r="B3801" s="1" t="s">
        <v>41</v>
      </c>
      <c r="C3801" s="1" t="n">
        <v>1580000</v>
      </c>
      <c r="D3801" s="1" t="n">
        <v>2071.4</v>
      </c>
      <c r="E3801" s="1" t="n">
        <v>0.0077</v>
      </c>
      <c r="F3801" s="1" t="n">
        <v>0.1786</v>
      </c>
    </row>
    <row r="3802" customFormat="false" ht="15" hidden="false" customHeight="false" outlineLevel="0" collapsed="false">
      <c r="A3802" s="1" t="s">
        <v>3837</v>
      </c>
      <c r="B3802" s="1" t="s">
        <v>32</v>
      </c>
      <c r="C3802" s="1" t="n">
        <v>916000</v>
      </c>
      <c r="D3802" s="1" t="n">
        <v>84352.5</v>
      </c>
      <c r="E3802" s="1" t="n">
        <v>0.0162</v>
      </c>
      <c r="F3802" s="1" t="n">
        <v>0.0462</v>
      </c>
    </row>
    <row r="3803" customFormat="false" ht="15" hidden="false" customHeight="false" outlineLevel="0" collapsed="false">
      <c r="A3803" s="1" t="s">
        <v>3838</v>
      </c>
      <c r="B3803" s="1" t="s">
        <v>74</v>
      </c>
      <c r="C3803" s="1" t="n">
        <v>828000</v>
      </c>
      <c r="D3803" s="1" t="n">
        <v>1867.9</v>
      </c>
      <c r="E3803" s="1" t="n">
        <v>0.0168</v>
      </c>
      <c r="F3803" s="1" t="n">
        <v>0.0589</v>
      </c>
    </row>
    <row r="3804" customFormat="false" ht="15" hidden="false" customHeight="false" outlineLevel="0" collapsed="false">
      <c r="A3804" s="1" t="s">
        <v>3839</v>
      </c>
      <c r="B3804" s="1" t="s">
        <v>92</v>
      </c>
      <c r="C3804" s="1" t="n">
        <v>688000</v>
      </c>
      <c r="D3804" s="1" t="n">
        <v>1634.6</v>
      </c>
      <c r="E3804" s="1" t="n">
        <v>0.0129</v>
      </c>
      <c r="F3804" s="1" t="n">
        <v>0.0736</v>
      </c>
    </row>
    <row r="3805" customFormat="false" ht="15" hidden="false" customHeight="false" outlineLevel="0" collapsed="false">
      <c r="A3805" s="1" t="s">
        <v>3840</v>
      </c>
      <c r="B3805" s="1" t="s">
        <v>24</v>
      </c>
      <c r="C3805" s="1" t="n">
        <v>733000</v>
      </c>
      <c r="D3805" s="1" t="n">
        <v>122989.6</v>
      </c>
      <c r="E3805" s="1" t="n">
        <v>0.041</v>
      </c>
      <c r="F3805" s="1" t="n">
        <v>0.0951</v>
      </c>
    </row>
    <row r="3806" customFormat="false" ht="15" hidden="false" customHeight="false" outlineLevel="0" collapsed="false">
      <c r="A3806" s="1" t="s">
        <v>3841</v>
      </c>
      <c r="B3806" s="1" t="s">
        <v>26</v>
      </c>
      <c r="C3806" s="1" t="n">
        <v>704000</v>
      </c>
      <c r="D3806" s="1" t="n">
        <v>11561.5</v>
      </c>
      <c r="E3806" s="1" t="n">
        <v>0.0319</v>
      </c>
      <c r="F3806" s="1" t="n">
        <v>0.0938</v>
      </c>
    </row>
    <row r="3807" customFormat="false" ht="15" hidden="false" customHeight="false" outlineLevel="0" collapsed="false">
      <c r="A3807" s="1" t="s">
        <v>3842</v>
      </c>
      <c r="B3807" s="1" t="s">
        <v>92</v>
      </c>
      <c r="C3807" s="1" t="n">
        <v>744000</v>
      </c>
      <c r="D3807" s="1" t="n">
        <v>6523.4</v>
      </c>
      <c r="E3807" s="1" t="n">
        <v>0.0284</v>
      </c>
      <c r="F3807" s="1" t="n">
        <v>0.0518</v>
      </c>
    </row>
    <row r="3808" customFormat="false" ht="15" hidden="false" customHeight="false" outlineLevel="0" collapsed="false">
      <c r="A3808" s="1" t="s">
        <v>3843</v>
      </c>
      <c r="B3808" s="1" t="s">
        <v>88</v>
      </c>
      <c r="C3808" s="1" t="n">
        <v>1040000</v>
      </c>
      <c r="D3808" s="1" t="n">
        <v>1502.8</v>
      </c>
      <c r="F3808" s="1" t="n">
        <v>0.0409</v>
      </c>
    </row>
    <row r="3809" customFormat="false" ht="15" hidden="false" customHeight="false" outlineLevel="0" collapsed="false">
      <c r="A3809" s="1" t="s">
        <v>3844</v>
      </c>
      <c r="B3809" s="1" t="s">
        <v>26</v>
      </c>
      <c r="C3809" s="1" t="n">
        <v>741000</v>
      </c>
      <c r="D3809" s="1" t="n">
        <v>2390</v>
      </c>
      <c r="E3809" s="1" t="n">
        <v>0.0249</v>
      </c>
      <c r="F3809" s="1" t="n">
        <v>0.0938</v>
      </c>
    </row>
    <row r="3810" customFormat="false" ht="15" hidden="false" customHeight="false" outlineLevel="0" collapsed="false">
      <c r="A3810" s="1" t="s">
        <v>3845</v>
      </c>
      <c r="B3810" s="1" t="s">
        <v>53</v>
      </c>
      <c r="C3810" s="1" t="n">
        <v>699000</v>
      </c>
      <c r="D3810" s="1" t="n">
        <v>23987</v>
      </c>
      <c r="E3810" s="1" t="n">
        <v>0.0808</v>
      </c>
      <c r="F3810" s="1" t="n">
        <v>0.0951</v>
      </c>
    </row>
    <row r="3811" customFormat="false" ht="15" hidden="false" customHeight="false" outlineLevel="0" collapsed="false">
      <c r="A3811" s="1" t="s">
        <v>3846</v>
      </c>
      <c r="B3811" s="1" t="s">
        <v>88</v>
      </c>
      <c r="C3811" s="1" t="n">
        <v>1370000</v>
      </c>
      <c r="D3811" s="1" t="n">
        <v>2056.4</v>
      </c>
      <c r="E3811" s="1" t="n">
        <v>0.0611</v>
      </c>
      <c r="F3811" s="1" t="n">
        <v>0.0938</v>
      </c>
    </row>
    <row r="3812" customFormat="false" ht="15" hidden="false" customHeight="false" outlineLevel="0" collapsed="false">
      <c r="A3812" s="1" t="s">
        <v>3847</v>
      </c>
      <c r="B3812" s="1" t="s">
        <v>71</v>
      </c>
      <c r="C3812" s="1" t="n">
        <v>719000</v>
      </c>
      <c r="D3812" s="1" t="n">
        <v>10867.8</v>
      </c>
      <c r="E3812" s="1" t="n">
        <v>0.0337</v>
      </c>
      <c r="F3812" s="1" t="n">
        <v>0.0759</v>
      </c>
    </row>
    <row r="3813" customFormat="false" ht="15" hidden="false" customHeight="false" outlineLevel="0" collapsed="false">
      <c r="A3813" s="1" t="s">
        <v>3848</v>
      </c>
      <c r="B3813" s="1" t="s">
        <v>26</v>
      </c>
      <c r="C3813" s="1" t="n">
        <v>796000</v>
      </c>
      <c r="D3813" s="1" t="n">
        <v>58994.8</v>
      </c>
      <c r="E3813" s="1" t="n">
        <v>0.019</v>
      </c>
      <c r="F3813" s="1" t="n">
        <v>0.0462</v>
      </c>
    </row>
    <row r="3814" customFormat="false" ht="15" hidden="false" customHeight="false" outlineLevel="0" collapsed="false">
      <c r="A3814" s="1" t="s">
        <v>3849</v>
      </c>
      <c r="B3814" s="1" t="s">
        <v>26</v>
      </c>
      <c r="C3814" s="1" t="n">
        <v>704000</v>
      </c>
      <c r="D3814" s="1" t="n">
        <v>468.5</v>
      </c>
      <c r="E3814" s="1" t="n">
        <v>0.0114</v>
      </c>
      <c r="F3814" s="1" t="n">
        <v>0.1027</v>
      </c>
    </row>
    <row r="3815" customFormat="false" ht="15" hidden="false" customHeight="false" outlineLevel="0" collapsed="false">
      <c r="A3815" s="1" t="s">
        <v>3850</v>
      </c>
      <c r="B3815" s="1" t="s">
        <v>92</v>
      </c>
      <c r="C3815" s="1" t="n">
        <v>715000</v>
      </c>
      <c r="D3815" s="1" t="n">
        <v>504.5</v>
      </c>
      <c r="E3815" s="1" t="n">
        <v>0.0093</v>
      </c>
      <c r="F3815" s="1" t="n">
        <v>0.0736</v>
      </c>
    </row>
    <row r="3816" customFormat="false" ht="15" hidden="false" customHeight="false" outlineLevel="0" collapsed="false">
      <c r="A3816" s="1" t="s">
        <v>3851</v>
      </c>
      <c r="B3816" s="1" t="s">
        <v>62</v>
      </c>
      <c r="C3816" s="1" t="n">
        <v>1030000</v>
      </c>
      <c r="D3816" s="1" t="n">
        <v>7349.6</v>
      </c>
      <c r="E3816" s="1" t="n">
        <v>0.026</v>
      </c>
      <c r="F3816" s="1" t="n">
        <v>0.0833</v>
      </c>
    </row>
    <row r="3817" customFormat="false" ht="15" hidden="false" customHeight="false" outlineLevel="0" collapsed="false">
      <c r="A3817" s="1" t="s">
        <v>3852</v>
      </c>
      <c r="B3817" s="1" t="s">
        <v>32</v>
      </c>
      <c r="C3817" s="1" t="n">
        <v>839000</v>
      </c>
      <c r="D3817" s="1" t="n">
        <v>5536.4</v>
      </c>
      <c r="E3817" s="1" t="n">
        <v>0.0096</v>
      </c>
      <c r="F3817" s="1" t="n">
        <v>0.0822</v>
      </c>
    </row>
    <row r="3818" customFormat="false" ht="15" hidden="false" customHeight="false" outlineLevel="0" collapsed="false">
      <c r="A3818" s="1" t="s">
        <v>3853</v>
      </c>
      <c r="B3818" s="1" t="s">
        <v>41</v>
      </c>
      <c r="C3818" s="1" t="n">
        <v>1070000</v>
      </c>
      <c r="D3818" s="1" t="n">
        <v>4641.3</v>
      </c>
      <c r="E3818" s="1" t="n">
        <v>0.0388</v>
      </c>
      <c r="F3818" s="1" t="n">
        <v>0.0938</v>
      </c>
    </row>
    <row r="3819" customFormat="false" ht="15" hidden="false" customHeight="false" outlineLevel="0" collapsed="false">
      <c r="A3819" s="1" t="s">
        <v>3854</v>
      </c>
      <c r="B3819" s="1" t="s">
        <v>41</v>
      </c>
      <c r="C3819" s="1" t="n">
        <v>878000</v>
      </c>
      <c r="D3819" s="1" t="n">
        <v>73584.3</v>
      </c>
      <c r="E3819" s="1" t="n">
        <v>0.0806</v>
      </c>
      <c r="F3819" s="1" t="n">
        <v>0.0759</v>
      </c>
    </row>
    <row r="3820" customFormat="false" ht="15" hidden="false" customHeight="false" outlineLevel="0" collapsed="false">
      <c r="A3820" s="1" t="s">
        <v>3855</v>
      </c>
      <c r="B3820" s="1" t="s">
        <v>28</v>
      </c>
      <c r="C3820" s="1" t="n">
        <v>696000</v>
      </c>
      <c r="D3820" s="1" t="n">
        <v>280.4</v>
      </c>
      <c r="E3820" s="1" t="n">
        <v>0.0028</v>
      </c>
      <c r="F3820" s="1" t="n">
        <v>0.223</v>
      </c>
    </row>
    <row r="3821" customFormat="false" ht="15" hidden="false" customHeight="false" outlineLevel="0" collapsed="false">
      <c r="A3821" s="1" t="s">
        <v>3856</v>
      </c>
      <c r="B3821" s="1" t="s">
        <v>74</v>
      </c>
      <c r="C3821" s="1" t="n">
        <v>948000</v>
      </c>
      <c r="D3821" s="1" t="n">
        <v>54021.3</v>
      </c>
      <c r="E3821" s="1" t="n">
        <v>0.0558</v>
      </c>
      <c r="F3821" s="1" t="n">
        <v>0.0759</v>
      </c>
    </row>
    <row r="3822" customFormat="false" ht="15" hidden="false" customHeight="false" outlineLevel="0" collapsed="false">
      <c r="A3822" s="1" t="s">
        <v>3857</v>
      </c>
      <c r="B3822" s="1" t="s">
        <v>92</v>
      </c>
      <c r="C3822" s="1" t="n">
        <v>867000</v>
      </c>
      <c r="D3822" s="1" t="n">
        <v>95165</v>
      </c>
      <c r="E3822" s="1" t="n">
        <v>0.0518</v>
      </c>
      <c r="F3822" s="1" t="n">
        <v>0.0951</v>
      </c>
    </row>
    <row r="3823" customFormat="false" ht="15" hidden="false" customHeight="false" outlineLevel="0" collapsed="false">
      <c r="A3823" s="1" t="s">
        <v>3858</v>
      </c>
      <c r="B3823" s="1" t="s">
        <v>26</v>
      </c>
      <c r="C3823" s="1" t="n">
        <v>655000</v>
      </c>
      <c r="D3823" s="1" t="n">
        <v>9521.6</v>
      </c>
      <c r="F3823" s="1" t="n">
        <v>0.051</v>
      </c>
    </row>
    <row r="3824" customFormat="false" ht="15" hidden="false" customHeight="false" outlineLevel="0" collapsed="false">
      <c r="A3824" s="1" t="s">
        <v>3859</v>
      </c>
      <c r="B3824" s="1" t="s">
        <v>26</v>
      </c>
      <c r="C3824" s="1" t="n">
        <v>672000</v>
      </c>
      <c r="D3824" s="1" t="n">
        <v>1268.1</v>
      </c>
      <c r="E3824" s="1" t="n">
        <v>0.0723</v>
      </c>
      <c r="F3824" s="1" t="n">
        <v>0.0409</v>
      </c>
    </row>
    <row r="3825" customFormat="false" ht="15" hidden="false" customHeight="false" outlineLevel="0" collapsed="false">
      <c r="A3825" s="1" t="s">
        <v>3860</v>
      </c>
      <c r="B3825" s="1" t="s">
        <v>26</v>
      </c>
      <c r="C3825" s="1" t="n">
        <v>911000</v>
      </c>
      <c r="D3825" s="1" t="n">
        <v>433927.6</v>
      </c>
      <c r="E3825" s="1" t="n">
        <v>0.0288</v>
      </c>
      <c r="F3825" s="1" t="n">
        <v>0.0759</v>
      </c>
    </row>
    <row r="3826" customFormat="false" ht="15" hidden="false" customHeight="false" outlineLevel="0" collapsed="false">
      <c r="A3826" s="1" t="s">
        <v>3861</v>
      </c>
      <c r="B3826" s="1" t="s">
        <v>41</v>
      </c>
      <c r="C3826" s="1" t="n">
        <v>1010000</v>
      </c>
      <c r="D3826" s="1" t="n">
        <v>809.1</v>
      </c>
      <c r="E3826" s="1" t="n">
        <v>0.0068</v>
      </c>
      <c r="F3826" s="1" t="n">
        <v>0.0811</v>
      </c>
    </row>
    <row r="3827" customFormat="false" ht="15" hidden="false" customHeight="false" outlineLevel="0" collapsed="false">
      <c r="A3827" s="1" t="s">
        <v>3862</v>
      </c>
      <c r="B3827" s="1" t="s">
        <v>50</v>
      </c>
      <c r="C3827" s="1" t="n">
        <v>980000</v>
      </c>
      <c r="D3827" s="1" t="n">
        <v>985527.8</v>
      </c>
      <c r="E3827" s="1" t="n">
        <v>0.0174</v>
      </c>
      <c r="F3827" s="1" t="n">
        <v>0.0585</v>
      </c>
    </row>
    <row r="3828" customFormat="false" ht="15" hidden="false" customHeight="false" outlineLevel="0" collapsed="false">
      <c r="A3828" s="1" t="s">
        <v>3863</v>
      </c>
      <c r="B3828" s="1" t="s">
        <v>62</v>
      </c>
      <c r="C3828" s="1" t="n">
        <v>702000</v>
      </c>
      <c r="D3828" s="1" t="n">
        <v>106815.2</v>
      </c>
      <c r="E3828" s="1" t="n">
        <v>0.02</v>
      </c>
      <c r="F3828" s="1" t="n">
        <v>0.0585</v>
      </c>
    </row>
    <row r="3829" customFormat="false" ht="15" hidden="false" customHeight="false" outlineLevel="0" collapsed="false">
      <c r="A3829" s="1" t="s">
        <v>3864</v>
      </c>
      <c r="B3829" s="1" t="s">
        <v>41</v>
      </c>
      <c r="C3829" s="1" t="n">
        <v>757000</v>
      </c>
      <c r="D3829" s="1" t="n">
        <v>14836.8</v>
      </c>
      <c r="E3829" s="1" t="n">
        <v>0.0206</v>
      </c>
      <c r="F3829" s="1" t="n">
        <v>0.0938</v>
      </c>
    </row>
    <row r="3830" customFormat="false" ht="15" hidden="false" customHeight="false" outlineLevel="0" collapsed="false">
      <c r="A3830" s="1" t="s">
        <v>3865</v>
      </c>
      <c r="B3830" s="1" t="s">
        <v>88</v>
      </c>
      <c r="C3830" s="1" t="n">
        <v>677000</v>
      </c>
      <c r="D3830" s="1" t="n">
        <v>2017.5</v>
      </c>
      <c r="E3830" s="1" t="n">
        <v>0.0167</v>
      </c>
      <c r="F3830" s="1" t="n">
        <v>0.1067</v>
      </c>
    </row>
    <row r="3831" customFormat="false" ht="15" hidden="false" customHeight="false" outlineLevel="0" collapsed="false">
      <c r="A3831" s="1" t="s">
        <v>3866</v>
      </c>
      <c r="B3831" s="1" t="s">
        <v>92</v>
      </c>
      <c r="C3831" s="1" t="n">
        <v>1010000</v>
      </c>
      <c r="D3831" s="1" t="n">
        <v>24015.7</v>
      </c>
      <c r="E3831" s="1" t="n">
        <v>0.0173</v>
      </c>
      <c r="F3831" s="1" t="n">
        <v>0.0854</v>
      </c>
    </row>
    <row r="3832" customFormat="false" ht="15" hidden="false" customHeight="false" outlineLevel="0" collapsed="false">
      <c r="A3832" s="1" t="s">
        <v>3867</v>
      </c>
      <c r="B3832" s="1" t="s">
        <v>26</v>
      </c>
      <c r="C3832" s="1" t="n">
        <v>574000</v>
      </c>
      <c r="D3832" s="1" t="n">
        <v>94349.1</v>
      </c>
      <c r="E3832" s="1" t="n">
        <v>0.0306</v>
      </c>
      <c r="F3832" s="1" t="n">
        <v>0.051</v>
      </c>
    </row>
    <row r="3833" customFormat="false" ht="15" hidden="false" customHeight="false" outlineLevel="0" collapsed="false">
      <c r="A3833" s="1" t="s">
        <v>3868</v>
      </c>
      <c r="B3833" s="1" t="s">
        <v>88</v>
      </c>
      <c r="C3833" s="1" t="n">
        <v>1830000</v>
      </c>
      <c r="D3833" s="1" t="n">
        <v>1840.7</v>
      </c>
      <c r="E3833" s="1" t="n">
        <v>0.0645</v>
      </c>
      <c r="F3833" s="1" t="n">
        <v>0.0938</v>
      </c>
    </row>
    <row r="3834" customFormat="false" ht="15" hidden="false" customHeight="false" outlineLevel="0" collapsed="false">
      <c r="A3834" s="1" t="s">
        <v>3869</v>
      </c>
      <c r="B3834" s="1" t="s">
        <v>88</v>
      </c>
      <c r="C3834" s="1" t="n">
        <v>927000</v>
      </c>
      <c r="D3834" s="1" t="n">
        <v>85995</v>
      </c>
      <c r="E3834" s="1" t="n">
        <v>0.0236</v>
      </c>
      <c r="F3834" s="1" t="n">
        <v>0.0951</v>
      </c>
    </row>
    <row r="3835" customFormat="false" ht="15" hidden="false" customHeight="false" outlineLevel="0" collapsed="false">
      <c r="A3835" s="1" t="s">
        <v>3870</v>
      </c>
      <c r="B3835" s="1" t="s">
        <v>26</v>
      </c>
      <c r="C3835" s="1" t="n">
        <v>940000</v>
      </c>
      <c r="D3835" s="1" t="n">
        <v>4905</v>
      </c>
      <c r="E3835" s="1" t="n">
        <v>0.0352</v>
      </c>
      <c r="F3835" s="1" t="n">
        <v>0.1226</v>
      </c>
    </row>
    <row r="3836" customFormat="false" ht="15" hidden="false" customHeight="false" outlineLevel="0" collapsed="false">
      <c r="A3836" s="1" t="s">
        <v>3871</v>
      </c>
      <c r="B3836" s="1" t="s">
        <v>92</v>
      </c>
      <c r="C3836" s="1" t="n">
        <v>1250000</v>
      </c>
      <c r="D3836" s="1" t="n">
        <v>16883.9</v>
      </c>
      <c r="E3836" s="1" t="n">
        <v>0.0096</v>
      </c>
      <c r="F3836" s="1" t="n">
        <v>0.0654</v>
      </c>
    </row>
    <row r="3837" customFormat="false" ht="15" hidden="false" customHeight="false" outlineLevel="0" collapsed="false">
      <c r="A3837" s="1" t="s">
        <v>3872</v>
      </c>
      <c r="B3837" s="1" t="s">
        <v>24</v>
      </c>
      <c r="C3837" s="1" t="n">
        <v>680000</v>
      </c>
      <c r="D3837" s="1" t="n">
        <v>7398.5</v>
      </c>
      <c r="E3837" s="1" t="n">
        <v>0.052</v>
      </c>
      <c r="F3837" s="1" t="n">
        <v>0.0951</v>
      </c>
    </row>
    <row r="3838" customFormat="false" ht="15" hidden="false" customHeight="false" outlineLevel="0" collapsed="false">
      <c r="A3838" s="1" t="s">
        <v>3873</v>
      </c>
      <c r="B3838" s="1" t="s">
        <v>50</v>
      </c>
      <c r="C3838" s="1" t="n">
        <v>766000</v>
      </c>
      <c r="D3838" s="1" t="n">
        <v>5280.4</v>
      </c>
      <c r="E3838" s="1" t="n">
        <v>0.008</v>
      </c>
      <c r="F3838" s="1" t="n">
        <v>0.1262</v>
      </c>
    </row>
    <row r="3839" customFormat="false" ht="15" hidden="false" customHeight="false" outlineLevel="0" collapsed="false">
      <c r="A3839" s="1" t="s">
        <v>3874</v>
      </c>
      <c r="B3839" s="1" t="s">
        <v>88</v>
      </c>
      <c r="C3839" s="1" t="n">
        <v>1140000</v>
      </c>
      <c r="D3839" s="1" t="n">
        <v>1337.6</v>
      </c>
      <c r="E3839" s="1" t="n">
        <v>0.0723</v>
      </c>
      <c r="F3839" s="1" t="n">
        <v>0.0938</v>
      </c>
    </row>
    <row r="3840" customFormat="false" ht="15" hidden="false" customHeight="false" outlineLevel="0" collapsed="false">
      <c r="A3840" s="1" t="s">
        <v>3875</v>
      </c>
      <c r="B3840" s="1" t="s">
        <v>32</v>
      </c>
      <c r="C3840" s="1" t="n">
        <v>793000</v>
      </c>
      <c r="D3840" s="1" t="n">
        <v>11294.5</v>
      </c>
      <c r="E3840" s="1" t="n">
        <v>0.0097</v>
      </c>
      <c r="F3840" s="1" t="n">
        <v>0.0822</v>
      </c>
    </row>
    <row r="3841" customFormat="false" ht="15" hidden="false" customHeight="false" outlineLevel="0" collapsed="false">
      <c r="A3841" s="1" t="s">
        <v>3876</v>
      </c>
      <c r="B3841" s="1" t="s">
        <v>30</v>
      </c>
      <c r="C3841" s="1" t="n">
        <v>808000</v>
      </c>
      <c r="D3841" s="1" t="n">
        <v>105660.9</v>
      </c>
      <c r="E3841" s="1" t="n">
        <v>0.0306</v>
      </c>
      <c r="F3841" s="1" t="n">
        <v>0.0845</v>
      </c>
    </row>
    <row r="3842" customFormat="false" ht="15" hidden="false" customHeight="false" outlineLevel="0" collapsed="false">
      <c r="A3842" s="1" t="s">
        <v>3877</v>
      </c>
      <c r="B3842" s="1" t="s">
        <v>88</v>
      </c>
      <c r="C3842" s="1" t="n">
        <v>977000</v>
      </c>
      <c r="D3842" s="1" t="n">
        <v>10629.5</v>
      </c>
      <c r="E3842" s="1" t="n">
        <v>0.0531</v>
      </c>
      <c r="F3842" s="1" t="n">
        <v>0.0759</v>
      </c>
    </row>
    <row r="3843" customFormat="false" ht="15" hidden="false" customHeight="false" outlineLevel="0" collapsed="false">
      <c r="A3843" s="1" t="s">
        <v>3878</v>
      </c>
      <c r="B3843" s="1" t="s">
        <v>88</v>
      </c>
      <c r="C3843" s="1" t="n">
        <v>1010000</v>
      </c>
      <c r="D3843" s="1" t="n">
        <v>29592.9</v>
      </c>
      <c r="E3843" s="1" t="n">
        <v>0.0416</v>
      </c>
      <c r="F3843" s="1" t="n">
        <v>0.0951</v>
      </c>
    </row>
    <row r="3844" customFormat="false" ht="15" hidden="false" customHeight="false" outlineLevel="0" collapsed="false">
      <c r="A3844" s="1" t="s">
        <v>3879</v>
      </c>
      <c r="B3844" s="1" t="s">
        <v>26</v>
      </c>
      <c r="C3844" s="1" t="n">
        <v>867000</v>
      </c>
      <c r="D3844" s="1" t="n">
        <v>9719.7</v>
      </c>
      <c r="E3844" s="1" t="n">
        <v>0.0174</v>
      </c>
      <c r="F3844" s="1" t="n">
        <v>0.0854</v>
      </c>
    </row>
    <row r="3845" customFormat="false" ht="15" hidden="false" customHeight="false" outlineLevel="0" collapsed="false">
      <c r="A3845" s="1" t="s">
        <v>3880</v>
      </c>
      <c r="B3845" s="1" t="s">
        <v>62</v>
      </c>
      <c r="C3845" s="1" t="n">
        <v>795000</v>
      </c>
      <c r="D3845" s="1" t="n">
        <v>3448.5</v>
      </c>
      <c r="E3845" s="1" t="n">
        <v>0.0105</v>
      </c>
      <c r="F3845" s="1" t="n">
        <v>0.0584</v>
      </c>
    </row>
    <row r="3846" customFormat="false" ht="15" hidden="false" customHeight="false" outlineLevel="0" collapsed="false">
      <c r="A3846" s="1" t="s">
        <v>3881</v>
      </c>
      <c r="B3846" s="1" t="s">
        <v>26</v>
      </c>
      <c r="C3846" s="1" t="n">
        <v>809000</v>
      </c>
      <c r="D3846" s="1" t="n">
        <v>113042.8</v>
      </c>
      <c r="E3846" s="1" t="n">
        <v>0.0522</v>
      </c>
      <c r="F3846" s="1" t="n">
        <v>0.0951</v>
      </c>
    </row>
    <row r="3847" customFormat="false" ht="15" hidden="false" customHeight="false" outlineLevel="0" collapsed="false">
      <c r="A3847" s="1" t="s">
        <v>3882</v>
      </c>
      <c r="B3847" s="1" t="s">
        <v>26</v>
      </c>
      <c r="C3847" s="1" t="n">
        <v>812000</v>
      </c>
      <c r="D3847" s="1" t="n">
        <v>24251.3</v>
      </c>
      <c r="E3847" s="1" t="n">
        <v>0.0421</v>
      </c>
      <c r="F3847" s="1" t="n">
        <v>0.0951</v>
      </c>
    </row>
    <row r="3848" customFormat="false" ht="15" hidden="false" customHeight="false" outlineLevel="0" collapsed="false">
      <c r="A3848" s="1" t="s">
        <v>3883</v>
      </c>
      <c r="B3848" s="1" t="s">
        <v>26</v>
      </c>
      <c r="C3848" s="1" t="n">
        <v>766000</v>
      </c>
      <c r="D3848" s="1" t="n">
        <v>33.7</v>
      </c>
      <c r="E3848" s="1" t="n">
        <v>0.0587</v>
      </c>
      <c r="F3848" s="1" t="n">
        <v>0.0938</v>
      </c>
    </row>
    <row r="3849" customFormat="false" ht="15" hidden="false" customHeight="false" outlineLevel="0" collapsed="false">
      <c r="A3849" s="1" t="s">
        <v>3884</v>
      </c>
      <c r="B3849" s="1" t="s">
        <v>26</v>
      </c>
      <c r="C3849" s="1" t="n">
        <v>947000</v>
      </c>
      <c r="D3849" s="1" t="n">
        <v>86830.8</v>
      </c>
      <c r="E3849" s="1" t="n">
        <v>0.0574</v>
      </c>
      <c r="F3849" s="1" t="n">
        <v>0.0759</v>
      </c>
    </row>
    <row r="3850" customFormat="false" ht="15" hidden="false" customHeight="false" outlineLevel="0" collapsed="false">
      <c r="A3850" s="1" t="s">
        <v>3885</v>
      </c>
      <c r="B3850" s="1" t="s">
        <v>26</v>
      </c>
      <c r="C3850" s="1" t="n">
        <v>792000</v>
      </c>
      <c r="D3850" s="1" t="n">
        <v>69191.6</v>
      </c>
      <c r="E3850" s="1" t="n">
        <v>0.0583</v>
      </c>
      <c r="F3850" s="1" t="n">
        <v>0.0672</v>
      </c>
    </row>
    <row r="3851" customFormat="false" ht="15" hidden="false" customHeight="false" outlineLevel="0" collapsed="false">
      <c r="A3851" s="1" t="s">
        <v>3886</v>
      </c>
      <c r="B3851" s="1" t="s">
        <v>88</v>
      </c>
      <c r="C3851" s="1" t="n">
        <v>703000</v>
      </c>
      <c r="D3851" s="1" t="n">
        <v>4711.8</v>
      </c>
      <c r="E3851" s="1" t="n">
        <v>0.0245</v>
      </c>
      <c r="F3851" s="1" t="n">
        <v>0.117</v>
      </c>
    </row>
    <row r="3852" customFormat="false" ht="15" hidden="false" customHeight="false" outlineLevel="0" collapsed="false">
      <c r="A3852" s="1" t="s">
        <v>3887</v>
      </c>
      <c r="B3852" s="1" t="s">
        <v>26</v>
      </c>
      <c r="C3852" s="1" t="n">
        <v>1200000</v>
      </c>
      <c r="D3852" s="1" t="n">
        <v>336659.9</v>
      </c>
      <c r="E3852" s="1" t="n">
        <v>0.0603</v>
      </c>
      <c r="F3852" s="1" t="n">
        <v>0.0759</v>
      </c>
    </row>
    <row r="3853" customFormat="false" ht="15" hidden="false" customHeight="false" outlineLevel="0" collapsed="false">
      <c r="A3853" s="1" t="s">
        <v>3888</v>
      </c>
      <c r="B3853" s="1" t="s">
        <v>26</v>
      </c>
      <c r="C3853" s="1" t="n">
        <v>958000</v>
      </c>
      <c r="D3853" s="1" t="n">
        <v>87340.7</v>
      </c>
      <c r="E3853" s="1" t="n">
        <v>0.0217</v>
      </c>
      <c r="F3853" s="1" t="n">
        <v>0.0585</v>
      </c>
    </row>
    <row r="3854" customFormat="false" ht="15" hidden="false" customHeight="false" outlineLevel="0" collapsed="false">
      <c r="A3854" s="1" t="s">
        <v>3889</v>
      </c>
      <c r="B3854" s="1" t="s">
        <v>53</v>
      </c>
      <c r="C3854" s="1" t="n">
        <v>906000</v>
      </c>
      <c r="D3854" s="1" t="n">
        <v>241858.9</v>
      </c>
      <c r="E3854" s="1" t="n">
        <v>0.0352</v>
      </c>
      <c r="F3854" s="1" t="n">
        <v>0.0951</v>
      </c>
    </row>
    <row r="3855" customFormat="false" ht="15" hidden="false" customHeight="false" outlineLevel="0" collapsed="false">
      <c r="A3855" s="1" t="s">
        <v>3890</v>
      </c>
      <c r="B3855" s="1" t="s">
        <v>50</v>
      </c>
      <c r="C3855" s="1" t="n">
        <v>745000</v>
      </c>
      <c r="D3855" s="1" t="n">
        <v>52560.4</v>
      </c>
      <c r="E3855" s="1" t="n">
        <v>0.0299</v>
      </c>
      <c r="F3855" s="1" t="n">
        <v>0.0951</v>
      </c>
    </row>
    <row r="3856" customFormat="false" ht="15" hidden="false" customHeight="false" outlineLevel="0" collapsed="false">
      <c r="A3856" s="1" t="s">
        <v>3891</v>
      </c>
      <c r="B3856" s="1" t="s">
        <v>41</v>
      </c>
      <c r="C3856" s="1" t="n">
        <v>870000</v>
      </c>
      <c r="D3856" s="1" t="n">
        <v>7207.5</v>
      </c>
      <c r="E3856" s="1" t="n">
        <v>0.0356</v>
      </c>
      <c r="F3856" s="1" t="n">
        <v>0.0938</v>
      </c>
    </row>
    <row r="3857" customFormat="false" ht="15" hidden="false" customHeight="false" outlineLevel="0" collapsed="false">
      <c r="A3857" s="1" t="s">
        <v>3892</v>
      </c>
      <c r="B3857" s="1" t="s">
        <v>26</v>
      </c>
      <c r="C3857" s="1" t="n">
        <v>1090000</v>
      </c>
      <c r="D3857" s="1" t="n">
        <v>1452227.4</v>
      </c>
      <c r="E3857" s="1" t="n">
        <v>0.0099</v>
      </c>
      <c r="F3857" s="1" t="n">
        <v>0.0822</v>
      </c>
    </row>
    <row r="3858" customFormat="false" ht="15" hidden="false" customHeight="false" outlineLevel="0" collapsed="false">
      <c r="A3858" s="1" t="s">
        <v>3893</v>
      </c>
      <c r="B3858" s="1" t="s">
        <v>24</v>
      </c>
      <c r="C3858" s="1" t="n">
        <v>707000</v>
      </c>
      <c r="D3858" s="1" t="n">
        <v>13136</v>
      </c>
      <c r="F3858" s="1" t="n">
        <v>0.0759</v>
      </c>
    </row>
    <row r="3859" customFormat="false" ht="15" hidden="false" customHeight="false" outlineLevel="0" collapsed="false">
      <c r="A3859" s="1" t="s">
        <v>3894</v>
      </c>
      <c r="B3859" s="1" t="s">
        <v>71</v>
      </c>
      <c r="C3859" s="1" t="n">
        <v>683000</v>
      </c>
      <c r="D3859" s="1" t="n">
        <v>13519.4</v>
      </c>
      <c r="E3859" s="1" t="n">
        <v>0.0448</v>
      </c>
      <c r="F3859" s="1" t="n">
        <v>0.1184</v>
      </c>
    </row>
    <row r="3860" customFormat="false" ht="15" hidden="false" customHeight="false" outlineLevel="0" collapsed="false">
      <c r="A3860" s="1" t="s">
        <v>3895</v>
      </c>
      <c r="B3860" s="1" t="s">
        <v>26</v>
      </c>
      <c r="C3860" s="1" t="n">
        <v>705000</v>
      </c>
      <c r="D3860" s="1" t="n">
        <v>7151.9</v>
      </c>
      <c r="E3860" s="1" t="n">
        <v>0.013</v>
      </c>
      <c r="F3860" s="1" t="n">
        <v>0.1067</v>
      </c>
    </row>
    <row r="3861" customFormat="false" ht="15" hidden="false" customHeight="false" outlineLevel="0" collapsed="false">
      <c r="A3861" s="1" t="s">
        <v>3896</v>
      </c>
      <c r="B3861" s="1" t="s">
        <v>35</v>
      </c>
      <c r="C3861" s="1" t="n">
        <v>773000</v>
      </c>
      <c r="D3861" s="1" t="n">
        <v>1686.9</v>
      </c>
      <c r="E3861" s="1" t="n">
        <v>0.027</v>
      </c>
      <c r="F3861" s="1" t="n">
        <v>0.0409</v>
      </c>
    </row>
    <row r="3862" customFormat="false" ht="15" hidden="false" customHeight="false" outlineLevel="0" collapsed="false">
      <c r="A3862" s="1" t="s">
        <v>3897</v>
      </c>
      <c r="B3862" s="1" t="s">
        <v>81</v>
      </c>
      <c r="C3862" s="1" t="n">
        <v>983000</v>
      </c>
      <c r="D3862" s="1" t="n">
        <v>241526.7</v>
      </c>
      <c r="E3862" s="1" t="n">
        <v>0.0411</v>
      </c>
      <c r="F3862" s="1" t="n">
        <v>0.0938</v>
      </c>
    </row>
    <row r="3863" customFormat="false" ht="15" hidden="false" customHeight="false" outlineLevel="0" collapsed="false">
      <c r="A3863" s="1" t="s">
        <v>3898</v>
      </c>
      <c r="B3863" s="1" t="s">
        <v>26</v>
      </c>
      <c r="C3863" s="1" t="n">
        <v>757000</v>
      </c>
      <c r="D3863" s="1" t="n">
        <v>19738.4</v>
      </c>
      <c r="E3863" s="1" t="n">
        <v>0.098</v>
      </c>
      <c r="F3863" s="1" t="n">
        <v>0.0518</v>
      </c>
    </row>
    <row r="3864" customFormat="false" ht="15" hidden="false" customHeight="false" outlineLevel="0" collapsed="false">
      <c r="A3864" s="1" t="s">
        <v>3899</v>
      </c>
      <c r="B3864" s="1" t="s">
        <v>41</v>
      </c>
      <c r="C3864" s="1" t="n">
        <v>1440000</v>
      </c>
      <c r="D3864" s="1" t="n">
        <v>15326.6</v>
      </c>
      <c r="E3864" s="1" t="n">
        <v>0.0341</v>
      </c>
      <c r="F3864" s="1" t="n">
        <v>0.1168</v>
      </c>
    </row>
    <row r="3865" customFormat="false" ht="15" hidden="false" customHeight="false" outlineLevel="0" collapsed="false">
      <c r="A3865" s="1" t="s">
        <v>3900</v>
      </c>
      <c r="B3865" s="1" t="s">
        <v>88</v>
      </c>
      <c r="C3865" s="1" t="n">
        <v>705000</v>
      </c>
      <c r="D3865" s="1" t="n">
        <v>46627.1</v>
      </c>
      <c r="E3865" s="1" t="n">
        <v>0.0631</v>
      </c>
      <c r="F3865" s="1" t="n">
        <v>0.0759</v>
      </c>
    </row>
    <row r="3866" customFormat="false" ht="15" hidden="false" customHeight="false" outlineLevel="0" collapsed="false">
      <c r="A3866" s="1" t="s">
        <v>3901</v>
      </c>
      <c r="B3866" s="1" t="s">
        <v>88</v>
      </c>
      <c r="C3866" s="1" t="n">
        <v>1000000</v>
      </c>
      <c r="D3866" s="1" t="n">
        <v>49838.9</v>
      </c>
      <c r="E3866" s="1" t="n">
        <v>0.0348</v>
      </c>
      <c r="F3866" s="1" t="n">
        <v>0.0409</v>
      </c>
    </row>
    <row r="3867" customFormat="false" ht="15" hidden="false" customHeight="false" outlineLevel="0" collapsed="false">
      <c r="A3867" s="1" t="s">
        <v>3902</v>
      </c>
      <c r="B3867" s="1" t="s">
        <v>62</v>
      </c>
      <c r="C3867" s="1" t="n">
        <v>928000</v>
      </c>
      <c r="D3867" s="1" t="n">
        <v>12736.4</v>
      </c>
      <c r="E3867" s="1" t="n">
        <v>0.0392</v>
      </c>
      <c r="F3867" s="1" t="n">
        <v>0.0938</v>
      </c>
    </row>
    <row r="3868" customFormat="false" ht="15" hidden="false" customHeight="false" outlineLevel="0" collapsed="false">
      <c r="A3868" s="1" t="s">
        <v>3903</v>
      </c>
      <c r="B3868" s="1" t="s">
        <v>88</v>
      </c>
      <c r="C3868" s="1" t="n">
        <v>1730000</v>
      </c>
      <c r="D3868" s="1" t="n">
        <v>15891.9</v>
      </c>
      <c r="E3868" s="1" t="n">
        <v>0.0967</v>
      </c>
      <c r="F3868" s="1" t="n">
        <v>0.0759</v>
      </c>
    </row>
    <row r="3869" customFormat="false" ht="15" hidden="false" customHeight="false" outlineLevel="0" collapsed="false">
      <c r="A3869" s="1" t="s">
        <v>3904</v>
      </c>
      <c r="B3869" s="1" t="s">
        <v>30</v>
      </c>
      <c r="C3869" s="1" t="n">
        <v>661000</v>
      </c>
      <c r="D3869" s="1" t="n">
        <v>2001843.4</v>
      </c>
      <c r="E3869" s="1" t="n">
        <v>0.0223</v>
      </c>
      <c r="F3869" s="1" t="n">
        <v>0.0951</v>
      </c>
    </row>
    <row r="3870" customFormat="false" ht="15" hidden="false" customHeight="false" outlineLevel="0" collapsed="false">
      <c r="A3870" s="1" t="s">
        <v>3905</v>
      </c>
      <c r="B3870" s="1" t="s">
        <v>41</v>
      </c>
      <c r="C3870" s="1" t="n">
        <v>1410000</v>
      </c>
      <c r="D3870" s="1" t="n">
        <v>686.2</v>
      </c>
      <c r="E3870" s="1" t="n">
        <v>0.0312</v>
      </c>
      <c r="F3870" s="1" t="n">
        <v>0.0938</v>
      </c>
    </row>
    <row r="3871" customFormat="false" ht="15" hidden="false" customHeight="false" outlineLevel="0" collapsed="false">
      <c r="A3871" s="1" t="s">
        <v>3906</v>
      </c>
      <c r="B3871" s="1" t="s">
        <v>490</v>
      </c>
      <c r="C3871" s="1" t="n">
        <v>1050000</v>
      </c>
      <c r="D3871" s="1" t="n">
        <v>10064.3</v>
      </c>
      <c r="E3871" s="1" t="n">
        <v>0.0485</v>
      </c>
      <c r="F3871" s="1" t="n">
        <v>0.0409</v>
      </c>
    </row>
    <row r="3872" customFormat="false" ht="15" hidden="false" customHeight="false" outlineLevel="0" collapsed="false">
      <c r="A3872" s="1" t="s">
        <v>3907</v>
      </c>
      <c r="B3872" s="1" t="s">
        <v>53</v>
      </c>
      <c r="C3872" s="1" t="n">
        <v>1210000</v>
      </c>
      <c r="D3872" s="1" t="n">
        <v>5541</v>
      </c>
      <c r="E3872" s="1" t="n">
        <v>0.0172</v>
      </c>
      <c r="F3872" s="1" t="n">
        <v>0.0854</v>
      </c>
    </row>
    <row r="3873" customFormat="false" ht="15" hidden="false" customHeight="false" outlineLevel="0" collapsed="false">
      <c r="A3873" s="1" t="s">
        <v>3908</v>
      </c>
      <c r="B3873" s="1" t="s">
        <v>26</v>
      </c>
      <c r="C3873" s="1" t="n">
        <v>986000</v>
      </c>
      <c r="D3873" s="1" t="n">
        <v>94570.9</v>
      </c>
      <c r="E3873" s="1" t="n">
        <v>0.0387</v>
      </c>
      <c r="F3873" s="1" t="n">
        <v>0.0432</v>
      </c>
    </row>
    <row r="3874" customFormat="false" ht="15" hidden="false" customHeight="false" outlineLevel="0" collapsed="false">
      <c r="A3874" s="1" t="s">
        <v>3909</v>
      </c>
      <c r="B3874" s="1" t="s">
        <v>92</v>
      </c>
      <c r="C3874" s="1" t="n">
        <v>1520000</v>
      </c>
      <c r="D3874" s="1" t="n">
        <v>10332</v>
      </c>
      <c r="E3874" s="1" t="n">
        <v>0.0396</v>
      </c>
      <c r="F3874" s="1" t="n">
        <v>0.0759</v>
      </c>
    </row>
    <row r="3875" customFormat="false" ht="15" hidden="false" customHeight="false" outlineLevel="0" collapsed="false">
      <c r="A3875" s="1" t="s">
        <v>3910</v>
      </c>
      <c r="B3875" s="1" t="s">
        <v>81</v>
      </c>
      <c r="C3875" s="1" t="n">
        <v>1300000</v>
      </c>
      <c r="D3875" s="1" t="n">
        <v>56287041.3</v>
      </c>
      <c r="E3875" s="1" t="n">
        <v>0.0215</v>
      </c>
      <c r="F3875" s="1" t="n">
        <v>0.0998</v>
      </c>
    </row>
    <row r="3876" customFormat="false" ht="15" hidden="false" customHeight="false" outlineLevel="0" collapsed="false">
      <c r="A3876" s="1" t="s">
        <v>3911</v>
      </c>
      <c r="B3876" s="1" t="s">
        <v>74</v>
      </c>
      <c r="C3876" s="1" t="n">
        <v>810000</v>
      </c>
      <c r="D3876" s="1" t="n">
        <v>14627.5</v>
      </c>
      <c r="E3876" s="1" t="n">
        <v>0.0424</v>
      </c>
      <c r="F3876" s="1" t="n">
        <v>0.0951</v>
      </c>
    </row>
    <row r="3877" customFormat="false" ht="15" hidden="false" customHeight="false" outlineLevel="0" collapsed="false">
      <c r="A3877" s="1" t="s">
        <v>3912</v>
      </c>
      <c r="B3877" s="1" t="s">
        <v>62</v>
      </c>
      <c r="C3877" s="1" t="n">
        <v>775000</v>
      </c>
      <c r="D3877" s="1" t="n">
        <v>999.7</v>
      </c>
      <c r="E3877" s="1" t="n">
        <v>0.0777</v>
      </c>
      <c r="F3877" s="1" t="n">
        <v>0.0938</v>
      </c>
    </row>
    <row r="3878" customFormat="false" ht="15" hidden="false" customHeight="false" outlineLevel="0" collapsed="false">
      <c r="A3878" s="1" t="s">
        <v>3913</v>
      </c>
      <c r="B3878" s="1" t="s">
        <v>92</v>
      </c>
      <c r="C3878" s="1" t="n">
        <v>777000</v>
      </c>
      <c r="D3878" s="1" t="n">
        <v>13780.4</v>
      </c>
      <c r="E3878" s="1" t="n">
        <v>0.0228</v>
      </c>
      <c r="F3878" s="1" t="n">
        <v>0.051</v>
      </c>
    </row>
    <row r="3879" customFormat="false" ht="15" hidden="false" customHeight="false" outlineLevel="0" collapsed="false">
      <c r="A3879" s="1" t="s">
        <v>3914</v>
      </c>
      <c r="B3879" s="1" t="s">
        <v>26</v>
      </c>
      <c r="C3879" s="1" t="n">
        <v>692000</v>
      </c>
      <c r="D3879" s="1" t="n">
        <v>378.6</v>
      </c>
      <c r="E3879" s="1" t="n">
        <v>0.0163</v>
      </c>
      <c r="F3879" s="1" t="n">
        <v>0.131</v>
      </c>
    </row>
    <row r="3880" customFormat="false" ht="15" hidden="false" customHeight="false" outlineLevel="0" collapsed="false">
      <c r="A3880" s="1" t="s">
        <v>3915</v>
      </c>
      <c r="B3880" s="1" t="s">
        <v>88</v>
      </c>
      <c r="C3880" s="1" t="n">
        <v>1210000</v>
      </c>
      <c r="D3880" s="1" t="n">
        <v>5918.3</v>
      </c>
      <c r="E3880" s="1" t="n">
        <v>0.0412</v>
      </c>
      <c r="F3880" s="1" t="n">
        <v>0.0938</v>
      </c>
    </row>
    <row r="3881" customFormat="false" ht="15" hidden="false" customHeight="false" outlineLevel="0" collapsed="false">
      <c r="A3881" s="1" t="s">
        <v>3916</v>
      </c>
      <c r="B3881" s="1" t="s">
        <v>195</v>
      </c>
      <c r="C3881" s="1" t="n">
        <v>688000</v>
      </c>
      <c r="D3881" s="1" t="n">
        <v>4375.4</v>
      </c>
      <c r="E3881" s="1" t="n">
        <v>0.0176</v>
      </c>
      <c r="F3881" s="1" t="n">
        <v>0.1067</v>
      </c>
    </row>
    <row r="3882" customFormat="false" ht="15" hidden="false" customHeight="false" outlineLevel="0" collapsed="false">
      <c r="A3882" s="1" t="s">
        <v>3917</v>
      </c>
      <c r="B3882" s="1" t="s">
        <v>214</v>
      </c>
      <c r="C3882" s="1" t="n">
        <v>1000000</v>
      </c>
      <c r="D3882" s="1" t="n">
        <v>17214.1</v>
      </c>
      <c r="E3882" s="1" t="n">
        <v>0.0321</v>
      </c>
      <c r="F3882" s="1" t="n">
        <v>0.0759</v>
      </c>
    </row>
    <row r="3883" customFormat="false" ht="15" hidden="false" customHeight="false" outlineLevel="0" collapsed="false">
      <c r="A3883" s="1" t="s">
        <v>3918</v>
      </c>
      <c r="B3883" s="1" t="s">
        <v>81</v>
      </c>
      <c r="C3883" s="1" t="n">
        <v>794000</v>
      </c>
      <c r="D3883" s="1" t="n">
        <v>93941.9</v>
      </c>
      <c r="E3883" s="1" t="n">
        <v>0.0182</v>
      </c>
      <c r="F3883" s="1" t="n">
        <v>0.0409</v>
      </c>
    </row>
    <row r="3884" customFormat="false" ht="15" hidden="false" customHeight="false" outlineLevel="0" collapsed="false">
      <c r="A3884" s="1" t="s">
        <v>3919</v>
      </c>
      <c r="B3884" s="1" t="s">
        <v>26</v>
      </c>
      <c r="C3884" s="1" t="n">
        <v>728000</v>
      </c>
      <c r="D3884" s="1" t="n">
        <v>94187.8</v>
      </c>
      <c r="E3884" s="1" t="n">
        <v>0.0225</v>
      </c>
      <c r="F3884" s="1" t="n">
        <v>0.0938</v>
      </c>
    </row>
    <row r="3885" customFormat="false" ht="15" hidden="false" customHeight="false" outlineLevel="0" collapsed="false">
      <c r="A3885" s="1" t="s">
        <v>3920</v>
      </c>
      <c r="B3885" s="1" t="s">
        <v>88</v>
      </c>
      <c r="C3885" s="1" t="n">
        <v>734000</v>
      </c>
      <c r="D3885" s="1" t="n">
        <v>5396.8</v>
      </c>
      <c r="E3885" s="1" t="n">
        <v>0.0179</v>
      </c>
      <c r="F3885" s="1" t="n">
        <v>0.1067</v>
      </c>
    </row>
    <row r="3886" customFormat="false" ht="15" hidden="false" customHeight="false" outlineLevel="0" collapsed="false">
      <c r="A3886" s="1" t="s">
        <v>3921</v>
      </c>
      <c r="B3886" s="1" t="s">
        <v>74</v>
      </c>
      <c r="C3886" s="1" t="n">
        <v>678000</v>
      </c>
      <c r="D3886" s="1" t="n">
        <v>20264.3</v>
      </c>
      <c r="E3886" s="1" t="n">
        <v>0.043</v>
      </c>
      <c r="F3886" s="1" t="n">
        <v>0.0759</v>
      </c>
    </row>
    <row r="3887" customFormat="false" ht="15" hidden="false" customHeight="false" outlineLevel="0" collapsed="false">
      <c r="A3887" s="1" t="s">
        <v>3922</v>
      </c>
      <c r="B3887" s="1" t="s">
        <v>62</v>
      </c>
      <c r="C3887" s="1" t="n">
        <v>1390000</v>
      </c>
      <c r="D3887" s="1" t="n">
        <v>7175</v>
      </c>
      <c r="E3887" s="1" t="n">
        <v>0.0422</v>
      </c>
      <c r="F3887" s="1" t="n">
        <v>0.0938</v>
      </c>
    </row>
    <row r="3888" customFormat="false" ht="15" hidden="false" customHeight="false" outlineLevel="0" collapsed="false">
      <c r="A3888" s="1" t="s">
        <v>3923</v>
      </c>
      <c r="B3888" s="1" t="s">
        <v>62</v>
      </c>
      <c r="C3888" s="1" t="n">
        <v>691000</v>
      </c>
      <c r="D3888" s="1" t="n">
        <v>630.2</v>
      </c>
      <c r="E3888" s="1" t="n">
        <v>0.0087</v>
      </c>
      <c r="F3888" s="1" t="n">
        <v>0.227</v>
      </c>
    </row>
    <row r="3889" customFormat="false" ht="15" hidden="false" customHeight="false" outlineLevel="0" collapsed="false">
      <c r="A3889" s="1" t="s">
        <v>3924</v>
      </c>
      <c r="B3889" s="1" t="s">
        <v>50</v>
      </c>
      <c r="C3889" s="1" t="n">
        <v>787000</v>
      </c>
      <c r="D3889" s="1" t="n">
        <v>703592.7</v>
      </c>
      <c r="E3889" s="1" t="n">
        <v>0.0619</v>
      </c>
      <c r="F3889" s="1" t="n">
        <v>0.0518</v>
      </c>
    </row>
    <row r="3890" customFormat="false" ht="15" hidden="false" customHeight="false" outlineLevel="0" collapsed="false">
      <c r="A3890" s="1" t="s">
        <v>3925</v>
      </c>
      <c r="B3890" s="1" t="s">
        <v>41</v>
      </c>
      <c r="C3890" s="1" t="n">
        <v>1220000</v>
      </c>
      <c r="D3890" s="1" t="n">
        <v>10354.8</v>
      </c>
      <c r="E3890" s="1" t="n">
        <v>0.0683</v>
      </c>
      <c r="F3890" s="1" t="n">
        <v>0.0938</v>
      </c>
    </row>
    <row r="3891" customFormat="false" ht="15" hidden="false" customHeight="false" outlineLevel="0" collapsed="false">
      <c r="A3891" s="1" t="s">
        <v>3926</v>
      </c>
      <c r="B3891" s="1" t="s">
        <v>26</v>
      </c>
      <c r="C3891" s="1" t="n">
        <v>1010000</v>
      </c>
      <c r="D3891" s="1" t="n">
        <v>109902.1</v>
      </c>
      <c r="E3891" s="1" t="n">
        <v>0.0528</v>
      </c>
      <c r="F3891" s="1" t="n">
        <v>0.0759</v>
      </c>
    </row>
    <row r="3892" customFormat="false" ht="15" hidden="false" customHeight="false" outlineLevel="0" collapsed="false">
      <c r="A3892" s="1" t="s">
        <v>3927</v>
      </c>
      <c r="B3892" s="1" t="s">
        <v>26</v>
      </c>
      <c r="C3892" s="1" t="n">
        <v>948000</v>
      </c>
      <c r="D3892" s="1" t="n">
        <v>229625.5</v>
      </c>
      <c r="E3892" s="1" t="n">
        <v>0.0473</v>
      </c>
      <c r="F3892" s="1" t="n">
        <v>0.0759</v>
      </c>
    </row>
    <row r="3893" customFormat="false" ht="15" hidden="false" customHeight="false" outlineLevel="0" collapsed="false">
      <c r="A3893" s="1" t="s">
        <v>3928</v>
      </c>
      <c r="B3893" s="1" t="s">
        <v>26</v>
      </c>
      <c r="C3893" s="1" t="n">
        <v>1100000</v>
      </c>
      <c r="D3893" s="1" t="n">
        <v>220.9</v>
      </c>
      <c r="E3893" s="1" t="n">
        <v>0.0082</v>
      </c>
      <c r="F3893" s="1" t="n">
        <v>0.0811</v>
      </c>
    </row>
    <row r="3894" customFormat="false" ht="15" hidden="false" customHeight="false" outlineLevel="0" collapsed="false">
      <c r="A3894" s="1" t="s">
        <v>3929</v>
      </c>
      <c r="B3894" s="1" t="s">
        <v>50</v>
      </c>
      <c r="C3894" s="1" t="n">
        <v>725000</v>
      </c>
      <c r="D3894" s="1" t="n">
        <v>127255.2</v>
      </c>
      <c r="E3894" s="1" t="n">
        <v>0.0053</v>
      </c>
      <c r="F3894" s="1" t="n">
        <v>0.0822</v>
      </c>
    </row>
    <row r="3895" customFormat="false" ht="15" hidden="false" customHeight="false" outlineLevel="0" collapsed="false">
      <c r="A3895" s="1" t="s">
        <v>3930</v>
      </c>
      <c r="B3895" s="1" t="s">
        <v>81</v>
      </c>
      <c r="C3895" s="1" t="n">
        <v>872000</v>
      </c>
      <c r="D3895" s="1" t="n">
        <v>47518.1</v>
      </c>
      <c r="E3895" s="1" t="n">
        <v>0.0276</v>
      </c>
      <c r="F3895" s="1" t="n">
        <v>0.0938</v>
      </c>
    </row>
    <row r="3896" customFormat="false" ht="15" hidden="false" customHeight="false" outlineLevel="0" collapsed="false">
      <c r="A3896" s="1" t="s">
        <v>3931</v>
      </c>
      <c r="B3896" s="1" t="s">
        <v>26</v>
      </c>
      <c r="C3896" s="1" t="n">
        <v>745000</v>
      </c>
      <c r="D3896" s="1" t="n">
        <v>1466881.6</v>
      </c>
      <c r="E3896" s="1" t="n">
        <v>0.0425</v>
      </c>
      <c r="F3896" s="1" t="n">
        <v>0.0951</v>
      </c>
    </row>
    <row r="3897" customFormat="false" ht="15" hidden="false" customHeight="false" outlineLevel="0" collapsed="false">
      <c r="A3897" s="1" t="s">
        <v>3932</v>
      </c>
      <c r="B3897" s="1" t="s">
        <v>88</v>
      </c>
      <c r="C3897" s="1" t="n">
        <v>775000</v>
      </c>
      <c r="D3897" s="1" t="n">
        <v>5146.1</v>
      </c>
      <c r="E3897" s="1" t="n">
        <v>0.0133</v>
      </c>
      <c r="F3897" s="1" t="n">
        <v>0.0584</v>
      </c>
    </row>
    <row r="3898" customFormat="false" ht="15" hidden="false" customHeight="false" outlineLevel="0" collapsed="false">
      <c r="A3898" s="1" t="s">
        <v>3933</v>
      </c>
      <c r="B3898" s="1" t="s">
        <v>62</v>
      </c>
      <c r="C3898" s="1" t="n">
        <v>1550000</v>
      </c>
      <c r="D3898" s="1" t="n">
        <v>16836.6</v>
      </c>
      <c r="E3898" s="1" t="n">
        <v>0.0512</v>
      </c>
      <c r="F3898" s="1" t="n">
        <v>0.051</v>
      </c>
    </row>
    <row r="3899" customFormat="false" ht="15" hidden="false" customHeight="false" outlineLevel="0" collapsed="false">
      <c r="A3899" s="1" t="s">
        <v>3934</v>
      </c>
      <c r="B3899" s="1" t="s">
        <v>26</v>
      </c>
      <c r="C3899" s="1" t="n">
        <v>1470000</v>
      </c>
      <c r="D3899" s="1" t="n">
        <v>2086173.4</v>
      </c>
      <c r="E3899" s="1" t="n">
        <v>0.0186</v>
      </c>
      <c r="F3899" s="1" t="n">
        <v>0.0462</v>
      </c>
    </row>
    <row r="3900" customFormat="false" ht="15" hidden="false" customHeight="false" outlineLevel="0" collapsed="false">
      <c r="A3900" s="1" t="s">
        <v>3935</v>
      </c>
      <c r="B3900" s="1" t="s">
        <v>26</v>
      </c>
      <c r="C3900" s="1" t="n">
        <v>898000</v>
      </c>
      <c r="D3900" s="1" t="n">
        <v>1678368</v>
      </c>
      <c r="E3900" s="1" t="n">
        <v>0.0318</v>
      </c>
      <c r="F3900" s="1" t="n">
        <v>0.0518</v>
      </c>
    </row>
    <row r="3901" customFormat="false" ht="15" hidden="false" customHeight="false" outlineLevel="0" collapsed="false">
      <c r="A3901" s="1" t="s">
        <v>3936</v>
      </c>
      <c r="B3901" s="1" t="s">
        <v>88</v>
      </c>
      <c r="C3901" s="1" t="n">
        <v>3140000</v>
      </c>
      <c r="D3901" s="1" t="n">
        <v>33053.9</v>
      </c>
      <c r="E3901" s="1" t="n">
        <v>0.0796</v>
      </c>
      <c r="F3901" s="1" t="n">
        <v>0.0938</v>
      </c>
    </row>
    <row r="3902" customFormat="false" ht="15" hidden="false" customHeight="false" outlineLevel="0" collapsed="false">
      <c r="A3902" s="1" t="s">
        <v>3937</v>
      </c>
      <c r="B3902" s="1" t="s">
        <v>490</v>
      </c>
      <c r="C3902" s="1" t="n">
        <v>844000</v>
      </c>
      <c r="D3902" s="1" t="n">
        <v>13670.6</v>
      </c>
      <c r="E3902" s="1" t="n">
        <v>0.0093</v>
      </c>
      <c r="F3902" s="1" t="n">
        <v>0.0822</v>
      </c>
    </row>
    <row r="3903" customFormat="false" ht="15" hidden="false" customHeight="false" outlineLevel="0" collapsed="false">
      <c r="A3903" s="1" t="s">
        <v>3938</v>
      </c>
      <c r="B3903" s="1" t="s">
        <v>50</v>
      </c>
      <c r="C3903" s="1" t="n">
        <v>798000</v>
      </c>
      <c r="D3903" s="1" t="n">
        <v>6165.5</v>
      </c>
      <c r="E3903" s="1" t="n">
        <v>0.0425</v>
      </c>
      <c r="F3903" s="1" t="n">
        <v>0.0759</v>
      </c>
    </row>
    <row r="3904" customFormat="false" ht="15" hidden="false" customHeight="false" outlineLevel="0" collapsed="false">
      <c r="A3904" s="1" t="s">
        <v>3939</v>
      </c>
      <c r="B3904" s="1" t="s">
        <v>214</v>
      </c>
      <c r="C3904" s="1" t="n">
        <v>920000</v>
      </c>
      <c r="D3904" s="1" t="n">
        <v>9102.4</v>
      </c>
      <c r="E3904" s="1" t="n">
        <v>0.0212</v>
      </c>
      <c r="F3904" s="1" t="n">
        <v>0.0854</v>
      </c>
    </row>
    <row r="3905" customFormat="false" ht="15" hidden="false" customHeight="false" outlineLevel="0" collapsed="false">
      <c r="A3905" s="1" t="s">
        <v>3940</v>
      </c>
      <c r="B3905" s="1" t="s">
        <v>88</v>
      </c>
      <c r="C3905" s="1" t="n">
        <v>1330000</v>
      </c>
      <c r="D3905" s="1" t="n">
        <v>3711</v>
      </c>
      <c r="E3905" s="1" t="n">
        <v>0.0022</v>
      </c>
      <c r="F3905" s="1" t="n">
        <v>0.0811</v>
      </c>
    </row>
    <row r="3906" customFormat="false" ht="15" hidden="false" customHeight="false" outlineLevel="0" collapsed="false">
      <c r="A3906" s="1" t="s">
        <v>3941</v>
      </c>
      <c r="B3906" s="1" t="s">
        <v>92</v>
      </c>
      <c r="C3906" s="1" t="n">
        <v>672000</v>
      </c>
      <c r="D3906" s="1" t="n">
        <v>20350.2</v>
      </c>
      <c r="E3906" s="1" t="n">
        <v>0.0244</v>
      </c>
      <c r="F3906" s="1" t="n">
        <v>0.0409</v>
      </c>
    </row>
    <row r="3907" customFormat="false" ht="15" hidden="false" customHeight="false" outlineLevel="0" collapsed="false">
      <c r="A3907" s="1" t="s">
        <v>3942</v>
      </c>
      <c r="B3907" s="1" t="s">
        <v>32</v>
      </c>
      <c r="C3907" s="1" t="n">
        <v>755000</v>
      </c>
      <c r="D3907" s="1" t="n">
        <v>21416.3</v>
      </c>
      <c r="E3907" s="1" t="n">
        <v>0.0267</v>
      </c>
      <c r="F3907" s="1" t="n">
        <v>0.0409</v>
      </c>
    </row>
    <row r="3908" customFormat="false" ht="15" hidden="false" customHeight="false" outlineLevel="0" collapsed="false">
      <c r="A3908" s="1" t="s">
        <v>3943</v>
      </c>
      <c r="B3908" s="1" t="s">
        <v>26</v>
      </c>
      <c r="C3908" s="1" t="n">
        <v>706000</v>
      </c>
      <c r="D3908" s="1" t="n">
        <v>12052.5</v>
      </c>
      <c r="E3908" s="1" t="n">
        <v>0.0302</v>
      </c>
      <c r="F3908" s="1" t="n">
        <v>0.0951</v>
      </c>
    </row>
    <row r="3909" customFormat="false" ht="15" hidden="false" customHeight="false" outlineLevel="0" collapsed="false">
      <c r="A3909" s="1" t="s">
        <v>3944</v>
      </c>
      <c r="B3909" s="1" t="s">
        <v>26</v>
      </c>
      <c r="C3909" s="1" t="n">
        <v>1730000</v>
      </c>
      <c r="D3909" s="1" t="n">
        <v>2193793.2</v>
      </c>
      <c r="E3909" s="1" t="n">
        <v>0.023</v>
      </c>
      <c r="F3909" s="1" t="n">
        <v>0.0951</v>
      </c>
    </row>
    <row r="3910" customFormat="false" ht="15" hidden="false" customHeight="false" outlineLevel="0" collapsed="false">
      <c r="A3910" s="1" t="s">
        <v>3945</v>
      </c>
      <c r="B3910" s="1" t="s">
        <v>195</v>
      </c>
      <c r="C3910" s="1" t="n">
        <v>692000</v>
      </c>
      <c r="D3910" s="1" t="n">
        <v>551389.6</v>
      </c>
      <c r="E3910" s="1" t="n">
        <v>0.0166</v>
      </c>
      <c r="F3910" s="1" t="n">
        <v>0.0462</v>
      </c>
    </row>
    <row r="3911" customFormat="false" ht="15" hidden="false" customHeight="false" outlineLevel="0" collapsed="false">
      <c r="A3911" s="1" t="s">
        <v>3946</v>
      </c>
      <c r="B3911" s="1" t="s">
        <v>88</v>
      </c>
      <c r="C3911" s="1" t="n">
        <v>1630000</v>
      </c>
      <c r="D3911" s="1" t="n">
        <v>264380.7</v>
      </c>
      <c r="E3911" s="1" t="n">
        <v>0.038</v>
      </c>
      <c r="F3911" s="1" t="n">
        <v>0.0759</v>
      </c>
    </row>
    <row r="3912" customFormat="false" ht="15" hidden="false" customHeight="false" outlineLevel="0" collapsed="false">
      <c r="A3912" s="1" t="s">
        <v>3947</v>
      </c>
      <c r="B3912" s="1" t="s">
        <v>26</v>
      </c>
      <c r="C3912" s="1" t="n">
        <v>1080000</v>
      </c>
      <c r="D3912" s="1" t="n">
        <v>14055.9</v>
      </c>
      <c r="E3912" s="1" t="n">
        <v>0.0389</v>
      </c>
      <c r="F3912" s="1" t="n">
        <v>0.0759</v>
      </c>
    </row>
    <row r="3913" customFormat="false" ht="15" hidden="false" customHeight="false" outlineLevel="0" collapsed="false">
      <c r="A3913" s="1" t="s">
        <v>3948</v>
      </c>
      <c r="B3913" s="1" t="s">
        <v>26</v>
      </c>
      <c r="C3913" s="1" t="n">
        <v>886000</v>
      </c>
      <c r="D3913" s="1" t="n">
        <v>121276.6</v>
      </c>
      <c r="E3913" s="1" t="n">
        <v>0.0454</v>
      </c>
      <c r="F3913" s="1" t="n">
        <v>0.0759</v>
      </c>
    </row>
    <row r="3914" customFormat="false" ht="15" hidden="false" customHeight="false" outlineLevel="0" collapsed="false">
      <c r="A3914" s="1" t="s">
        <v>3949</v>
      </c>
      <c r="B3914" s="1" t="s">
        <v>24</v>
      </c>
      <c r="C3914" s="1" t="n">
        <v>1360000</v>
      </c>
      <c r="D3914" s="1" t="n">
        <v>6490.3</v>
      </c>
      <c r="E3914" s="1" t="n">
        <v>0.0675</v>
      </c>
      <c r="F3914" s="1" t="n">
        <v>0.1516</v>
      </c>
    </row>
    <row r="3915" customFormat="false" ht="15" hidden="false" customHeight="false" outlineLevel="0" collapsed="false">
      <c r="A3915" s="1" t="s">
        <v>3950</v>
      </c>
      <c r="B3915" s="1" t="s">
        <v>26</v>
      </c>
      <c r="C3915" s="1" t="n">
        <v>803000</v>
      </c>
      <c r="D3915" s="1" t="n">
        <v>10153.1</v>
      </c>
      <c r="E3915" s="1" t="n">
        <v>0.0801</v>
      </c>
      <c r="F3915" s="1" t="n">
        <v>0.0759</v>
      </c>
    </row>
    <row r="3916" customFormat="false" ht="15" hidden="false" customHeight="false" outlineLevel="0" collapsed="false">
      <c r="A3916" s="1" t="s">
        <v>3951</v>
      </c>
      <c r="B3916" s="1" t="s">
        <v>26</v>
      </c>
      <c r="C3916" s="1" t="n">
        <v>688000</v>
      </c>
      <c r="D3916" s="1" t="n">
        <v>904.5</v>
      </c>
      <c r="E3916" s="1" t="n">
        <v>0.0358</v>
      </c>
      <c r="F3916" s="1" t="n">
        <v>0.0759</v>
      </c>
    </row>
    <row r="3917" customFormat="false" ht="15" hidden="false" customHeight="false" outlineLevel="0" collapsed="false">
      <c r="A3917" s="1" t="s">
        <v>3952</v>
      </c>
      <c r="B3917" s="1" t="s">
        <v>41</v>
      </c>
      <c r="C3917" s="1" t="n">
        <v>694000</v>
      </c>
      <c r="D3917" s="1" t="n">
        <v>1813.8</v>
      </c>
      <c r="E3917" s="1" t="n">
        <v>0.0382</v>
      </c>
      <c r="F3917" s="1" t="n">
        <v>0.0951</v>
      </c>
    </row>
    <row r="3918" customFormat="false" ht="15" hidden="false" customHeight="false" outlineLevel="0" collapsed="false">
      <c r="A3918" s="1" t="s">
        <v>3953</v>
      </c>
      <c r="B3918" s="1" t="s">
        <v>21</v>
      </c>
      <c r="C3918" s="1" t="n">
        <v>911000</v>
      </c>
      <c r="D3918" s="1" t="n">
        <v>1297.3</v>
      </c>
      <c r="E3918" s="1" t="n">
        <v>0.0156</v>
      </c>
      <c r="F3918" s="1" t="n">
        <v>0.1053</v>
      </c>
    </row>
    <row r="3919" customFormat="false" ht="15" hidden="false" customHeight="false" outlineLevel="0" collapsed="false">
      <c r="A3919" s="1" t="s">
        <v>3954</v>
      </c>
      <c r="B3919" s="1" t="s">
        <v>490</v>
      </c>
      <c r="C3919" s="1" t="n">
        <v>852000</v>
      </c>
      <c r="D3919" s="1" t="n">
        <v>107005.7</v>
      </c>
      <c r="E3919" s="1" t="n">
        <v>0.0191</v>
      </c>
      <c r="F3919" s="1" t="n">
        <v>0.0584</v>
      </c>
    </row>
    <row r="3920" customFormat="false" ht="15" hidden="false" customHeight="false" outlineLevel="0" collapsed="false">
      <c r="A3920" s="1" t="s">
        <v>3955</v>
      </c>
      <c r="B3920" s="1" t="s">
        <v>88</v>
      </c>
      <c r="C3920" s="1" t="n">
        <v>895000</v>
      </c>
      <c r="D3920" s="1" t="n">
        <v>152748.9</v>
      </c>
      <c r="E3920" s="1" t="n">
        <v>0.039</v>
      </c>
      <c r="F3920" s="1" t="n">
        <v>0.0951</v>
      </c>
    </row>
    <row r="3921" customFormat="false" ht="15" hidden="false" customHeight="false" outlineLevel="0" collapsed="false">
      <c r="A3921" s="1" t="s">
        <v>3956</v>
      </c>
      <c r="B3921" s="1" t="s">
        <v>26</v>
      </c>
      <c r="C3921" s="1" t="n">
        <v>1290000</v>
      </c>
      <c r="D3921" s="1" t="n">
        <v>224980.7</v>
      </c>
      <c r="E3921" s="1" t="n">
        <v>0.0291</v>
      </c>
      <c r="F3921" s="1" t="n">
        <v>0.0409</v>
      </c>
    </row>
    <row r="3922" customFormat="false" ht="15" hidden="false" customHeight="false" outlineLevel="0" collapsed="false">
      <c r="A3922" s="1" t="s">
        <v>3957</v>
      </c>
      <c r="B3922" s="1" t="s">
        <v>24</v>
      </c>
      <c r="C3922" s="1" t="n">
        <v>798000</v>
      </c>
      <c r="D3922" s="1" t="n">
        <v>9889.8</v>
      </c>
      <c r="E3922" s="1" t="n">
        <v>0.1935</v>
      </c>
      <c r="F3922" s="1" t="n">
        <v>0.0938</v>
      </c>
    </row>
    <row r="3923" customFormat="false" ht="15" hidden="false" customHeight="false" outlineLevel="0" collapsed="false">
      <c r="A3923" s="1" t="s">
        <v>3958</v>
      </c>
      <c r="B3923" s="1" t="s">
        <v>26</v>
      </c>
      <c r="C3923" s="1" t="n">
        <v>698000</v>
      </c>
      <c r="D3923" s="1" t="n">
        <v>107849.9</v>
      </c>
      <c r="E3923" s="1" t="n">
        <v>0.0415</v>
      </c>
      <c r="F3923" s="1" t="n">
        <v>0.0672</v>
      </c>
    </row>
    <row r="3924" customFormat="false" ht="15" hidden="false" customHeight="false" outlineLevel="0" collapsed="false">
      <c r="A3924" s="1" t="s">
        <v>3959</v>
      </c>
      <c r="B3924" s="1" t="s">
        <v>26</v>
      </c>
      <c r="C3924" s="1" t="n">
        <v>922000</v>
      </c>
      <c r="D3924" s="1" t="n">
        <v>169051.5</v>
      </c>
      <c r="E3924" s="1" t="n">
        <v>0.0194</v>
      </c>
      <c r="F3924" s="1" t="n">
        <v>0.0462</v>
      </c>
    </row>
    <row r="3925" customFormat="false" ht="15" hidden="false" customHeight="false" outlineLevel="0" collapsed="false">
      <c r="A3925" s="1" t="s">
        <v>3960</v>
      </c>
      <c r="B3925" s="1" t="s">
        <v>26</v>
      </c>
      <c r="C3925" s="1" t="n">
        <v>962000</v>
      </c>
      <c r="D3925" s="1" t="n">
        <v>252260.1</v>
      </c>
      <c r="E3925" s="1" t="n">
        <v>0.0866</v>
      </c>
      <c r="F3925" s="1" t="n">
        <v>0.0951</v>
      </c>
    </row>
    <row r="3926" customFormat="false" ht="15" hidden="false" customHeight="false" outlineLevel="0" collapsed="false">
      <c r="A3926" s="1" t="s">
        <v>3961</v>
      </c>
      <c r="B3926" s="1" t="s">
        <v>26</v>
      </c>
      <c r="C3926" s="1" t="n">
        <v>265000</v>
      </c>
      <c r="D3926" s="1" t="n">
        <v>297.1</v>
      </c>
      <c r="E3926" s="1" t="n">
        <v>0.0242</v>
      </c>
      <c r="F3926" s="1" t="n">
        <v>0.0951</v>
      </c>
    </row>
    <row r="3927" customFormat="false" ht="15" hidden="false" customHeight="false" outlineLevel="0" collapsed="false">
      <c r="A3927" s="1" t="s">
        <v>3962</v>
      </c>
      <c r="B3927" s="1" t="s">
        <v>88</v>
      </c>
      <c r="C3927" s="1" t="n">
        <v>814000</v>
      </c>
      <c r="D3927" s="1" t="n">
        <v>8274.8</v>
      </c>
      <c r="E3927" s="1" t="n">
        <v>0.0502</v>
      </c>
      <c r="F3927" s="1" t="n">
        <v>0.0938</v>
      </c>
    </row>
    <row r="3928" customFormat="false" ht="15" hidden="false" customHeight="false" outlineLevel="0" collapsed="false">
      <c r="A3928" s="1" t="s">
        <v>3963</v>
      </c>
      <c r="B3928" s="1" t="s">
        <v>81</v>
      </c>
      <c r="C3928" s="1" t="n">
        <v>676000</v>
      </c>
      <c r="D3928" s="1" t="n">
        <v>2124.7</v>
      </c>
      <c r="E3928" s="1" t="n">
        <v>0.0228</v>
      </c>
      <c r="F3928" s="1" t="n">
        <v>0.0518</v>
      </c>
    </row>
    <row r="3929" customFormat="false" ht="15" hidden="false" customHeight="false" outlineLevel="0" collapsed="false">
      <c r="A3929" s="1" t="s">
        <v>3964</v>
      </c>
      <c r="B3929" s="1" t="s">
        <v>88</v>
      </c>
      <c r="C3929" s="1" t="n">
        <v>1200000</v>
      </c>
      <c r="D3929" s="1" t="n">
        <v>2047.6</v>
      </c>
      <c r="E3929" s="1" t="n">
        <v>0.0891</v>
      </c>
      <c r="F3929" s="1" t="n">
        <v>0.0938</v>
      </c>
    </row>
    <row r="3930" customFormat="false" ht="15" hidden="false" customHeight="false" outlineLevel="0" collapsed="false">
      <c r="A3930" s="1" t="s">
        <v>3965</v>
      </c>
      <c r="B3930" s="1" t="s">
        <v>26</v>
      </c>
      <c r="C3930" s="1" t="n">
        <v>1880000</v>
      </c>
      <c r="D3930" s="1" t="n">
        <v>12286.5</v>
      </c>
      <c r="E3930" s="1" t="n">
        <v>0.0207</v>
      </c>
      <c r="F3930" s="1" t="n">
        <v>0.0938</v>
      </c>
    </row>
    <row r="3931" customFormat="false" ht="15" hidden="false" customHeight="false" outlineLevel="0" collapsed="false">
      <c r="A3931" s="1" t="s">
        <v>3966</v>
      </c>
      <c r="B3931" s="1" t="s">
        <v>74</v>
      </c>
      <c r="C3931" s="1" t="n">
        <v>864000</v>
      </c>
      <c r="D3931" s="1" t="n">
        <v>67115.7</v>
      </c>
      <c r="E3931" s="1" t="n">
        <v>0.0468</v>
      </c>
      <c r="F3931" s="1" t="n">
        <v>0.0951</v>
      </c>
    </row>
    <row r="3932" customFormat="false" ht="15" hidden="false" customHeight="false" outlineLevel="0" collapsed="false">
      <c r="A3932" s="1" t="s">
        <v>3967</v>
      </c>
      <c r="B3932" s="1" t="s">
        <v>81</v>
      </c>
      <c r="C3932" s="1" t="n">
        <v>836000</v>
      </c>
      <c r="D3932" s="1" t="n">
        <v>29307.6</v>
      </c>
      <c r="E3932" s="1" t="n">
        <v>0.0483</v>
      </c>
      <c r="F3932" s="1" t="n">
        <v>0.0759</v>
      </c>
    </row>
    <row r="3933" customFormat="false" ht="15" hidden="false" customHeight="false" outlineLevel="0" collapsed="false">
      <c r="A3933" s="1" t="s">
        <v>3968</v>
      </c>
      <c r="B3933" s="1" t="s">
        <v>24</v>
      </c>
      <c r="C3933" s="1" t="n">
        <v>1700000</v>
      </c>
      <c r="D3933" s="1" t="n">
        <v>26933.5</v>
      </c>
      <c r="E3933" s="1" t="n">
        <v>0.0724</v>
      </c>
      <c r="F3933" s="1" t="n">
        <v>0.0938</v>
      </c>
    </row>
    <row r="3934" customFormat="false" ht="15" hidden="false" customHeight="false" outlineLevel="0" collapsed="false">
      <c r="A3934" s="1" t="s">
        <v>3969</v>
      </c>
      <c r="B3934" s="1" t="s">
        <v>26</v>
      </c>
      <c r="C3934" s="1" t="n">
        <v>706000</v>
      </c>
      <c r="D3934" s="1" t="n">
        <v>21164.2</v>
      </c>
      <c r="E3934" s="1" t="n">
        <v>0.0287</v>
      </c>
      <c r="F3934" s="1" t="n">
        <v>0.0951</v>
      </c>
    </row>
    <row r="3935" customFormat="false" ht="15" hidden="false" customHeight="false" outlineLevel="0" collapsed="false">
      <c r="A3935" s="1" t="s">
        <v>3970</v>
      </c>
      <c r="B3935" s="1" t="s">
        <v>62</v>
      </c>
      <c r="C3935" s="1" t="n">
        <v>240000</v>
      </c>
      <c r="D3935" s="1" t="n">
        <v>2202.2</v>
      </c>
      <c r="E3935" s="1" t="n">
        <v>0.013</v>
      </c>
      <c r="F3935" s="1" t="n">
        <v>0.0462</v>
      </c>
    </row>
    <row r="3936" customFormat="false" ht="15" hidden="false" customHeight="false" outlineLevel="0" collapsed="false">
      <c r="A3936" s="1" t="s">
        <v>3971</v>
      </c>
      <c r="B3936" s="1" t="s">
        <v>26</v>
      </c>
      <c r="C3936" s="1" t="n">
        <v>1660000</v>
      </c>
      <c r="D3936" s="1" t="n">
        <v>619</v>
      </c>
      <c r="E3936" s="1" t="n">
        <v>0.0253</v>
      </c>
      <c r="F3936" s="1" t="n">
        <v>0.0409</v>
      </c>
    </row>
    <row r="3937" customFormat="false" ht="15" hidden="false" customHeight="false" outlineLevel="0" collapsed="false">
      <c r="A3937" s="1" t="s">
        <v>3972</v>
      </c>
      <c r="B3937" s="1" t="s">
        <v>32</v>
      </c>
      <c r="C3937" s="1" t="n">
        <v>907000</v>
      </c>
      <c r="D3937" s="1" t="n">
        <v>562.3</v>
      </c>
      <c r="E3937" s="1" t="n">
        <v>0.0122</v>
      </c>
      <c r="F3937" s="1" t="n">
        <v>0.1452</v>
      </c>
    </row>
    <row r="3938" customFormat="false" ht="15" hidden="false" customHeight="false" outlineLevel="0" collapsed="false">
      <c r="A3938" s="1" t="s">
        <v>3973</v>
      </c>
      <c r="B3938" s="1" t="s">
        <v>214</v>
      </c>
      <c r="C3938" s="1" t="n">
        <v>664000</v>
      </c>
      <c r="D3938" s="1" t="n">
        <v>7025.1</v>
      </c>
      <c r="E3938" s="1" t="n">
        <v>0.0116</v>
      </c>
      <c r="F3938" s="1" t="n">
        <v>0.0657</v>
      </c>
    </row>
    <row r="3939" customFormat="false" ht="15" hidden="false" customHeight="false" outlineLevel="0" collapsed="false">
      <c r="A3939" s="1" t="s">
        <v>3974</v>
      </c>
      <c r="B3939" s="1" t="s">
        <v>195</v>
      </c>
      <c r="C3939" s="1" t="n">
        <v>718000</v>
      </c>
      <c r="D3939" s="1" t="n">
        <v>46766.4</v>
      </c>
      <c r="E3939" s="1" t="n">
        <v>0.0437</v>
      </c>
      <c r="F3939" s="1" t="n">
        <v>0.0951</v>
      </c>
    </row>
    <row r="3940" customFormat="false" ht="15" hidden="false" customHeight="false" outlineLevel="0" collapsed="false">
      <c r="A3940" s="1" t="s">
        <v>3975</v>
      </c>
      <c r="B3940" s="1" t="s">
        <v>26</v>
      </c>
      <c r="C3940" s="1" t="n">
        <v>1160000</v>
      </c>
      <c r="D3940" s="1" t="n">
        <v>527110.3</v>
      </c>
      <c r="E3940" s="1" t="n">
        <v>0.0226</v>
      </c>
      <c r="F3940" s="1" t="n">
        <v>0.051</v>
      </c>
    </row>
    <row r="3941" customFormat="false" ht="15" hidden="false" customHeight="false" outlineLevel="0" collapsed="false">
      <c r="A3941" s="1" t="s">
        <v>3976</v>
      </c>
      <c r="B3941" s="1" t="s">
        <v>26</v>
      </c>
      <c r="C3941" s="1" t="n">
        <v>782000</v>
      </c>
      <c r="D3941" s="1" t="n">
        <v>293277.1</v>
      </c>
      <c r="E3941" s="1" t="n">
        <v>0.0198</v>
      </c>
      <c r="F3941" s="1" t="n">
        <v>0.0616</v>
      </c>
    </row>
    <row r="3942" customFormat="false" ht="15" hidden="false" customHeight="false" outlineLevel="0" collapsed="false">
      <c r="A3942" s="1" t="s">
        <v>3977</v>
      </c>
      <c r="B3942" s="1" t="s">
        <v>81</v>
      </c>
      <c r="C3942" s="1" t="n">
        <v>922000</v>
      </c>
      <c r="D3942" s="1" t="n">
        <v>4207.9</v>
      </c>
      <c r="E3942" s="1" t="n">
        <v>0.0298</v>
      </c>
      <c r="F3942" s="1" t="n">
        <v>0.0938</v>
      </c>
    </row>
    <row r="3943" customFormat="false" ht="15" hidden="false" customHeight="false" outlineLevel="0" collapsed="false">
      <c r="A3943" s="1" t="s">
        <v>3978</v>
      </c>
      <c r="B3943" s="1" t="s">
        <v>24</v>
      </c>
      <c r="C3943" s="1" t="n">
        <v>812000</v>
      </c>
      <c r="D3943" s="1" t="n">
        <v>126331.5</v>
      </c>
      <c r="E3943" s="1" t="n">
        <v>0.0827</v>
      </c>
      <c r="F3943" s="1" t="n">
        <v>0.0951</v>
      </c>
    </row>
    <row r="3944" customFormat="false" ht="15" hidden="false" customHeight="false" outlineLevel="0" collapsed="false">
      <c r="A3944" s="1" t="s">
        <v>3979</v>
      </c>
      <c r="B3944" s="1" t="s">
        <v>88</v>
      </c>
      <c r="C3944" s="1" t="n">
        <v>787000</v>
      </c>
      <c r="D3944" s="1" t="n">
        <v>2991.5</v>
      </c>
      <c r="E3944" s="1" t="n">
        <v>0.0668</v>
      </c>
      <c r="F3944" s="1" t="n">
        <v>0.0998</v>
      </c>
    </row>
    <row r="3945" customFormat="false" ht="15" hidden="false" customHeight="false" outlineLevel="0" collapsed="false">
      <c r="A3945" s="1" t="s">
        <v>3980</v>
      </c>
      <c r="B3945" s="1" t="s">
        <v>92</v>
      </c>
      <c r="C3945" s="1" t="n">
        <v>1010000</v>
      </c>
      <c r="D3945" s="1" t="n">
        <v>208547.4</v>
      </c>
      <c r="E3945" s="1" t="n">
        <v>0.0198</v>
      </c>
      <c r="F3945" s="1" t="n">
        <v>0.0462</v>
      </c>
    </row>
    <row r="3946" customFormat="false" ht="15" hidden="false" customHeight="false" outlineLevel="0" collapsed="false">
      <c r="A3946" s="1" t="s">
        <v>3981</v>
      </c>
      <c r="B3946" s="1" t="s">
        <v>26</v>
      </c>
      <c r="C3946" s="1" t="n">
        <v>652000</v>
      </c>
      <c r="D3946" s="1" t="n">
        <v>34259.2</v>
      </c>
      <c r="E3946" s="1" t="n">
        <v>0.0383</v>
      </c>
      <c r="F3946" s="1" t="n">
        <v>0.0938</v>
      </c>
    </row>
    <row r="3947" customFormat="false" ht="15" hidden="false" customHeight="false" outlineLevel="0" collapsed="false">
      <c r="A3947" s="1" t="s">
        <v>3982</v>
      </c>
      <c r="B3947" s="1" t="s">
        <v>88</v>
      </c>
      <c r="C3947" s="1" t="n">
        <v>833000</v>
      </c>
      <c r="D3947" s="1" t="n">
        <v>3752.5</v>
      </c>
      <c r="E3947" s="1" t="n">
        <v>0.0143</v>
      </c>
      <c r="F3947" s="1" t="n">
        <v>0.1067</v>
      </c>
    </row>
    <row r="3948" customFormat="false" ht="15" hidden="false" customHeight="false" outlineLevel="0" collapsed="false">
      <c r="A3948" s="1" t="s">
        <v>3983</v>
      </c>
      <c r="B3948" s="1" t="s">
        <v>88</v>
      </c>
      <c r="C3948" s="1" t="n">
        <v>1710000</v>
      </c>
      <c r="D3948" s="1" t="n">
        <v>9617.4</v>
      </c>
      <c r="E3948" s="1" t="n">
        <v>0.0649</v>
      </c>
      <c r="F3948" s="1" t="n">
        <v>0.0938</v>
      </c>
    </row>
    <row r="3949" customFormat="false" ht="15" hidden="false" customHeight="false" outlineLevel="0" collapsed="false">
      <c r="A3949" s="1" t="s">
        <v>3984</v>
      </c>
      <c r="B3949" s="1" t="s">
        <v>195</v>
      </c>
      <c r="C3949" s="1" t="n">
        <v>694000</v>
      </c>
      <c r="D3949" s="1" t="n">
        <v>4472</v>
      </c>
      <c r="F3949" s="1" t="n">
        <v>0.0644</v>
      </c>
    </row>
    <row r="3950" customFormat="false" ht="15" hidden="false" customHeight="false" outlineLevel="0" collapsed="false">
      <c r="A3950" s="1" t="s">
        <v>3985</v>
      </c>
      <c r="B3950" s="1" t="s">
        <v>26</v>
      </c>
      <c r="C3950" s="1" t="n">
        <v>805000</v>
      </c>
      <c r="D3950" s="1" t="n">
        <v>10617</v>
      </c>
      <c r="E3950" s="1" t="n">
        <v>0.0154</v>
      </c>
      <c r="F3950" s="1" t="n">
        <v>0.0736</v>
      </c>
    </row>
    <row r="3951" customFormat="false" ht="15" hidden="false" customHeight="false" outlineLevel="0" collapsed="false">
      <c r="A3951" s="1" t="s">
        <v>3986</v>
      </c>
      <c r="B3951" s="1" t="s">
        <v>214</v>
      </c>
      <c r="C3951" s="1" t="n">
        <v>929000</v>
      </c>
      <c r="D3951" s="1" t="n">
        <v>332951.9</v>
      </c>
      <c r="E3951" s="1" t="n">
        <v>0.0253</v>
      </c>
      <c r="F3951" s="1" t="n">
        <v>0.0672</v>
      </c>
    </row>
    <row r="3952" customFormat="false" ht="15" hidden="false" customHeight="false" outlineLevel="0" collapsed="false">
      <c r="A3952" s="1" t="s">
        <v>3987</v>
      </c>
      <c r="B3952" s="1" t="s">
        <v>26</v>
      </c>
      <c r="C3952" s="1" t="n">
        <v>671000</v>
      </c>
      <c r="D3952" s="1" t="n">
        <v>384508.1</v>
      </c>
      <c r="E3952" s="1" t="n">
        <v>0.0184</v>
      </c>
      <c r="F3952" s="1" t="n">
        <v>0.0585</v>
      </c>
    </row>
    <row r="3953" customFormat="false" ht="15" hidden="false" customHeight="false" outlineLevel="0" collapsed="false">
      <c r="A3953" s="1" t="s">
        <v>3988</v>
      </c>
      <c r="B3953" s="1" t="s">
        <v>26</v>
      </c>
      <c r="C3953" s="1" t="n">
        <v>899000</v>
      </c>
      <c r="D3953" s="1" t="n">
        <v>41718.6</v>
      </c>
      <c r="E3953" s="1" t="n">
        <v>0.0235</v>
      </c>
      <c r="F3953" s="1" t="n">
        <v>0.0951</v>
      </c>
    </row>
    <row r="3954" customFormat="false" ht="15" hidden="false" customHeight="false" outlineLevel="0" collapsed="false">
      <c r="A3954" s="1" t="s">
        <v>3989</v>
      </c>
      <c r="B3954" s="1" t="s">
        <v>24</v>
      </c>
      <c r="C3954" s="1" t="n">
        <v>723000</v>
      </c>
      <c r="D3954" s="1" t="n">
        <v>45902.5</v>
      </c>
      <c r="E3954" s="1" t="n">
        <v>0.0138</v>
      </c>
      <c r="F3954" s="1" t="n">
        <v>0.095</v>
      </c>
    </row>
    <row r="3955" customFormat="false" ht="15" hidden="false" customHeight="false" outlineLevel="0" collapsed="false">
      <c r="A3955" s="1" t="s">
        <v>3990</v>
      </c>
      <c r="B3955" s="1" t="s">
        <v>30</v>
      </c>
      <c r="C3955" s="1" t="n">
        <v>1520000</v>
      </c>
      <c r="D3955" s="1" t="n">
        <v>297782.5</v>
      </c>
      <c r="E3955" s="1" t="n">
        <v>0.0357</v>
      </c>
      <c r="F3955" s="1" t="n">
        <v>0.0759</v>
      </c>
    </row>
    <row r="3956" customFormat="false" ht="15" hidden="false" customHeight="false" outlineLevel="0" collapsed="false">
      <c r="A3956" s="1" t="s">
        <v>3991</v>
      </c>
      <c r="B3956" s="1" t="s">
        <v>26</v>
      </c>
      <c r="C3956" s="1" t="n">
        <v>620000</v>
      </c>
      <c r="D3956" s="1" t="n">
        <v>56446.1</v>
      </c>
      <c r="F3956" s="1" t="n">
        <v>0.0518</v>
      </c>
    </row>
    <row r="3957" customFormat="false" ht="15" hidden="false" customHeight="false" outlineLevel="0" collapsed="false">
      <c r="A3957" s="1" t="s">
        <v>3992</v>
      </c>
      <c r="B3957" s="1" t="s">
        <v>88</v>
      </c>
      <c r="C3957" s="1" t="n">
        <v>1500000</v>
      </c>
      <c r="D3957" s="1" t="n">
        <v>5699.6</v>
      </c>
      <c r="E3957" s="1" t="n">
        <v>0.0259</v>
      </c>
      <c r="F3957" s="1" t="n">
        <v>0.0938</v>
      </c>
    </row>
    <row r="3958" customFormat="false" ht="15" hidden="false" customHeight="false" outlineLevel="0" collapsed="false">
      <c r="A3958" s="1" t="s">
        <v>3993</v>
      </c>
      <c r="B3958" s="1" t="s">
        <v>88</v>
      </c>
      <c r="C3958" s="1" t="n">
        <v>982000</v>
      </c>
      <c r="D3958" s="1" t="n">
        <v>7437.9</v>
      </c>
      <c r="E3958" s="1" t="n">
        <v>0.0608</v>
      </c>
      <c r="F3958" s="1" t="n">
        <v>0.0938</v>
      </c>
    </row>
    <row r="3959" customFormat="false" ht="15" hidden="false" customHeight="false" outlineLevel="0" collapsed="false">
      <c r="A3959" s="1" t="s">
        <v>3994</v>
      </c>
      <c r="B3959" s="1" t="s">
        <v>88</v>
      </c>
      <c r="C3959" s="1" t="n">
        <v>679000</v>
      </c>
      <c r="D3959" s="1" t="n">
        <v>11221.6</v>
      </c>
      <c r="E3959" s="1" t="n">
        <v>0.0164</v>
      </c>
      <c r="F3959" s="1" t="n">
        <v>0.0726</v>
      </c>
    </row>
    <row r="3960" customFormat="false" ht="15" hidden="false" customHeight="false" outlineLevel="0" collapsed="false">
      <c r="A3960" s="1" t="s">
        <v>3995</v>
      </c>
      <c r="B3960" s="1" t="s">
        <v>88</v>
      </c>
      <c r="C3960" s="1" t="n">
        <v>1170000</v>
      </c>
      <c r="D3960" s="1" t="n">
        <v>4718.4</v>
      </c>
      <c r="E3960" s="1" t="n">
        <v>0.0488</v>
      </c>
      <c r="F3960" s="1" t="n">
        <v>0.0759</v>
      </c>
    </row>
    <row r="3961" customFormat="false" ht="15" hidden="false" customHeight="false" outlineLevel="0" collapsed="false">
      <c r="A3961" s="1" t="s">
        <v>3996</v>
      </c>
      <c r="B3961" s="1" t="s">
        <v>490</v>
      </c>
      <c r="C3961" s="1" t="n">
        <v>688000</v>
      </c>
      <c r="D3961" s="1" t="n">
        <v>4477.9</v>
      </c>
      <c r="E3961" s="1" t="n">
        <v>0.0069</v>
      </c>
      <c r="F3961" s="1" t="n">
        <v>0.0654</v>
      </c>
    </row>
    <row r="3962" customFormat="false" ht="15" hidden="false" customHeight="false" outlineLevel="0" collapsed="false">
      <c r="A3962" s="1" t="s">
        <v>3997</v>
      </c>
      <c r="B3962" s="1" t="s">
        <v>62</v>
      </c>
      <c r="C3962" s="1" t="n">
        <v>833000</v>
      </c>
      <c r="D3962" s="1" t="n">
        <v>60382.8</v>
      </c>
      <c r="E3962" s="1" t="n">
        <v>0.0187</v>
      </c>
      <c r="F3962" s="1" t="n">
        <v>0.0854</v>
      </c>
    </row>
    <row r="3963" customFormat="false" ht="15" hidden="false" customHeight="false" outlineLevel="0" collapsed="false">
      <c r="A3963" s="1" t="s">
        <v>3998</v>
      </c>
      <c r="B3963" s="1" t="s">
        <v>26</v>
      </c>
      <c r="C3963" s="1" t="n">
        <v>964000</v>
      </c>
      <c r="D3963" s="1" t="n">
        <v>339731.6</v>
      </c>
      <c r="E3963" s="1" t="n">
        <v>0.0435</v>
      </c>
      <c r="F3963" s="1" t="n">
        <v>0.0672</v>
      </c>
    </row>
    <row r="3964" customFormat="false" ht="15" hidden="false" customHeight="false" outlineLevel="0" collapsed="false">
      <c r="A3964" s="1" t="s">
        <v>3999</v>
      </c>
      <c r="B3964" s="1" t="s">
        <v>41</v>
      </c>
      <c r="C3964" s="1" t="n">
        <v>578000</v>
      </c>
      <c r="D3964" s="1" t="n">
        <v>99389.1</v>
      </c>
      <c r="E3964" s="1" t="n">
        <v>0.0125</v>
      </c>
      <c r="F3964" s="1" t="n">
        <v>0.0584</v>
      </c>
    </row>
    <row r="3965" customFormat="false" ht="15" hidden="false" customHeight="false" outlineLevel="0" collapsed="false">
      <c r="A3965" s="1" t="s">
        <v>4000</v>
      </c>
      <c r="B3965" s="1" t="s">
        <v>88</v>
      </c>
      <c r="C3965" s="1" t="n">
        <v>689000</v>
      </c>
      <c r="D3965" s="1" t="n">
        <v>2428.5</v>
      </c>
      <c r="E3965" s="1" t="n">
        <v>0.0412</v>
      </c>
      <c r="F3965" s="1" t="n">
        <v>0.0938</v>
      </c>
    </row>
    <row r="3966" customFormat="false" ht="15" hidden="false" customHeight="false" outlineLevel="0" collapsed="false">
      <c r="A3966" s="1" t="s">
        <v>4001</v>
      </c>
      <c r="B3966" s="1" t="s">
        <v>26</v>
      </c>
      <c r="C3966" s="1" t="n">
        <v>674000</v>
      </c>
      <c r="D3966" s="1" t="n">
        <v>969.1</v>
      </c>
      <c r="E3966" s="1" t="n">
        <v>0.0211</v>
      </c>
      <c r="F3966" s="1" t="n">
        <v>0.0462</v>
      </c>
    </row>
    <row r="3967" customFormat="false" ht="15" hidden="false" customHeight="false" outlineLevel="0" collapsed="false">
      <c r="A3967" s="1" t="s">
        <v>4002</v>
      </c>
      <c r="B3967" s="1" t="s">
        <v>214</v>
      </c>
      <c r="C3967" s="1" t="n">
        <v>685000</v>
      </c>
      <c r="D3967" s="1" t="n">
        <v>1105.5</v>
      </c>
      <c r="E3967" s="1" t="n">
        <v>0.0168</v>
      </c>
      <c r="F3967" s="1" t="n">
        <v>0.0585</v>
      </c>
    </row>
    <row r="3968" customFormat="false" ht="15" hidden="false" customHeight="false" outlineLevel="0" collapsed="false">
      <c r="A3968" s="1" t="s">
        <v>4003</v>
      </c>
      <c r="B3968" s="1" t="s">
        <v>26</v>
      </c>
      <c r="C3968" s="1" t="n">
        <v>857000</v>
      </c>
      <c r="D3968" s="1" t="n">
        <v>644221.2</v>
      </c>
      <c r="E3968" s="1" t="n">
        <v>0.0175</v>
      </c>
      <c r="F3968" s="1" t="n">
        <v>0.0462</v>
      </c>
    </row>
    <row r="3969" customFormat="false" ht="15" hidden="false" customHeight="false" outlineLevel="0" collapsed="false">
      <c r="A3969" s="1" t="s">
        <v>4004</v>
      </c>
      <c r="B3969" s="1" t="s">
        <v>26</v>
      </c>
      <c r="C3969" s="1" t="n">
        <v>689000</v>
      </c>
      <c r="D3969" s="1" t="n">
        <v>51380.1</v>
      </c>
      <c r="E3969" s="1" t="n">
        <v>0.0347</v>
      </c>
      <c r="F3969" s="1" t="n">
        <v>0.0546</v>
      </c>
    </row>
    <row r="3970" customFormat="false" ht="15" hidden="false" customHeight="false" outlineLevel="0" collapsed="false">
      <c r="A3970" s="1" t="s">
        <v>4005</v>
      </c>
      <c r="B3970" s="1" t="s">
        <v>26</v>
      </c>
      <c r="C3970" s="1" t="n">
        <v>1030000</v>
      </c>
      <c r="D3970" s="1" t="n">
        <v>257986.2</v>
      </c>
      <c r="E3970" s="1" t="n">
        <v>0.0362</v>
      </c>
      <c r="F3970" s="1" t="n">
        <v>0.0759</v>
      </c>
    </row>
    <row r="3971" customFormat="false" ht="15" hidden="false" customHeight="false" outlineLevel="0" collapsed="false">
      <c r="A3971" s="1" t="s">
        <v>4006</v>
      </c>
      <c r="B3971" s="1" t="s">
        <v>62</v>
      </c>
      <c r="C3971" s="1" t="n">
        <v>1880000</v>
      </c>
      <c r="D3971" s="1" t="n">
        <v>5233</v>
      </c>
      <c r="E3971" s="1" t="n">
        <v>0.0035</v>
      </c>
      <c r="F3971" s="1" t="n">
        <v>0.0811</v>
      </c>
    </row>
    <row r="3972" customFormat="false" ht="15" hidden="false" customHeight="false" outlineLevel="0" collapsed="false">
      <c r="A3972" s="1" t="s">
        <v>4007</v>
      </c>
      <c r="B3972" s="1" t="s">
        <v>74</v>
      </c>
      <c r="C3972" s="1" t="n">
        <v>940000</v>
      </c>
      <c r="D3972" s="1" t="n">
        <v>39142.9</v>
      </c>
      <c r="E3972" s="1" t="n">
        <v>0.0318</v>
      </c>
      <c r="F3972" s="1" t="n">
        <v>0.0951</v>
      </c>
    </row>
    <row r="3973" customFormat="false" ht="15" hidden="false" customHeight="false" outlineLevel="0" collapsed="false">
      <c r="A3973" s="1" t="s">
        <v>4008</v>
      </c>
      <c r="B3973" s="1" t="s">
        <v>26</v>
      </c>
      <c r="C3973" s="1" t="n">
        <v>1510000</v>
      </c>
      <c r="D3973" s="1" t="n">
        <v>35770</v>
      </c>
      <c r="E3973" s="1" t="n">
        <v>0.0338</v>
      </c>
      <c r="F3973" s="1" t="n">
        <v>0.0938</v>
      </c>
    </row>
    <row r="3974" customFormat="false" ht="15" hidden="false" customHeight="false" outlineLevel="0" collapsed="false">
      <c r="A3974" s="1" t="s">
        <v>4009</v>
      </c>
      <c r="B3974" s="1" t="s">
        <v>92</v>
      </c>
      <c r="C3974" s="1" t="n">
        <v>692000</v>
      </c>
      <c r="D3974" s="1" t="n">
        <v>102111.3</v>
      </c>
      <c r="E3974" s="1" t="n">
        <v>0.0171</v>
      </c>
      <c r="F3974" s="1" t="n">
        <v>0.0616</v>
      </c>
    </row>
    <row r="3975" customFormat="false" ht="15" hidden="false" customHeight="false" outlineLevel="0" collapsed="false">
      <c r="A3975" s="1" t="s">
        <v>4010</v>
      </c>
      <c r="B3975" s="1" t="s">
        <v>92</v>
      </c>
      <c r="C3975" s="1" t="n">
        <v>689000</v>
      </c>
      <c r="D3975" s="1" t="n">
        <v>130533.3</v>
      </c>
      <c r="E3975" s="1" t="n">
        <v>0.0316</v>
      </c>
      <c r="F3975" s="1" t="n">
        <v>0.0951</v>
      </c>
    </row>
    <row r="3976" customFormat="false" ht="15" hidden="false" customHeight="false" outlineLevel="0" collapsed="false">
      <c r="A3976" s="1" t="s">
        <v>4011</v>
      </c>
      <c r="B3976" s="1" t="s">
        <v>24</v>
      </c>
      <c r="C3976" s="1" t="n">
        <v>975000</v>
      </c>
      <c r="D3976" s="1" t="n">
        <v>189088.6</v>
      </c>
      <c r="E3976" s="1" t="n">
        <v>0.0535</v>
      </c>
      <c r="F3976" s="1" t="n">
        <v>0.0951</v>
      </c>
    </row>
    <row r="3977" customFormat="false" ht="15" hidden="false" customHeight="false" outlineLevel="0" collapsed="false">
      <c r="A3977" s="1" t="s">
        <v>4012</v>
      </c>
      <c r="B3977" s="1" t="s">
        <v>26</v>
      </c>
      <c r="C3977" s="1" t="n">
        <v>663000</v>
      </c>
      <c r="D3977" s="1" t="n">
        <v>4139.6</v>
      </c>
      <c r="E3977" s="1" t="n">
        <v>0.038</v>
      </c>
      <c r="F3977" s="1" t="n">
        <v>0.0938</v>
      </c>
    </row>
    <row r="3978" customFormat="false" ht="15" hidden="false" customHeight="false" outlineLevel="0" collapsed="false">
      <c r="A3978" s="1" t="s">
        <v>4013</v>
      </c>
      <c r="B3978" s="1" t="s">
        <v>26</v>
      </c>
      <c r="C3978" s="1" t="n">
        <v>1320000</v>
      </c>
      <c r="D3978" s="1" t="n">
        <v>87052.1</v>
      </c>
      <c r="E3978" s="1" t="n">
        <v>0.0072</v>
      </c>
      <c r="F3978" s="1" t="n">
        <v>0.0811</v>
      </c>
    </row>
    <row r="3979" customFormat="false" ht="15" hidden="false" customHeight="false" outlineLevel="0" collapsed="false">
      <c r="A3979" s="1" t="s">
        <v>4014</v>
      </c>
      <c r="B3979" s="1" t="s">
        <v>26</v>
      </c>
      <c r="C3979" s="1" t="n">
        <v>683000</v>
      </c>
      <c r="D3979" s="1" t="n">
        <v>3374</v>
      </c>
      <c r="E3979" s="1" t="n">
        <v>0.0185</v>
      </c>
      <c r="F3979" s="1" t="n">
        <v>0.1067</v>
      </c>
    </row>
    <row r="3980" customFormat="false" ht="15" hidden="false" customHeight="false" outlineLevel="0" collapsed="false">
      <c r="A3980" s="1" t="s">
        <v>4015</v>
      </c>
      <c r="B3980" s="1" t="s">
        <v>92</v>
      </c>
      <c r="C3980" s="1" t="n">
        <v>715000</v>
      </c>
      <c r="D3980" s="1" t="n">
        <v>7915.1</v>
      </c>
      <c r="E3980" s="1" t="n">
        <v>0.0142</v>
      </c>
      <c r="F3980" s="1" t="n">
        <v>0.0585</v>
      </c>
    </row>
    <row r="3981" customFormat="false" ht="15" hidden="false" customHeight="false" outlineLevel="0" collapsed="false">
      <c r="A3981" s="1" t="s">
        <v>4016</v>
      </c>
      <c r="B3981" s="1" t="s">
        <v>41</v>
      </c>
      <c r="C3981" s="1" t="n">
        <v>707000</v>
      </c>
      <c r="D3981" s="1" t="n">
        <v>2781286.3</v>
      </c>
      <c r="E3981" s="1" t="n">
        <v>0.0224</v>
      </c>
      <c r="F3981" s="1" t="n">
        <v>0.0585</v>
      </c>
    </row>
    <row r="3982" customFormat="false" ht="15" hidden="false" customHeight="false" outlineLevel="0" collapsed="false">
      <c r="A3982" s="1" t="s">
        <v>4017</v>
      </c>
      <c r="B3982" s="1" t="s">
        <v>62</v>
      </c>
      <c r="C3982" s="1" t="n">
        <v>2240000</v>
      </c>
      <c r="D3982" s="1" t="n">
        <v>883440.6</v>
      </c>
      <c r="E3982" s="1" t="n">
        <v>0.0538</v>
      </c>
      <c r="F3982" s="1" t="n">
        <v>0.0759</v>
      </c>
    </row>
    <row r="3983" customFormat="false" ht="15" hidden="false" customHeight="false" outlineLevel="0" collapsed="false">
      <c r="A3983" s="1" t="s">
        <v>4018</v>
      </c>
      <c r="B3983" s="1" t="s">
        <v>26</v>
      </c>
      <c r="C3983" s="1" t="n">
        <v>683000</v>
      </c>
      <c r="D3983" s="1" t="n">
        <v>44418.8</v>
      </c>
      <c r="E3983" s="1" t="n">
        <v>0.0762</v>
      </c>
      <c r="F3983" s="1" t="n">
        <v>0.0518</v>
      </c>
    </row>
    <row r="3984" customFormat="false" ht="15" hidden="false" customHeight="false" outlineLevel="0" collapsed="false">
      <c r="A3984" s="1" t="s">
        <v>4019</v>
      </c>
      <c r="B3984" s="1" t="s">
        <v>88</v>
      </c>
      <c r="C3984" s="1" t="n">
        <v>842000</v>
      </c>
      <c r="D3984" s="1" t="n">
        <v>378.1</v>
      </c>
      <c r="E3984" s="1" t="n">
        <v>0.0882</v>
      </c>
      <c r="F3984" s="1" t="n">
        <v>0.0938</v>
      </c>
    </row>
    <row r="3985" customFormat="false" ht="15" hidden="false" customHeight="false" outlineLevel="0" collapsed="false">
      <c r="A3985" s="1" t="s">
        <v>4020</v>
      </c>
      <c r="B3985" s="1" t="s">
        <v>41</v>
      </c>
      <c r="C3985" s="1" t="n">
        <v>800000</v>
      </c>
      <c r="D3985" s="1" t="n">
        <v>3395.2</v>
      </c>
      <c r="E3985" s="1" t="n">
        <v>0.0447</v>
      </c>
      <c r="F3985" s="1" t="n">
        <v>0.0759</v>
      </c>
    </row>
    <row r="3986" customFormat="false" ht="15" hidden="false" customHeight="false" outlineLevel="0" collapsed="false">
      <c r="A3986" s="1" t="s">
        <v>4021</v>
      </c>
      <c r="B3986" s="1" t="s">
        <v>26</v>
      </c>
      <c r="C3986" s="1" t="n">
        <v>488000</v>
      </c>
      <c r="F3986" s="1" t="n">
        <v>0.0759</v>
      </c>
    </row>
    <row r="3987" customFormat="false" ht="15" hidden="false" customHeight="false" outlineLevel="0" collapsed="false">
      <c r="A3987" s="1" t="s">
        <v>4022</v>
      </c>
      <c r="B3987" s="1" t="s">
        <v>24</v>
      </c>
      <c r="C3987" s="1" t="n">
        <v>903000</v>
      </c>
      <c r="D3987" s="1" t="n">
        <v>11161.7</v>
      </c>
      <c r="E3987" s="1" t="n">
        <v>0.0299</v>
      </c>
      <c r="F3987" s="1" t="n">
        <v>0.0938</v>
      </c>
    </row>
    <row r="3988" customFormat="false" ht="15" hidden="false" customHeight="false" outlineLevel="0" collapsed="false">
      <c r="A3988" s="1" t="s">
        <v>4023</v>
      </c>
      <c r="B3988" s="1" t="s">
        <v>26</v>
      </c>
      <c r="C3988" s="1" t="n">
        <v>902000</v>
      </c>
      <c r="D3988" s="1" t="n">
        <v>35890.3</v>
      </c>
      <c r="E3988" s="1" t="n">
        <v>0.0549</v>
      </c>
      <c r="F3988" s="1" t="n">
        <v>0.0759</v>
      </c>
    </row>
    <row r="3989" customFormat="false" ht="15" hidden="false" customHeight="false" outlineLevel="0" collapsed="false">
      <c r="A3989" s="1" t="s">
        <v>4024</v>
      </c>
      <c r="B3989" s="1" t="s">
        <v>21</v>
      </c>
      <c r="C3989" s="1" t="n">
        <v>693000</v>
      </c>
      <c r="D3989" s="1" t="n">
        <v>294.4</v>
      </c>
      <c r="E3989" s="1" t="n">
        <v>0.0837</v>
      </c>
      <c r="F3989" s="1" t="n">
        <v>0.4482</v>
      </c>
    </row>
    <row r="3990" customFormat="false" ht="15" hidden="false" customHeight="false" outlineLevel="0" collapsed="false">
      <c r="A3990" s="1" t="s">
        <v>4025</v>
      </c>
      <c r="B3990" s="1" t="s">
        <v>26</v>
      </c>
      <c r="C3990" s="1" t="n">
        <v>1560000</v>
      </c>
      <c r="D3990" s="1" t="n">
        <v>155160.1</v>
      </c>
      <c r="F3990" s="1" t="n">
        <v>0.0409</v>
      </c>
    </row>
    <row r="3991" customFormat="false" ht="15" hidden="false" customHeight="false" outlineLevel="0" collapsed="false">
      <c r="A3991" s="1" t="s">
        <v>4026</v>
      </c>
      <c r="B3991" s="1" t="s">
        <v>41</v>
      </c>
      <c r="C3991" s="1" t="n">
        <v>975000</v>
      </c>
      <c r="D3991" s="1" t="n">
        <v>390785.7</v>
      </c>
      <c r="E3991" s="1" t="n">
        <v>0.0298</v>
      </c>
      <c r="F3991" s="1" t="n">
        <v>0.0672</v>
      </c>
    </row>
    <row r="3992" customFormat="false" ht="15" hidden="false" customHeight="false" outlineLevel="0" collapsed="false">
      <c r="A3992" s="1" t="s">
        <v>4027</v>
      </c>
      <c r="B3992" s="1" t="s">
        <v>24</v>
      </c>
      <c r="C3992" s="1" t="n">
        <v>1560000</v>
      </c>
      <c r="D3992" s="1" t="n">
        <v>13788.2</v>
      </c>
      <c r="E3992" s="1" t="n">
        <v>0.0465</v>
      </c>
      <c r="F3992" s="1" t="n">
        <v>0.0938</v>
      </c>
    </row>
    <row r="3993" customFormat="false" ht="15" hidden="false" customHeight="false" outlineLevel="0" collapsed="false">
      <c r="A3993" s="1" t="s">
        <v>4028</v>
      </c>
      <c r="B3993" s="1" t="s">
        <v>30</v>
      </c>
      <c r="C3993" s="1" t="n">
        <v>1030000</v>
      </c>
      <c r="D3993" s="1" t="n">
        <v>36121.2</v>
      </c>
      <c r="E3993" s="1" t="n">
        <v>0.0074</v>
      </c>
      <c r="F3993" s="1" t="n">
        <v>0.0821</v>
      </c>
    </row>
    <row r="3994" customFormat="false" ht="15" hidden="false" customHeight="false" outlineLevel="0" collapsed="false">
      <c r="A3994" s="1" t="s">
        <v>4029</v>
      </c>
      <c r="B3994" s="1" t="s">
        <v>26</v>
      </c>
      <c r="C3994" s="1" t="n">
        <v>1000000</v>
      </c>
      <c r="D3994" s="1" t="n">
        <v>30397.2</v>
      </c>
      <c r="E3994" s="1" t="n">
        <v>0.0083</v>
      </c>
      <c r="F3994" s="1" t="n">
        <v>0.1015</v>
      </c>
    </row>
    <row r="3995" customFormat="false" ht="15" hidden="false" customHeight="false" outlineLevel="0" collapsed="false">
      <c r="A3995" s="1" t="s">
        <v>4030</v>
      </c>
      <c r="B3995" s="1" t="s">
        <v>74</v>
      </c>
      <c r="C3995" s="1" t="n">
        <v>785000</v>
      </c>
      <c r="D3995" s="1" t="n">
        <v>1262.5</v>
      </c>
      <c r="E3995" s="1" t="n">
        <v>0.0475</v>
      </c>
      <c r="F3995" s="1" t="n">
        <v>0.0759</v>
      </c>
    </row>
    <row r="3996" customFormat="false" ht="15" hidden="false" customHeight="false" outlineLevel="0" collapsed="false">
      <c r="A3996" s="1" t="s">
        <v>4031</v>
      </c>
      <c r="B3996" s="1" t="s">
        <v>53</v>
      </c>
      <c r="C3996" s="1" t="n">
        <v>682000</v>
      </c>
      <c r="D3996" s="1" t="n">
        <v>41555</v>
      </c>
      <c r="E3996" s="1" t="n">
        <v>0.1234</v>
      </c>
      <c r="F3996" s="1" t="n">
        <v>0.0938</v>
      </c>
    </row>
    <row r="3997" customFormat="false" ht="15" hidden="false" customHeight="false" outlineLevel="0" collapsed="false">
      <c r="A3997" s="1" t="s">
        <v>4032</v>
      </c>
      <c r="B3997" s="1" t="s">
        <v>92</v>
      </c>
      <c r="C3997" s="1" t="n">
        <v>844000</v>
      </c>
      <c r="D3997" s="1" t="n">
        <v>2057.2</v>
      </c>
      <c r="E3997" s="1" t="n">
        <v>0.0301</v>
      </c>
      <c r="F3997" s="1" t="n">
        <v>0.0759</v>
      </c>
    </row>
    <row r="3998" customFormat="false" ht="15" hidden="false" customHeight="false" outlineLevel="0" collapsed="false">
      <c r="A3998" s="1" t="s">
        <v>4033</v>
      </c>
      <c r="B3998" s="1" t="s">
        <v>26</v>
      </c>
      <c r="C3998" s="1" t="n">
        <v>700000</v>
      </c>
      <c r="D3998" s="1" t="n">
        <v>109518.7</v>
      </c>
      <c r="E3998" s="1" t="n">
        <v>0.0475</v>
      </c>
      <c r="F3998" s="1" t="n">
        <v>0.0518</v>
      </c>
    </row>
    <row r="3999" customFormat="false" ht="15" hidden="false" customHeight="false" outlineLevel="0" collapsed="false">
      <c r="A3999" s="1" t="s">
        <v>4034</v>
      </c>
      <c r="B3999" s="1" t="s">
        <v>50</v>
      </c>
      <c r="C3999" s="1" t="n">
        <v>1150000</v>
      </c>
      <c r="D3999" s="1" t="n">
        <v>1329.8</v>
      </c>
      <c r="E3999" s="1" t="n">
        <v>0.077</v>
      </c>
      <c r="F3999" s="1" t="n">
        <v>0.0938</v>
      </c>
    </row>
    <row r="4000" customFormat="false" ht="15" hidden="false" customHeight="false" outlineLevel="0" collapsed="false">
      <c r="A4000" s="1" t="s">
        <v>4035</v>
      </c>
      <c r="B4000" s="1" t="s">
        <v>26</v>
      </c>
      <c r="C4000" s="1" t="n">
        <v>813000</v>
      </c>
      <c r="D4000" s="1" t="n">
        <v>490632.8</v>
      </c>
      <c r="E4000" s="1" t="n">
        <v>0.0174</v>
      </c>
      <c r="F4000" s="1" t="n">
        <v>0.0585</v>
      </c>
    </row>
    <row r="4001" customFormat="false" ht="15" hidden="false" customHeight="false" outlineLevel="0" collapsed="false">
      <c r="A4001" s="1" t="s">
        <v>4036</v>
      </c>
      <c r="B4001" s="1" t="s">
        <v>26</v>
      </c>
      <c r="C4001" s="1" t="n">
        <v>1060000</v>
      </c>
      <c r="D4001" s="1" t="n">
        <v>3798</v>
      </c>
      <c r="E4001" s="1" t="n">
        <v>0.0453</v>
      </c>
      <c r="F4001" s="1" t="n">
        <v>0.0759</v>
      </c>
    </row>
    <row r="4002" customFormat="false" ht="15" hidden="false" customHeight="false" outlineLevel="0" collapsed="false">
      <c r="A4002" s="1" t="s">
        <v>4037</v>
      </c>
      <c r="B4002" s="1" t="s">
        <v>71</v>
      </c>
      <c r="C4002" s="1" t="n">
        <v>789000</v>
      </c>
      <c r="D4002" s="1" t="n">
        <v>31733.9</v>
      </c>
      <c r="E4002" s="1" t="n">
        <v>0.0501</v>
      </c>
      <c r="F4002" s="1" t="n">
        <v>0.0759</v>
      </c>
    </row>
    <row r="4003" customFormat="false" ht="15" hidden="false" customHeight="false" outlineLevel="0" collapsed="false">
      <c r="A4003" s="1" t="s">
        <v>4038</v>
      </c>
      <c r="B4003" s="1" t="s">
        <v>26</v>
      </c>
      <c r="C4003" s="1" t="n">
        <v>849000</v>
      </c>
      <c r="D4003" s="1" t="n">
        <v>37582.6</v>
      </c>
      <c r="E4003" s="1" t="n">
        <v>0.0232</v>
      </c>
      <c r="F4003" s="1" t="n">
        <v>0.0409</v>
      </c>
    </row>
    <row r="4004" customFormat="false" ht="15" hidden="false" customHeight="false" outlineLevel="0" collapsed="false">
      <c r="A4004" s="1" t="s">
        <v>4039</v>
      </c>
      <c r="B4004" s="1" t="s">
        <v>41</v>
      </c>
      <c r="C4004" s="1" t="n">
        <v>652000</v>
      </c>
      <c r="D4004" s="1" t="n">
        <v>92991.5</v>
      </c>
      <c r="E4004" s="1" t="n">
        <v>0.0803</v>
      </c>
      <c r="F4004" s="1" t="n">
        <v>0.0951</v>
      </c>
    </row>
    <row r="4005" customFormat="false" ht="15" hidden="false" customHeight="false" outlineLevel="0" collapsed="false">
      <c r="A4005" s="1" t="s">
        <v>4040</v>
      </c>
      <c r="B4005" s="1" t="s">
        <v>26</v>
      </c>
      <c r="C4005" s="1" t="n">
        <v>1890000</v>
      </c>
      <c r="D4005" s="1" t="n">
        <v>192495.4</v>
      </c>
      <c r="E4005" s="1" t="n">
        <v>0.0149</v>
      </c>
      <c r="F4005" s="1" t="n">
        <v>0.0462</v>
      </c>
    </row>
    <row r="4006" customFormat="false" ht="15" hidden="false" customHeight="false" outlineLevel="0" collapsed="false">
      <c r="A4006" s="1" t="s">
        <v>4041</v>
      </c>
      <c r="B4006" s="1" t="s">
        <v>41</v>
      </c>
      <c r="C4006" s="1" t="n">
        <v>1230000</v>
      </c>
      <c r="D4006" s="1" t="n">
        <v>322308.3</v>
      </c>
      <c r="E4006" s="1" t="n">
        <v>0.0164</v>
      </c>
      <c r="F4006" s="1" t="n">
        <v>0.0757</v>
      </c>
    </row>
    <row r="4007" customFormat="false" ht="15" hidden="false" customHeight="false" outlineLevel="0" collapsed="false">
      <c r="A4007" s="1" t="s">
        <v>4042</v>
      </c>
      <c r="B4007" s="1" t="s">
        <v>30</v>
      </c>
      <c r="C4007" s="1" t="n">
        <v>775000</v>
      </c>
      <c r="D4007" s="1" t="n">
        <v>21798.2</v>
      </c>
      <c r="E4007" s="1" t="n">
        <v>0.1669</v>
      </c>
      <c r="F4007" s="1" t="n">
        <v>0.4539</v>
      </c>
    </row>
    <row r="4008" customFormat="false" ht="15" hidden="false" customHeight="false" outlineLevel="0" collapsed="false">
      <c r="A4008" s="1" t="s">
        <v>4043</v>
      </c>
      <c r="B4008" s="1" t="s">
        <v>26</v>
      </c>
      <c r="C4008" s="1" t="n">
        <v>691000</v>
      </c>
      <c r="D4008" s="1" t="n">
        <v>6018.5</v>
      </c>
      <c r="E4008" s="1" t="n">
        <v>0.0167</v>
      </c>
      <c r="F4008" s="1" t="n">
        <v>0.0576</v>
      </c>
    </row>
    <row r="4009" customFormat="false" ht="15" hidden="false" customHeight="false" outlineLevel="0" collapsed="false">
      <c r="A4009" s="1" t="s">
        <v>4044</v>
      </c>
      <c r="B4009" s="1" t="s">
        <v>41</v>
      </c>
      <c r="C4009" s="1" t="n">
        <v>903000</v>
      </c>
      <c r="D4009" s="1" t="n">
        <v>1341</v>
      </c>
      <c r="E4009" s="1" t="n">
        <v>0.0986</v>
      </c>
      <c r="F4009" s="1" t="n">
        <v>0.1043</v>
      </c>
    </row>
    <row r="4010" customFormat="false" ht="15" hidden="false" customHeight="false" outlineLevel="0" collapsed="false">
      <c r="A4010" s="1" t="s">
        <v>4045</v>
      </c>
      <c r="B4010" s="1" t="s">
        <v>88</v>
      </c>
      <c r="C4010" s="1" t="n">
        <v>655000</v>
      </c>
      <c r="D4010" s="1" t="n">
        <v>4305.4</v>
      </c>
      <c r="E4010" s="1" t="n">
        <v>0.0221</v>
      </c>
      <c r="F4010" s="1" t="n">
        <v>0.0951</v>
      </c>
    </row>
    <row r="4011" customFormat="false" ht="15" hidden="false" customHeight="false" outlineLevel="0" collapsed="false">
      <c r="A4011" s="1" t="s">
        <v>4046</v>
      </c>
      <c r="B4011" s="1" t="s">
        <v>53</v>
      </c>
      <c r="C4011" s="1" t="n">
        <v>1160000</v>
      </c>
      <c r="D4011" s="1" t="n">
        <v>5165.7</v>
      </c>
      <c r="E4011" s="1" t="n">
        <v>0.0424</v>
      </c>
      <c r="F4011" s="1" t="n">
        <v>0.0938</v>
      </c>
    </row>
    <row r="4012" customFormat="false" ht="15" hidden="false" customHeight="false" outlineLevel="0" collapsed="false">
      <c r="A4012" s="1" t="s">
        <v>4047</v>
      </c>
      <c r="B4012" s="1" t="s">
        <v>81</v>
      </c>
      <c r="C4012" s="1" t="n">
        <v>740000</v>
      </c>
      <c r="D4012" s="1" t="n">
        <v>34264.4</v>
      </c>
      <c r="E4012" s="1" t="n">
        <v>0.0368</v>
      </c>
      <c r="F4012" s="1" t="n">
        <v>0.0759</v>
      </c>
    </row>
    <row r="4013" customFormat="false" ht="15" hidden="false" customHeight="false" outlineLevel="0" collapsed="false">
      <c r="A4013" s="1" t="s">
        <v>4048</v>
      </c>
      <c r="B4013" s="1" t="s">
        <v>26</v>
      </c>
      <c r="C4013" s="1" t="n">
        <v>1060000</v>
      </c>
      <c r="D4013" s="1" t="n">
        <v>465404.6</v>
      </c>
      <c r="E4013" s="1" t="n">
        <v>0.0185</v>
      </c>
      <c r="F4013" s="1" t="n">
        <v>0.0462</v>
      </c>
    </row>
    <row r="4014" customFormat="false" ht="15" hidden="false" customHeight="false" outlineLevel="0" collapsed="false">
      <c r="A4014" s="1" t="s">
        <v>4049</v>
      </c>
      <c r="B4014" s="1" t="s">
        <v>41</v>
      </c>
      <c r="C4014" s="1" t="n">
        <v>861000</v>
      </c>
      <c r="D4014" s="1" t="n">
        <v>466101.4</v>
      </c>
      <c r="E4014" s="1" t="n">
        <v>0.0337</v>
      </c>
      <c r="F4014" s="1" t="n">
        <v>0.0951</v>
      </c>
    </row>
    <row r="4015" customFormat="false" ht="15" hidden="false" customHeight="false" outlineLevel="0" collapsed="false">
      <c r="A4015" s="1" t="s">
        <v>4050</v>
      </c>
      <c r="B4015" s="1" t="s">
        <v>24</v>
      </c>
      <c r="C4015" s="1" t="n">
        <v>667000</v>
      </c>
      <c r="D4015" s="1" t="n">
        <v>2427.3</v>
      </c>
      <c r="E4015" s="1" t="n">
        <v>0.0397</v>
      </c>
      <c r="F4015" s="1" t="n">
        <v>0.0759</v>
      </c>
    </row>
    <row r="4016" customFormat="false" ht="15" hidden="false" customHeight="false" outlineLevel="0" collapsed="false">
      <c r="A4016" s="1" t="s">
        <v>4051</v>
      </c>
      <c r="B4016" s="1" t="s">
        <v>26</v>
      </c>
      <c r="C4016" s="1" t="n">
        <v>766000</v>
      </c>
      <c r="D4016" s="1" t="n">
        <v>1411714.3</v>
      </c>
      <c r="E4016" s="1" t="n">
        <v>0.0179</v>
      </c>
      <c r="F4016" s="1" t="n">
        <v>0.0585</v>
      </c>
    </row>
    <row r="4017" customFormat="false" ht="15" hidden="false" customHeight="false" outlineLevel="0" collapsed="false">
      <c r="A4017" s="1" t="s">
        <v>4052</v>
      </c>
      <c r="B4017" s="1" t="s">
        <v>92</v>
      </c>
      <c r="C4017" s="1" t="n">
        <v>682000</v>
      </c>
      <c r="D4017" s="1" t="n">
        <v>20873.1</v>
      </c>
      <c r="E4017" s="1" t="n">
        <v>0.0312</v>
      </c>
      <c r="F4017" s="1" t="n">
        <v>0.0951</v>
      </c>
    </row>
    <row r="4018" customFormat="false" ht="15" hidden="false" customHeight="false" outlineLevel="0" collapsed="false">
      <c r="A4018" s="1" t="s">
        <v>4053</v>
      </c>
      <c r="B4018" s="1" t="s">
        <v>53</v>
      </c>
      <c r="C4018" s="1" t="n">
        <v>900000</v>
      </c>
      <c r="D4018" s="1" t="n">
        <v>122754</v>
      </c>
      <c r="E4018" s="1" t="n">
        <v>0.0582</v>
      </c>
      <c r="F4018" s="1" t="n">
        <v>0.0759</v>
      </c>
    </row>
    <row r="4019" customFormat="false" ht="15" hidden="false" customHeight="false" outlineLevel="0" collapsed="false">
      <c r="A4019" s="1" t="s">
        <v>4054</v>
      </c>
      <c r="B4019" s="1" t="s">
        <v>30</v>
      </c>
      <c r="C4019" s="1" t="n">
        <v>642000</v>
      </c>
      <c r="D4019" s="1" t="n">
        <v>41376.9</v>
      </c>
      <c r="E4019" s="1" t="n">
        <v>0.0431</v>
      </c>
      <c r="F4019" s="1" t="n">
        <v>0.0951</v>
      </c>
    </row>
    <row r="4020" customFormat="false" ht="15" hidden="false" customHeight="false" outlineLevel="0" collapsed="false">
      <c r="A4020" s="1" t="s">
        <v>4055</v>
      </c>
      <c r="B4020" s="1" t="s">
        <v>24</v>
      </c>
      <c r="C4020" s="1" t="n">
        <v>967000</v>
      </c>
      <c r="D4020" s="1" t="n">
        <v>62230.4</v>
      </c>
      <c r="E4020" s="1" t="n">
        <v>0.0298</v>
      </c>
      <c r="F4020" s="1" t="n">
        <v>0.0938</v>
      </c>
    </row>
    <row r="4021" customFormat="false" ht="15" hidden="false" customHeight="false" outlineLevel="0" collapsed="false">
      <c r="A4021" s="1" t="s">
        <v>4056</v>
      </c>
      <c r="B4021" s="1" t="s">
        <v>88</v>
      </c>
      <c r="C4021" s="1" t="n">
        <v>871000</v>
      </c>
      <c r="D4021" s="1" t="n">
        <v>5251.6</v>
      </c>
      <c r="E4021" s="1" t="n">
        <v>0.0218</v>
      </c>
      <c r="F4021" s="1" t="n">
        <v>0.0759</v>
      </c>
    </row>
    <row r="4022" customFormat="false" ht="15" hidden="false" customHeight="false" outlineLevel="0" collapsed="false">
      <c r="A4022" s="1" t="s">
        <v>4057</v>
      </c>
      <c r="B4022" s="1" t="s">
        <v>26</v>
      </c>
      <c r="C4022" s="1" t="n">
        <v>692000</v>
      </c>
      <c r="D4022" s="1" t="n">
        <v>773</v>
      </c>
      <c r="E4022" s="1" t="n">
        <v>0.0022</v>
      </c>
      <c r="F4022" s="1" t="n">
        <v>0.1779</v>
      </c>
    </row>
    <row r="4023" customFormat="false" ht="15" hidden="false" customHeight="false" outlineLevel="0" collapsed="false">
      <c r="A4023" s="1" t="s">
        <v>4058</v>
      </c>
      <c r="B4023" s="1" t="s">
        <v>214</v>
      </c>
      <c r="C4023" s="1" t="n">
        <v>644000</v>
      </c>
      <c r="D4023" s="1" t="n">
        <v>996.8</v>
      </c>
      <c r="E4023" s="1" t="n">
        <v>0.0099</v>
      </c>
      <c r="F4023" s="1" t="n">
        <v>0.0811</v>
      </c>
    </row>
    <row r="4024" customFormat="false" ht="15" hidden="false" customHeight="false" outlineLevel="0" collapsed="false">
      <c r="A4024" s="1" t="s">
        <v>4059</v>
      </c>
      <c r="B4024" s="1" t="s">
        <v>74</v>
      </c>
      <c r="C4024" s="1" t="n">
        <v>835000</v>
      </c>
      <c r="D4024" s="1" t="n">
        <v>8019.4</v>
      </c>
      <c r="E4024" s="1" t="n">
        <v>0.0352</v>
      </c>
      <c r="F4024" s="1" t="n">
        <v>0.0759</v>
      </c>
    </row>
    <row r="4025" customFormat="false" ht="15" hidden="false" customHeight="false" outlineLevel="0" collapsed="false">
      <c r="A4025" s="1" t="s">
        <v>4060</v>
      </c>
      <c r="B4025" s="1" t="s">
        <v>30</v>
      </c>
      <c r="C4025" s="1" t="n">
        <v>787000</v>
      </c>
      <c r="D4025" s="1" t="n">
        <v>89441.3</v>
      </c>
      <c r="E4025" s="1" t="n">
        <v>0.1174</v>
      </c>
      <c r="F4025" s="1" t="n">
        <v>0.0759</v>
      </c>
    </row>
    <row r="4026" customFormat="false" ht="15" hidden="false" customHeight="false" outlineLevel="0" collapsed="false">
      <c r="A4026" s="1" t="s">
        <v>4061</v>
      </c>
      <c r="B4026" s="1" t="s">
        <v>26</v>
      </c>
      <c r="C4026" s="1" t="n">
        <v>819000</v>
      </c>
      <c r="D4026" s="1" t="n">
        <v>117833.8</v>
      </c>
      <c r="E4026" s="1" t="n">
        <v>0.0401</v>
      </c>
      <c r="F4026" s="1" t="n">
        <v>0.0938</v>
      </c>
    </row>
    <row r="4027" customFormat="false" ht="15" hidden="false" customHeight="false" outlineLevel="0" collapsed="false">
      <c r="A4027" s="1" t="s">
        <v>4062</v>
      </c>
      <c r="B4027" s="1" t="s">
        <v>287</v>
      </c>
      <c r="C4027" s="1" t="n">
        <v>642000</v>
      </c>
      <c r="D4027" s="1" t="n">
        <v>1222.8</v>
      </c>
      <c r="E4027" s="1" t="n">
        <v>0.012</v>
      </c>
      <c r="F4027" s="1" t="n">
        <v>0.1452</v>
      </c>
    </row>
    <row r="4028" customFormat="false" ht="15" hidden="false" customHeight="false" outlineLevel="0" collapsed="false">
      <c r="A4028" s="1" t="s">
        <v>4063</v>
      </c>
      <c r="B4028" s="1" t="s">
        <v>74</v>
      </c>
      <c r="C4028" s="1" t="n">
        <v>942000</v>
      </c>
      <c r="D4028" s="1" t="n">
        <v>15043.8</v>
      </c>
      <c r="E4028" s="1" t="n">
        <v>0.0164</v>
      </c>
      <c r="F4028" s="1" t="n">
        <v>0.0608</v>
      </c>
    </row>
    <row r="4029" customFormat="false" ht="15" hidden="false" customHeight="false" outlineLevel="0" collapsed="false">
      <c r="A4029" s="1" t="s">
        <v>4064</v>
      </c>
      <c r="B4029" s="1" t="s">
        <v>88</v>
      </c>
      <c r="C4029" s="1" t="n">
        <v>657000</v>
      </c>
      <c r="D4029" s="1" t="n">
        <v>836.2</v>
      </c>
      <c r="E4029" s="1" t="n">
        <v>0.0211</v>
      </c>
      <c r="F4029" s="1" t="n">
        <v>0.0576</v>
      </c>
    </row>
    <row r="4030" customFormat="false" ht="15" hidden="false" customHeight="false" outlineLevel="0" collapsed="false">
      <c r="A4030" s="1" t="s">
        <v>4065</v>
      </c>
      <c r="B4030" s="1" t="s">
        <v>21</v>
      </c>
      <c r="C4030" s="1" t="n">
        <v>797000</v>
      </c>
      <c r="D4030" s="1" t="n">
        <v>362.2</v>
      </c>
      <c r="E4030" s="1" t="n">
        <v>0.0783</v>
      </c>
      <c r="F4030" s="1" t="n">
        <v>0.0938</v>
      </c>
    </row>
    <row r="4031" customFormat="false" ht="15" hidden="false" customHeight="false" outlineLevel="0" collapsed="false">
      <c r="A4031" s="1" t="s">
        <v>4066</v>
      </c>
      <c r="B4031" s="1" t="s">
        <v>26</v>
      </c>
      <c r="C4031" s="1" t="n">
        <v>805000</v>
      </c>
      <c r="D4031" s="1" t="n">
        <v>9545.7</v>
      </c>
      <c r="E4031" s="1" t="n">
        <v>0.0088</v>
      </c>
      <c r="F4031" s="1" t="n">
        <v>0.0654</v>
      </c>
    </row>
    <row r="4032" customFormat="false" ht="15" hidden="false" customHeight="false" outlineLevel="0" collapsed="false">
      <c r="A4032" s="1" t="s">
        <v>4067</v>
      </c>
      <c r="B4032" s="1" t="s">
        <v>92</v>
      </c>
      <c r="C4032" s="1" t="n">
        <v>642000</v>
      </c>
      <c r="D4032" s="1" t="n">
        <v>704.6</v>
      </c>
      <c r="E4032" s="1" t="n">
        <v>0.0102</v>
      </c>
      <c r="F4032" s="1" t="n">
        <v>0.1027</v>
      </c>
    </row>
    <row r="4033" customFormat="false" ht="15" hidden="false" customHeight="false" outlineLevel="0" collapsed="false">
      <c r="A4033" s="1" t="s">
        <v>4068</v>
      </c>
      <c r="B4033" s="1" t="s">
        <v>74</v>
      </c>
      <c r="C4033" s="1" t="n">
        <v>858000</v>
      </c>
      <c r="D4033" s="1" t="n">
        <v>8716.5</v>
      </c>
      <c r="E4033" s="1" t="n">
        <v>0.0808</v>
      </c>
      <c r="F4033" s="1" t="n">
        <v>0.0938</v>
      </c>
    </row>
    <row r="4034" customFormat="false" ht="15" hidden="false" customHeight="false" outlineLevel="0" collapsed="false">
      <c r="A4034" s="1" t="s">
        <v>4069</v>
      </c>
      <c r="B4034" s="1" t="s">
        <v>21</v>
      </c>
      <c r="C4034" s="1" t="n">
        <v>735000</v>
      </c>
      <c r="D4034" s="1" t="n">
        <v>10635.9</v>
      </c>
      <c r="E4034" s="1" t="n">
        <v>0.0241</v>
      </c>
      <c r="F4034" s="1" t="n">
        <v>0.0409</v>
      </c>
    </row>
    <row r="4035" customFormat="false" ht="15" hidden="false" customHeight="false" outlineLevel="0" collapsed="false">
      <c r="A4035" s="1" t="s">
        <v>4070</v>
      </c>
      <c r="B4035" s="1" t="s">
        <v>74</v>
      </c>
      <c r="C4035" s="1" t="n">
        <v>4860000</v>
      </c>
      <c r="D4035" s="1" t="n">
        <v>106.2</v>
      </c>
      <c r="E4035" s="1" t="n">
        <v>0.0221</v>
      </c>
      <c r="F4035" s="1" t="n">
        <v>0.051</v>
      </c>
    </row>
    <row r="4036" customFormat="false" ht="15" hidden="false" customHeight="false" outlineLevel="0" collapsed="false">
      <c r="A4036" s="1" t="s">
        <v>4071</v>
      </c>
      <c r="B4036" s="1" t="s">
        <v>62</v>
      </c>
      <c r="C4036" s="1" t="n">
        <v>1270000</v>
      </c>
      <c r="D4036" s="1" t="n">
        <v>11731.6</v>
      </c>
      <c r="E4036" s="1" t="n">
        <v>0.0462</v>
      </c>
      <c r="F4036" s="1" t="n">
        <v>0.0759</v>
      </c>
    </row>
    <row r="4037" customFormat="false" ht="15" hidden="false" customHeight="false" outlineLevel="0" collapsed="false">
      <c r="A4037" s="1" t="s">
        <v>4072</v>
      </c>
      <c r="B4037" s="1" t="s">
        <v>26</v>
      </c>
      <c r="C4037" s="1" t="n">
        <v>993000</v>
      </c>
      <c r="D4037" s="1" t="n">
        <v>584446.4</v>
      </c>
      <c r="E4037" s="1" t="n">
        <v>0.0112</v>
      </c>
      <c r="F4037" s="1" t="n">
        <v>0.1388</v>
      </c>
    </row>
    <row r="4038" customFormat="false" ht="15" hidden="false" customHeight="false" outlineLevel="0" collapsed="false">
      <c r="A4038" s="1" t="s">
        <v>4073</v>
      </c>
      <c r="B4038" s="1" t="s">
        <v>214</v>
      </c>
      <c r="C4038" s="1" t="n">
        <v>848000</v>
      </c>
      <c r="D4038" s="1" t="n">
        <v>380510.7</v>
      </c>
      <c r="E4038" s="1" t="n">
        <v>0.0422</v>
      </c>
      <c r="F4038" s="1" t="n">
        <v>0.0759</v>
      </c>
    </row>
    <row r="4039" customFormat="false" ht="15" hidden="false" customHeight="false" outlineLevel="0" collapsed="false">
      <c r="A4039" s="1" t="s">
        <v>4074</v>
      </c>
      <c r="B4039" s="1" t="s">
        <v>26</v>
      </c>
      <c r="C4039" s="1" t="n">
        <v>659000</v>
      </c>
      <c r="D4039" s="1" t="n">
        <v>3230.3</v>
      </c>
      <c r="E4039" s="1" t="n">
        <v>0.0512</v>
      </c>
      <c r="F4039" s="1" t="n">
        <v>0.0938</v>
      </c>
    </row>
    <row r="4040" customFormat="false" ht="15" hidden="false" customHeight="false" outlineLevel="0" collapsed="false">
      <c r="A4040" s="1" t="s">
        <v>4075</v>
      </c>
      <c r="B4040" s="1" t="s">
        <v>26</v>
      </c>
      <c r="C4040" s="1" t="n">
        <v>803000</v>
      </c>
      <c r="D4040" s="1" t="n">
        <v>140246.7</v>
      </c>
      <c r="E4040" s="1" t="n">
        <v>0.0479</v>
      </c>
      <c r="F4040" s="1" t="n">
        <v>0.0951</v>
      </c>
    </row>
    <row r="4041" customFormat="false" ht="15" hidden="false" customHeight="false" outlineLevel="0" collapsed="false">
      <c r="A4041" s="1" t="s">
        <v>4076</v>
      </c>
      <c r="B4041" s="1" t="s">
        <v>41</v>
      </c>
      <c r="C4041" s="1" t="n">
        <v>646000</v>
      </c>
      <c r="D4041" s="1" t="n">
        <v>1731.3</v>
      </c>
      <c r="E4041" s="1" t="n">
        <v>0.0214</v>
      </c>
      <c r="F4041" s="1" t="n">
        <v>0.0759</v>
      </c>
    </row>
    <row r="4042" customFormat="false" ht="15" hidden="false" customHeight="false" outlineLevel="0" collapsed="false">
      <c r="A4042" s="1" t="s">
        <v>4077</v>
      </c>
      <c r="B4042" s="1" t="s">
        <v>26</v>
      </c>
      <c r="C4042" s="1" t="n">
        <v>624000</v>
      </c>
      <c r="D4042" s="1" t="n">
        <v>129.9</v>
      </c>
      <c r="E4042" s="1" t="n">
        <v>0.0198</v>
      </c>
      <c r="F4042" s="1" t="n">
        <v>0.139</v>
      </c>
    </row>
    <row r="4043" customFormat="false" ht="15" hidden="false" customHeight="false" outlineLevel="0" collapsed="false">
      <c r="A4043" s="1" t="s">
        <v>4078</v>
      </c>
      <c r="B4043" s="1" t="s">
        <v>26</v>
      </c>
      <c r="C4043" s="1" t="n">
        <v>777000</v>
      </c>
      <c r="D4043" s="1" t="n">
        <v>49086.2</v>
      </c>
      <c r="E4043" s="1" t="n">
        <v>0.0162</v>
      </c>
      <c r="F4043" s="1" t="n">
        <v>0.0488</v>
      </c>
    </row>
    <row r="4044" customFormat="false" ht="15" hidden="false" customHeight="false" outlineLevel="0" collapsed="false">
      <c r="A4044" s="1" t="s">
        <v>4079</v>
      </c>
      <c r="B4044" s="1" t="s">
        <v>21</v>
      </c>
      <c r="C4044" s="1" t="n">
        <v>804000</v>
      </c>
      <c r="D4044" s="1" t="n">
        <v>284811.7</v>
      </c>
      <c r="E4044" s="1" t="n">
        <v>0.024</v>
      </c>
      <c r="F4044" s="1" t="n">
        <v>0.0951</v>
      </c>
    </row>
    <row r="4045" customFormat="false" ht="15" hidden="false" customHeight="false" outlineLevel="0" collapsed="false">
      <c r="A4045" s="1" t="s">
        <v>4080</v>
      </c>
      <c r="B4045" s="1" t="s">
        <v>26</v>
      </c>
      <c r="C4045" s="1" t="n">
        <v>724000</v>
      </c>
      <c r="D4045" s="1" t="n">
        <v>1500.2</v>
      </c>
      <c r="E4045" s="1" t="n">
        <v>0.0288</v>
      </c>
      <c r="F4045" s="1" t="n">
        <v>0.0938</v>
      </c>
    </row>
    <row r="4046" customFormat="false" ht="15" hidden="false" customHeight="false" outlineLevel="0" collapsed="false">
      <c r="A4046" s="1" t="s">
        <v>4081</v>
      </c>
      <c r="B4046" s="1" t="s">
        <v>50</v>
      </c>
      <c r="C4046" s="1" t="n">
        <v>933000</v>
      </c>
      <c r="D4046" s="1" t="n">
        <v>376155.9</v>
      </c>
      <c r="E4046" s="1" t="n">
        <v>0.0247</v>
      </c>
      <c r="F4046" s="1" t="n">
        <v>0.0759</v>
      </c>
    </row>
    <row r="4047" customFormat="false" ht="15" hidden="false" customHeight="false" outlineLevel="0" collapsed="false">
      <c r="A4047" s="1" t="s">
        <v>4082</v>
      </c>
      <c r="B4047" s="1" t="s">
        <v>62</v>
      </c>
      <c r="C4047" s="1" t="n">
        <v>846000</v>
      </c>
      <c r="D4047" s="1" t="n">
        <v>522.5</v>
      </c>
      <c r="E4047" s="1" t="n">
        <v>0.0106</v>
      </c>
      <c r="F4047" s="1" t="n">
        <v>0.0903</v>
      </c>
    </row>
    <row r="4048" customFormat="false" ht="15" hidden="false" customHeight="false" outlineLevel="0" collapsed="false">
      <c r="A4048" s="1" t="s">
        <v>4083</v>
      </c>
      <c r="B4048" s="1" t="s">
        <v>490</v>
      </c>
      <c r="C4048" s="1" t="n">
        <v>689000</v>
      </c>
      <c r="D4048" s="1" t="n">
        <v>2375.1</v>
      </c>
      <c r="E4048" s="1" t="n">
        <v>0.0182</v>
      </c>
      <c r="F4048" s="1" t="n">
        <v>0.0409</v>
      </c>
    </row>
    <row r="4049" customFormat="false" ht="15" hidden="false" customHeight="false" outlineLevel="0" collapsed="false">
      <c r="A4049" s="1" t="s">
        <v>4084</v>
      </c>
      <c r="B4049" s="1" t="s">
        <v>214</v>
      </c>
      <c r="C4049" s="1" t="n">
        <v>745000</v>
      </c>
      <c r="D4049" s="1" t="n">
        <v>496.6</v>
      </c>
      <c r="E4049" s="1" t="n">
        <v>0.0705</v>
      </c>
      <c r="F4049" s="1" t="n">
        <v>0.0938</v>
      </c>
    </row>
    <row r="4050" customFormat="false" ht="15" hidden="false" customHeight="false" outlineLevel="0" collapsed="false">
      <c r="A4050" s="1" t="s">
        <v>4085</v>
      </c>
      <c r="B4050" s="1" t="s">
        <v>88</v>
      </c>
      <c r="C4050" s="1" t="n">
        <v>839000</v>
      </c>
      <c r="D4050" s="1" t="n">
        <v>3204.4</v>
      </c>
      <c r="E4050" s="1" t="n">
        <v>0.0442</v>
      </c>
      <c r="F4050" s="1" t="n">
        <v>0.0759</v>
      </c>
    </row>
    <row r="4051" customFormat="false" ht="15" hidden="false" customHeight="false" outlineLevel="0" collapsed="false">
      <c r="A4051" s="1" t="s">
        <v>4086</v>
      </c>
      <c r="B4051" s="1" t="s">
        <v>26</v>
      </c>
      <c r="C4051" s="1" t="n">
        <v>1230000</v>
      </c>
      <c r="D4051" s="1" t="n">
        <v>1725631</v>
      </c>
      <c r="E4051" s="1" t="n">
        <v>0.026</v>
      </c>
      <c r="F4051" s="1" t="n">
        <v>0.0409</v>
      </c>
    </row>
    <row r="4052" customFormat="false" ht="15" hidden="false" customHeight="false" outlineLevel="0" collapsed="false">
      <c r="A4052" s="1" t="s">
        <v>4087</v>
      </c>
      <c r="B4052" s="1" t="s">
        <v>30</v>
      </c>
      <c r="C4052" s="1" t="n">
        <v>1990000</v>
      </c>
      <c r="D4052" s="1" t="n">
        <v>27749.6</v>
      </c>
      <c r="E4052" s="1" t="n">
        <v>0.0048</v>
      </c>
      <c r="F4052" s="1" t="n">
        <v>0.0654</v>
      </c>
    </row>
    <row r="4053" customFormat="false" ht="15" hidden="false" customHeight="false" outlineLevel="0" collapsed="false">
      <c r="A4053" s="1" t="s">
        <v>4088</v>
      </c>
      <c r="B4053" s="1" t="s">
        <v>81</v>
      </c>
      <c r="C4053" s="1" t="n">
        <v>655000</v>
      </c>
      <c r="D4053" s="1" t="n">
        <v>10593.7</v>
      </c>
      <c r="E4053" s="1" t="n">
        <v>0.0129</v>
      </c>
      <c r="F4053" s="1" t="n">
        <v>0.0576</v>
      </c>
    </row>
    <row r="4054" customFormat="false" ht="15" hidden="false" customHeight="false" outlineLevel="0" collapsed="false">
      <c r="A4054" s="1" t="s">
        <v>4089</v>
      </c>
      <c r="B4054" s="1" t="s">
        <v>41</v>
      </c>
      <c r="C4054" s="1" t="n">
        <v>649000</v>
      </c>
      <c r="D4054" s="1" t="n">
        <v>30125.6</v>
      </c>
      <c r="E4054" s="1" t="n">
        <v>0.0103</v>
      </c>
      <c r="F4054" s="1" t="n">
        <v>0.0822</v>
      </c>
    </row>
    <row r="4055" customFormat="false" ht="15" hidden="false" customHeight="false" outlineLevel="0" collapsed="false">
      <c r="A4055" s="1" t="s">
        <v>4090</v>
      </c>
      <c r="B4055" s="1" t="s">
        <v>62</v>
      </c>
      <c r="C4055" s="1" t="n">
        <v>696000</v>
      </c>
      <c r="D4055" s="1" t="n">
        <v>9631.9</v>
      </c>
      <c r="E4055" s="1" t="n">
        <v>0.0465</v>
      </c>
      <c r="F4055" s="1" t="n">
        <v>0.0951</v>
      </c>
    </row>
    <row r="4056" customFormat="false" ht="15" hidden="false" customHeight="false" outlineLevel="0" collapsed="false">
      <c r="A4056" s="1" t="s">
        <v>4091</v>
      </c>
      <c r="B4056" s="1" t="s">
        <v>214</v>
      </c>
      <c r="C4056" s="1" t="n">
        <v>799000</v>
      </c>
      <c r="D4056" s="1" t="n">
        <v>1200.8</v>
      </c>
      <c r="E4056" s="1" t="n">
        <v>0.0497</v>
      </c>
      <c r="F4056" s="1" t="n">
        <v>0.0759</v>
      </c>
    </row>
    <row r="4057" customFormat="false" ht="15" hidden="false" customHeight="false" outlineLevel="0" collapsed="false">
      <c r="A4057" s="1" t="s">
        <v>4092</v>
      </c>
      <c r="B4057" s="1" t="s">
        <v>287</v>
      </c>
      <c r="C4057" s="1" t="n">
        <v>656000</v>
      </c>
      <c r="D4057" s="1" t="n">
        <v>149.1</v>
      </c>
      <c r="E4057" s="1" t="n">
        <v>0.0171</v>
      </c>
      <c r="F4057" s="1" t="n">
        <v>0.0726</v>
      </c>
    </row>
    <row r="4058" customFormat="false" ht="15" hidden="false" customHeight="false" outlineLevel="0" collapsed="false">
      <c r="A4058" s="1" t="s">
        <v>4093</v>
      </c>
      <c r="B4058" s="1" t="s">
        <v>26</v>
      </c>
      <c r="C4058" s="1" t="n">
        <v>742000</v>
      </c>
      <c r="D4058" s="1" t="n">
        <v>23073.6</v>
      </c>
      <c r="E4058" s="1" t="n">
        <v>0.0386</v>
      </c>
      <c r="F4058" s="1" t="n">
        <v>0.0938</v>
      </c>
    </row>
    <row r="4059" customFormat="false" ht="15" hidden="false" customHeight="false" outlineLevel="0" collapsed="false">
      <c r="A4059" s="1" t="s">
        <v>4094</v>
      </c>
      <c r="B4059" s="1" t="s">
        <v>21</v>
      </c>
      <c r="C4059" s="1" t="n">
        <v>695000</v>
      </c>
      <c r="D4059" s="1" t="n">
        <v>3294</v>
      </c>
      <c r="E4059" s="1" t="n">
        <v>0.0194</v>
      </c>
      <c r="F4059" s="1" t="n">
        <v>0.1053</v>
      </c>
    </row>
    <row r="4060" customFormat="false" ht="15" hidden="false" customHeight="false" outlineLevel="0" collapsed="false">
      <c r="A4060" s="1" t="s">
        <v>4095</v>
      </c>
      <c r="B4060" s="1" t="s">
        <v>26</v>
      </c>
      <c r="C4060" s="1" t="n">
        <v>688000</v>
      </c>
      <c r="D4060" s="1" t="n">
        <v>10185.8</v>
      </c>
      <c r="E4060" s="1" t="n">
        <v>0.0647</v>
      </c>
      <c r="F4060" s="1" t="n">
        <v>0.0759</v>
      </c>
    </row>
    <row r="4061" customFormat="false" ht="15" hidden="false" customHeight="false" outlineLevel="0" collapsed="false">
      <c r="A4061" s="1" t="s">
        <v>4096</v>
      </c>
      <c r="B4061" s="1" t="s">
        <v>74</v>
      </c>
      <c r="C4061" s="1" t="n">
        <v>754000</v>
      </c>
      <c r="D4061" s="1" t="n">
        <v>3759.2</v>
      </c>
      <c r="E4061" s="1" t="n">
        <v>0.0248</v>
      </c>
      <c r="F4061" s="1" t="n">
        <v>0.0759</v>
      </c>
    </row>
    <row r="4062" customFormat="false" ht="15" hidden="false" customHeight="false" outlineLevel="0" collapsed="false">
      <c r="A4062" s="1" t="s">
        <v>4097</v>
      </c>
      <c r="B4062" s="1" t="s">
        <v>41</v>
      </c>
      <c r="C4062" s="1" t="n">
        <v>669000</v>
      </c>
      <c r="D4062" s="1" t="n">
        <v>6556.2</v>
      </c>
      <c r="E4062" s="1" t="n">
        <v>0.0253</v>
      </c>
      <c r="F4062" s="1" t="n">
        <v>0.0951</v>
      </c>
    </row>
    <row r="4063" customFormat="false" ht="15" hidden="false" customHeight="false" outlineLevel="0" collapsed="false">
      <c r="A4063" s="1" t="s">
        <v>4098</v>
      </c>
      <c r="B4063" s="1" t="s">
        <v>88</v>
      </c>
      <c r="C4063" s="1" t="n">
        <v>614000</v>
      </c>
      <c r="D4063" s="1" t="n">
        <v>410.9</v>
      </c>
      <c r="E4063" s="1" t="n">
        <v>0.1021</v>
      </c>
      <c r="F4063" s="1" t="n">
        <v>0.117</v>
      </c>
    </row>
    <row r="4064" customFormat="false" ht="15" hidden="false" customHeight="false" outlineLevel="0" collapsed="false">
      <c r="A4064" s="1" t="s">
        <v>4099</v>
      </c>
      <c r="B4064" s="1" t="s">
        <v>53</v>
      </c>
      <c r="C4064" s="1" t="n">
        <v>1000000</v>
      </c>
      <c r="D4064" s="1" t="n">
        <v>285003.3</v>
      </c>
      <c r="E4064" s="1" t="n">
        <v>0.0064</v>
      </c>
      <c r="F4064" s="1" t="n">
        <v>0.0654</v>
      </c>
    </row>
    <row r="4065" customFormat="false" ht="15" hidden="false" customHeight="false" outlineLevel="0" collapsed="false">
      <c r="A4065" s="1" t="s">
        <v>4100</v>
      </c>
      <c r="B4065" s="1" t="s">
        <v>71</v>
      </c>
      <c r="C4065" s="1" t="n">
        <v>726000</v>
      </c>
      <c r="D4065" s="1" t="n">
        <v>27821.8</v>
      </c>
      <c r="E4065" s="1" t="n">
        <v>0.018</v>
      </c>
      <c r="F4065" s="1" t="n">
        <v>0.0854</v>
      </c>
    </row>
    <row r="4066" customFormat="false" ht="15" hidden="false" customHeight="false" outlineLevel="0" collapsed="false">
      <c r="A4066" s="1" t="s">
        <v>4101</v>
      </c>
      <c r="B4066" s="1" t="s">
        <v>88</v>
      </c>
      <c r="C4066" s="1" t="n">
        <v>728000</v>
      </c>
      <c r="D4066" s="1" t="n">
        <v>2932.3</v>
      </c>
      <c r="E4066" s="1" t="n">
        <v>0.0487</v>
      </c>
      <c r="F4066" s="1" t="n">
        <v>0.0759</v>
      </c>
    </row>
    <row r="4067" customFormat="false" ht="15" hidden="false" customHeight="false" outlineLevel="0" collapsed="false">
      <c r="A4067" s="1" t="s">
        <v>4102</v>
      </c>
      <c r="B4067" s="1" t="s">
        <v>26</v>
      </c>
      <c r="C4067" s="1" t="n">
        <v>745000</v>
      </c>
      <c r="D4067" s="1" t="n">
        <v>17815.1</v>
      </c>
      <c r="E4067" s="1" t="n">
        <v>0.026</v>
      </c>
      <c r="F4067" s="1" t="n">
        <v>0.0951</v>
      </c>
    </row>
    <row r="4068" customFormat="false" ht="15" hidden="false" customHeight="false" outlineLevel="0" collapsed="false">
      <c r="A4068" s="1" t="s">
        <v>4103</v>
      </c>
      <c r="B4068" s="1" t="s">
        <v>214</v>
      </c>
      <c r="C4068" s="1" t="n">
        <v>698000</v>
      </c>
      <c r="D4068" s="1" t="n">
        <v>26257.7</v>
      </c>
      <c r="E4068" s="1" t="n">
        <v>0.0479</v>
      </c>
      <c r="F4068" s="1" t="n">
        <v>0.0759</v>
      </c>
    </row>
    <row r="4069" customFormat="false" ht="15" hidden="false" customHeight="false" outlineLevel="0" collapsed="false">
      <c r="A4069" s="1" t="s">
        <v>4104</v>
      </c>
      <c r="B4069" s="1" t="s">
        <v>490</v>
      </c>
      <c r="C4069" s="1" t="n">
        <v>851000</v>
      </c>
      <c r="D4069" s="1" t="n">
        <v>22103.5</v>
      </c>
      <c r="F4069" s="1" t="n">
        <v>0.0938</v>
      </c>
    </row>
    <row r="4070" customFormat="false" ht="15" hidden="false" customHeight="false" outlineLevel="0" collapsed="false">
      <c r="A4070" s="1" t="s">
        <v>4105</v>
      </c>
      <c r="B4070" s="1" t="s">
        <v>53</v>
      </c>
      <c r="C4070" s="1" t="n">
        <v>647000</v>
      </c>
      <c r="D4070" s="1" t="n">
        <v>461.4</v>
      </c>
      <c r="E4070" s="1" t="n">
        <v>0.0149</v>
      </c>
      <c r="F4070" s="1" t="n">
        <v>0.0585</v>
      </c>
    </row>
    <row r="4071" customFormat="false" ht="15" hidden="false" customHeight="false" outlineLevel="0" collapsed="false">
      <c r="A4071" s="1" t="s">
        <v>4106</v>
      </c>
      <c r="B4071" s="1" t="s">
        <v>21</v>
      </c>
      <c r="C4071" s="1" t="n">
        <v>882000</v>
      </c>
      <c r="D4071" s="1" t="n">
        <v>96846.1</v>
      </c>
      <c r="E4071" s="1" t="n">
        <v>0.0285</v>
      </c>
      <c r="F4071" s="1" t="n">
        <v>0.0409</v>
      </c>
    </row>
    <row r="4072" customFormat="false" ht="15" hidden="false" customHeight="false" outlineLevel="0" collapsed="false">
      <c r="A4072" s="1" t="s">
        <v>4107</v>
      </c>
      <c r="B4072" s="1" t="s">
        <v>71</v>
      </c>
      <c r="C4072" s="1" t="n">
        <v>623000</v>
      </c>
      <c r="D4072" s="1" t="n">
        <v>638392.3</v>
      </c>
      <c r="E4072" s="1" t="n">
        <v>0.0285</v>
      </c>
      <c r="F4072" s="1" t="n">
        <v>0.0518</v>
      </c>
    </row>
    <row r="4073" customFormat="false" ht="15" hidden="false" customHeight="false" outlineLevel="0" collapsed="false">
      <c r="A4073" s="1" t="s">
        <v>4108</v>
      </c>
      <c r="B4073" s="1" t="s">
        <v>41</v>
      </c>
      <c r="C4073" s="1" t="n">
        <v>728000</v>
      </c>
      <c r="D4073" s="1" t="n">
        <v>2183</v>
      </c>
      <c r="E4073" s="1" t="n">
        <v>0.0803</v>
      </c>
      <c r="F4073" s="1" t="n">
        <v>0.0938</v>
      </c>
    </row>
    <row r="4074" customFormat="false" ht="15" hidden="false" customHeight="false" outlineLevel="0" collapsed="false">
      <c r="A4074" s="1" t="s">
        <v>4109</v>
      </c>
      <c r="B4074" s="1" t="s">
        <v>26</v>
      </c>
      <c r="C4074" s="1" t="n">
        <v>1030000</v>
      </c>
      <c r="D4074" s="1" t="n">
        <v>29502.2</v>
      </c>
      <c r="E4074" s="1" t="n">
        <v>0.0241</v>
      </c>
      <c r="F4074" s="1" t="n">
        <v>0.0678</v>
      </c>
    </row>
    <row r="4075" customFormat="false" ht="15" hidden="false" customHeight="false" outlineLevel="0" collapsed="false">
      <c r="A4075" s="1" t="s">
        <v>4110</v>
      </c>
      <c r="B4075" s="1" t="s">
        <v>50</v>
      </c>
      <c r="C4075" s="1" t="n">
        <v>769000</v>
      </c>
      <c r="D4075" s="1" t="n">
        <v>475666.8</v>
      </c>
      <c r="E4075" s="1" t="n">
        <v>0.0489</v>
      </c>
      <c r="F4075" s="1" t="n">
        <v>0.0518</v>
      </c>
    </row>
    <row r="4076" customFormat="false" ht="15" hidden="false" customHeight="false" outlineLevel="0" collapsed="false">
      <c r="A4076" s="1" t="s">
        <v>4111</v>
      </c>
      <c r="B4076" s="1" t="s">
        <v>26</v>
      </c>
      <c r="C4076" s="1" t="n">
        <v>835000</v>
      </c>
      <c r="D4076" s="1" t="n">
        <v>100.1</v>
      </c>
      <c r="E4076" s="1" t="n">
        <v>0.0017</v>
      </c>
      <c r="F4076" s="1" t="n">
        <v>0.2121</v>
      </c>
    </row>
    <row r="4077" customFormat="false" ht="15" hidden="false" customHeight="false" outlineLevel="0" collapsed="false">
      <c r="A4077" s="1" t="s">
        <v>4112</v>
      </c>
      <c r="B4077" s="1" t="s">
        <v>41</v>
      </c>
      <c r="C4077" s="1" t="n">
        <v>801000</v>
      </c>
      <c r="D4077" s="1" t="n">
        <v>3837.3</v>
      </c>
      <c r="E4077" s="1" t="n">
        <v>0.0108</v>
      </c>
      <c r="F4077" s="1" t="n">
        <v>0.0811</v>
      </c>
    </row>
    <row r="4078" customFormat="false" ht="15" hidden="false" customHeight="false" outlineLevel="0" collapsed="false">
      <c r="A4078" s="1" t="s">
        <v>4113</v>
      </c>
      <c r="B4078" s="1" t="s">
        <v>26</v>
      </c>
      <c r="C4078" s="1" t="n">
        <v>853000</v>
      </c>
      <c r="D4078" s="1" t="n">
        <v>231147</v>
      </c>
      <c r="E4078" s="1" t="n">
        <v>0.0174</v>
      </c>
      <c r="F4078" s="1" t="n">
        <v>0.0462</v>
      </c>
    </row>
    <row r="4079" customFormat="false" ht="15" hidden="false" customHeight="false" outlineLevel="0" collapsed="false">
      <c r="A4079" s="1" t="s">
        <v>4114</v>
      </c>
      <c r="B4079" s="1" t="s">
        <v>32</v>
      </c>
      <c r="C4079" s="1" t="n">
        <v>712000</v>
      </c>
      <c r="D4079" s="1" t="n">
        <v>79809.5</v>
      </c>
      <c r="E4079" s="1" t="n">
        <v>0.0118</v>
      </c>
      <c r="F4079" s="1" t="n">
        <v>0.0822</v>
      </c>
    </row>
    <row r="4080" customFormat="false" ht="15" hidden="false" customHeight="false" outlineLevel="0" collapsed="false">
      <c r="A4080" s="1" t="s">
        <v>4115</v>
      </c>
      <c r="B4080" s="1" t="s">
        <v>24</v>
      </c>
      <c r="C4080" s="1" t="n">
        <v>628000</v>
      </c>
      <c r="D4080" s="1" t="n">
        <v>20609.5</v>
      </c>
      <c r="E4080" s="1" t="n">
        <v>0.0358</v>
      </c>
      <c r="F4080" s="1" t="n">
        <v>0.0951</v>
      </c>
    </row>
    <row r="4081" customFormat="false" ht="15" hidden="false" customHeight="false" outlineLevel="0" collapsed="false">
      <c r="A4081" s="1" t="s">
        <v>4116</v>
      </c>
      <c r="B4081" s="1" t="s">
        <v>24</v>
      </c>
      <c r="C4081" s="1" t="n">
        <v>797000</v>
      </c>
      <c r="D4081" s="1" t="n">
        <v>2615.9</v>
      </c>
      <c r="E4081" s="1" t="n">
        <v>0.0228</v>
      </c>
      <c r="F4081" s="1" t="n">
        <v>0.0895</v>
      </c>
    </row>
    <row r="4082" customFormat="false" ht="15" hidden="false" customHeight="false" outlineLevel="0" collapsed="false">
      <c r="A4082" s="1" t="s">
        <v>4117</v>
      </c>
      <c r="B4082" s="1" t="s">
        <v>214</v>
      </c>
      <c r="C4082" s="1" t="n">
        <v>613000</v>
      </c>
      <c r="D4082" s="1" t="n">
        <v>4484</v>
      </c>
      <c r="E4082" s="1" t="n">
        <v>0.0212</v>
      </c>
      <c r="F4082" s="1" t="n">
        <v>0.0546</v>
      </c>
    </row>
    <row r="4083" customFormat="false" ht="15" hidden="false" customHeight="false" outlineLevel="0" collapsed="false">
      <c r="A4083" s="1" t="s">
        <v>4118</v>
      </c>
      <c r="B4083" s="1" t="s">
        <v>26</v>
      </c>
      <c r="C4083" s="1" t="n">
        <v>1020000</v>
      </c>
      <c r="D4083" s="1" t="n">
        <v>48337.4</v>
      </c>
      <c r="E4083" s="1" t="n">
        <v>0.0553</v>
      </c>
      <c r="F4083" s="1" t="n">
        <v>0.0759</v>
      </c>
    </row>
    <row r="4084" customFormat="false" ht="15" hidden="false" customHeight="false" outlineLevel="0" collapsed="false">
      <c r="A4084" s="1" t="s">
        <v>4119</v>
      </c>
      <c r="B4084" s="1" t="s">
        <v>88</v>
      </c>
      <c r="C4084" s="1" t="n">
        <v>865000</v>
      </c>
      <c r="D4084" s="1" t="n">
        <v>2210.5</v>
      </c>
      <c r="E4084" s="1" t="n">
        <v>0.0761</v>
      </c>
      <c r="F4084" s="1" t="n">
        <v>0.0938</v>
      </c>
    </row>
    <row r="4085" customFormat="false" ht="15" hidden="false" customHeight="false" outlineLevel="0" collapsed="false">
      <c r="A4085" s="1" t="s">
        <v>4120</v>
      </c>
      <c r="B4085" s="1" t="s">
        <v>81</v>
      </c>
      <c r="C4085" s="1" t="n">
        <v>718000</v>
      </c>
      <c r="D4085" s="1" t="n">
        <v>33268.2</v>
      </c>
      <c r="E4085" s="1" t="n">
        <v>0.0217</v>
      </c>
      <c r="F4085" s="1" t="n">
        <v>0.0765</v>
      </c>
    </row>
    <row r="4086" customFormat="false" ht="15" hidden="false" customHeight="false" outlineLevel="0" collapsed="false">
      <c r="A4086" s="1" t="s">
        <v>4121</v>
      </c>
      <c r="B4086" s="1" t="s">
        <v>28</v>
      </c>
      <c r="C4086" s="1" t="n">
        <v>720000</v>
      </c>
      <c r="D4086" s="1" t="n">
        <v>3051.7</v>
      </c>
      <c r="E4086" s="1" t="n">
        <v>0.0639</v>
      </c>
      <c r="F4086" s="1" t="n">
        <v>0.0759</v>
      </c>
    </row>
    <row r="4087" customFormat="false" ht="15" hidden="false" customHeight="false" outlineLevel="0" collapsed="false">
      <c r="A4087" s="1" t="s">
        <v>4122</v>
      </c>
      <c r="B4087" s="1" t="s">
        <v>24</v>
      </c>
      <c r="C4087" s="1" t="n">
        <v>692000</v>
      </c>
      <c r="D4087" s="1" t="n">
        <v>1114.8</v>
      </c>
      <c r="E4087" s="1" t="n">
        <v>0.1018</v>
      </c>
      <c r="F4087" s="1" t="n">
        <v>0.0938</v>
      </c>
    </row>
    <row r="4088" customFormat="false" ht="15" hidden="false" customHeight="false" outlineLevel="0" collapsed="false">
      <c r="A4088" s="1" t="s">
        <v>4123</v>
      </c>
      <c r="B4088" s="1" t="s">
        <v>287</v>
      </c>
      <c r="C4088" s="1" t="n">
        <v>716000</v>
      </c>
      <c r="D4088" s="1" t="n">
        <v>1103981.8</v>
      </c>
      <c r="E4088" s="1" t="n">
        <v>0.0166</v>
      </c>
      <c r="F4088" s="1" t="n">
        <v>0.0585</v>
      </c>
    </row>
    <row r="4089" customFormat="false" ht="15" hidden="false" customHeight="false" outlineLevel="0" collapsed="false">
      <c r="A4089" s="1" t="s">
        <v>4124</v>
      </c>
      <c r="B4089" s="1" t="s">
        <v>287</v>
      </c>
      <c r="C4089" s="1" t="n">
        <v>633000</v>
      </c>
      <c r="D4089" s="1" t="n">
        <v>1630.6</v>
      </c>
      <c r="E4089" s="1" t="n">
        <v>0.0086</v>
      </c>
      <c r="F4089" s="1" t="n">
        <v>0.1471</v>
      </c>
    </row>
    <row r="4090" customFormat="false" ht="15" hidden="false" customHeight="false" outlineLevel="0" collapsed="false">
      <c r="A4090" s="1" t="s">
        <v>4125</v>
      </c>
      <c r="B4090" s="1" t="s">
        <v>21</v>
      </c>
      <c r="C4090" s="1" t="n">
        <v>971000</v>
      </c>
      <c r="D4090" s="1" t="n">
        <v>163347.9</v>
      </c>
      <c r="E4090" s="1" t="n">
        <v>0.0343</v>
      </c>
      <c r="F4090" s="1" t="n">
        <v>0.0938</v>
      </c>
    </row>
    <row r="4091" customFormat="false" ht="15" hidden="false" customHeight="false" outlineLevel="0" collapsed="false">
      <c r="A4091" s="1" t="s">
        <v>4126</v>
      </c>
      <c r="B4091" s="1" t="s">
        <v>41</v>
      </c>
      <c r="C4091" s="1" t="n">
        <v>1080000</v>
      </c>
      <c r="D4091" s="1" t="n">
        <v>41733.9</v>
      </c>
      <c r="E4091" s="1" t="n">
        <v>0.0311</v>
      </c>
      <c r="F4091" s="1" t="n">
        <v>0.0938</v>
      </c>
    </row>
    <row r="4092" customFormat="false" ht="15" hidden="false" customHeight="false" outlineLevel="0" collapsed="false">
      <c r="A4092" s="1" t="s">
        <v>4127</v>
      </c>
      <c r="B4092" s="1" t="s">
        <v>26</v>
      </c>
      <c r="C4092" s="1" t="n">
        <v>609000</v>
      </c>
      <c r="D4092" s="1" t="n">
        <v>153180.5</v>
      </c>
      <c r="E4092" s="1" t="n">
        <v>0.0275</v>
      </c>
      <c r="F4092" s="1" t="n">
        <v>0.0409</v>
      </c>
    </row>
    <row r="4093" customFormat="false" ht="15" hidden="false" customHeight="false" outlineLevel="0" collapsed="false">
      <c r="A4093" s="1" t="s">
        <v>4128</v>
      </c>
      <c r="B4093" s="1" t="s">
        <v>214</v>
      </c>
      <c r="C4093" s="1" t="n">
        <v>1090000</v>
      </c>
      <c r="D4093" s="1" t="n">
        <v>9867</v>
      </c>
      <c r="F4093" s="1" t="n">
        <v>0.0409</v>
      </c>
    </row>
    <row r="4094" customFormat="false" ht="15" hidden="false" customHeight="false" outlineLevel="0" collapsed="false">
      <c r="A4094" s="1" t="s">
        <v>4129</v>
      </c>
      <c r="B4094" s="1" t="s">
        <v>26</v>
      </c>
      <c r="C4094" s="1" t="n">
        <v>1250000</v>
      </c>
      <c r="D4094" s="1" t="n">
        <v>205831.3</v>
      </c>
      <c r="E4094" s="1" t="n">
        <v>0.0578</v>
      </c>
      <c r="F4094" s="1" t="n">
        <v>0.0672</v>
      </c>
    </row>
    <row r="4095" customFormat="false" ht="15" hidden="false" customHeight="false" outlineLevel="0" collapsed="false">
      <c r="A4095" s="1" t="s">
        <v>4130</v>
      </c>
      <c r="B4095" s="1" t="s">
        <v>88</v>
      </c>
      <c r="C4095" s="1" t="n">
        <v>1200000</v>
      </c>
      <c r="D4095" s="1" t="n">
        <v>8546.2</v>
      </c>
      <c r="E4095" s="1" t="n">
        <v>0.0058</v>
      </c>
      <c r="F4095" s="1" t="n">
        <v>0.0811</v>
      </c>
    </row>
    <row r="4096" customFormat="false" ht="15" hidden="false" customHeight="false" outlineLevel="0" collapsed="false">
      <c r="A4096" s="1" t="s">
        <v>4131</v>
      </c>
      <c r="B4096" s="1" t="s">
        <v>21</v>
      </c>
      <c r="C4096" s="1" t="n">
        <v>715000</v>
      </c>
      <c r="D4096" s="1" t="n">
        <v>7743.1</v>
      </c>
      <c r="E4096" s="1" t="n">
        <v>0.0258</v>
      </c>
      <c r="F4096" s="1" t="n">
        <v>0.0409</v>
      </c>
    </row>
    <row r="4097" customFormat="false" ht="15" hidden="false" customHeight="false" outlineLevel="0" collapsed="false">
      <c r="A4097" s="1" t="s">
        <v>4132</v>
      </c>
      <c r="B4097" s="1" t="s">
        <v>62</v>
      </c>
      <c r="C4097" s="1" t="n">
        <v>887000</v>
      </c>
      <c r="D4097" s="1" t="n">
        <v>3940.8</v>
      </c>
      <c r="E4097" s="1" t="n">
        <v>0.0463</v>
      </c>
      <c r="F4097" s="1" t="n">
        <v>0.0759</v>
      </c>
    </row>
    <row r="4098" customFormat="false" ht="15" hidden="false" customHeight="false" outlineLevel="0" collapsed="false">
      <c r="A4098" s="1" t="s">
        <v>4133</v>
      </c>
      <c r="B4098" s="1" t="s">
        <v>92</v>
      </c>
      <c r="C4098" s="1" t="n">
        <v>692000</v>
      </c>
      <c r="D4098" s="1" t="n">
        <v>40219</v>
      </c>
      <c r="E4098" s="1" t="n">
        <v>0.0173</v>
      </c>
      <c r="F4098" s="1" t="n">
        <v>0.0757</v>
      </c>
    </row>
    <row r="4099" customFormat="false" ht="15" hidden="false" customHeight="false" outlineLevel="0" collapsed="false">
      <c r="A4099" s="1" t="s">
        <v>4134</v>
      </c>
      <c r="B4099" s="1" t="s">
        <v>26</v>
      </c>
      <c r="C4099" s="1" t="n">
        <v>907000</v>
      </c>
      <c r="D4099" s="1" t="n">
        <v>250498.7</v>
      </c>
      <c r="E4099" s="1" t="n">
        <v>0.0146</v>
      </c>
      <c r="F4099" s="1" t="n">
        <v>0.0616</v>
      </c>
    </row>
    <row r="4100" customFormat="false" ht="15" hidden="false" customHeight="false" outlineLevel="0" collapsed="false">
      <c r="A4100" s="1" t="s">
        <v>4135</v>
      </c>
      <c r="B4100" s="1" t="s">
        <v>88</v>
      </c>
      <c r="C4100" s="1" t="n">
        <v>1000000</v>
      </c>
      <c r="D4100" s="1" t="n">
        <v>19703.2</v>
      </c>
      <c r="E4100" s="1" t="n">
        <v>0.0406</v>
      </c>
      <c r="F4100" s="1" t="n">
        <v>0.0951</v>
      </c>
    </row>
    <row r="4101" customFormat="false" ht="15" hidden="false" customHeight="false" outlineLevel="0" collapsed="false">
      <c r="A4101" s="1" t="s">
        <v>4136</v>
      </c>
      <c r="B4101" s="1" t="s">
        <v>26</v>
      </c>
      <c r="C4101" s="1" t="n">
        <v>715000</v>
      </c>
      <c r="D4101" s="1" t="n">
        <v>227919.2</v>
      </c>
      <c r="E4101" s="1" t="n">
        <v>0.0152</v>
      </c>
      <c r="F4101" s="1" t="n">
        <v>0.0757</v>
      </c>
    </row>
    <row r="4102" customFormat="false" ht="15" hidden="false" customHeight="false" outlineLevel="0" collapsed="false">
      <c r="A4102" s="1" t="s">
        <v>4137</v>
      </c>
      <c r="B4102" s="1" t="s">
        <v>71</v>
      </c>
      <c r="C4102" s="1" t="n">
        <v>713000</v>
      </c>
      <c r="D4102" s="1" t="n">
        <v>13143</v>
      </c>
      <c r="E4102" s="1" t="n">
        <v>0.0524</v>
      </c>
      <c r="F4102" s="1" t="n">
        <v>0.0938</v>
      </c>
    </row>
    <row r="4103" customFormat="false" ht="15" hidden="false" customHeight="false" outlineLevel="0" collapsed="false">
      <c r="A4103" s="1" t="s">
        <v>4138</v>
      </c>
      <c r="B4103" s="1" t="s">
        <v>214</v>
      </c>
      <c r="C4103" s="1" t="n">
        <v>663000</v>
      </c>
      <c r="D4103" s="1" t="n">
        <v>1123.8</v>
      </c>
      <c r="E4103" s="1" t="n">
        <v>0.0078</v>
      </c>
      <c r="F4103" s="1" t="n">
        <v>0.1015</v>
      </c>
    </row>
    <row r="4104" customFormat="false" ht="15" hidden="false" customHeight="false" outlineLevel="0" collapsed="false">
      <c r="A4104" s="1" t="s">
        <v>4139</v>
      </c>
      <c r="B4104" s="1" t="s">
        <v>92</v>
      </c>
      <c r="C4104" s="1" t="n">
        <v>629000</v>
      </c>
      <c r="D4104" s="1" t="n">
        <v>25647.3</v>
      </c>
      <c r="E4104" s="1" t="n">
        <v>0.0289</v>
      </c>
      <c r="F4104" s="1" t="n">
        <v>0.0518</v>
      </c>
    </row>
    <row r="4105" customFormat="false" ht="15" hidden="false" customHeight="false" outlineLevel="0" collapsed="false">
      <c r="A4105" s="1" t="s">
        <v>4140</v>
      </c>
      <c r="B4105" s="1" t="s">
        <v>62</v>
      </c>
      <c r="C4105" s="1" t="n">
        <v>849000</v>
      </c>
      <c r="D4105" s="1" t="n">
        <v>4053</v>
      </c>
      <c r="E4105" s="1" t="n">
        <v>0.0518</v>
      </c>
      <c r="F4105" s="1" t="n">
        <v>0.0759</v>
      </c>
    </row>
    <row r="4106" customFormat="false" ht="15" hidden="false" customHeight="false" outlineLevel="0" collapsed="false">
      <c r="A4106" s="1" t="s">
        <v>4141</v>
      </c>
      <c r="B4106" s="1" t="s">
        <v>81</v>
      </c>
      <c r="C4106" s="1" t="n">
        <v>726000</v>
      </c>
      <c r="D4106" s="1" t="n">
        <v>51981.3</v>
      </c>
      <c r="E4106" s="1" t="n">
        <v>0.0682</v>
      </c>
      <c r="F4106" s="1" t="n">
        <v>0.0759</v>
      </c>
    </row>
    <row r="4107" customFormat="false" ht="15" hidden="false" customHeight="false" outlineLevel="0" collapsed="false">
      <c r="A4107" s="1" t="s">
        <v>4142</v>
      </c>
      <c r="B4107" s="1" t="s">
        <v>21</v>
      </c>
      <c r="C4107" s="1" t="n">
        <v>854000</v>
      </c>
      <c r="D4107" s="1" t="n">
        <v>63848.3</v>
      </c>
      <c r="E4107" s="1" t="n">
        <v>0.0251</v>
      </c>
      <c r="F4107" s="1" t="n">
        <v>0.0412</v>
      </c>
    </row>
    <row r="4108" customFormat="false" ht="15" hidden="false" customHeight="false" outlineLevel="0" collapsed="false">
      <c r="A4108" s="1" t="s">
        <v>4143</v>
      </c>
      <c r="B4108" s="1" t="s">
        <v>24</v>
      </c>
      <c r="C4108" s="1" t="n">
        <v>848000</v>
      </c>
      <c r="D4108" s="1" t="n">
        <v>1432.5</v>
      </c>
      <c r="E4108" s="1" t="n">
        <v>0.0177</v>
      </c>
      <c r="F4108" s="1" t="n">
        <v>0.1449</v>
      </c>
    </row>
    <row r="4109" customFormat="false" ht="15" hidden="false" customHeight="false" outlineLevel="0" collapsed="false">
      <c r="A4109" s="1" t="s">
        <v>4144</v>
      </c>
      <c r="B4109" s="1" t="s">
        <v>26</v>
      </c>
      <c r="C4109" s="1" t="n">
        <v>657000</v>
      </c>
      <c r="D4109" s="1" t="n">
        <v>9517198.1</v>
      </c>
      <c r="E4109" s="1" t="n">
        <v>0.0349</v>
      </c>
      <c r="F4109" s="1" t="n">
        <v>0.0518</v>
      </c>
    </row>
    <row r="4110" customFormat="false" ht="15" hidden="false" customHeight="false" outlineLevel="0" collapsed="false">
      <c r="A4110" s="1" t="s">
        <v>4145</v>
      </c>
      <c r="B4110" s="1" t="s">
        <v>62</v>
      </c>
      <c r="C4110" s="1" t="n">
        <v>828000</v>
      </c>
      <c r="D4110" s="1" t="n">
        <v>26982.5</v>
      </c>
      <c r="E4110" s="1" t="n">
        <v>0.0136</v>
      </c>
      <c r="F4110" s="1" t="n">
        <v>0.0462</v>
      </c>
    </row>
    <row r="4111" customFormat="false" ht="15" hidden="false" customHeight="false" outlineLevel="0" collapsed="false">
      <c r="A4111" s="1" t="s">
        <v>4146</v>
      </c>
      <c r="B4111" s="1" t="s">
        <v>92</v>
      </c>
      <c r="C4111" s="1" t="n">
        <v>660000</v>
      </c>
      <c r="D4111" s="1" t="n">
        <v>22659.7</v>
      </c>
      <c r="E4111" s="1" t="n">
        <v>0.0249</v>
      </c>
      <c r="F4111" s="1" t="n">
        <v>0.0938</v>
      </c>
    </row>
    <row r="4112" customFormat="false" ht="15" hidden="false" customHeight="false" outlineLevel="0" collapsed="false">
      <c r="A4112" s="1" t="s">
        <v>4147</v>
      </c>
      <c r="B4112" s="1" t="s">
        <v>88</v>
      </c>
      <c r="C4112" s="1" t="n">
        <v>735000</v>
      </c>
      <c r="D4112" s="1" t="n">
        <v>12414.1</v>
      </c>
      <c r="E4112" s="1" t="n">
        <v>0.0211</v>
      </c>
      <c r="F4112" s="1" t="n">
        <v>0.0759</v>
      </c>
    </row>
    <row r="4113" customFormat="false" ht="15" hidden="false" customHeight="false" outlineLevel="0" collapsed="false">
      <c r="A4113" s="1" t="s">
        <v>4148</v>
      </c>
      <c r="B4113" s="1" t="s">
        <v>26</v>
      </c>
      <c r="C4113" s="1" t="n">
        <v>1040000</v>
      </c>
      <c r="D4113" s="1" t="n">
        <v>20441.3</v>
      </c>
      <c r="F4113" s="1" t="n">
        <v>0.0518</v>
      </c>
    </row>
    <row r="4114" customFormat="false" ht="15" hidden="false" customHeight="false" outlineLevel="0" collapsed="false">
      <c r="A4114" s="1" t="s">
        <v>4149</v>
      </c>
      <c r="B4114" s="1" t="s">
        <v>24</v>
      </c>
      <c r="C4114" s="1" t="n">
        <v>650000</v>
      </c>
      <c r="D4114" s="1" t="n">
        <v>348</v>
      </c>
      <c r="E4114" s="1" t="n">
        <v>0.027</v>
      </c>
      <c r="F4114" s="1" t="n">
        <v>0.0759</v>
      </c>
    </row>
    <row r="4115" customFormat="false" ht="15" hidden="false" customHeight="false" outlineLevel="0" collapsed="false">
      <c r="A4115" s="1" t="s">
        <v>4150</v>
      </c>
      <c r="B4115" s="1" t="s">
        <v>26</v>
      </c>
      <c r="C4115" s="1" t="n">
        <v>784000</v>
      </c>
      <c r="D4115" s="1" t="n">
        <v>58047.6</v>
      </c>
      <c r="E4115" s="1" t="n">
        <v>0.0747</v>
      </c>
      <c r="F4115" s="1" t="n">
        <v>0.0759</v>
      </c>
    </row>
    <row r="4116" customFormat="false" ht="15" hidden="false" customHeight="false" outlineLevel="0" collapsed="false">
      <c r="A4116" s="1" t="s">
        <v>4151</v>
      </c>
      <c r="B4116" s="1" t="s">
        <v>26</v>
      </c>
      <c r="C4116" s="1" t="n">
        <v>1280000</v>
      </c>
      <c r="D4116" s="1" t="n">
        <v>150863.7</v>
      </c>
      <c r="E4116" s="1" t="n">
        <v>0.0497</v>
      </c>
      <c r="F4116" s="1" t="n">
        <v>0.0409</v>
      </c>
    </row>
    <row r="4117" customFormat="false" ht="15" hidden="false" customHeight="false" outlineLevel="0" collapsed="false">
      <c r="A4117" s="1" t="s">
        <v>4152</v>
      </c>
      <c r="B4117" s="1" t="s">
        <v>26</v>
      </c>
      <c r="C4117" s="1" t="n">
        <v>1450000</v>
      </c>
      <c r="D4117" s="1" t="n">
        <v>6567.8</v>
      </c>
      <c r="E4117" s="1" t="n">
        <v>0.0552</v>
      </c>
      <c r="F4117" s="1" t="n">
        <v>0.051</v>
      </c>
    </row>
    <row r="4118" customFormat="false" ht="15" hidden="false" customHeight="false" outlineLevel="0" collapsed="false">
      <c r="A4118" s="1" t="s">
        <v>4153</v>
      </c>
      <c r="B4118" s="1" t="s">
        <v>24</v>
      </c>
      <c r="C4118" s="1" t="n">
        <v>1680000</v>
      </c>
      <c r="D4118" s="1" t="n">
        <v>160315.3</v>
      </c>
      <c r="E4118" s="1" t="n">
        <v>0.0318</v>
      </c>
      <c r="F4118" s="1" t="n">
        <v>0.1688</v>
      </c>
    </row>
    <row r="4119" customFormat="false" ht="15" hidden="false" customHeight="false" outlineLevel="0" collapsed="false">
      <c r="A4119" s="1" t="s">
        <v>4154</v>
      </c>
      <c r="B4119" s="1" t="s">
        <v>92</v>
      </c>
      <c r="C4119" s="1" t="n">
        <v>662000</v>
      </c>
      <c r="D4119" s="1" t="n">
        <v>6423.4</v>
      </c>
      <c r="E4119" s="1" t="n">
        <v>0.0121</v>
      </c>
      <c r="F4119" s="1" t="n">
        <v>0.0765</v>
      </c>
    </row>
    <row r="4120" customFormat="false" ht="15" hidden="false" customHeight="false" outlineLevel="0" collapsed="false">
      <c r="A4120" s="1" t="s">
        <v>4155</v>
      </c>
      <c r="B4120" s="1" t="s">
        <v>24</v>
      </c>
      <c r="C4120" s="1" t="n">
        <v>1140000</v>
      </c>
      <c r="D4120" s="1" t="n">
        <v>12948.6</v>
      </c>
      <c r="E4120" s="1" t="n">
        <v>0.0169</v>
      </c>
      <c r="F4120" s="1" t="n">
        <v>0.169</v>
      </c>
    </row>
    <row r="4121" customFormat="false" ht="15" hidden="false" customHeight="false" outlineLevel="0" collapsed="false">
      <c r="A4121" s="1" t="s">
        <v>4156</v>
      </c>
      <c r="B4121" s="1" t="s">
        <v>195</v>
      </c>
      <c r="C4121" s="1" t="n">
        <v>858000</v>
      </c>
      <c r="D4121" s="1" t="n">
        <v>1009.8</v>
      </c>
      <c r="E4121" s="1" t="n">
        <v>0.0105</v>
      </c>
      <c r="F4121" s="1" t="n">
        <v>0.0822</v>
      </c>
    </row>
    <row r="4122" customFormat="false" ht="15" hidden="false" customHeight="false" outlineLevel="0" collapsed="false">
      <c r="A4122" s="1" t="s">
        <v>4157</v>
      </c>
      <c r="B4122" s="1" t="s">
        <v>62</v>
      </c>
      <c r="C4122" s="1" t="n">
        <v>645000</v>
      </c>
      <c r="D4122" s="1" t="n">
        <v>2009.5</v>
      </c>
      <c r="E4122" s="1" t="n">
        <v>0.0489</v>
      </c>
      <c r="F4122" s="1" t="n">
        <v>0.0951</v>
      </c>
    </row>
    <row r="4123" customFormat="false" ht="15" hidden="false" customHeight="false" outlineLevel="0" collapsed="false">
      <c r="A4123" s="1" t="s">
        <v>4158</v>
      </c>
      <c r="B4123" s="1" t="s">
        <v>41</v>
      </c>
      <c r="C4123" s="1" t="n">
        <v>787000</v>
      </c>
      <c r="D4123" s="1" t="n">
        <v>11955.8</v>
      </c>
      <c r="E4123" s="1" t="n">
        <v>0.0401</v>
      </c>
      <c r="F4123" s="1" t="n">
        <v>0.0759</v>
      </c>
    </row>
    <row r="4124" customFormat="false" ht="15" hidden="false" customHeight="false" outlineLevel="0" collapsed="false">
      <c r="A4124" s="1" t="s">
        <v>4159</v>
      </c>
      <c r="B4124" s="1" t="s">
        <v>24</v>
      </c>
      <c r="C4124" s="1" t="n">
        <v>639000</v>
      </c>
      <c r="D4124" s="1" t="n">
        <v>4245.5</v>
      </c>
      <c r="E4124" s="1" t="n">
        <v>0.059</v>
      </c>
      <c r="F4124" s="1" t="n">
        <v>0.0951</v>
      </c>
    </row>
    <row r="4125" customFormat="false" ht="15" hidden="false" customHeight="false" outlineLevel="0" collapsed="false">
      <c r="A4125" s="1" t="s">
        <v>4160</v>
      </c>
      <c r="B4125" s="1" t="s">
        <v>490</v>
      </c>
      <c r="C4125" s="1" t="n">
        <v>1090000</v>
      </c>
      <c r="D4125" s="1" t="n">
        <v>144690</v>
      </c>
      <c r="E4125" s="1" t="n">
        <v>0.0523</v>
      </c>
      <c r="F4125" s="1" t="n">
        <v>0.0759</v>
      </c>
    </row>
    <row r="4126" customFormat="false" ht="15" hidden="false" customHeight="false" outlineLevel="0" collapsed="false">
      <c r="A4126" s="1" t="s">
        <v>4161</v>
      </c>
      <c r="B4126" s="1" t="s">
        <v>26</v>
      </c>
      <c r="C4126" s="1" t="n">
        <v>645000</v>
      </c>
      <c r="D4126" s="1" t="n">
        <v>21750.9</v>
      </c>
      <c r="E4126" s="1" t="n">
        <v>0.0237</v>
      </c>
      <c r="F4126" s="1" t="n">
        <v>0.0938</v>
      </c>
    </row>
    <row r="4127" customFormat="false" ht="15" hidden="false" customHeight="false" outlineLevel="0" collapsed="false">
      <c r="A4127" s="1" t="s">
        <v>4162</v>
      </c>
      <c r="B4127" s="1" t="s">
        <v>92</v>
      </c>
      <c r="C4127" s="1" t="n">
        <v>2530000</v>
      </c>
      <c r="D4127" s="1" t="n">
        <v>61171.1</v>
      </c>
      <c r="E4127" s="1" t="n">
        <v>0.0142</v>
      </c>
      <c r="F4127" s="1" t="n">
        <v>0.1027</v>
      </c>
    </row>
    <row r="4128" customFormat="false" ht="15" hidden="false" customHeight="false" outlineLevel="0" collapsed="false">
      <c r="A4128" s="1" t="s">
        <v>4163</v>
      </c>
      <c r="B4128" s="1" t="s">
        <v>74</v>
      </c>
      <c r="C4128" s="1" t="n">
        <v>629000</v>
      </c>
      <c r="D4128" s="1" t="n">
        <v>472</v>
      </c>
      <c r="E4128" s="1" t="n">
        <v>0.0117</v>
      </c>
      <c r="F4128" s="1" t="n">
        <v>0.1067</v>
      </c>
    </row>
    <row r="4129" customFormat="false" ht="15" hidden="false" customHeight="false" outlineLevel="0" collapsed="false">
      <c r="A4129" s="1" t="s">
        <v>4164</v>
      </c>
      <c r="B4129" s="1" t="s">
        <v>92</v>
      </c>
      <c r="C4129" s="1" t="n">
        <v>623000</v>
      </c>
      <c r="D4129" s="1" t="n">
        <v>9504.3</v>
      </c>
      <c r="E4129" s="1" t="n">
        <v>0.0238</v>
      </c>
      <c r="F4129" s="1" t="n">
        <v>0.0951</v>
      </c>
    </row>
    <row r="4130" customFormat="false" ht="15" hidden="false" customHeight="false" outlineLevel="0" collapsed="false">
      <c r="A4130" s="1" t="s">
        <v>4165</v>
      </c>
      <c r="B4130" s="1" t="s">
        <v>88</v>
      </c>
      <c r="C4130" s="1" t="n">
        <v>789000</v>
      </c>
      <c r="D4130" s="1" t="n">
        <v>6829.4</v>
      </c>
      <c r="E4130" s="1" t="n">
        <v>0.0338</v>
      </c>
      <c r="F4130" s="1" t="n">
        <v>0.0938</v>
      </c>
    </row>
    <row r="4131" customFormat="false" ht="15" hidden="false" customHeight="false" outlineLevel="0" collapsed="false">
      <c r="A4131" s="1" t="s">
        <v>4166</v>
      </c>
      <c r="B4131" s="1" t="s">
        <v>26</v>
      </c>
      <c r="C4131" s="1" t="n">
        <v>1820000</v>
      </c>
      <c r="D4131" s="1" t="n">
        <v>622144</v>
      </c>
      <c r="E4131" s="1" t="n">
        <v>0.0433</v>
      </c>
      <c r="F4131" s="1" t="n">
        <v>0.051</v>
      </c>
    </row>
    <row r="4132" customFormat="false" ht="15" hidden="false" customHeight="false" outlineLevel="0" collapsed="false">
      <c r="A4132" s="1" t="s">
        <v>4167</v>
      </c>
      <c r="B4132" s="1" t="s">
        <v>24</v>
      </c>
      <c r="C4132" s="1" t="n">
        <v>818000</v>
      </c>
      <c r="D4132" s="1" t="n">
        <v>13562.2</v>
      </c>
      <c r="E4132" s="1" t="n">
        <v>0.0309</v>
      </c>
      <c r="F4132" s="1" t="n">
        <v>0.0938</v>
      </c>
    </row>
    <row r="4133" customFormat="false" ht="15" hidden="false" customHeight="false" outlineLevel="0" collapsed="false">
      <c r="A4133" s="1" t="s">
        <v>4168</v>
      </c>
      <c r="B4133" s="1" t="s">
        <v>26</v>
      </c>
      <c r="C4133" s="1" t="n">
        <v>2660000</v>
      </c>
      <c r="D4133" s="1" t="n">
        <v>140711.3</v>
      </c>
      <c r="E4133" s="1" t="n">
        <v>0.0071</v>
      </c>
      <c r="F4133" s="1" t="n">
        <v>0.0654</v>
      </c>
    </row>
    <row r="4134" customFormat="false" ht="15" hidden="false" customHeight="false" outlineLevel="0" collapsed="false">
      <c r="A4134" s="1" t="s">
        <v>4169</v>
      </c>
      <c r="B4134" s="1" t="s">
        <v>30</v>
      </c>
      <c r="C4134" s="1" t="n">
        <v>2280000</v>
      </c>
      <c r="D4134" s="1" t="n">
        <v>882124.9</v>
      </c>
      <c r="E4134" s="1" t="n">
        <v>0.0079</v>
      </c>
      <c r="F4134" s="1" t="n">
        <v>0.0654</v>
      </c>
    </row>
    <row r="4135" customFormat="false" ht="15" hidden="false" customHeight="false" outlineLevel="0" collapsed="false">
      <c r="A4135" s="1" t="s">
        <v>4170</v>
      </c>
      <c r="B4135" s="1" t="s">
        <v>26</v>
      </c>
      <c r="C4135" s="1" t="n">
        <v>808000</v>
      </c>
      <c r="D4135" s="1" t="n">
        <v>357826.8</v>
      </c>
      <c r="E4135" s="1" t="n">
        <v>0.0298</v>
      </c>
      <c r="F4135" s="1" t="n">
        <v>0.0518</v>
      </c>
    </row>
    <row r="4136" customFormat="false" ht="15" hidden="false" customHeight="false" outlineLevel="0" collapsed="false">
      <c r="A4136" s="1" t="s">
        <v>4171</v>
      </c>
      <c r="B4136" s="1" t="s">
        <v>490</v>
      </c>
      <c r="C4136" s="1" t="n">
        <v>1170000</v>
      </c>
      <c r="D4136" s="1" t="n">
        <v>11343.1</v>
      </c>
      <c r="E4136" s="1" t="n">
        <v>0.0139</v>
      </c>
      <c r="F4136" s="1" t="n">
        <v>0.0462</v>
      </c>
    </row>
    <row r="4137" customFormat="false" ht="15" hidden="false" customHeight="false" outlineLevel="0" collapsed="false">
      <c r="A4137" s="1" t="s">
        <v>4172</v>
      </c>
      <c r="B4137" s="1" t="s">
        <v>88</v>
      </c>
      <c r="C4137" s="1" t="n">
        <v>609000</v>
      </c>
      <c r="D4137" s="1" t="n">
        <v>2034.8</v>
      </c>
      <c r="E4137" s="1" t="n">
        <v>0.0177</v>
      </c>
      <c r="F4137" s="1" t="n">
        <v>0.131</v>
      </c>
    </row>
    <row r="4138" customFormat="false" ht="15" hidden="false" customHeight="false" outlineLevel="0" collapsed="false">
      <c r="A4138" s="1" t="s">
        <v>4173</v>
      </c>
      <c r="B4138" s="1" t="s">
        <v>41</v>
      </c>
      <c r="C4138" s="1" t="n">
        <v>730000</v>
      </c>
      <c r="D4138" s="1" t="n">
        <v>920.3</v>
      </c>
      <c r="E4138" s="1" t="n">
        <v>0.0109</v>
      </c>
      <c r="F4138" s="1" t="n">
        <v>0.2092</v>
      </c>
    </row>
    <row r="4139" customFormat="false" ht="15" hidden="false" customHeight="false" outlineLevel="0" collapsed="false">
      <c r="A4139" s="1" t="s">
        <v>4174</v>
      </c>
      <c r="B4139" s="1" t="s">
        <v>88</v>
      </c>
      <c r="C4139" s="1" t="n">
        <v>1390000</v>
      </c>
      <c r="D4139" s="1" t="n">
        <v>6227.1</v>
      </c>
      <c r="E4139" s="1" t="n">
        <v>0.0363</v>
      </c>
      <c r="F4139" s="1" t="n">
        <v>0.1043</v>
      </c>
    </row>
    <row r="4140" customFormat="false" ht="15" hidden="false" customHeight="false" outlineLevel="0" collapsed="false">
      <c r="A4140" s="1" t="s">
        <v>4175</v>
      </c>
      <c r="B4140" s="1" t="s">
        <v>287</v>
      </c>
      <c r="C4140" s="1" t="n">
        <v>1280000</v>
      </c>
      <c r="D4140" s="1" t="n">
        <v>88382.4</v>
      </c>
      <c r="E4140" s="1" t="n">
        <v>0.0266</v>
      </c>
      <c r="F4140" s="1" t="n">
        <v>0.0759</v>
      </c>
    </row>
    <row r="4141" customFormat="false" ht="15" hidden="false" customHeight="false" outlineLevel="0" collapsed="false">
      <c r="A4141" s="1" t="s">
        <v>4176</v>
      </c>
      <c r="B4141" s="1" t="s">
        <v>195</v>
      </c>
      <c r="C4141" s="1" t="n">
        <v>708000</v>
      </c>
      <c r="D4141" s="1" t="n">
        <v>3104.3</v>
      </c>
      <c r="E4141" s="1" t="n">
        <v>0.0253</v>
      </c>
      <c r="F4141" s="1" t="n">
        <v>0.051</v>
      </c>
    </row>
    <row r="4142" customFormat="false" ht="15" hidden="false" customHeight="false" outlineLevel="0" collapsed="false">
      <c r="A4142" s="1" t="s">
        <v>4177</v>
      </c>
      <c r="B4142" s="1" t="s">
        <v>71</v>
      </c>
      <c r="C4142" s="1" t="n">
        <v>1320000</v>
      </c>
      <c r="D4142" s="1" t="n">
        <v>8564.8</v>
      </c>
      <c r="E4142" s="1" t="n">
        <v>0.0266</v>
      </c>
      <c r="F4142" s="1" t="n">
        <v>0.0759</v>
      </c>
    </row>
    <row r="4143" customFormat="false" ht="15" hidden="false" customHeight="false" outlineLevel="0" collapsed="false">
      <c r="A4143" s="1" t="s">
        <v>4178</v>
      </c>
      <c r="B4143" s="1" t="s">
        <v>21</v>
      </c>
      <c r="C4143" s="1" t="n">
        <v>910000</v>
      </c>
      <c r="D4143" s="1" t="n">
        <v>145037</v>
      </c>
      <c r="E4143" s="1" t="n">
        <v>0.0378</v>
      </c>
      <c r="F4143" s="1" t="n">
        <v>0.0938</v>
      </c>
    </row>
    <row r="4144" customFormat="false" ht="15" hidden="false" customHeight="false" outlineLevel="0" collapsed="false">
      <c r="A4144" s="1" t="s">
        <v>4179</v>
      </c>
      <c r="B4144" s="1" t="s">
        <v>88</v>
      </c>
      <c r="C4144" s="1" t="n">
        <v>919000</v>
      </c>
      <c r="D4144" s="1" t="n">
        <v>6136.2</v>
      </c>
      <c r="E4144" s="1" t="n">
        <v>0.014</v>
      </c>
      <c r="F4144" s="1" t="n">
        <v>0.1067</v>
      </c>
    </row>
    <row r="4145" customFormat="false" ht="15" hidden="false" customHeight="false" outlineLevel="0" collapsed="false">
      <c r="A4145" s="1" t="s">
        <v>4180</v>
      </c>
      <c r="B4145" s="1" t="s">
        <v>50</v>
      </c>
      <c r="C4145" s="1" t="n">
        <v>670000</v>
      </c>
      <c r="D4145" s="1" t="n">
        <v>6775.1</v>
      </c>
      <c r="E4145" s="1" t="n">
        <v>0.0273</v>
      </c>
      <c r="F4145" s="1" t="n">
        <v>0.0538</v>
      </c>
    </row>
    <row r="4146" customFormat="false" ht="15" hidden="false" customHeight="false" outlineLevel="0" collapsed="false">
      <c r="A4146" s="1" t="s">
        <v>4181</v>
      </c>
      <c r="B4146" s="1" t="s">
        <v>26</v>
      </c>
      <c r="C4146" s="1" t="n">
        <v>607000</v>
      </c>
      <c r="D4146" s="1" t="n">
        <v>1275923.9</v>
      </c>
      <c r="E4146" s="1" t="n">
        <v>0.0176</v>
      </c>
      <c r="F4146" s="1" t="n">
        <v>0.303</v>
      </c>
    </row>
    <row r="4147" customFormat="false" ht="15" hidden="false" customHeight="false" outlineLevel="0" collapsed="false">
      <c r="A4147" s="1" t="s">
        <v>4182</v>
      </c>
      <c r="B4147" s="1" t="s">
        <v>32</v>
      </c>
      <c r="C4147" s="1" t="n">
        <v>797000</v>
      </c>
      <c r="D4147" s="1" t="n">
        <v>1640.5</v>
      </c>
      <c r="E4147" s="1" t="n">
        <v>0.0108</v>
      </c>
      <c r="F4147" s="1" t="n">
        <v>0.1539</v>
      </c>
    </row>
    <row r="4148" customFormat="false" ht="15" hidden="false" customHeight="false" outlineLevel="0" collapsed="false">
      <c r="A4148" s="1" t="s">
        <v>4183</v>
      </c>
      <c r="B4148" s="1" t="s">
        <v>26</v>
      </c>
      <c r="C4148" s="1" t="n">
        <v>850000</v>
      </c>
      <c r="D4148" s="1" t="n">
        <v>30821.3</v>
      </c>
      <c r="E4148" s="1" t="n">
        <v>0.0312</v>
      </c>
      <c r="F4148" s="1" t="n">
        <v>0.0938</v>
      </c>
    </row>
    <row r="4149" customFormat="false" ht="15" hidden="false" customHeight="false" outlineLevel="0" collapsed="false">
      <c r="A4149" s="1" t="s">
        <v>4184</v>
      </c>
      <c r="B4149" s="1" t="s">
        <v>26</v>
      </c>
      <c r="C4149" s="1" t="n">
        <v>831000</v>
      </c>
      <c r="D4149" s="1" t="n">
        <v>74249.1</v>
      </c>
      <c r="E4149" s="1" t="n">
        <v>0.0467</v>
      </c>
      <c r="F4149" s="1" t="n">
        <v>0.0938</v>
      </c>
    </row>
    <row r="4150" customFormat="false" ht="15" hidden="false" customHeight="false" outlineLevel="0" collapsed="false">
      <c r="A4150" s="1" t="s">
        <v>4185</v>
      </c>
      <c r="B4150" s="1" t="s">
        <v>26</v>
      </c>
      <c r="C4150" s="1" t="n">
        <v>791000</v>
      </c>
      <c r="D4150" s="1" t="n">
        <v>158999.9</v>
      </c>
      <c r="E4150" s="1" t="n">
        <v>0.0134</v>
      </c>
      <c r="F4150" s="1" t="n">
        <v>0.1067</v>
      </c>
    </row>
    <row r="4151" customFormat="false" ht="15" hidden="false" customHeight="false" outlineLevel="0" collapsed="false">
      <c r="A4151" s="1" t="s">
        <v>4186</v>
      </c>
      <c r="B4151" s="1" t="s">
        <v>214</v>
      </c>
      <c r="C4151" s="1" t="n">
        <v>765000</v>
      </c>
      <c r="D4151" s="1" t="n">
        <v>2813.4</v>
      </c>
      <c r="E4151" s="1" t="n">
        <v>0.0082</v>
      </c>
      <c r="F4151" s="1" t="n">
        <v>0.0822</v>
      </c>
    </row>
    <row r="4152" customFormat="false" ht="15" hidden="false" customHeight="false" outlineLevel="0" collapsed="false">
      <c r="A4152" s="1" t="s">
        <v>4187</v>
      </c>
      <c r="B4152" s="1" t="s">
        <v>26</v>
      </c>
      <c r="C4152" s="1" t="n">
        <v>977000</v>
      </c>
      <c r="D4152" s="1" t="n">
        <v>12140</v>
      </c>
      <c r="E4152" s="1" t="n">
        <v>0.0143</v>
      </c>
      <c r="F4152" s="1" t="n">
        <v>0.0821</v>
      </c>
    </row>
    <row r="4153" customFormat="false" ht="15" hidden="false" customHeight="false" outlineLevel="0" collapsed="false">
      <c r="A4153" s="1" t="s">
        <v>4188</v>
      </c>
      <c r="B4153" s="1" t="s">
        <v>28</v>
      </c>
      <c r="C4153" s="1" t="n">
        <v>637000</v>
      </c>
      <c r="D4153" s="1" t="n">
        <v>1313.2</v>
      </c>
      <c r="E4153" s="1" t="n">
        <v>0.0044</v>
      </c>
      <c r="F4153" s="1" t="n">
        <v>0.0822</v>
      </c>
    </row>
    <row r="4154" customFormat="false" ht="15" hidden="false" customHeight="false" outlineLevel="0" collapsed="false">
      <c r="A4154" s="1" t="s">
        <v>4189</v>
      </c>
      <c r="B4154" s="1" t="s">
        <v>88</v>
      </c>
      <c r="C4154" s="1" t="n">
        <v>644000</v>
      </c>
      <c r="D4154" s="1" t="n">
        <v>8314.5</v>
      </c>
      <c r="E4154" s="1" t="n">
        <v>0.0224</v>
      </c>
      <c r="F4154" s="1" t="n">
        <v>0.0951</v>
      </c>
    </row>
    <row r="4155" customFormat="false" ht="15" hidden="false" customHeight="false" outlineLevel="0" collapsed="false">
      <c r="A4155" s="1" t="s">
        <v>4190</v>
      </c>
      <c r="B4155" s="1" t="s">
        <v>92</v>
      </c>
      <c r="C4155" s="1" t="n">
        <v>651000</v>
      </c>
      <c r="D4155" s="1" t="n">
        <v>40093.1</v>
      </c>
      <c r="E4155" s="1" t="n">
        <v>0.0205</v>
      </c>
      <c r="F4155" s="1" t="n">
        <v>0.117</v>
      </c>
    </row>
    <row r="4156" customFormat="false" ht="15" hidden="false" customHeight="false" outlineLevel="0" collapsed="false">
      <c r="A4156" s="1" t="s">
        <v>4191</v>
      </c>
      <c r="B4156" s="1" t="s">
        <v>26</v>
      </c>
      <c r="C4156" s="1" t="n">
        <v>1540000</v>
      </c>
      <c r="D4156" s="1" t="n">
        <v>207665.3</v>
      </c>
      <c r="E4156" s="1" t="n">
        <v>0.0583</v>
      </c>
      <c r="F4156" s="1" t="n">
        <v>0.0759</v>
      </c>
    </row>
    <row r="4157" customFormat="false" ht="15" hidden="false" customHeight="false" outlineLevel="0" collapsed="false">
      <c r="A4157" s="1" t="s">
        <v>4192</v>
      </c>
      <c r="B4157" s="1" t="s">
        <v>88</v>
      </c>
      <c r="C4157" s="1" t="n">
        <v>731000</v>
      </c>
      <c r="D4157" s="1" t="n">
        <v>567.7</v>
      </c>
      <c r="E4157" s="1" t="n">
        <v>0.0386</v>
      </c>
      <c r="F4157" s="1" t="n">
        <v>0.0951</v>
      </c>
    </row>
    <row r="4158" customFormat="false" ht="15" hidden="false" customHeight="false" outlineLevel="0" collapsed="false">
      <c r="A4158" s="1" t="s">
        <v>4193</v>
      </c>
      <c r="B4158" s="1" t="s">
        <v>88</v>
      </c>
      <c r="C4158" s="1" t="n">
        <v>620000</v>
      </c>
      <c r="D4158" s="1" t="n">
        <v>2926.3</v>
      </c>
      <c r="E4158" s="1" t="n">
        <v>0.0175</v>
      </c>
      <c r="F4158" s="1" t="n">
        <v>0.2064</v>
      </c>
    </row>
    <row r="4159" customFormat="false" ht="15" hidden="false" customHeight="false" outlineLevel="0" collapsed="false">
      <c r="A4159" s="1" t="s">
        <v>4194</v>
      </c>
      <c r="B4159" s="1" t="s">
        <v>88</v>
      </c>
      <c r="C4159" s="1" t="n">
        <v>704000</v>
      </c>
      <c r="D4159" s="1" t="n">
        <v>17577.5</v>
      </c>
      <c r="E4159" s="1" t="n">
        <v>0.054</v>
      </c>
      <c r="F4159" s="1" t="n">
        <v>0.0759</v>
      </c>
    </row>
    <row r="4160" customFormat="false" ht="15" hidden="false" customHeight="false" outlineLevel="0" collapsed="false">
      <c r="A4160" s="1" t="s">
        <v>4195</v>
      </c>
      <c r="B4160" s="1" t="s">
        <v>92</v>
      </c>
      <c r="C4160" s="1" t="n">
        <v>650000</v>
      </c>
      <c r="D4160" s="1" t="n">
        <v>978.1</v>
      </c>
      <c r="F4160" s="1" t="n">
        <v>0.051</v>
      </c>
    </row>
    <row r="4161" customFormat="false" ht="15" hidden="false" customHeight="false" outlineLevel="0" collapsed="false">
      <c r="A4161" s="1" t="s">
        <v>4196</v>
      </c>
      <c r="B4161" s="1" t="s">
        <v>81</v>
      </c>
      <c r="C4161" s="1" t="n">
        <v>655000</v>
      </c>
      <c r="D4161" s="1" t="n">
        <v>13246</v>
      </c>
      <c r="E4161" s="1" t="n">
        <v>0.0188</v>
      </c>
      <c r="F4161" s="1" t="n">
        <v>0.095</v>
      </c>
    </row>
    <row r="4162" customFormat="false" ht="15" hidden="false" customHeight="false" outlineLevel="0" collapsed="false">
      <c r="A4162" s="1" t="s">
        <v>4197</v>
      </c>
      <c r="B4162" s="1" t="s">
        <v>92</v>
      </c>
      <c r="C4162" s="1" t="n">
        <v>780000</v>
      </c>
      <c r="D4162" s="1" t="n">
        <v>43656.1</v>
      </c>
      <c r="E4162" s="1" t="n">
        <v>0.0121</v>
      </c>
      <c r="F4162" s="1" t="n">
        <v>0.0775</v>
      </c>
    </row>
    <row r="4163" customFormat="false" ht="15" hidden="false" customHeight="false" outlineLevel="0" collapsed="false">
      <c r="A4163" s="1" t="s">
        <v>4198</v>
      </c>
      <c r="B4163" s="1" t="s">
        <v>26</v>
      </c>
      <c r="C4163" s="1" t="n">
        <v>967000</v>
      </c>
      <c r="D4163" s="1" t="n">
        <v>192669.8</v>
      </c>
      <c r="E4163" s="1" t="n">
        <v>0.0208</v>
      </c>
      <c r="F4163" s="1" t="n">
        <v>0.0759</v>
      </c>
    </row>
    <row r="4164" customFormat="false" ht="15" hidden="false" customHeight="false" outlineLevel="0" collapsed="false">
      <c r="A4164" s="1" t="s">
        <v>4199</v>
      </c>
      <c r="B4164" s="1" t="s">
        <v>26</v>
      </c>
      <c r="C4164" s="1" t="n">
        <v>910000</v>
      </c>
      <c r="D4164" s="1" t="n">
        <v>140831.1</v>
      </c>
      <c r="E4164" s="1" t="n">
        <v>0.0205</v>
      </c>
      <c r="F4164" s="1" t="n">
        <v>0.0854</v>
      </c>
    </row>
    <row r="4165" customFormat="false" ht="15" hidden="false" customHeight="false" outlineLevel="0" collapsed="false">
      <c r="A4165" s="1" t="s">
        <v>4200</v>
      </c>
      <c r="B4165" s="1" t="s">
        <v>50</v>
      </c>
      <c r="C4165" s="1" t="n">
        <v>601000</v>
      </c>
      <c r="D4165" s="1" t="n">
        <v>7646.1</v>
      </c>
      <c r="E4165" s="1" t="n">
        <v>0.0173</v>
      </c>
      <c r="F4165" s="1" t="n">
        <v>0.0462</v>
      </c>
    </row>
    <row r="4166" customFormat="false" ht="15" hidden="false" customHeight="false" outlineLevel="0" collapsed="false">
      <c r="A4166" s="1" t="s">
        <v>4201</v>
      </c>
      <c r="B4166" s="1" t="s">
        <v>490</v>
      </c>
      <c r="C4166" s="1" t="n">
        <v>613000</v>
      </c>
      <c r="D4166" s="1" t="n">
        <v>1276</v>
      </c>
      <c r="E4166" s="1" t="n">
        <v>0.0166</v>
      </c>
      <c r="F4166" s="1" t="n">
        <v>0.0584</v>
      </c>
    </row>
    <row r="4167" customFormat="false" ht="15" hidden="false" customHeight="false" outlineLevel="0" collapsed="false">
      <c r="A4167" s="1" t="s">
        <v>4202</v>
      </c>
      <c r="B4167" s="1" t="s">
        <v>41</v>
      </c>
      <c r="C4167" s="1" t="n">
        <v>621000</v>
      </c>
      <c r="D4167" s="1" t="n">
        <v>2874.5</v>
      </c>
      <c r="E4167" s="1" t="n">
        <v>0.0288</v>
      </c>
      <c r="F4167" s="1" t="n">
        <v>0.0951</v>
      </c>
    </row>
    <row r="4168" customFormat="false" ht="15" hidden="false" customHeight="false" outlineLevel="0" collapsed="false">
      <c r="A4168" s="1" t="s">
        <v>4203</v>
      </c>
      <c r="B4168" s="1" t="s">
        <v>26</v>
      </c>
      <c r="C4168" s="1" t="n">
        <v>1560000</v>
      </c>
      <c r="D4168" s="1" t="n">
        <v>650149.6</v>
      </c>
      <c r="F4168" s="1" t="n">
        <v>0.0409</v>
      </c>
    </row>
    <row r="4169" customFormat="false" ht="15" hidden="false" customHeight="false" outlineLevel="0" collapsed="false">
      <c r="A4169" s="1" t="s">
        <v>4204</v>
      </c>
      <c r="B4169" s="1" t="s">
        <v>74</v>
      </c>
      <c r="C4169" s="1" t="n">
        <v>862000</v>
      </c>
      <c r="D4169" s="1" t="n">
        <v>3906.9</v>
      </c>
      <c r="E4169" s="1" t="n">
        <v>0.0253</v>
      </c>
      <c r="F4169" s="1" t="n">
        <v>0.0938</v>
      </c>
    </row>
    <row r="4170" customFormat="false" ht="15" hidden="false" customHeight="false" outlineLevel="0" collapsed="false">
      <c r="A4170" s="1" t="s">
        <v>4205</v>
      </c>
      <c r="B4170" s="1" t="s">
        <v>41</v>
      </c>
      <c r="C4170" s="1" t="n">
        <v>1300000</v>
      </c>
      <c r="D4170" s="1" t="n">
        <v>10781.3</v>
      </c>
      <c r="E4170" s="1" t="n">
        <v>0.036</v>
      </c>
      <c r="F4170" s="1" t="n">
        <v>0.0938</v>
      </c>
    </row>
    <row r="4171" customFormat="false" ht="15" hidden="false" customHeight="false" outlineLevel="0" collapsed="false">
      <c r="A4171" s="1" t="s">
        <v>4206</v>
      </c>
      <c r="B4171" s="1" t="s">
        <v>92</v>
      </c>
      <c r="C4171" s="1" t="n">
        <v>665000</v>
      </c>
      <c r="D4171" s="1" t="n">
        <v>5689.9</v>
      </c>
      <c r="E4171" s="1" t="n">
        <v>0.0083</v>
      </c>
      <c r="F4171" s="1" t="n">
        <v>0.0811</v>
      </c>
    </row>
    <row r="4172" customFormat="false" ht="15" hidden="false" customHeight="false" outlineLevel="0" collapsed="false">
      <c r="A4172" s="1" t="s">
        <v>4207</v>
      </c>
      <c r="B4172" s="1" t="s">
        <v>214</v>
      </c>
      <c r="C4172" s="1" t="n">
        <v>1080000</v>
      </c>
      <c r="D4172" s="1" t="n">
        <v>251</v>
      </c>
      <c r="E4172" s="1" t="n">
        <v>0.0102</v>
      </c>
      <c r="F4172" s="1" t="n">
        <v>0.2267</v>
      </c>
    </row>
    <row r="4173" customFormat="false" ht="15" hidden="false" customHeight="false" outlineLevel="0" collapsed="false">
      <c r="A4173" s="1" t="s">
        <v>4208</v>
      </c>
      <c r="B4173" s="1" t="s">
        <v>35</v>
      </c>
      <c r="C4173" s="1" t="n">
        <v>612000</v>
      </c>
      <c r="D4173" s="1" t="n">
        <v>1490.1</v>
      </c>
      <c r="E4173" s="1" t="n">
        <v>0.0128</v>
      </c>
      <c r="F4173" s="1" t="n">
        <v>0.0616</v>
      </c>
    </row>
    <row r="4174" customFormat="false" ht="15" hidden="false" customHeight="false" outlineLevel="0" collapsed="false">
      <c r="A4174" s="1" t="s">
        <v>4209</v>
      </c>
      <c r="B4174" s="1" t="s">
        <v>490</v>
      </c>
      <c r="C4174" s="1" t="n">
        <v>3700000</v>
      </c>
      <c r="D4174" s="1" t="n">
        <v>696075.8</v>
      </c>
      <c r="E4174" s="1" t="n">
        <v>0.0393</v>
      </c>
      <c r="F4174" s="1" t="n">
        <v>0.0759</v>
      </c>
    </row>
    <row r="4175" customFormat="false" ht="15" hidden="false" customHeight="false" outlineLevel="0" collapsed="false">
      <c r="A4175" s="1" t="s">
        <v>4210</v>
      </c>
      <c r="B4175" s="1" t="s">
        <v>81</v>
      </c>
      <c r="C4175" s="1" t="n">
        <v>618000</v>
      </c>
      <c r="D4175" s="1" t="n">
        <v>40679.6</v>
      </c>
      <c r="E4175" s="1" t="n">
        <v>0.0442</v>
      </c>
      <c r="F4175" s="1" t="n">
        <v>0.0951</v>
      </c>
    </row>
    <row r="4176" customFormat="false" ht="15" hidden="false" customHeight="false" outlineLevel="0" collapsed="false">
      <c r="A4176" s="1" t="s">
        <v>4211</v>
      </c>
      <c r="B4176" s="1" t="s">
        <v>88</v>
      </c>
      <c r="C4176" s="1" t="n">
        <v>875000</v>
      </c>
      <c r="D4176" s="1" t="n">
        <v>4946</v>
      </c>
      <c r="E4176" s="1" t="n">
        <v>0.0383</v>
      </c>
      <c r="F4176" s="1" t="n">
        <v>0.0938</v>
      </c>
    </row>
    <row r="4177" customFormat="false" ht="15" hidden="false" customHeight="false" outlineLevel="0" collapsed="false">
      <c r="A4177" s="1" t="s">
        <v>4212</v>
      </c>
      <c r="B4177" s="1" t="s">
        <v>26</v>
      </c>
      <c r="C4177" s="1" t="n">
        <v>1560000</v>
      </c>
      <c r="D4177" s="1" t="n">
        <v>63489</v>
      </c>
      <c r="E4177" s="1" t="n">
        <v>0.0207</v>
      </c>
      <c r="F4177" s="1" t="n">
        <v>0.0854</v>
      </c>
    </row>
    <row r="4178" customFormat="false" ht="15" hidden="false" customHeight="false" outlineLevel="0" collapsed="false">
      <c r="A4178" s="1" t="s">
        <v>4213</v>
      </c>
      <c r="B4178" s="1" t="s">
        <v>214</v>
      </c>
      <c r="C4178" s="1" t="n">
        <v>929000</v>
      </c>
      <c r="D4178" s="1" t="n">
        <v>1637270.4</v>
      </c>
      <c r="E4178" s="1" t="n">
        <v>0.0089</v>
      </c>
      <c r="F4178" s="1" t="n">
        <v>0.0654</v>
      </c>
    </row>
    <row r="4179" customFormat="false" ht="15" hidden="false" customHeight="false" outlineLevel="0" collapsed="false">
      <c r="A4179" s="1" t="s">
        <v>4214</v>
      </c>
      <c r="B4179" s="1" t="s">
        <v>26</v>
      </c>
      <c r="C4179" s="1" t="n">
        <v>677000</v>
      </c>
      <c r="D4179" s="1" t="n">
        <v>7340</v>
      </c>
      <c r="E4179" s="1" t="n">
        <v>0.0681</v>
      </c>
      <c r="F4179" s="1" t="n">
        <v>0.0938</v>
      </c>
    </row>
    <row r="4180" customFormat="false" ht="15" hidden="false" customHeight="false" outlineLevel="0" collapsed="false">
      <c r="A4180" s="1" t="s">
        <v>4215</v>
      </c>
      <c r="B4180" s="1" t="s">
        <v>26</v>
      </c>
      <c r="C4180" s="1" t="n">
        <v>886000</v>
      </c>
      <c r="D4180" s="1" t="n">
        <v>929974</v>
      </c>
      <c r="E4180" s="1" t="n">
        <v>0.0299</v>
      </c>
      <c r="F4180" s="1" t="n">
        <v>0.0409</v>
      </c>
    </row>
    <row r="4181" customFormat="false" ht="15" hidden="false" customHeight="false" outlineLevel="0" collapsed="false">
      <c r="A4181" s="1" t="s">
        <v>4216</v>
      </c>
      <c r="B4181" s="1" t="s">
        <v>41</v>
      </c>
      <c r="C4181" s="1" t="n">
        <v>657000</v>
      </c>
      <c r="D4181" s="1" t="n">
        <v>32350</v>
      </c>
      <c r="E4181" s="1" t="n">
        <v>0.0136</v>
      </c>
      <c r="F4181" s="1" t="n">
        <v>0.1539</v>
      </c>
    </row>
    <row r="4182" customFormat="false" ht="15" hidden="false" customHeight="false" outlineLevel="0" collapsed="false">
      <c r="A4182" s="1" t="s">
        <v>4217</v>
      </c>
      <c r="B4182" s="1" t="s">
        <v>26</v>
      </c>
      <c r="C4182" s="1" t="n">
        <v>618000</v>
      </c>
      <c r="D4182" s="1" t="n">
        <v>10869.7</v>
      </c>
      <c r="E4182" s="1" t="n">
        <v>0.0347</v>
      </c>
      <c r="F4182" s="1" t="n">
        <v>0.1057</v>
      </c>
    </row>
    <row r="4183" customFormat="false" ht="15" hidden="false" customHeight="false" outlineLevel="0" collapsed="false">
      <c r="A4183" s="1" t="s">
        <v>4218</v>
      </c>
      <c r="B4183" s="1" t="s">
        <v>53</v>
      </c>
      <c r="C4183" s="1" t="n">
        <v>1210000</v>
      </c>
      <c r="D4183" s="1" t="n">
        <v>7871.8</v>
      </c>
      <c r="F4183" s="1" t="n">
        <v>0.0409</v>
      </c>
    </row>
    <row r="4184" customFormat="false" ht="15" hidden="false" customHeight="false" outlineLevel="0" collapsed="false">
      <c r="A4184" s="1" t="s">
        <v>4219</v>
      </c>
      <c r="B4184" s="1" t="s">
        <v>26</v>
      </c>
      <c r="C4184" s="1" t="n">
        <v>646000</v>
      </c>
      <c r="D4184" s="1" t="n">
        <v>1636.4</v>
      </c>
      <c r="E4184" s="1" t="n">
        <v>0.0301</v>
      </c>
      <c r="F4184" s="1" t="n">
        <v>0.0432</v>
      </c>
    </row>
    <row r="4185" customFormat="false" ht="15" hidden="false" customHeight="false" outlineLevel="0" collapsed="false">
      <c r="A4185" s="1" t="s">
        <v>4220</v>
      </c>
      <c r="B4185" s="1" t="s">
        <v>26</v>
      </c>
      <c r="C4185" s="1" t="n">
        <v>641000</v>
      </c>
      <c r="D4185" s="1" t="n">
        <v>22104.4</v>
      </c>
      <c r="E4185" s="1" t="n">
        <v>0.0275</v>
      </c>
      <c r="F4185" s="1" t="n">
        <v>0.0998</v>
      </c>
    </row>
    <row r="4186" customFormat="false" ht="15" hidden="false" customHeight="false" outlineLevel="0" collapsed="false">
      <c r="A4186" s="1" t="s">
        <v>4221</v>
      </c>
      <c r="B4186" s="1" t="s">
        <v>26</v>
      </c>
      <c r="C4186" s="1" t="n">
        <v>665000</v>
      </c>
      <c r="D4186" s="1" t="n">
        <v>16506.1</v>
      </c>
      <c r="E4186" s="1" t="n">
        <v>0.0326</v>
      </c>
      <c r="F4186" s="1" t="n">
        <v>0.0759</v>
      </c>
    </row>
    <row r="4187" customFormat="false" ht="15" hidden="false" customHeight="false" outlineLevel="0" collapsed="false">
      <c r="A4187" s="1" t="s">
        <v>4222</v>
      </c>
      <c r="B4187" s="1" t="s">
        <v>71</v>
      </c>
      <c r="C4187" s="1" t="n">
        <v>906000</v>
      </c>
      <c r="D4187" s="1" t="n">
        <v>4678.3</v>
      </c>
      <c r="E4187" s="1" t="n">
        <v>0.0395</v>
      </c>
      <c r="F4187" s="1" t="n">
        <v>0.0759</v>
      </c>
    </row>
    <row r="4188" customFormat="false" ht="15" hidden="false" customHeight="false" outlineLevel="0" collapsed="false">
      <c r="A4188" s="1" t="s">
        <v>4223</v>
      </c>
      <c r="B4188" s="1" t="s">
        <v>26</v>
      </c>
      <c r="C4188" s="1" t="n">
        <v>749000</v>
      </c>
      <c r="D4188" s="1" t="n">
        <v>30840.2</v>
      </c>
      <c r="E4188" s="1" t="n">
        <v>0.0085</v>
      </c>
      <c r="F4188" s="1" t="n">
        <v>0.1015</v>
      </c>
    </row>
    <row r="4189" customFormat="false" ht="15" hidden="false" customHeight="false" outlineLevel="0" collapsed="false">
      <c r="A4189" s="1" t="s">
        <v>4224</v>
      </c>
      <c r="B4189" s="1" t="s">
        <v>26</v>
      </c>
      <c r="C4189" s="1" t="n">
        <v>793000</v>
      </c>
      <c r="D4189" s="1" t="n">
        <v>5915.1</v>
      </c>
      <c r="F4189" s="1" t="n">
        <v>0.0951</v>
      </c>
    </row>
    <row r="4190" customFormat="false" ht="15" hidden="false" customHeight="false" outlineLevel="0" collapsed="false">
      <c r="A4190" s="1" t="s">
        <v>4225</v>
      </c>
      <c r="B4190" s="1" t="s">
        <v>92</v>
      </c>
      <c r="C4190" s="1" t="n">
        <v>688000</v>
      </c>
      <c r="D4190" s="1" t="n">
        <v>50800.7</v>
      </c>
      <c r="E4190" s="1" t="n">
        <v>0.0242</v>
      </c>
      <c r="F4190" s="1" t="n">
        <v>0.0759</v>
      </c>
    </row>
    <row r="4191" customFormat="false" ht="15" hidden="false" customHeight="false" outlineLevel="0" collapsed="false">
      <c r="A4191" s="1" t="s">
        <v>4226</v>
      </c>
      <c r="B4191" s="1" t="s">
        <v>92</v>
      </c>
      <c r="C4191" s="1" t="n">
        <v>488000</v>
      </c>
      <c r="D4191" s="1" t="n">
        <v>3260.1</v>
      </c>
      <c r="E4191" s="1" t="n">
        <v>0.0157</v>
      </c>
      <c r="F4191" s="1" t="n">
        <v>0.0462</v>
      </c>
    </row>
    <row r="4192" customFormat="false" ht="15" hidden="false" customHeight="false" outlineLevel="0" collapsed="false">
      <c r="A4192" s="1" t="s">
        <v>4227</v>
      </c>
      <c r="B4192" s="1" t="s">
        <v>24</v>
      </c>
      <c r="C4192" s="1" t="n">
        <v>1960000</v>
      </c>
      <c r="D4192" s="1" t="n">
        <v>2040.9</v>
      </c>
      <c r="E4192" s="1" t="n">
        <v>0.0596</v>
      </c>
      <c r="F4192" s="1" t="n">
        <v>0.0938</v>
      </c>
    </row>
    <row r="4193" customFormat="false" ht="15" hidden="false" customHeight="false" outlineLevel="0" collapsed="false">
      <c r="A4193" s="1" t="s">
        <v>4228</v>
      </c>
      <c r="B4193" s="1" t="s">
        <v>24</v>
      </c>
      <c r="C4193" s="1" t="n">
        <v>741000</v>
      </c>
      <c r="D4193" s="1" t="n">
        <v>2337</v>
      </c>
      <c r="E4193" s="1" t="n">
        <v>0.0226</v>
      </c>
      <c r="F4193" s="1" t="n">
        <v>0.0409</v>
      </c>
    </row>
    <row r="4194" customFormat="false" ht="15" hidden="false" customHeight="false" outlineLevel="0" collapsed="false">
      <c r="A4194" s="1" t="s">
        <v>4229</v>
      </c>
      <c r="B4194" s="1" t="s">
        <v>26</v>
      </c>
      <c r="C4194" s="1" t="n">
        <v>813000</v>
      </c>
      <c r="D4194" s="1" t="n">
        <v>13056.7</v>
      </c>
      <c r="E4194" s="1" t="n">
        <v>0.0077</v>
      </c>
      <c r="F4194" s="1" t="n">
        <v>0.0654</v>
      </c>
    </row>
    <row r="4195" customFormat="false" ht="15" hidden="false" customHeight="false" outlineLevel="0" collapsed="false">
      <c r="A4195" s="1" t="s">
        <v>4230</v>
      </c>
      <c r="B4195" s="1" t="s">
        <v>287</v>
      </c>
      <c r="C4195" s="1" t="n">
        <v>609000</v>
      </c>
      <c r="D4195" s="1" t="n">
        <v>78908.6</v>
      </c>
      <c r="E4195" s="1" t="n">
        <v>0.0222</v>
      </c>
      <c r="F4195" s="1" t="n">
        <v>0.0951</v>
      </c>
    </row>
    <row r="4196" customFormat="false" ht="15" hidden="false" customHeight="false" outlineLevel="0" collapsed="false">
      <c r="A4196" s="1" t="s">
        <v>4231</v>
      </c>
      <c r="B4196" s="1" t="s">
        <v>41</v>
      </c>
      <c r="C4196" s="1" t="n">
        <v>1590000</v>
      </c>
      <c r="D4196" s="1" t="n">
        <v>11743.8</v>
      </c>
      <c r="F4196" s="1" t="n">
        <v>0.0409</v>
      </c>
    </row>
    <row r="4197" customFormat="false" ht="15" hidden="false" customHeight="false" outlineLevel="0" collapsed="false">
      <c r="A4197" s="1" t="s">
        <v>4232</v>
      </c>
      <c r="B4197" s="1" t="s">
        <v>24</v>
      </c>
      <c r="C4197" s="1" t="n">
        <v>991000</v>
      </c>
      <c r="D4197" s="1" t="n">
        <v>5363.1</v>
      </c>
      <c r="E4197" s="1" t="n">
        <v>0.0403</v>
      </c>
      <c r="F4197" s="1" t="n">
        <v>0.0938</v>
      </c>
    </row>
    <row r="4198" customFormat="false" ht="15" hidden="false" customHeight="false" outlineLevel="0" collapsed="false">
      <c r="A4198" s="1" t="s">
        <v>4233</v>
      </c>
      <c r="B4198" s="1" t="s">
        <v>26</v>
      </c>
      <c r="C4198" s="1" t="n">
        <v>630000</v>
      </c>
      <c r="D4198" s="1" t="n">
        <v>149258.6</v>
      </c>
      <c r="E4198" s="1" t="n">
        <v>0.0222</v>
      </c>
      <c r="F4198" s="1" t="n">
        <v>0.1067</v>
      </c>
    </row>
    <row r="4199" customFormat="false" ht="15" hidden="false" customHeight="false" outlineLevel="0" collapsed="false">
      <c r="A4199" s="1" t="s">
        <v>4234</v>
      </c>
      <c r="B4199" s="1" t="s">
        <v>287</v>
      </c>
      <c r="C4199" s="1" t="n">
        <v>634000</v>
      </c>
      <c r="D4199" s="1" t="n">
        <v>104966</v>
      </c>
      <c r="E4199" s="1" t="n">
        <v>0.0076</v>
      </c>
      <c r="F4199" s="1" t="n">
        <v>0.1027</v>
      </c>
    </row>
    <row r="4200" customFormat="false" ht="15" hidden="false" customHeight="false" outlineLevel="0" collapsed="false">
      <c r="A4200" s="1" t="s">
        <v>4235</v>
      </c>
      <c r="B4200" s="1" t="s">
        <v>28</v>
      </c>
      <c r="C4200" s="1" t="n">
        <v>995000</v>
      </c>
      <c r="D4200" s="1" t="n">
        <v>26985.5</v>
      </c>
      <c r="E4200" s="1" t="n">
        <v>0.0165</v>
      </c>
      <c r="F4200" s="1" t="n">
        <v>0.0488</v>
      </c>
    </row>
    <row r="4201" customFormat="false" ht="15" hidden="false" customHeight="false" outlineLevel="0" collapsed="false">
      <c r="A4201" s="1" t="s">
        <v>4236</v>
      </c>
      <c r="B4201" s="1" t="s">
        <v>92</v>
      </c>
      <c r="C4201" s="1" t="n">
        <v>525000</v>
      </c>
      <c r="D4201" s="1" t="n">
        <v>1526</v>
      </c>
      <c r="E4201" s="1" t="n">
        <v>0.0279</v>
      </c>
      <c r="F4201" s="1" t="n">
        <v>0.0938</v>
      </c>
    </row>
    <row r="4202" customFormat="false" ht="15" hidden="false" customHeight="false" outlineLevel="0" collapsed="false">
      <c r="A4202" s="1" t="s">
        <v>4237</v>
      </c>
      <c r="B4202" s="1" t="s">
        <v>26</v>
      </c>
      <c r="C4202" s="1" t="n">
        <v>684000</v>
      </c>
      <c r="D4202" s="1" t="n">
        <v>4457.7</v>
      </c>
      <c r="E4202" s="1" t="n">
        <v>0.0152</v>
      </c>
      <c r="F4202" s="1" t="n">
        <v>0.0576</v>
      </c>
    </row>
    <row r="4203" customFormat="false" ht="15" hidden="false" customHeight="false" outlineLevel="0" collapsed="false">
      <c r="A4203" s="1" t="s">
        <v>4238</v>
      </c>
      <c r="B4203" s="1" t="s">
        <v>490</v>
      </c>
      <c r="C4203" s="1" t="n">
        <v>663000</v>
      </c>
      <c r="D4203" s="1" t="n">
        <v>649276.7</v>
      </c>
      <c r="E4203" s="1" t="n">
        <v>0.0458</v>
      </c>
      <c r="F4203" s="1" t="n">
        <v>0.0951</v>
      </c>
    </row>
    <row r="4204" customFormat="false" ht="15" hidden="false" customHeight="false" outlineLevel="0" collapsed="false">
      <c r="A4204" s="1" t="s">
        <v>4239</v>
      </c>
      <c r="B4204" s="1" t="s">
        <v>26</v>
      </c>
      <c r="C4204" s="1" t="n">
        <v>715000</v>
      </c>
      <c r="D4204" s="1" t="n">
        <v>10169.5</v>
      </c>
      <c r="F4204" s="1" t="n">
        <v>0.0409</v>
      </c>
    </row>
    <row r="4205" customFormat="false" ht="15" hidden="false" customHeight="false" outlineLevel="0" collapsed="false">
      <c r="A4205" s="1" t="s">
        <v>4240</v>
      </c>
      <c r="B4205" s="1" t="s">
        <v>50</v>
      </c>
      <c r="C4205" s="1" t="n">
        <v>608000</v>
      </c>
      <c r="D4205" s="1" t="n">
        <v>11230.3</v>
      </c>
      <c r="E4205" s="1" t="n">
        <v>0.0552</v>
      </c>
      <c r="F4205" s="1" t="n">
        <v>0.0938</v>
      </c>
    </row>
    <row r="4206" customFormat="false" ht="15" hidden="false" customHeight="false" outlineLevel="0" collapsed="false">
      <c r="A4206" s="1" t="s">
        <v>4241</v>
      </c>
      <c r="B4206" s="1" t="s">
        <v>26</v>
      </c>
      <c r="C4206" s="1" t="n">
        <v>652000</v>
      </c>
      <c r="D4206" s="1" t="n">
        <v>4145</v>
      </c>
      <c r="E4206" s="1" t="n">
        <v>0.0078</v>
      </c>
      <c r="F4206" s="1" t="n">
        <v>0.0822</v>
      </c>
    </row>
    <row r="4207" customFormat="false" ht="15" hidden="false" customHeight="false" outlineLevel="0" collapsed="false">
      <c r="A4207" s="1" t="s">
        <v>4242</v>
      </c>
      <c r="B4207" s="1" t="s">
        <v>26</v>
      </c>
      <c r="C4207" s="1" t="n">
        <v>597000</v>
      </c>
      <c r="D4207" s="1" t="n">
        <v>2070.2</v>
      </c>
      <c r="F4207" s="1" t="n">
        <v>0.0409</v>
      </c>
    </row>
    <row r="4208" customFormat="false" ht="15" hidden="false" customHeight="false" outlineLevel="0" collapsed="false">
      <c r="A4208" s="1" t="s">
        <v>4243</v>
      </c>
      <c r="B4208" s="1" t="s">
        <v>81</v>
      </c>
      <c r="C4208" s="1" t="n">
        <v>570000</v>
      </c>
      <c r="D4208" s="1" t="n">
        <v>19368.5</v>
      </c>
      <c r="E4208" s="1" t="n">
        <v>0.0259</v>
      </c>
      <c r="F4208" s="1" t="n">
        <v>0.0518</v>
      </c>
    </row>
    <row r="4209" customFormat="false" ht="15" hidden="false" customHeight="false" outlineLevel="0" collapsed="false">
      <c r="A4209" s="1" t="s">
        <v>4244</v>
      </c>
      <c r="B4209" s="1" t="s">
        <v>26</v>
      </c>
      <c r="C4209" s="1" t="n">
        <v>816000</v>
      </c>
      <c r="D4209" s="1" t="n">
        <v>8964.3</v>
      </c>
      <c r="E4209" s="1" t="n">
        <v>0.0263</v>
      </c>
      <c r="F4209" s="1" t="n">
        <v>0.0759</v>
      </c>
    </row>
    <row r="4210" customFormat="false" ht="15" hidden="false" customHeight="false" outlineLevel="0" collapsed="false">
      <c r="A4210" s="1" t="s">
        <v>4245</v>
      </c>
      <c r="B4210" s="1" t="s">
        <v>26</v>
      </c>
      <c r="C4210" s="1" t="n">
        <v>1390000</v>
      </c>
      <c r="D4210" s="1" t="n">
        <v>327623.9</v>
      </c>
      <c r="E4210" s="1" t="n">
        <v>0.0555</v>
      </c>
      <c r="F4210" s="1" t="n">
        <v>0.0759</v>
      </c>
    </row>
    <row r="4211" customFormat="false" ht="15" hidden="false" customHeight="false" outlineLevel="0" collapsed="false">
      <c r="A4211" s="1" t="s">
        <v>4246</v>
      </c>
      <c r="B4211" s="1" t="s">
        <v>30</v>
      </c>
      <c r="C4211" s="1" t="n">
        <v>1140000</v>
      </c>
      <c r="D4211" s="1" t="n">
        <v>9734.4</v>
      </c>
      <c r="E4211" s="1" t="n">
        <v>0.0151</v>
      </c>
      <c r="F4211" s="1" t="n">
        <v>0.0584</v>
      </c>
    </row>
    <row r="4212" customFormat="false" ht="15" hidden="false" customHeight="false" outlineLevel="0" collapsed="false">
      <c r="A4212" s="1" t="s">
        <v>4247</v>
      </c>
      <c r="B4212" s="1" t="s">
        <v>26</v>
      </c>
      <c r="C4212" s="1" t="n">
        <v>623000</v>
      </c>
      <c r="D4212" s="1" t="n">
        <v>527.4</v>
      </c>
      <c r="E4212" s="1" t="n">
        <v>0.0292</v>
      </c>
      <c r="F4212" s="1" t="n">
        <v>0.0679</v>
      </c>
    </row>
    <row r="4213" customFormat="false" ht="15" hidden="false" customHeight="false" outlineLevel="0" collapsed="false">
      <c r="A4213" s="1" t="s">
        <v>4248</v>
      </c>
      <c r="B4213" s="1" t="s">
        <v>195</v>
      </c>
      <c r="C4213" s="1" t="n">
        <v>615000</v>
      </c>
      <c r="D4213" s="1" t="n">
        <v>16612.9</v>
      </c>
      <c r="E4213" s="1" t="n">
        <v>0.0307</v>
      </c>
      <c r="F4213" s="1" t="n">
        <v>0.0951</v>
      </c>
    </row>
    <row r="4214" customFormat="false" ht="15" hidden="false" customHeight="false" outlineLevel="0" collapsed="false">
      <c r="A4214" s="1" t="s">
        <v>4249</v>
      </c>
      <c r="B4214" s="1" t="s">
        <v>24</v>
      </c>
      <c r="C4214" s="1" t="n">
        <v>891000</v>
      </c>
      <c r="D4214" s="1" t="n">
        <v>23229.1</v>
      </c>
      <c r="E4214" s="1" t="n">
        <v>0.0136</v>
      </c>
      <c r="F4214" s="1" t="n">
        <v>0.0854</v>
      </c>
    </row>
    <row r="4215" customFormat="false" ht="15" hidden="false" customHeight="false" outlineLevel="0" collapsed="false">
      <c r="A4215" s="1" t="s">
        <v>4250</v>
      </c>
      <c r="B4215" s="1" t="s">
        <v>88</v>
      </c>
      <c r="C4215" s="1" t="n">
        <v>673000</v>
      </c>
      <c r="D4215" s="1" t="n">
        <v>8224.4</v>
      </c>
      <c r="E4215" s="1" t="n">
        <v>0.0706</v>
      </c>
      <c r="F4215" s="1" t="n">
        <v>0.0938</v>
      </c>
    </row>
    <row r="4216" customFormat="false" ht="15" hidden="false" customHeight="false" outlineLevel="0" collapsed="false">
      <c r="A4216" s="1" t="s">
        <v>4251</v>
      </c>
      <c r="B4216" s="1" t="s">
        <v>24</v>
      </c>
      <c r="C4216" s="1" t="n">
        <v>1870000</v>
      </c>
      <c r="D4216" s="1" t="n">
        <v>14928.9</v>
      </c>
      <c r="E4216" s="1" t="n">
        <v>0.1298</v>
      </c>
      <c r="F4216" s="1" t="n">
        <v>0.0938</v>
      </c>
    </row>
    <row r="4217" customFormat="false" ht="15" hidden="false" customHeight="false" outlineLevel="0" collapsed="false">
      <c r="A4217" s="1" t="s">
        <v>4252</v>
      </c>
      <c r="B4217" s="1" t="s">
        <v>26</v>
      </c>
      <c r="C4217" s="1" t="n">
        <v>954000</v>
      </c>
      <c r="D4217" s="1" t="n">
        <v>67640</v>
      </c>
      <c r="E4217" s="1" t="n">
        <v>0.0532</v>
      </c>
      <c r="F4217" s="1" t="n">
        <v>0.0759</v>
      </c>
    </row>
    <row r="4218" customFormat="false" ht="15" hidden="false" customHeight="false" outlineLevel="0" collapsed="false">
      <c r="A4218" s="1" t="s">
        <v>4253</v>
      </c>
      <c r="B4218" s="1" t="s">
        <v>41</v>
      </c>
      <c r="C4218" s="1" t="n">
        <v>624000</v>
      </c>
      <c r="D4218" s="1" t="n">
        <v>1196</v>
      </c>
      <c r="E4218" s="1" t="n">
        <v>0.014</v>
      </c>
      <c r="F4218" s="1" t="n">
        <v>0.0584</v>
      </c>
    </row>
    <row r="4219" customFormat="false" ht="15" hidden="false" customHeight="false" outlineLevel="0" collapsed="false">
      <c r="A4219" s="1" t="s">
        <v>4254</v>
      </c>
      <c r="B4219" s="1" t="s">
        <v>81</v>
      </c>
      <c r="C4219" s="1" t="n">
        <v>627000</v>
      </c>
      <c r="D4219" s="1" t="n">
        <v>6615.8</v>
      </c>
      <c r="E4219" s="1" t="n">
        <v>0.021</v>
      </c>
      <c r="F4219" s="1" t="n">
        <v>0.058</v>
      </c>
    </row>
    <row r="4220" customFormat="false" ht="15" hidden="false" customHeight="false" outlineLevel="0" collapsed="false">
      <c r="A4220" s="1" t="s">
        <v>4255</v>
      </c>
      <c r="B4220" s="1" t="s">
        <v>26</v>
      </c>
      <c r="C4220" s="1" t="n">
        <v>882000</v>
      </c>
      <c r="D4220" s="1" t="n">
        <v>305932</v>
      </c>
      <c r="E4220" s="1" t="n">
        <v>0.004</v>
      </c>
      <c r="F4220" s="1" t="n">
        <v>0.0822</v>
      </c>
    </row>
    <row r="4221" customFormat="false" ht="15" hidden="false" customHeight="false" outlineLevel="0" collapsed="false">
      <c r="A4221" s="1" t="s">
        <v>4256</v>
      </c>
      <c r="B4221" s="1" t="s">
        <v>214</v>
      </c>
      <c r="C4221" s="1" t="n">
        <v>755000</v>
      </c>
      <c r="D4221" s="1" t="n">
        <v>19496.1</v>
      </c>
      <c r="E4221" s="1" t="n">
        <v>0.0421</v>
      </c>
      <c r="F4221" s="1" t="n">
        <v>0.117</v>
      </c>
    </row>
    <row r="4222" customFormat="false" ht="15" hidden="false" customHeight="false" outlineLevel="0" collapsed="false">
      <c r="A4222" s="1" t="s">
        <v>4257</v>
      </c>
      <c r="B4222" s="1" t="s">
        <v>26</v>
      </c>
      <c r="C4222" s="1" t="n">
        <v>720000</v>
      </c>
      <c r="D4222" s="1" t="n">
        <v>187816.7</v>
      </c>
      <c r="E4222" s="1" t="n">
        <v>0.0155</v>
      </c>
      <c r="F4222" s="1" t="n">
        <v>0.0854</v>
      </c>
    </row>
    <row r="4223" customFormat="false" ht="15" hidden="false" customHeight="false" outlineLevel="0" collapsed="false">
      <c r="A4223" s="1" t="s">
        <v>4258</v>
      </c>
      <c r="B4223" s="1" t="s">
        <v>26</v>
      </c>
      <c r="C4223" s="1" t="n">
        <v>2030000</v>
      </c>
      <c r="D4223" s="1" t="n">
        <v>310184.2</v>
      </c>
      <c r="E4223" s="1" t="n">
        <v>0.039</v>
      </c>
      <c r="F4223" s="1" t="n">
        <v>0.0759</v>
      </c>
    </row>
    <row r="4224" customFormat="false" ht="15" hidden="false" customHeight="false" outlineLevel="0" collapsed="false">
      <c r="A4224" s="1" t="s">
        <v>4259</v>
      </c>
      <c r="B4224" s="1" t="s">
        <v>62</v>
      </c>
      <c r="C4224" s="1" t="n">
        <v>840000</v>
      </c>
      <c r="D4224" s="1" t="n">
        <v>265408.4</v>
      </c>
      <c r="E4224" s="1" t="n">
        <v>0.0514</v>
      </c>
      <c r="F4224" s="1" t="n">
        <v>0.0951</v>
      </c>
    </row>
    <row r="4225" customFormat="false" ht="15" hidden="false" customHeight="false" outlineLevel="0" collapsed="false">
      <c r="A4225" s="1" t="s">
        <v>4260</v>
      </c>
      <c r="B4225" s="1" t="s">
        <v>81</v>
      </c>
      <c r="C4225" s="1" t="n">
        <v>654000</v>
      </c>
      <c r="D4225" s="1" t="n">
        <v>30530.8</v>
      </c>
      <c r="E4225" s="1" t="n">
        <v>0.0262</v>
      </c>
      <c r="F4225" s="1" t="n">
        <v>0.0759</v>
      </c>
    </row>
    <row r="4226" customFormat="false" ht="15" hidden="false" customHeight="false" outlineLevel="0" collapsed="false">
      <c r="A4226" s="1" t="s">
        <v>4261</v>
      </c>
      <c r="B4226" s="1" t="s">
        <v>81</v>
      </c>
      <c r="C4226" s="1" t="n">
        <v>4280000</v>
      </c>
      <c r="D4226" s="1" t="n">
        <v>206775.9</v>
      </c>
      <c r="E4226" s="1" t="n">
        <v>0.009</v>
      </c>
      <c r="F4226" s="1" t="n">
        <v>0.0654</v>
      </c>
    </row>
    <row r="4227" customFormat="false" ht="15" hidden="false" customHeight="false" outlineLevel="0" collapsed="false">
      <c r="A4227" s="1" t="s">
        <v>4262</v>
      </c>
      <c r="B4227" s="1" t="s">
        <v>32</v>
      </c>
      <c r="C4227" s="1" t="n">
        <v>774000</v>
      </c>
      <c r="D4227" s="1" t="n">
        <v>89772.4</v>
      </c>
      <c r="E4227" s="1" t="n">
        <v>0.0175</v>
      </c>
      <c r="F4227" s="1" t="n">
        <v>0.0488</v>
      </c>
    </row>
    <row r="4228" customFormat="false" ht="15" hidden="false" customHeight="false" outlineLevel="0" collapsed="false">
      <c r="A4228" s="1" t="s">
        <v>4263</v>
      </c>
      <c r="B4228" s="1" t="s">
        <v>41</v>
      </c>
      <c r="C4228" s="1" t="n">
        <v>909000</v>
      </c>
      <c r="D4228" s="1" t="n">
        <v>24336.5</v>
      </c>
      <c r="E4228" s="1" t="n">
        <v>0.0609</v>
      </c>
      <c r="F4228" s="1" t="n">
        <v>0.0951</v>
      </c>
    </row>
    <row r="4229" customFormat="false" ht="15" hidden="false" customHeight="false" outlineLevel="0" collapsed="false">
      <c r="A4229" s="1" t="s">
        <v>4264</v>
      </c>
      <c r="B4229" s="1" t="s">
        <v>32</v>
      </c>
      <c r="C4229" s="1" t="n">
        <v>885000</v>
      </c>
      <c r="D4229" s="1" t="n">
        <v>18273.1</v>
      </c>
      <c r="E4229" s="1" t="n">
        <v>0.0085</v>
      </c>
      <c r="F4229" s="1" t="n">
        <v>0.0654</v>
      </c>
    </row>
    <row r="4230" customFormat="false" ht="15" hidden="false" customHeight="false" outlineLevel="0" collapsed="false">
      <c r="A4230" s="1" t="s">
        <v>4265</v>
      </c>
      <c r="B4230" s="1" t="s">
        <v>287</v>
      </c>
      <c r="C4230" s="1" t="n">
        <v>888000</v>
      </c>
      <c r="D4230" s="1" t="n">
        <v>26717.5</v>
      </c>
      <c r="E4230" s="1" t="n">
        <v>0.0076</v>
      </c>
      <c r="F4230" s="1" t="n">
        <v>0.0654</v>
      </c>
    </row>
    <row r="4231" customFormat="false" ht="15" hidden="false" customHeight="false" outlineLevel="0" collapsed="false">
      <c r="A4231" s="1" t="s">
        <v>4266</v>
      </c>
      <c r="B4231" s="1" t="s">
        <v>214</v>
      </c>
      <c r="C4231" s="1" t="n">
        <v>846000</v>
      </c>
      <c r="D4231" s="1" t="n">
        <v>900709.7</v>
      </c>
      <c r="E4231" s="1" t="n">
        <v>0.0078</v>
      </c>
      <c r="F4231" s="1" t="n">
        <v>0.0654</v>
      </c>
    </row>
    <row r="4232" customFormat="false" ht="15" hidden="false" customHeight="false" outlineLevel="0" collapsed="false">
      <c r="A4232" s="1" t="s">
        <v>4267</v>
      </c>
      <c r="B4232" s="1" t="s">
        <v>24</v>
      </c>
      <c r="C4232" s="1" t="n">
        <v>830000</v>
      </c>
      <c r="D4232" s="1" t="n">
        <v>16410.1</v>
      </c>
      <c r="E4232" s="1" t="n">
        <v>0.028</v>
      </c>
      <c r="F4232" s="1" t="n">
        <v>0.0759</v>
      </c>
    </row>
    <row r="4233" customFormat="false" ht="15" hidden="false" customHeight="false" outlineLevel="0" collapsed="false">
      <c r="A4233" s="1" t="s">
        <v>4268</v>
      </c>
      <c r="B4233" s="1" t="s">
        <v>26</v>
      </c>
      <c r="C4233" s="1" t="n">
        <v>801000</v>
      </c>
      <c r="D4233" s="1" t="n">
        <v>1471.5</v>
      </c>
      <c r="E4233" s="1" t="n">
        <v>0.0055</v>
      </c>
      <c r="F4233" s="1" t="n">
        <v>0.0822</v>
      </c>
    </row>
    <row r="4234" customFormat="false" ht="15" hidden="false" customHeight="false" outlineLevel="0" collapsed="false">
      <c r="A4234" s="1" t="s">
        <v>4269</v>
      </c>
      <c r="B4234" s="1" t="s">
        <v>41</v>
      </c>
      <c r="C4234" s="1" t="n">
        <v>893000</v>
      </c>
      <c r="D4234" s="1" t="n">
        <v>19466.1</v>
      </c>
      <c r="E4234" s="1" t="n">
        <v>0.0043</v>
      </c>
      <c r="F4234" s="1" t="n">
        <v>0.0822</v>
      </c>
    </row>
    <row r="4235" customFormat="false" ht="15" hidden="false" customHeight="false" outlineLevel="0" collapsed="false">
      <c r="A4235" s="1" t="s">
        <v>4270</v>
      </c>
      <c r="B4235" s="1" t="s">
        <v>32</v>
      </c>
      <c r="C4235" s="1" t="n">
        <v>683000</v>
      </c>
      <c r="D4235" s="1" t="n">
        <v>40076.4</v>
      </c>
      <c r="E4235" s="1" t="n">
        <v>0.0236</v>
      </c>
      <c r="F4235" s="1" t="n">
        <v>0.0672</v>
      </c>
    </row>
    <row r="4236" customFormat="false" ht="15" hidden="false" customHeight="false" outlineLevel="0" collapsed="false">
      <c r="A4236" s="1" t="s">
        <v>4271</v>
      </c>
      <c r="B4236" s="1" t="s">
        <v>26</v>
      </c>
      <c r="C4236" s="1" t="n">
        <v>665000</v>
      </c>
      <c r="D4236" s="1" t="n">
        <v>9466.8</v>
      </c>
      <c r="E4236" s="1" t="n">
        <v>0.015</v>
      </c>
      <c r="F4236" s="1" t="n">
        <v>0.1053</v>
      </c>
    </row>
    <row r="4237" customFormat="false" ht="15" hidden="false" customHeight="false" outlineLevel="0" collapsed="false">
      <c r="A4237" s="1" t="s">
        <v>4272</v>
      </c>
      <c r="B4237" s="1" t="s">
        <v>24</v>
      </c>
      <c r="C4237" s="1" t="n">
        <v>802000</v>
      </c>
      <c r="D4237" s="1" t="n">
        <v>79110.4</v>
      </c>
      <c r="E4237" s="1" t="n">
        <v>0.018</v>
      </c>
      <c r="F4237" s="1" t="n">
        <v>0.1067</v>
      </c>
    </row>
    <row r="4238" customFormat="false" ht="15" hidden="false" customHeight="false" outlineLevel="0" collapsed="false">
      <c r="A4238" s="1" t="s">
        <v>4273</v>
      </c>
      <c r="B4238" s="1" t="s">
        <v>21</v>
      </c>
      <c r="C4238" s="1" t="n">
        <v>1060000</v>
      </c>
      <c r="D4238" s="1" t="n">
        <v>39372.7</v>
      </c>
      <c r="E4238" s="1" t="n">
        <v>0.0274</v>
      </c>
      <c r="F4238" s="1" t="n">
        <v>0.0672</v>
      </c>
    </row>
    <row r="4239" customFormat="false" ht="15" hidden="false" customHeight="false" outlineLevel="0" collapsed="false">
      <c r="A4239" s="1" t="s">
        <v>4274</v>
      </c>
      <c r="B4239" s="1" t="s">
        <v>41</v>
      </c>
      <c r="C4239" s="1" t="n">
        <v>584000</v>
      </c>
      <c r="D4239" s="1" t="n">
        <v>2266.6</v>
      </c>
      <c r="E4239" s="1" t="n">
        <v>0.0397</v>
      </c>
      <c r="F4239" s="1" t="n">
        <v>0.0518</v>
      </c>
    </row>
    <row r="4240" customFormat="false" ht="15" hidden="false" customHeight="false" outlineLevel="0" collapsed="false">
      <c r="A4240" s="1" t="s">
        <v>4275</v>
      </c>
      <c r="B4240" s="1" t="s">
        <v>490</v>
      </c>
      <c r="C4240" s="1" t="n">
        <v>707000</v>
      </c>
      <c r="D4240" s="1" t="n">
        <v>11389</v>
      </c>
      <c r="E4240" s="1" t="n">
        <v>0.0187</v>
      </c>
      <c r="F4240" s="1" t="n">
        <v>0.0488</v>
      </c>
    </row>
    <row r="4241" customFormat="false" ht="15" hidden="false" customHeight="false" outlineLevel="0" collapsed="false">
      <c r="A4241" s="1" t="s">
        <v>4276</v>
      </c>
      <c r="B4241" s="1" t="s">
        <v>26</v>
      </c>
      <c r="C4241" s="1" t="n">
        <v>602000</v>
      </c>
      <c r="D4241" s="1" t="n">
        <v>574.7</v>
      </c>
      <c r="E4241" s="1" t="n">
        <v>0.0287</v>
      </c>
      <c r="F4241" s="1" t="n">
        <v>0.0951</v>
      </c>
    </row>
    <row r="4242" customFormat="false" ht="15" hidden="false" customHeight="false" outlineLevel="0" collapsed="false">
      <c r="A4242" s="1" t="s">
        <v>4277</v>
      </c>
      <c r="B4242" s="1" t="s">
        <v>26</v>
      </c>
      <c r="C4242" s="1" t="n">
        <v>608000</v>
      </c>
      <c r="D4242" s="1" t="n">
        <v>15795.5</v>
      </c>
      <c r="F4242" s="1" t="n">
        <v>0.0409</v>
      </c>
    </row>
    <row r="4243" customFormat="false" ht="15" hidden="false" customHeight="false" outlineLevel="0" collapsed="false">
      <c r="A4243" s="1" t="s">
        <v>4278</v>
      </c>
      <c r="B4243" s="1" t="s">
        <v>21</v>
      </c>
      <c r="C4243" s="1" t="n">
        <v>1710000</v>
      </c>
      <c r="D4243" s="1" t="n">
        <v>439347.7</v>
      </c>
      <c r="E4243" s="1" t="n">
        <v>0.0586</v>
      </c>
      <c r="F4243" s="1" t="n">
        <v>0.0759</v>
      </c>
    </row>
    <row r="4244" customFormat="false" ht="15" hidden="false" customHeight="false" outlineLevel="0" collapsed="false">
      <c r="A4244" s="1" t="s">
        <v>4279</v>
      </c>
      <c r="B4244" s="1" t="s">
        <v>74</v>
      </c>
      <c r="C4244" s="1" t="n">
        <v>655000</v>
      </c>
      <c r="D4244" s="1" t="n">
        <v>4401.9</v>
      </c>
      <c r="E4244" s="1" t="n">
        <v>0.042</v>
      </c>
      <c r="F4244" s="1" t="n">
        <v>0.0938</v>
      </c>
    </row>
    <row r="4245" customFormat="false" ht="15" hidden="false" customHeight="false" outlineLevel="0" collapsed="false">
      <c r="A4245" s="1" t="s">
        <v>4280</v>
      </c>
      <c r="B4245" s="1" t="s">
        <v>92</v>
      </c>
      <c r="C4245" s="1" t="n">
        <v>1800000</v>
      </c>
      <c r="D4245" s="1" t="n">
        <v>73898</v>
      </c>
      <c r="E4245" s="1" t="n">
        <v>0.0358</v>
      </c>
      <c r="F4245" s="1" t="n">
        <v>0.0951</v>
      </c>
    </row>
    <row r="4246" customFormat="false" ht="15" hidden="false" customHeight="false" outlineLevel="0" collapsed="false">
      <c r="A4246" s="1" t="s">
        <v>4281</v>
      </c>
      <c r="B4246" s="1" t="s">
        <v>490</v>
      </c>
      <c r="C4246" s="1" t="n">
        <v>701000</v>
      </c>
      <c r="D4246" s="1" t="n">
        <v>183</v>
      </c>
      <c r="E4246" s="1" t="n">
        <v>0.0248</v>
      </c>
      <c r="F4246" s="1" t="n">
        <v>0.1372</v>
      </c>
    </row>
    <row r="4247" customFormat="false" ht="15" hidden="false" customHeight="false" outlineLevel="0" collapsed="false">
      <c r="A4247" s="1" t="s">
        <v>4282</v>
      </c>
      <c r="B4247" s="1" t="s">
        <v>88</v>
      </c>
      <c r="C4247" s="1" t="n">
        <v>675000</v>
      </c>
      <c r="D4247" s="1" t="n">
        <v>849.7</v>
      </c>
      <c r="E4247" s="1" t="n">
        <v>0.0722</v>
      </c>
      <c r="F4247" s="1" t="n">
        <v>0.0759</v>
      </c>
    </row>
    <row r="4248" customFormat="false" ht="15" hidden="false" customHeight="false" outlineLevel="0" collapsed="false">
      <c r="A4248" s="1" t="s">
        <v>4283</v>
      </c>
      <c r="B4248" s="1" t="s">
        <v>88</v>
      </c>
      <c r="C4248" s="1" t="n">
        <v>796000</v>
      </c>
      <c r="D4248" s="1" t="n">
        <v>2336.2</v>
      </c>
      <c r="E4248" s="1" t="n">
        <v>0.0899</v>
      </c>
      <c r="F4248" s="1" t="n">
        <v>0.0759</v>
      </c>
    </row>
    <row r="4249" customFormat="false" ht="15" hidden="false" customHeight="false" outlineLevel="0" collapsed="false">
      <c r="A4249" s="1" t="s">
        <v>4284</v>
      </c>
      <c r="B4249" s="1" t="s">
        <v>41</v>
      </c>
      <c r="C4249" s="1" t="n">
        <v>856000</v>
      </c>
      <c r="D4249" s="1" t="n">
        <v>3763.7</v>
      </c>
      <c r="E4249" s="1" t="n">
        <v>0.0238</v>
      </c>
      <c r="F4249" s="1" t="n">
        <v>0.0938</v>
      </c>
    </row>
    <row r="4250" customFormat="false" ht="15" hidden="false" customHeight="false" outlineLevel="0" collapsed="false">
      <c r="A4250" s="1" t="s">
        <v>4285</v>
      </c>
      <c r="B4250" s="1" t="s">
        <v>214</v>
      </c>
      <c r="C4250" s="1" t="n">
        <v>703000</v>
      </c>
      <c r="D4250" s="1" t="n">
        <v>5350.2</v>
      </c>
      <c r="E4250" s="1" t="n">
        <v>0.0093</v>
      </c>
      <c r="F4250" s="1" t="n">
        <v>0.1187</v>
      </c>
    </row>
    <row r="4251" customFormat="false" ht="15" hidden="false" customHeight="false" outlineLevel="0" collapsed="false">
      <c r="A4251" s="1" t="s">
        <v>4286</v>
      </c>
      <c r="B4251" s="1" t="s">
        <v>41</v>
      </c>
      <c r="C4251" s="1" t="n">
        <v>635000</v>
      </c>
      <c r="D4251" s="1" t="n">
        <v>1566.8</v>
      </c>
      <c r="E4251" s="1" t="n">
        <v>0.0162</v>
      </c>
      <c r="F4251" s="1" t="n">
        <v>0.0585</v>
      </c>
    </row>
    <row r="4252" customFormat="false" ht="15" hidden="false" customHeight="false" outlineLevel="0" collapsed="false">
      <c r="A4252" s="1" t="s">
        <v>4287</v>
      </c>
      <c r="B4252" s="1" t="s">
        <v>71</v>
      </c>
      <c r="C4252" s="1" t="n">
        <v>795000</v>
      </c>
      <c r="D4252" s="1" t="n">
        <v>5696</v>
      </c>
      <c r="E4252" s="1" t="n">
        <v>0.0394</v>
      </c>
      <c r="F4252" s="1" t="n">
        <v>0.0938</v>
      </c>
    </row>
    <row r="4253" customFormat="false" ht="15" hidden="false" customHeight="false" outlineLevel="0" collapsed="false">
      <c r="A4253" s="1" t="s">
        <v>4288</v>
      </c>
      <c r="B4253" s="1" t="s">
        <v>53</v>
      </c>
      <c r="C4253" s="1" t="n">
        <v>805000</v>
      </c>
      <c r="D4253" s="1" t="n">
        <v>4805.6</v>
      </c>
      <c r="E4253" s="1" t="n">
        <v>0.0958</v>
      </c>
      <c r="F4253" s="1" t="n">
        <v>0.0938</v>
      </c>
    </row>
    <row r="4254" customFormat="false" ht="15" hidden="false" customHeight="false" outlineLevel="0" collapsed="false">
      <c r="A4254" s="1" t="s">
        <v>4289</v>
      </c>
      <c r="B4254" s="1" t="s">
        <v>195</v>
      </c>
      <c r="C4254" s="1" t="n">
        <v>902000</v>
      </c>
      <c r="D4254" s="1" t="n">
        <v>2458.9</v>
      </c>
      <c r="E4254" s="1" t="n">
        <v>0.0222</v>
      </c>
      <c r="F4254" s="1" t="n">
        <v>0.1688</v>
      </c>
    </row>
    <row r="4255" customFormat="false" ht="15" hidden="false" customHeight="false" outlineLevel="0" collapsed="false">
      <c r="A4255" s="1" t="s">
        <v>4290</v>
      </c>
      <c r="B4255" s="1" t="s">
        <v>88</v>
      </c>
      <c r="C4255" s="1" t="n">
        <v>631000</v>
      </c>
      <c r="D4255" s="1" t="n">
        <v>12944.3</v>
      </c>
      <c r="E4255" s="1" t="n">
        <v>0.0282</v>
      </c>
      <c r="F4255" s="1" t="n">
        <v>0.0951</v>
      </c>
    </row>
    <row r="4256" customFormat="false" ht="15" hidden="false" customHeight="false" outlineLevel="0" collapsed="false">
      <c r="A4256" s="1" t="s">
        <v>4291</v>
      </c>
      <c r="B4256" s="1" t="s">
        <v>92</v>
      </c>
      <c r="C4256" s="1" t="n">
        <v>1040000</v>
      </c>
      <c r="D4256" s="1" t="n">
        <v>82161.2</v>
      </c>
      <c r="E4256" s="1" t="n">
        <v>0.0133</v>
      </c>
      <c r="F4256" s="1" t="n">
        <v>0.0616</v>
      </c>
    </row>
    <row r="4257" customFormat="false" ht="15" hidden="false" customHeight="false" outlineLevel="0" collapsed="false">
      <c r="A4257" s="1" t="s">
        <v>4292</v>
      </c>
      <c r="B4257" s="1" t="s">
        <v>26</v>
      </c>
      <c r="C4257" s="1" t="n">
        <v>594000</v>
      </c>
      <c r="D4257" s="1" t="n">
        <v>1381.6</v>
      </c>
      <c r="E4257" s="1" t="n">
        <v>0.0477</v>
      </c>
      <c r="F4257" s="1" t="n">
        <v>0.0409</v>
      </c>
    </row>
    <row r="4258" customFormat="false" ht="15" hidden="false" customHeight="false" outlineLevel="0" collapsed="false">
      <c r="A4258" s="1" t="s">
        <v>4293</v>
      </c>
      <c r="B4258" s="1" t="s">
        <v>53</v>
      </c>
      <c r="C4258" s="1" t="n">
        <v>702000</v>
      </c>
      <c r="D4258" s="1" t="n">
        <v>62496.1</v>
      </c>
      <c r="E4258" s="1" t="n">
        <v>0.0091</v>
      </c>
      <c r="F4258" s="1" t="n">
        <v>0.1471</v>
      </c>
    </row>
    <row r="4259" customFormat="false" ht="15" hidden="false" customHeight="false" outlineLevel="0" collapsed="false">
      <c r="A4259" s="1" t="s">
        <v>4294</v>
      </c>
      <c r="B4259" s="1" t="s">
        <v>53</v>
      </c>
      <c r="C4259" s="1" t="n">
        <v>703000</v>
      </c>
      <c r="D4259" s="1" t="n">
        <v>8504.9</v>
      </c>
      <c r="E4259" s="1" t="n">
        <v>0.0618</v>
      </c>
      <c r="F4259" s="1" t="n">
        <v>0.0938</v>
      </c>
    </row>
    <row r="4260" customFormat="false" ht="15" hidden="false" customHeight="false" outlineLevel="0" collapsed="false">
      <c r="A4260" s="1" t="s">
        <v>4295</v>
      </c>
      <c r="B4260" s="1" t="s">
        <v>26</v>
      </c>
      <c r="C4260" s="1" t="n">
        <v>593000</v>
      </c>
      <c r="D4260" s="1" t="n">
        <v>351752.8</v>
      </c>
      <c r="E4260" s="1" t="n">
        <v>0.0253</v>
      </c>
      <c r="F4260" s="1" t="n">
        <v>0.0409</v>
      </c>
    </row>
    <row r="4261" customFormat="false" ht="15" hidden="false" customHeight="false" outlineLevel="0" collapsed="false">
      <c r="A4261" s="1" t="s">
        <v>4296</v>
      </c>
      <c r="B4261" s="1" t="s">
        <v>26</v>
      </c>
      <c r="C4261" s="1" t="n">
        <v>724000</v>
      </c>
      <c r="D4261" s="1" t="n">
        <v>27560.9</v>
      </c>
      <c r="E4261" s="1" t="n">
        <v>0.0261</v>
      </c>
      <c r="F4261" s="1" t="n">
        <v>0.051</v>
      </c>
    </row>
    <row r="4262" customFormat="false" ht="15" hidden="false" customHeight="false" outlineLevel="0" collapsed="false">
      <c r="A4262" s="1" t="s">
        <v>4297</v>
      </c>
      <c r="B4262" s="1" t="s">
        <v>24</v>
      </c>
      <c r="C4262" s="1" t="n">
        <v>602000</v>
      </c>
      <c r="D4262" s="1" t="n">
        <v>26869.8</v>
      </c>
      <c r="F4262" s="1" t="n">
        <v>0.0938</v>
      </c>
    </row>
    <row r="4263" customFormat="false" ht="15" hidden="false" customHeight="false" outlineLevel="0" collapsed="false">
      <c r="A4263" s="1" t="s">
        <v>4298</v>
      </c>
      <c r="B4263" s="1" t="s">
        <v>62</v>
      </c>
      <c r="C4263" s="1" t="n">
        <v>596000</v>
      </c>
      <c r="D4263" s="1" t="n">
        <v>3030.8</v>
      </c>
      <c r="E4263" s="1" t="n">
        <v>0.0314</v>
      </c>
      <c r="F4263" s="1" t="n">
        <v>0.0951</v>
      </c>
    </row>
    <row r="4264" customFormat="false" ht="15" hidden="false" customHeight="false" outlineLevel="0" collapsed="false">
      <c r="A4264" s="1" t="s">
        <v>4299</v>
      </c>
      <c r="B4264" s="1" t="s">
        <v>24</v>
      </c>
      <c r="C4264" s="1" t="n">
        <v>743000</v>
      </c>
      <c r="D4264" s="1" t="n">
        <v>9953.9</v>
      </c>
      <c r="E4264" s="1" t="n">
        <v>0.0033</v>
      </c>
      <c r="F4264" s="1" t="n">
        <v>0.0822</v>
      </c>
    </row>
    <row r="4265" customFormat="false" ht="15" hidden="false" customHeight="false" outlineLevel="0" collapsed="false">
      <c r="A4265" s="1" t="s">
        <v>4300</v>
      </c>
      <c r="B4265" s="1" t="s">
        <v>214</v>
      </c>
      <c r="C4265" s="1" t="n">
        <v>642000</v>
      </c>
      <c r="D4265" s="1" t="n">
        <v>430021.2</v>
      </c>
      <c r="E4265" s="1" t="n">
        <v>0.0178</v>
      </c>
      <c r="F4265" s="1" t="n">
        <v>0.0488</v>
      </c>
    </row>
    <row r="4266" customFormat="false" ht="15" hidden="false" customHeight="false" outlineLevel="0" collapsed="false">
      <c r="A4266" s="1" t="s">
        <v>4301</v>
      </c>
      <c r="B4266" s="1" t="s">
        <v>50</v>
      </c>
      <c r="C4266" s="1" t="n">
        <v>1060000</v>
      </c>
      <c r="D4266" s="1" t="n">
        <v>10431.3</v>
      </c>
      <c r="E4266" s="1" t="n">
        <v>0.0193</v>
      </c>
      <c r="F4266" s="1" t="n">
        <v>0.1372</v>
      </c>
    </row>
    <row r="4267" customFormat="false" ht="15" hidden="false" customHeight="false" outlineLevel="0" collapsed="false">
      <c r="A4267" s="1" t="s">
        <v>4302</v>
      </c>
      <c r="B4267" s="1" t="s">
        <v>53</v>
      </c>
      <c r="C4267" s="1" t="n">
        <v>589000</v>
      </c>
      <c r="D4267" s="1" t="n">
        <v>1729.6</v>
      </c>
      <c r="F4267" s="1" t="n">
        <v>0.0951</v>
      </c>
    </row>
    <row r="4268" customFormat="false" ht="15" hidden="false" customHeight="false" outlineLevel="0" collapsed="false">
      <c r="A4268" s="1" t="s">
        <v>4303</v>
      </c>
      <c r="B4268" s="1" t="s">
        <v>26</v>
      </c>
      <c r="C4268" s="1" t="n">
        <v>596000</v>
      </c>
      <c r="D4268" s="1" t="n">
        <v>8892.7</v>
      </c>
      <c r="E4268" s="1" t="n">
        <v>0.0327</v>
      </c>
      <c r="F4268" s="1" t="n">
        <v>0.0951</v>
      </c>
    </row>
    <row r="4269" customFormat="false" ht="15" hidden="false" customHeight="false" outlineLevel="0" collapsed="false">
      <c r="A4269" s="1" t="s">
        <v>4304</v>
      </c>
      <c r="B4269" s="1" t="s">
        <v>74</v>
      </c>
      <c r="C4269" s="1" t="n">
        <v>1720000</v>
      </c>
      <c r="D4269" s="1" t="n">
        <v>336570.6</v>
      </c>
      <c r="E4269" s="1" t="n">
        <v>0.0223</v>
      </c>
      <c r="F4269" s="1" t="n">
        <v>0.0518</v>
      </c>
    </row>
    <row r="4270" customFormat="false" ht="15" hidden="false" customHeight="false" outlineLevel="0" collapsed="false">
      <c r="A4270" s="1" t="s">
        <v>4305</v>
      </c>
      <c r="B4270" s="1" t="s">
        <v>62</v>
      </c>
      <c r="C4270" s="1" t="n">
        <v>716000</v>
      </c>
      <c r="D4270" s="1" t="n">
        <v>6732.5</v>
      </c>
      <c r="E4270" s="1" t="n">
        <v>0.0689</v>
      </c>
      <c r="F4270" s="1" t="n">
        <v>0.0759</v>
      </c>
    </row>
    <row r="4271" customFormat="false" ht="15" hidden="false" customHeight="false" outlineLevel="0" collapsed="false">
      <c r="A4271" s="1" t="s">
        <v>4306</v>
      </c>
      <c r="B4271" s="1" t="s">
        <v>195</v>
      </c>
      <c r="C4271" s="1" t="n">
        <v>597000</v>
      </c>
      <c r="D4271" s="1" t="n">
        <v>107516.1</v>
      </c>
      <c r="E4271" s="1" t="n">
        <v>0.0273</v>
      </c>
      <c r="F4271" s="1" t="n">
        <v>0.0951</v>
      </c>
    </row>
    <row r="4272" customFormat="false" ht="15" hidden="false" customHeight="false" outlineLevel="0" collapsed="false">
      <c r="A4272" s="1" t="s">
        <v>4307</v>
      </c>
      <c r="B4272" s="1" t="s">
        <v>26</v>
      </c>
      <c r="C4272" s="1" t="n">
        <v>1400000</v>
      </c>
      <c r="D4272" s="1" t="n">
        <v>191863</v>
      </c>
      <c r="E4272" s="1" t="n">
        <v>0.0187</v>
      </c>
      <c r="F4272" s="1" t="n">
        <v>0.0488</v>
      </c>
    </row>
    <row r="4273" customFormat="false" ht="15" hidden="false" customHeight="false" outlineLevel="0" collapsed="false">
      <c r="A4273" s="1" t="s">
        <v>4308</v>
      </c>
      <c r="B4273" s="1" t="s">
        <v>24</v>
      </c>
      <c r="C4273" s="1" t="n">
        <v>1120000</v>
      </c>
      <c r="D4273" s="1" t="n">
        <v>4349.1</v>
      </c>
      <c r="E4273" s="1" t="n">
        <v>0.0061</v>
      </c>
      <c r="F4273" s="1" t="n">
        <v>0.0811</v>
      </c>
    </row>
    <row r="4274" customFormat="false" ht="15" hidden="false" customHeight="false" outlineLevel="0" collapsed="false">
      <c r="A4274" s="1" t="s">
        <v>4309</v>
      </c>
      <c r="B4274" s="1" t="s">
        <v>26</v>
      </c>
      <c r="C4274" s="1" t="n">
        <v>747000</v>
      </c>
      <c r="D4274" s="1" t="n">
        <v>84953.5</v>
      </c>
      <c r="E4274" s="1" t="n">
        <v>0.0332</v>
      </c>
      <c r="F4274" s="1" t="n">
        <v>0.0759</v>
      </c>
    </row>
    <row r="4275" customFormat="false" ht="15" hidden="false" customHeight="false" outlineLevel="0" collapsed="false">
      <c r="A4275" s="1" t="s">
        <v>4310</v>
      </c>
      <c r="B4275" s="1" t="s">
        <v>88</v>
      </c>
      <c r="C4275" s="1" t="n">
        <v>872000</v>
      </c>
      <c r="D4275" s="1" t="n">
        <v>28076.3</v>
      </c>
      <c r="E4275" s="1" t="n">
        <v>0.0503</v>
      </c>
      <c r="F4275" s="1" t="n">
        <v>0.0759</v>
      </c>
    </row>
    <row r="4276" customFormat="false" ht="15" hidden="false" customHeight="false" outlineLevel="0" collapsed="false">
      <c r="A4276" s="1" t="s">
        <v>4311</v>
      </c>
      <c r="B4276" s="1" t="s">
        <v>41</v>
      </c>
      <c r="C4276" s="1" t="n">
        <v>728000</v>
      </c>
      <c r="D4276" s="1" t="n">
        <v>5660.9</v>
      </c>
      <c r="E4276" s="1" t="n">
        <v>0.0309</v>
      </c>
      <c r="F4276" s="1" t="n">
        <v>0.051</v>
      </c>
    </row>
    <row r="4277" customFormat="false" ht="15" hidden="false" customHeight="false" outlineLevel="0" collapsed="false">
      <c r="A4277" s="1" t="s">
        <v>4312</v>
      </c>
      <c r="B4277" s="1" t="s">
        <v>62</v>
      </c>
      <c r="C4277" s="1" t="n">
        <v>644000</v>
      </c>
      <c r="D4277" s="1" t="n">
        <v>4029.1</v>
      </c>
      <c r="E4277" s="1" t="n">
        <v>0.0193</v>
      </c>
      <c r="F4277" s="1" t="n">
        <v>0.139</v>
      </c>
    </row>
    <row r="4278" customFormat="false" ht="15" hidden="false" customHeight="false" outlineLevel="0" collapsed="false">
      <c r="A4278" s="1" t="s">
        <v>4313</v>
      </c>
      <c r="B4278" s="1" t="s">
        <v>88</v>
      </c>
      <c r="C4278" s="1" t="n">
        <v>636000</v>
      </c>
      <c r="D4278" s="1" t="n">
        <v>21656</v>
      </c>
      <c r="E4278" s="1" t="n">
        <v>0.0085</v>
      </c>
      <c r="F4278" s="1" t="n">
        <v>0.1015</v>
      </c>
    </row>
    <row r="4279" customFormat="false" ht="15" hidden="false" customHeight="false" outlineLevel="0" collapsed="false">
      <c r="A4279" s="1" t="s">
        <v>4314</v>
      </c>
      <c r="B4279" s="1" t="s">
        <v>71</v>
      </c>
      <c r="C4279" s="1" t="n">
        <v>711000</v>
      </c>
      <c r="D4279" s="1" t="n">
        <v>4020.5</v>
      </c>
      <c r="E4279" s="1" t="n">
        <v>0.0256</v>
      </c>
      <c r="F4279" s="1" t="n">
        <v>0.0759</v>
      </c>
    </row>
    <row r="4280" customFormat="false" ht="15" hidden="false" customHeight="false" outlineLevel="0" collapsed="false">
      <c r="A4280" s="1" t="s">
        <v>4315</v>
      </c>
      <c r="B4280" s="1" t="s">
        <v>26</v>
      </c>
      <c r="C4280" s="1" t="n">
        <v>703000</v>
      </c>
      <c r="D4280" s="1" t="n">
        <v>103511.5</v>
      </c>
      <c r="F4280" s="1" t="n">
        <v>0.0759</v>
      </c>
    </row>
    <row r="4281" customFormat="false" ht="15" hidden="false" customHeight="false" outlineLevel="0" collapsed="false">
      <c r="A4281" s="1" t="s">
        <v>4316</v>
      </c>
      <c r="B4281" s="1" t="s">
        <v>50</v>
      </c>
      <c r="C4281" s="1" t="n">
        <v>722000</v>
      </c>
      <c r="D4281" s="1" t="n">
        <v>9696.1</v>
      </c>
      <c r="E4281" s="1" t="n">
        <v>0.0519</v>
      </c>
      <c r="F4281" s="1" t="n">
        <v>0.0759</v>
      </c>
    </row>
    <row r="4282" customFormat="false" ht="15" hidden="false" customHeight="false" outlineLevel="0" collapsed="false">
      <c r="A4282" s="1" t="s">
        <v>4317</v>
      </c>
      <c r="B4282" s="1" t="s">
        <v>88</v>
      </c>
      <c r="C4282" s="1" t="n">
        <v>580000</v>
      </c>
      <c r="D4282" s="1" t="n">
        <v>3574.1</v>
      </c>
      <c r="E4282" s="1" t="n">
        <v>0.0245</v>
      </c>
      <c r="F4282" s="1" t="n">
        <v>0.117</v>
      </c>
    </row>
    <row r="4283" customFormat="false" ht="15" hidden="false" customHeight="false" outlineLevel="0" collapsed="false">
      <c r="A4283" s="1" t="s">
        <v>4318</v>
      </c>
      <c r="B4283" s="1" t="s">
        <v>26</v>
      </c>
      <c r="C4283" s="1" t="n">
        <v>903000</v>
      </c>
      <c r="D4283" s="1" t="n">
        <v>402880.3</v>
      </c>
      <c r="E4283" s="1" t="n">
        <v>0.0164</v>
      </c>
      <c r="F4283" s="1" t="n">
        <v>0.0462</v>
      </c>
    </row>
    <row r="4284" customFormat="false" ht="15" hidden="false" customHeight="false" outlineLevel="0" collapsed="false">
      <c r="A4284" s="1" t="s">
        <v>4319</v>
      </c>
      <c r="B4284" s="1" t="s">
        <v>50</v>
      </c>
      <c r="C4284" s="1" t="n">
        <v>4100000</v>
      </c>
      <c r="D4284" s="1" t="n">
        <v>78079.3</v>
      </c>
      <c r="E4284" s="1" t="n">
        <v>0.0164</v>
      </c>
      <c r="F4284" s="1" t="n">
        <v>0.0462</v>
      </c>
    </row>
    <row r="4285" customFormat="false" ht="15" hidden="false" customHeight="false" outlineLevel="0" collapsed="false">
      <c r="A4285" s="1" t="s">
        <v>4320</v>
      </c>
      <c r="B4285" s="1" t="s">
        <v>50</v>
      </c>
      <c r="C4285" s="1" t="n">
        <v>728000</v>
      </c>
      <c r="D4285" s="1" t="n">
        <v>192496.3</v>
      </c>
      <c r="E4285" s="1" t="n">
        <v>0.0315</v>
      </c>
      <c r="F4285" s="1" t="n">
        <v>0.0951</v>
      </c>
    </row>
    <row r="4286" customFormat="false" ht="15" hidden="false" customHeight="false" outlineLevel="0" collapsed="false">
      <c r="A4286" s="1" t="s">
        <v>4321</v>
      </c>
      <c r="B4286" s="1" t="s">
        <v>24</v>
      </c>
      <c r="C4286" s="1" t="n">
        <v>683000</v>
      </c>
      <c r="D4286" s="1" t="n">
        <v>67.3</v>
      </c>
      <c r="E4286" s="1" t="n">
        <v>0.0234</v>
      </c>
      <c r="F4286" s="1" t="n">
        <v>0.2543</v>
      </c>
    </row>
    <row r="4287" customFormat="false" ht="15" hidden="false" customHeight="false" outlineLevel="0" collapsed="false">
      <c r="A4287" s="1" t="s">
        <v>4322</v>
      </c>
      <c r="B4287" s="1" t="s">
        <v>41</v>
      </c>
      <c r="C4287" s="1" t="n">
        <v>1000000</v>
      </c>
      <c r="D4287" s="1" t="n">
        <v>200072.3</v>
      </c>
      <c r="E4287" s="1" t="n">
        <v>0.0267</v>
      </c>
      <c r="F4287" s="1" t="n">
        <v>0.0759</v>
      </c>
    </row>
    <row r="4288" customFormat="false" ht="15" hidden="false" customHeight="false" outlineLevel="0" collapsed="false">
      <c r="A4288" s="1" t="s">
        <v>4323</v>
      </c>
      <c r="B4288" s="1" t="s">
        <v>92</v>
      </c>
      <c r="C4288" s="1" t="n">
        <v>525000</v>
      </c>
      <c r="D4288" s="1" t="n">
        <v>4791.6</v>
      </c>
      <c r="E4288" s="1" t="n">
        <v>0.0152</v>
      </c>
      <c r="F4288" s="1" t="n">
        <v>0.0949</v>
      </c>
    </row>
    <row r="4289" customFormat="false" ht="15" hidden="false" customHeight="false" outlineLevel="0" collapsed="false">
      <c r="A4289" s="1" t="s">
        <v>4324</v>
      </c>
      <c r="B4289" s="1" t="s">
        <v>88</v>
      </c>
      <c r="C4289" s="1" t="n">
        <v>665000</v>
      </c>
      <c r="D4289" s="1" t="n">
        <v>26040.2</v>
      </c>
      <c r="E4289" s="1" t="n">
        <v>0.0674</v>
      </c>
      <c r="F4289" s="1" t="n">
        <v>0.0951</v>
      </c>
    </row>
    <row r="4290" customFormat="false" ht="15" hidden="false" customHeight="false" outlineLevel="0" collapsed="false">
      <c r="A4290" s="1" t="s">
        <v>4325</v>
      </c>
      <c r="B4290" s="1" t="s">
        <v>287</v>
      </c>
      <c r="C4290" s="1" t="n">
        <v>653000</v>
      </c>
      <c r="D4290" s="1" t="n">
        <v>6356.6</v>
      </c>
      <c r="E4290" s="1" t="n">
        <v>0.0294</v>
      </c>
      <c r="F4290" s="1" t="n">
        <v>0.0409</v>
      </c>
    </row>
    <row r="4291" customFormat="false" ht="15" hidden="false" customHeight="false" outlineLevel="0" collapsed="false">
      <c r="A4291" s="1" t="s">
        <v>4326</v>
      </c>
      <c r="B4291" s="1" t="s">
        <v>26</v>
      </c>
      <c r="C4291" s="1" t="n">
        <v>1230000</v>
      </c>
      <c r="D4291" s="1" t="n">
        <v>469.8</v>
      </c>
      <c r="E4291" s="1" t="n">
        <v>0.0367</v>
      </c>
      <c r="F4291" s="1" t="n">
        <v>0.1226</v>
      </c>
    </row>
    <row r="4292" customFormat="false" ht="15" hidden="false" customHeight="false" outlineLevel="0" collapsed="false">
      <c r="A4292" s="1" t="s">
        <v>4327</v>
      </c>
      <c r="B4292" s="1" t="s">
        <v>24</v>
      </c>
      <c r="C4292" s="1" t="n">
        <v>934000</v>
      </c>
      <c r="D4292" s="1" t="n">
        <v>622492.4</v>
      </c>
      <c r="E4292" s="1" t="n">
        <v>0.0408</v>
      </c>
      <c r="F4292" s="1" t="n">
        <v>0.0759</v>
      </c>
    </row>
    <row r="4293" customFormat="false" ht="15" hidden="false" customHeight="false" outlineLevel="0" collapsed="false">
      <c r="A4293" s="1" t="s">
        <v>4328</v>
      </c>
      <c r="B4293" s="1" t="s">
        <v>88</v>
      </c>
      <c r="C4293" s="1" t="n">
        <v>810000</v>
      </c>
      <c r="D4293" s="1" t="n">
        <v>883.6</v>
      </c>
      <c r="E4293" s="1" t="n">
        <v>0.1279</v>
      </c>
      <c r="F4293" s="1" t="n">
        <v>0.0938</v>
      </c>
    </row>
    <row r="4294" customFormat="false" ht="15" hidden="false" customHeight="false" outlineLevel="0" collapsed="false">
      <c r="A4294" s="1" t="s">
        <v>4329</v>
      </c>
      <c r="B4294" s="1" t="s">
        <v>88</v>
      </c>
      <c r="C4294" s="1" t="n">
        <v>598000</v>
      </c>
      <c r="D4294" s="1" t="n">
        <v>3882.7</v>
      </c>
      <c r="E4294" s="1" t="n">
        <v>0.0185</v>
      </c>
      <c r="F4294" s="1" t="n">
        <v>0.1067</v>
      </c>
    </row>
    <row r="4295" customFormat="false" ht="15" hidden="false" customHeight="false" outlineLevel="0" collapsed="false">
      <c r="A4295" s="1" t="s">
        <v>4330</v>
      </c>
      <c r="B4295" s="1" t="s">
        <v>26</v>
      </c>
      <c r="C4295" s="1" t="n">
        <v>583000</v>
      </c>
      <c r="D4295" s="1" t="n">
        <v>279.6</v>
      </c>
      <c r="E4295" s="1" t="n">
        <v>0.0183</v>
      </c>
      <c r="F4295" s="1" t="n">
        <v>0.1067</v>
      </c>
    </row>
    <row r="4296" customFormat="false" ht="15" hidden="false" customHeight="false" outlineLevel="0" collapsed="false">
      <c r="A4296" s="1" t="s">
        <v>4331</v>
      </c>
      <c r="B4296" s="1" t="s">
        <v>26</v>
      </c>
      <c r="C4296" s="1" t="n">
        <v>781000</v>
      </c>
      <c r="D4296" s="1" t="n">
        <v>99217.2</v>
      </c>
      <c r="E4296" s="1" t="n">
        <v>0.0289</v>
      </c>
      <c r="F4296" s="1" t="n">
        <v>0.0518</v>
      </c>
    </row>
    <row r="4297" customFormat="false" ht="15" hidden="false" customHeight="false" outlineLevel="0" collapsed="false">
      <c r="A4297" s="1" t="s">
        <v>4332</v>
      </c>
      <c r="B4297" s="1" t="s">
        <v>74</v>
      </c>
      <c r="C4297" s="1" t="n">
        <v>596000</v>
      </c>
      <c r="D4297" s="1" t="n">
        <v>3037.9</v>
      </c>
      <c r="E4297" s="1" t="n">
        <v>0.014</v>
      </c>
      <c r="F4297" s="1" t="n">
        <v>0.0736</v>
      </c>
    </row>
    <row r="4298" customFormat="false" ht="15" hidden="false" customHeight="false" outlineLevel="0" collapsed="false">
      <c r="A4298" s="1" t="s">
        <v>4333</v>
      </c>
      <c r="B4298" s="1" t="s">
        <v>92</v>
      </c>
      <c r="C4298" s="1" t="n">
        <v>594000</v>
      </c>
      <c r="D4298" s="1" t="n">
        <v>1198</v>
      </c>
      <c r="E4298" s="1" t="n">
        <v>0.0217</v>
      </c>
      <c r="F4298" s="1" t="n">
        <v>0.1067</v>
      </c>
    </row>
    <row r="4299" customFormat="false" ht="15" hidden="false" customHeight="false" outlineLevel="0" collapsed="false">
      <c r="A4299" s="1" t="s">
        <v>4334</v>
      </c>
      <c r="B4299" s="1" t="s">
        <v>35</v>
      </c>
      <c r="C4299" s="1" t="n">
        <v>621000</v>
      </c>
      <c r="D4299" s="1" t="n">
        <v>53187.3</v>
      </c>
      <c r="E4299" s="1" t="n">
        <v>0.0277</v>
      </c>
      <c r="F4299" s="1" t="n">
        <v>0.0951</v>
      </c>
    </row>
    <row r="4300" customFormat="false" ht="15" hidden="false" customHeight="false" outlineLevel="0" collapsed="false">
      <c r="A4300" s="1" t="s">
        <v>4335</v>
      </c>
      <c r="B4300" s="1" t="s">
        <v>26</v>
      </c>
      <c r="C4300" s="1" t="n">
        <v>680000</v>
      </c>
      <c r="D4300" s="1" t="n">
        <v>21658.2</v>
      </c>
      <c r="E4300" s="1" t="n">
        <v>0.0258</v>
      </c>
      <c r="F4300" s="1" t="n">
        <v>0.0672</v>
      </c>
    </row>
    <row r="4301" customFormat="false" ht="15" hidden="false" customHeight="false" outlineLevel="0" collapsed="false">
      <c r="A4301" s="1" t="s">
        <v>4336</v>
      </c>
      <c r="B4301" s="1" t="s">
        <v>50</v>
      </c>
      <c r="C4301" s="1" t="n">
        <v>699000</v>
      </c>
      <c r="D4301" s="1" t="n">
        <v>225921.2</v>
      </c>
      <c r="E4301" s="1" t="n">
        <v>0.0153</v>
      </c>
      <c r="F4301" s="1" t="n">
        <v>0.0585</v>
      </c>
    </row>
    <row r="4302" customFormat="false" ht="15" hidden="false" customHeight="false" outlineLevel="0" collapsed="false">
      <c r="A4302" s="1" t="s">
        <v>4337</v>
      </c>
      <c r="B4302" s="1" t="s">
        <v>32</v>
      </c>
      <c r="C4302" s="1" t="n">
        <v>674000</v>
      </c>
      <c r="D4302" s="1" t="n">
        <v>712.6</v>
      </c>
      <c r="E4302" s="1" t="n">
        <v>0.0467</v>
      </c>
      <c r="F4302" s="1" t="n">
        <v>0.0938</v>
      </c>
    </row>
    <row r="4303" customFormat="false" ht="15" hidden="false" customHeight="false" outlineLevel="0" collapsed="false">
      <c r="A4303" s="1" t="s">
        <v>4338</v>
      </c>
      <c r="B4303" s="1" t="s">
        <v>30</v>
      </c>
      <c r="C4303" s="1" t="n">
        <v>598000</v>
      </c>
      <c r="D4303" s="1" t="n">
        <v>426.3</v>
      </c>
      <c r="E4303" s="1" t="n">
        <v>0.0139</v>
      </c>
      <c r="F4303" s="1" t="n">
        <v>0.1617</v>
      </c>
    </row>
    <row r="4304" customFormat="false" ht="15" hidden="false" customHeight="false" outlineLevel="0" collapsed="false">
      <c r="A4304" s="1" t="s">
        <v>4339</v>
      </c>
      <c r="B4304" s="1" t="s">
        <v>92</v>
      </c>
      <c r="C4304" s="1" t="n">
        <v>602000</v>
      </c>
      <c r="D4304" s="1" t="n">
        <v>17774.6</v>
      </c>
      <c r="E4304" s="1" t="n">
        <v>0.0349</v>
      </c>
      <c r="F4304" s="1" t="n">
        <v>0.051</v>
      </c>
    </row>
    <row r="4305" customFormat="false" ht="15" hidden="false" customHeight="false" outlineLevel="0" collapsed="false">
      <c r="A4305" s="1" t="s">
        <v>4340</v>
      </c>
      <c r="B4305" s="1" t="s">
        <v>26</v>
      </c>
      <c r="C4305" s="1" t="n">
        <v>946000</v>
      </c>
      <c r="D4305" s="1" t="n">
        <v>16726.4</v>
      </c>
      <c r="E4305" s="1" t="n">
        <v>0.0214</v>
      </c>
      <c r="F4305" s="1" t="n">
        <v>0.0409</v>
      </c>
    </row>
    <row r="4306" customFormat="false" ht="15" hidden="false" customHeight="false" outlineLevel="0" collapsed="false">
      <c r="A4306" s="1" t="s">
        <v>4341</v>
      </c>
      <c r="B4306" s="1" t="s">
        <v>32</v>
      </c>
      <c r="C4306" s="1" t="n">
        <v>717000</v>
      </c>
      <c r="D4306" s="1" t="n">
        <v>658430.7</v>
      </c>
      <c r="E4306" s="1" t="n">
        <v>0.0104</v>
      </c>
      <c r="F4306" s="1" t="n">
        <v>0.1327</v>
      </c>
    </row>
    <row r="4307" customFormat="false" ht="15" hidden="false" customHeight="false" outlineLevel="0" collapsed="false">
      <c r="A4307" s="1" t="s">
        <v>4342</v>
      </c>
      <c r="B4307" s="1" t="s">
        <v>53</v>
      </c>
      <c r="C4307" s="1" t="n">
        <v>772000</v>
      </c>
      <c r="D4307" s="1" t="n">
        <v>14766.6</v>
      </c>
      <c r="F4307" s="1" t="n">
        <v>0.0759</v>
      </c>
    </row>
    <row r="4308" customFormat="false" ht="15" hidden="false" customHeight="false" outlineLevel="0" collapsed="false">
      <c r="A4308" s="1" t="s">
        <v>4343</v>
      </c>
      <c r="B4308" s="1" t="s">
        <v>35</v>
      </c>
      <c r="C4308" s="1" t="n">
        <v>1030000</v>
      </c>
      <c r="D4308" s="1" t="n">
        <v>151.2</v>
      </c>
      <c r="E4308" s="1" t="n">
        <v>0.0175</v>
      </c>
      <c r="F4308" s="1" t="n">
        <v>0.1225</v>
      </c>
    </row>
    <row r="4309" customFormat="false" ht="15" hidden="false" customHeight="false" outlineLevel="0" collapsed="false">
      <c r="A4309" s="1" t="s">
        <v>4344</v>
      </c>
      <c r="B4309" s="1" t="s">
        <v>26</v>
      </c>
      <c r="C4309" s="1" t="n">
        <v>286000</v>
      </c>
      <c r="D4309" s="1" t="n">
        <v>8742.8</v>
      </c>
      <c r="E4309" s="1" t="n">
        <v>0.0478</v>
      </c>
      <c r="F4309" s="1" t="n">
        <v>0.0951</v>
      </c>
    </row>
    <row r="4310" customFormat="false" ht="15" hidden="false" customHeight="false" outlineLevel="0" collapsed="false">
      <c r="A4310" s="1" t="s">
        <v>4345</v>
      </c>
      <c r="B4310" s="1" t="s">
        <v>74</v>
      </c>
      <c r="C4310" s="1" t="n">
        <v>1210000</v>
      </c>
      <c r="D4310" s="1" t="n">
        <v>74207.1</v>
      </c>
      <c r="E4310" s="1" t="n">
        <v>0.0672</v>
      </c>
      <c r="F4310" s="1" t="n">
        <v>0.0759</v>
      </c>
    </row>
    <row r="4311" customFormat="false" ht="15" hidden="false" customHeight="false" outlineLevel="0" collapsed="false">
      <c r="A4311" s="1" t="s">
        <v>4346</v>
      </c>
      <c r="B4311" s="1" t="s">
        <v>53</v>
      </c>
      <c r="C4311" s="1" t="n">
        <v>589000</v>
      </c>
      <c r="D4311" s="1" t="n">
        <v>2200.8</v>
      </c>
      <c r="E4311" s="1" t="n">
        <v>0.092</v>
      </c>
      <c r="F4311" s="1" t="n">
        <v>0.0938</v>
      </c>
    </row>
    <row r="4312" customFormat="false" ht="15" hidden="false" customHeight="false" outlineLevel="0" collapsed="false">
      <c r="A4312" s="1" t="s">
        <v>4347</v>
      </c>
      <c r="B4312" s="1" t="s">
        <v>490</v>
      </c>
      <c r="C4312" s="1" t="n">
        <v>593000</v>
      </c>
      <c r="D4312" s="1" t="n">
        <v>589.3</v>
      </c>
      <c r="E4312" s="1" t="n">
        <v>0.0112</v>
      </c>
      <c r="F4312" s="1" t="n">
        <v>0.0811</v>
      </c>
    </row>
    <row r="4313" customFormat="false" ht="15" hidden="false" customHeight="false" outlineLevel="0" collapsed="false">
      <c r="A4313" s="1" t="s">
        <v>4348</v>
      </c>
      <c r="B4313" s="1" t="s">
        <v>490</v>
      </c>
      <c r="C4313" s="1" t="n">
        <v>803000</v>
      </c>
      <c r="D4313" s="1" t="n">
        <v>6444.1</v>
      </c>
      <c r="E4313" s="1" t="n">
        <v>0.0164</v>
      </c>
      <c r="F4313" s="1" t="n">
        <v>0.0462</v>
      </c>
    </row>
    <row r="4314" customFormat="false" ht="15" hidden="false" customHeight="false" outlineLevel="0" collapsed="false">
      <c r="A4314" s="1" t="s">
        <v>4349</v>
      </c>
      <c r="B4314" s="1" t="s">
        <v>195</v>
      </c>
      <c r="C4314" s="1" t="n">
        <v>900000</v>
      </c>
      <c r="D4314" s="1" t="n">
        <v>3032.2</v>
      </c>
      <c r="E4314" s="1" t="n">
        <v>0.0339</v>
      </c>
      <c r="F4314" s="1" t="n">
        <v>0.0759</v>
      </c>
    </row>
    <row r="4315" customFormat="false" ht="15" hidden="false" customHeight="false" outlineLevel="0" collapsed="false">
      <c r="A4315" s="1" t="s">
        <v>4350</v>
      </c>
      <c r="B4315" s="1" t="s">
        <v>287</v>
      </c>
      <c r="C4315" s="1" t="n">
        <v>665000</v>
      </c>
      <c r="D4315" s="1" t="n">
        <v>2589557.7</v>
      </c>
      <c r="E4315" s="1" t="n">
        <v>0.0326</v>
      </c>
      <c r="F4315" s="1" t="n">
        <v>0.0759</v>
      </c>
    </row>
    <row r="4316" customFormat="false" ht="15" hidden="false" customHeight="false" outlineLevel="0" collapsed="false">
      <c r="A4316" s="1" t="s">
        <v>4351</v>
      </c>
      <c r="B4316" s="1" t="s">
        <v>26</v>
      </c>
      <c r="C4316" s="1" t="n">
        <v>719000</v>
      </c>
      <c r="D4316" s="1" t="n">
        <v>59331</v>
      </c>
      <c r="E4316" s="1" t="n">
        <v>0.0502</v>
      </c>
      <c r="F4316" s="1" t="n">
        <v>0.051</v>
      </c>
    </row>
    <row r="4317" customFormat="false" ht="15" hidden="false" customHeight="false" outlineLevel="0" collapsed="false">
      <c r="A4317" s="1" t="s">
        <v>4352</v>
      </c>
      <c r="B4317" s="1" t="s">
        <v>26</v>
      </c>
      <c r="C4317" s="1" t="n">
        <v>577000</v>
      </c>
      <c r="D4317" s="1" t="n">
        <v>27287.7</v>
      </c>
      <c r="E4317" s="1" t="n">
        <v>0.0999</v>
      </c>
      <c r="F4317" s="1" t="n">
        <v>0.0951</v>
      </c>
    </row>
    <row r="4318" customFormat="false" ht="15" hidden="false" customHeight="false" outlineLevel="0" collapsed="false">
      <c r="A4318" s="1" t="s">
        <v>4353</v>
      </c>
      <c r="B4318" s="1" t="s">
        <v>490</v>
      </c>
      <c r="C4318" s="1" t="n">
        <v>620000</v>
      </c>
      <c r="D4318" s="1" t="n">
        <v>4866.8</v>
      </c>
      <c r="E4318" s="1" t="n">
        <v>0.0082</v>
      </c>
      <c r="F4318" s="1" t="n">
        <v>0.0811</v>
      </c>
    </row>
    <row r="4319" customFormat="false" ht="15" hidden="false" customHeight="false" outlineLevel="0" collapsed="false">
      <c r="A4319" s="1" t="s">
        <v>4354</v>
      </c>
      <c r="B4319" s="1" t="s">
        <v>92</v>
      </c>
      <c r="C4319" s="1" t="n">
        <v>790000</v>
      </c>
      <c r="D4319" s="1" t="n">
        <v>106113.8</v>
      </c>
      <c r="E4319" s="1" t="n">
        <v>0.0311</v>
      </c>
      <c r="F4319" s="1" t="n">
        <v>0.0759</v>
      </c>
    </row>
    <row r="4320" customFormat="false" ht="15" hidden="false" customHeight="false" outlineLevel="0" collapsed="false">
      <c r="A4320" s="1" t="s">
        <v>4355</v>
      </c>
      <c r="B4320" s="1" t="s">
        <v>26</v>
      </c>
      <c r="C4320" s="1" t="n">
        <v>620000</v>
      </c>
      <c r="D4320" s="1" t="n">
        <v>19853.4</v>
      </c>
      <c r="E4320" s="1" t="n">
        <v>0.0315</v>
      </c>
      <c r="F4320" s="1" t="n">
        <v>0.0584</v>
      </c>
    </row>
    <row r="4321" customFormat="false" ht="15" hidden="false" customHeight="false" outlineLevel="0" collapsed="false">
      <c r="A4321" s="1" t="s">
        <v>4356</v>
      </c>
      <c r="B4321" s="1" t="s">
        <v>26</v>
      </c>
      <c r="C4321" s="1" t="n">
        <v>648000</v>
      </c>
      <c r="D4321" s="1" t="n">
        <v>33510.1</v>
      </c>
      <c r="E4321" s="1" t="n">
        <v>0.0324</v>
      </c>
      <c r="F4321" s="1" t="n">
        <v>0.0432</v>
      </c>
    </row>
    <row r="4322" customFormat="false" ht="15" hidden="false" customHeight="false" outlineLevel="0" collapsed="false">
      <c r="A4322" s="1" t="s">
        <v>4357</v>
      </c>
      <c r="B4322" s="1" t="s">
        <v>26</v>
      </c>
      <c r="C4322" s="1" t="n">
        <v>627000</v>
      </c>
      <c r="D4322" s="1" t="n">
        <v>231755.2</v>
      </c>
      <c r="E4322" s="1" t="n">
        <v>0.0423</v>
      </c>
      <c r="F4322" s="1" t="n">
        <v>0.0951</v>
      </c>
    </row>
    <row r="4323" customFormat="false" ht="15" hidden="false" customHeight="false" outlineLevel="0" collapsed="false">
      <c r="A4323" s="1" t="s">
        <v>4358</v>
      </c>
      <c r="B4323" s="1" t="s">
        <v>81</v>
      </c>
      <c r="C4323" s="1" t="n">
        <v>583000</v>
      </c>
      <c r="D4323" s="1" t="n">
        <v>923.8</v>
      </c>
      <c r="E4323" s="1" t="n">
        <v>0.0045</v>
      </c>
      <c r="F4323" s="1" t="n">
        <v>0.1539</v>
      </c>
    </row>
    <row r="4324" customFormat="false" ht="15" hidden="false" customHeight="false" outlineLevel="0" collapsed="false">
      <c r="A4324" s="1" t="s">
        <v>4359</v>
      </c>
      <c r="B4324" s="1" t="s">
        <v>26</v>
      </c>
      <c r="C4324" s="1" t="n">
        <v>619000</v>
      </c>
      <c r="D4324" s="1" t="n">
        <v>11916.1</v>
      </c>
      <c r="E4324" s="1" t="n">
        <v>0.066</v>
      </c>
      <c r="F4324" s="1" t="n">
        <v>0.0938</v>
      </c>
    </row>
    <row r="4325" customFormat="false" ht="15" hidden="false" customHeight="false" outlineLevel="0" collapsed="false">
      <c r="A4325" s="1" t="s">
        <v>4360</v>
      </c>
      <c r="B4325" s="1" t="s">
        <v>26</v>
      </c>
      <c r="C4325" s="1" t="n">
        <v>633000</v>
      </c>
      <c r="D4325" s="1" t="n">
        <v>40200.7</v>
      </c>
      <c r="E4325" s="1" t="n">
        <v>0.0285</v>
      </c>
      <c r="F4325" s="1" t="n">
        <v>0.0759</v>
      </c>
    </row>
    <row r="4326" customFormat="false" ht="15" hidden="false" customHeight="false" outlineLevel="0" collapsed="false">
      <c r="A4326" s="1" t="s">
        <v>4361</v>
      </c>
      <c r="B4326" s="1" t="s">
        <v>41</v>
      </c>
      <c r="C4326" s="1" t="n">
        <v>590000</v>
      </c>
      <c r="D4326" s="1" t="n">
        <v>408.9</v>
      </c>
      <c r="E4326" s="1" t="n">
        <v>0.0279</v>
      </c>
      <c r="F4326" s="1" t="n">
        <v>0.0938</v>
      </c>
    </row>
    <row r="4327" customFormat="false" ht="15" hidden="false" customHeight="false" outlineLevel="0" collapsed="false">
      <c r="A4327" s="1" t="s">
        <v>4362</v>
      </c>
      <c r="B4327" s="1" t="s">
        <v>32</v>
      </c>
      <c r="C4327" s="1" t="n">
        <v>763000</v>
      </c>
      <c r="D4327" s="1" t="n">
        <v>153341.3</v>
      </c>
      <c r="E4327" s="1" t="n">
        <v>0.0069</v>
      </c>
      <c r="F4327" s="1" t="n">
        <v>0.0811</v>
      </c>
    </row>
    <row r="4328" customFormat="false" ht="15" hidden="false" customHeight="false" outlineLevel="0" collapsed="false">
      <c r="A4328" s="1" t="s">
        <v>4363</v>
      </c>
      <c r="B4328" s="1" t="s">
        <v>74</v>
      </c>
      <c r="C4328" s="1" t="n">
        <v>600000</v>
      </c>
      <c r="D4328" s="1" t="n">
        <v>16363.1</v>
      </c>
      <c r="E4328" s="1" t="n">
        <v>0.0277</v>
      </c>
      <c r="F4328" s="1" t="n">
        <v>0.0938</v>
      </c>
    </row>
    <row r="4329" customFormat="false" ht="15" hidden="false" customHeight="false" outlineLevel="0" collapsed="false">
      <c r="A4329" s="1" t="s">
        <v>4364</v>
      </c>
      <c r="B4329" s="1" t="s">
        <v>62</v>
      </c>
      <c r="C4329" s="1" t="n">
        <v>616000</v>
      </c>
      <c r="D4329" s="1" t="n">
        <v>661.2</v>
      </c>
      <c r="E4329" s="1" t="n">
        <v>0.0176</v>
      </c>
      <c r="F4329" s="1" t="n">
        <v>0.0409</v>
      </c>
    </row>
    <row r="4330" customFormat="false" ht="15" hidden="false" customHeight="false" outlineLevel="0" collapsed="false">
      <c r="A4330" s="1" t="s">
        <v>4365</v>
      </c>
      <c r="B4330" s="1" t="s">
        <v>41</v>
      </c>
      <c r="C4330" s="1" t="n">
        <v>1080000</v>
      </c>
      <c r="D4330" s="1" t="n">
        <v>973.9</v>
      </c>
      <c r="E4330" s="1" t="n">
        <v>0.0258</v>
      </c>
      <c r="F4330" s="1" t="n">
        <v>0.0938</v>
      </c>
    </row>
    <row r="4331" customFormat="false" ht="15" hidden="false" customHeight="false" outlineLevel="0" collapsed="false">
      <c r="A4331" s="1" t="s">
        <v>4366</v>
      </c>
      <c r="B4331" s="1" t="s">
        <v>71</v>
      </c>
      <c r="C4331" s="1" t="n">
        <v>727000</v>
      </c>
      <c r="D4331" s="1" t="n">
        <v>2105.9</v>
      </c>
      <c r="E4331" s="1" t="n">
        <v>0.0158</v>
      </c>
      <c r="F4331" s="1" t="n">
        <v>0.1053</v>
      </c>
    </row>
    <row r="4332" customFormat="false" ht="15" hidden="false" customHeight="false" outlineLevel="0" collapsed="false">
      <c r="A4332" s="1" t="s">
        <v>4367</v>
      </c>
      <c r="B4332" s="1" t="s">
        <v>26</v>
      </c>
      <c r="C4332" s="1" t="n">
        <v>861000</v>
      </c>
      <c r="D4332" s="1" t="n">
        <v>174367.5</v>
      </c>
      <c r="E4332" s="1" t="n">
        <v>0.0219</v>
      </c>
      <c r="F4332" s="1" t="n">
        <v>0.0409</v>
      </c>
    </row>
    <row r="4333" customFormat="false" ht="15" hidden="false" customHeight="false" outlineLevel="0" collapsed="false">
      <c r="A4333" s="1" t="s">
        <v>4368</v>
      </c>
      <c r="B4333" s="1" t="s">
        <v>24</v>
      </c>
      <c r="C4333" s="1" t="n">
        <v>684000</v>
      </c>
      <c r="D4333" s="1" t="n">
        <v>640850.2</v>
      </c>
      <c r="E4333" s="1" t="n">
        <v>0.0256</v>
      </c>
      <c r="F4333" s="1" t="n">
        <v>0.0518</v>
      </c>
    </row>
    <row r="4334" customFormat="false" ht="15" hidden="false" customHeight="false" outlineLevel="0" collapsed="false">
      <c r="A4334" s="1" t="s">
        <v>4369</v>
      </c>
      <c r="B4334" s="1" t="s">
        <v>21</v>
      </c>
      <c r="C4334" s="1" t="n">
        <v>779000</v>
      </c>
      <c r="D4334" s="1" t="n">
        <v>1745.7</v>
      </c>
      <c r="E4334" s="1" t="n">
        <v>0.0099</v>
      </c>
      <c r="F4334" s="1" t="n">
        <v>0.0811</v>
      </c>
    </row>
    <row r="4335" customFormat="false" ht="15" hidden="false" customHeight="false" outlineLevel="0" collapsed="false">
      <c r="A4335" s="1" t="s">
        <v>4370</v>
      </c>
      <c r="B4335" s="1" t="s">
        <v>32</v>
      </c>
      <c r="C4335" s="1" t="n">
        <v>666000</v>
      </c>
      <c r="D4335" s="1" t="n">
        <v>382028</v>
      </c>
      <c r="E4335" s="1" t="n">
        <v>0.0325</v>
      </c>
      <c r="F4335" s="1" t="n">
        <v>0.0518</v>
      </c>
    </row>
    <row r="4336" customFormat="false" ht="15" hidden="false" customHeight="false" outlineLevel="0" collapsed="false">
      <c r="A4336" s="1" t="s">
        <v>4371</v>
      </c>
      <c r="B4336" s="1" t="s">
        <v>88</v>
      </c>
      <c r="C4336" s="1" t="n">
        <v>669000</v>
      </c>
      <c r="D4336" s="1" t="n">
        <v>30091.4</v>
      </c>
      <c r="E4336" s="1" t="n">
        <v>0.0597</v>
      </c>
      <c r="F4336" s="1" t="n">
        <v>0.0951</v>
      </c>
    </row>
    <row r="4337" customFormat="false" ht="15" hidden="false" customHeight="false" outlineLevel="0" collapsed="false">
      <c r="A4337" s="1" t="s">
        <v>4372</v>
      </c>
      <c r="B4337" s="1" t="s">
        <v>24</v>
      </c>
      <c r="C4337" s="1" t="n">
        <v>1080000</v>
      </c>
      <c r="D4337" s="1" t="n">
        <v>62296.3</v>
      </c>
      <c r="E4337" s="1" t="n">
        <v>0.0363</v>
      </c>
      <c r="F4337" s="1" t="n">
        <v>0.0951</v>
      </c>
    </row>
    <row r="4338" customFormat="false" ht="15" hidden="false" customHeight="false" outlineLevel="0" collapsed="false">
      <c r="A4338" s="1" t="s">
        <v>4373</v>
      </c>
      <c r="B4338" s="1" t="s">
        <v>24</v>
      </c>
      <c r="C4338" s="1" t="n">
        <v>643000</v>
      </c>
      <c r="D4338" s="1" t="n">
        <v>7143.6</v>
      </c>
      <c r="E4338" s="1" t="n">
        <v>0.0149</v>
      </c>
      <c r="F4338" s="1" t="n">
        <v>0.1886</v>
      </c>
    </row>
    <row r="4339" customFormat="false" ht="15" hidden="false" customHeight="false" outlineLevel="0" collapsed="false">
      <c r="A4339" s="1" t="s">
        <v>4374</v>
      </c>
      <c r="B4339" s="1" t="s">
        <v>62</v>
      </c>
      <c r="C4339" s="1" t="n">
        <v>605000</v>
      </c>
      <c r="D4339" s="1" t="n">
        <v>2976.2</v>
      </c>
      <c r="E4339" s="1" t="n">
        <v>0.008</v>
      </c>
      <c r="F4339" s="1" t="n">
        <v>0.0822</v>
      </c>
    </row>
    <row r="4340" customFormat="false" ht="15" hidden="false" customHeight="false" outlineLevel="0" collapsed="false">
      <c r="A4340" s="1" t="s">
        <v>4375</v>
      </c>
      <c r="B4340" s="1" t="s">
        <v>41</v>
      </c>
      <c r="C4340" s="1" t="n">
        <v>1050000</v>
      </c>
      <c r="D4340" s="1" t="n">
        <v>18172.4</v>
      </c>
      <c r="F4340" s="1" t="n">
        <v>0.0409</v>
      </c>
    </row>
    <row r="4341" customFormat="false" ht="15" hidden="false" customHeight="false" outlineLevel="0" collapsed="false">
      <c r="A4341" s="1" t="s">
        <v>4376</v>
      </c>
      <c r="B4341" s="1" t="s">
        <v>26</v>
      </c>
      <c r="C4341" s="1" t="n">
        <v>721000</v>
      </c>
      <c r="D4341" s="1" t="n">
        <v>34863.7</v>
      </c>
      <c r="E4341" s="1" t="n">
        <v>0.045</v>
      </c>
      <c r="F4341" s="1" t="n">
        <v>0.0432</v>
      </c>
    </row>
    <row r="4342" customFormat="false" ht="15" hidden="false" customHeight="false" outlineLevel="0" collapsed="false">
      <c r="A4342" s="1" t="s">
        <v>4377</v>
      </c>
      <c r="B4342" s="1" t="s">
        <v>26</v>
      </c>
      <c r="C4342" s="1" t="n">
        <v>1330000</v>
      </c>
      <c r="D4342" s="1" t="n">
        <v>140046.1</v>
      </c>
      <c r="E4342" s="1" t="n">
        <v>0.0567</v>
      </c>
      <c r="F4342" s="1" t="n">
        <v>0.0951</v>
      </c>
    </row>
    <row r="4343" customFormat="false" ht="15" hidden="false" customHeight="false" outlineLevel="0" collapsed="false">
      <c r="A4343" s="1" t="s">
        <v>4378</v>
      </c>
      <c r="B4343" s="1" t="s">
        <v>21</v>
      </c>
      <c r="C4343" s="1" t="n">
        <v>626000</v>
      </c>
      <c r="D4343" s="1" t="n">
        <v>3024.8</v>
      </c>
      <c r="E4343" s="1" t="n">
        <v>0.0451</v>
      </c>
      <c r="F4343" s="1" t="n">
        <v>0.0938</v>
      </c>
    </row>
    <row r="4344" customFormat="false" ht="15" hidden="false" customHeight="false" outlineLevel="0" collapsed="false">
      <c r="A4344" s="1" t="s">
        <v>4379</v>
      </c>
      <c r="B4344" s="1" t="s">
        <v>74</v>
      </c>
      <c r="C4344" s="1" t="n">
        <v>686000</v>
      </c>
      <c r="D4344" s="1" t="n">
        <v>12952.5</v>
      </c>
      <c r="E4344" s="1" t="n">
        <v>0.0414</v>
      </c>
      <c r="F4344" s="1" t="n">
        <v>0.0759</v>
      </c>
    </row>
    <row r="4345" customFormat="false" ht="15" hidden="false" customHeight="false" outlineLevel="0" collapsed="false">
      <c r="A4345" s="1" t="s">
        <v>4380</v>
      </c>
      <c r="B4345" s="1" t="s">
        <v>53</v>
      </c>
      <c r="C4345" s="1" t="n">
        <v>665000</v>
      </c>
      <c r="D4345" s="1" t="n">
        <v>570</v>
      </c>
      <c r="E4345" s="1" t="n">
        <v>0.0758</v>
      </c>
      <c r="F4345" s="1" t="n">
        <v>0.0759</v>
      </c>
    </row>
    <row r="4346" customFormat="false" ht="15" hidden="false" customHeight="false" outlineLevel="0" collapsed="false">
      <c r="A4346" s="1" t="s">
        <v>4381</v>
      </c>
      <c r="B4346" s="1" t="s">
        <v>88</v>
      </c>
      <c r="C4346" s="1" t="n">
        <v>626000</v>
      </c>
      <c r="D4346" s="1" t="n">
        <v>180483</v>
      </c>
      <c r="E4346" s="1" t="n">
        <v>0.0421</v>
      </c>
      <c r="F4346" s="1" t="n">
        <v>0.0951</v>
      </c>
    </row>
    <row r="4347" customFormat="false" ht="15" hidden="false" customHeight="false" outlineLevel="0" collapsed="false">
      <c r="A4347" s="1" t="s">
        <v>4382</v>
      </c>
      <c r="B4347" s="1" t="s">
        <v>92</v>
      </c>
      <c r="C4347" s="1" t="n">
        <v>580000</v>
      </c>
      <c r="D4347" s="1" t="n">
        <v>527136.7</v>
      </c>
      <c r="E4347" s="1" t="n">
        <v>0.0336</v>
      </c>
      <c r="F4347" s="1" t="n">
        <v>0.0951</v>
      </c>
    </row>
    <row r="4348" customFormat="false" ht="15" hidden="false" customHeight="false" outlineLevel="0" collapsed="false">
      <c r="A4348" s="1" t="s">
        <v>4383</v>
      </c>
      <c r="B4348" s="1" t="s">
        <v>92</v>
      </c>
      <c r="C4348" s="1" t="n">
        <v>605000</v>
      </c>
      <c r="D4348" s="1" t="n">
        <v>4294.3</v>
      </c>
      <c r="E4348" s="1" t="n">
        <v>0.0129</v>
      </c>
      <c r="F4348" s="1" t="n">
        <v>0.0584</v>
      </c>
    </row>
    <row r="4349" customFormat="false" ht="15" hidden="false" customHeight="false" outlineLevel="0" collapsed="false">
      <c r="A4349" s="1" t="s">
        <v>4384</v>
      </c>
      <c r="B4349" s="1" t="s">
        <v>32</v>
      </c>
      <c r="C4349" s="1" t="n">
        <v>697000</v>
      </c>
      <c r="D4349" s="1" t="n">
        <v>349051.6</v>
      </c>
      <c r="E4349" s="1" t="n">
        <v>0.038</v>
      </c>
      <c r="F4349" s="1" t="n">
        <v>0.0951</v>
      </c>
    </row>
    <row r="4350" customFormat="false" ht="15" hidden="false" customHeight="false" outlineLevel="0" collapsed="false">
      <c r="A4350" s="1" t="s">
        <v>4385</v>
      </c>
      <c r="B4350" s="1" t="s">
        <v>26</v>
      </c>
      <c r="C4350" s="1" t="n">
        <v>612000</v>
      </c>
      <c r="D4350" s="1" t="n">
        <v>9976.3</v>
      </c>
      <c r="E4350" s="1" t="n">
        <v>0.0534</v>
      </c>
      <c r="F4350" s="1" t="n">
        <v>0.0951</v>
      </c>
    </row>
    <row r="4351" customFormat="false" ht="15" hidden="false" customHeight="false" outlineLevel="0" collapsed="false">
      <c r="A4351" s="1" t="s">
        <v>4386</v>
      </c>
      <c r="B4351" s="1" t="s">
        <v>92</v>
      </c>
      <c r="C4351" s="1" t="n">
        <v>622000</v>
      </c>
      <c r="D4351" s="1" t="n">
        <v>4314.7</v>
      </c>
      <c r="E4351" s="1" t="n">
        <v>0.0144</v>
      </c>
      <c r="F4351" s="1" t="n">
        <v>0.1712</v>
      </c>
    </row>
    <row r="4352" customFormat="false" ht="15" hidden="false" customHeight="false" outlineLevel="0" collapsed="false">
      <c r="A4352" s="1" t="s">
        <v>4387</v>
      </c>
      <c r="B4352" s="1" t="s">
        <v>26</v>
      </c>
      <c r="C4352" s="1" t="n">
        <v>615000</v>
      </c>
      <c r="D4352" s="1" t="n">
        <v>104738.8</v>
      </c>
      <c r="E4352" s="1" t="n">
        <v>0.0525</v>
      </c>
      <c r="F4352" s="1" t="n">
        <v>0.0546</v>
      </c>
    </row>
    <row r="4353" customFormat="false" ht="15" hidden="false" customHeight="false" outlineLevel="0" collapsed="false">
      <c r="A4353" s="1" t="s">
        <v>4388</v>
      </c>
      <c r="B4353" s="1" t="s">
        <v>195</v>
      </c>
      <c r="C4353" s="1" t="n">
        <v>863000</v>
      </c>
      <c r="D4353" s="1" t="n">
        <v>2032.3</v>
      </c>
      <c r="E4353" s="1" t="n">
        <v>0.0254</v>
      </c>
      <c r="F4353" s="1" t="n">
        <v>0.051</v>
      </c>
    </row>
    <row r="4354" customFormat="false" ht="15" hidden="false" customHeight="false" outlineLevel="0" collapsed="false">
      <c r="A4354" s="1" t="s">
        <v>4389</v>
      </c>
      <c r="B4354" s="1" t="s">
        <v>26</v>
      </c>
      <c r="C4354" s="1" t="n">
        <v>556000</v>
      </c>
      <c r="D4354" s="1" t="n">
        <v>2893.3</v>
      </c>
      <c r="E4354" s="1" t="n">
        <v>0.067</v>
      </c>
      <c r="F4354" s="1" t="n">
        <v>0.0522</v>
      </c>
    </row>
    <row r="4355" customFormat="false" ht="15" hidden="false" customHeight="false" outlineLevel="0" collapsed="false">
      <c r="A4355" s="1" t="s">
        <v>4390</v>
      </c>
      <c r="B4355" s="1" t="s">
        <v>26</v>
      </c>
      <c r="C4355" s="1" t="n">
        <v>582000</v>
      </c>
      <c r="D4355" s="1" t="n">
        <v>758.1</v>
      </c>
      <c r="E4355" s="1" t="n">
        <v>0.1097</v>
      </c>
      <c r="F4355" s="1" t="n">
        <v>0.0759</v>
      </c>
    </row>
    <row r="4356" customFormat="false" ht="15" hidden="false" customHeight="false" outlineLevel="0" collapsed="false">
      <c r="A4356" s="1" t="s">
        <v>4391</v>
      </c>
      <c r="B4356" s="1" t="s">
        <v>41</v>
      </c>
      <c r="C4356" s="1" t="n">
        <v>983000</v>
      </c>
      <c r="D4356" s="1" t="n">
        <v>4373.2</v>
      </c>
      <c r="E4356" s="1" t="n">
        <v>0.0223</v>
      </c>
      <c r="F4356" s="1" t="n">
        <v>0.0938</v>
      </c>
    </row>
    <row r="4357" customFormat="false" ht="15" hidden="false" customHeight="false" outlineLevel="0" collapsed="false">
      <c r="A4357" s="1" t="s">
        <v>4392</v>
      </c>
      <c r="B4357" s="1" t="s">
        <v>41</v>
      </c>
      <c r="C4357" s="1" t="n">
        <v>598000</v>
      </c>
      <c r="D4357" s="1" t="n">
        <v>4723.9</v>
      </c>
      <c r="E4357" s="1" t="n">
        <v>0.0262</v>
      </c>
      <c r="F4357" s="1" t="n">
        <v>0.0938</v>
      </c>
    </row>
    <row r="4358" customFormat="false" ht="15" hidden="false" customHeight="false" outlineLevel="0" collapsed="false">
      <c r="A4358" s="1" t="s">
        <v>4393</v>
      </c>
      <c r="B4358" s="1" t="s">
        <v>62</v>
      </c>
      <c r="C4358" s="1" t="n">
        <v>589000</v>
      </c>
      <c r="D4358" s="1" t="n">
        <v>5184.1</v>
      </c>
      <c r="E4358" s="1" t="n">
        <v>0.009</v>
      </c>
      <c r="F4358" s="1" t="n">
        <v>0.1603</v>
      </c>
    </row>
    <row r="4359" customFormat="false" ht="15" hidden="false" customHeight="false" outlineLevel="0" collapsed="false">
      <c r="A4359" s="1" t="s">
        <v>4394</v>
      </c>
      <c r="B4359" s="1" t="s">
        <v>26</v>
      </c>
      <c r="C4359" s="1" t="n">
        <v>710000</v>
      </c>
      <c r="D4359" s="1" t="n">
        <v>28929.6</v>
      </c>
      <c r="E4359" s="1" t="n">
        <v>0.0151</v>
      </c>
      <c r="F4359" s="1" t="n">
        <v>0.0757</v>
      </c>
    </row>
    <row r="4360" customFormat="false" ht="15" hidden="false" customHeight="false" outlineLevel="0" collapsed="false">
      <c r="A4360" s="1" t="s">
        <v>4395</v>
      </c>
      <c r="B4360" s="1" t="s">
        <v>24</v>
      </c>
      <c r="C4360" s="1" t="n">
        <v>658000</v>
      </c>
      <c r="D4360" s="1" t="n">
        <v>751.2</v>
      </c>
      <c r="E4360" s="1" t="n">
        <v>0.0639</v>
      </c>
      <c r="F4360" s="1" t="n">
        <v>0.1168</v>
      </c>
    </row>
    <row r="4361" customFormat="false" ht="15" hidden="false" customHeight="false" outlineLevel="0" collapsed="false">
      <c r="A4361" s="1" t="s">
        <v>4396</v>
      </c>
      <c r="B4361" s="1" t="s">
        <v>71</v>
      </c>
      <c r="C4361" s="1" t="n">
        <v>726000</v>
      </c>
      <c r="D4361" s="1" t="n">
        <v>5034.3</v>
      </c>
      <c r="E4361" s="1" t="n">
        <v>0.0056</v>
      </c>
      <c r="F4361" s="1" t="n">
        <v>0.0654</v>
      </c>
    </row>
    <row r="4362" customFormat="false" ht="15" hidden="false" customHeight="false" outlineLevel="0" collapsed="false">
      <c r="A4362" s="1" t="s">
        <v>4397</v>
      </c>
      <c r="B4362" s="1" t="s">
        <v>24</v>
      </c>
      <c r="C4362" s="1" t="n">
        <v>642000</v>
      </c>
      <c r="D4362" s="1" t="n">
        <v>28836.9</v>
      </c>
      <c r="E4362" s="1" t="n">
        <v>0.0232</v>
      </c>
      <c r="F4362" s="1" t="n">
        <v>0.1067</v>
      </c>
    </row>
    <row r="4363" customFormat="false" ht="15" hidden="false" customHeight="false" outlineLevel="0" collapsed="false">
      <c r="A4363" s="1" t="s">
        <v>4398</v>
      </c>
      <c r="B4363" s="1" t="s">
        <v>26</v>
      </c>
      <c r="C4363" s="1" t="n">
        <v>641000</v>
      </c>
      <c r="D4363" s="1" t="n">
        <v>25851.3</v>
      </c>
      <c r="E4363" s="1" t="n">
        <v>0.0472</v>
      </c>
      <c r="F4363" s="1" t="n">
        <v>0.0759</v>
      </c>
    </row>
    <row r="4364" customFormat="false" ht="15" hidden="false" customHeight="false" outlineLevel="0" collapsed="false">
      <c r="A4364" s="1" t="s">
        <v>4399</v>
      </c>
      <c r="B4364" s="1" t="s">
        <v>92</v>
      </c>
      <c r="C4364" s="1" t="n">
        <v>600000</v>
      </c>
      <c r="D4364" s="1" t="n">
        <v>69596.6</v>
      </c>
      <c r="E4364" s="1" t="n">
        <v>0.0258</v>
      </c>
      <c r="F4364" s="1" t="n">
        <v>0.0845</v>
      </c>
    </row>
    <row r="4365" customFormat="false" ht="15" hidden="false" customHeight="false" outlineLevel="0" collapsed="false">
      <c r="A4365" s="1" t="s">
        <v>4400</v>
      </c>
      <c r="B4365" s="1" t="s">
        <v>88</v>
      </c>
      <c r="C4365" s="1" t="n">
        <v>568000</v>
      </c>
      <c r="D4365" s="1" t="n">
        <v>11150.1</v>
      </c>
      <c r="E4365" s="1" t="n">
        <v>0.0335</v>
      </c>
      <c r="F4365" s="1" t="n">
        <v>0.0759</v>
      </c>
    </row>
    <row r="4366" customFormat="false" ht="15" hidden="false" customHeight="false" outlineLevel="0" collapsed="false">
      <c r="A4366" s="1" t="s">
        <v>4401</v>
      </c>
      <c r="B4366" s="1" t="s">
        <v>26</v>
      </c>
      <c r="C4366" s="1" t="n">
        <v>663000</v>
      </c>
      <c r="D4366" s="1" t="n">
        <v>209071.3</v>
      </c>
      <c r="E4366" s="1" t="n">
        <v>0.0339</v>
      </c>
      <c r="F4366" s="1" t="n">
        <v>0.0951</v>
      </c>
    </row>
    <row r="4367" customFormat="false" ht="15" hidden="false" customHeight="false" outlineLevel="0" collapsed="false">
      <c r="A4367" s="1" t="s">
        <v>4402</v>
      </c>
      <c r="B4367" s="1" t="s">
        <v>74</v>
      </c>
      <c r="C4367" s="1" t="n">
        <v>605000</v>
      </c>
      <c r="D4367" s="1" t="n">
        <v>351.3</v>
      </c>
      <c r="E4367" s="1" t="n">
        <v>0.0473</v>
      </c>
      <c r="F4367" s="1" t="n">
        <v>0.301</v>
      </c>
    </row>
    <row r="4368" customFormat="false" ht="15" hidden="false" customHeight="false" outlineLevel="0" collapsed="false">
      <c r="A4368" s="1" t="s">
        <v>4403</v>
      </c>
      <c r="B4368" s="1" t="s">
        <v>88</v>
      </c>
      <c r="C4368" s="1" t="n">
        <v>581000</v>
      </c>
      <c r="D4368" s="1" t="n">
        <v>10869.1</v>
      </c>
      <c r="E4368" s="1" t="n">
        <v>0.0276</v>
      </c>
      <c r="F4368" s="1" t="n">
        <v>0.0951</v>
      </c>
    </row>
    <row r="4369" customFormat="false" ht="15" hidden="false" customHeight="false" outlineLevel="0" collapsed="false">
      <c r="A4369" s="1" t="s">
        <v>4404</v>
      </c>
      <c r="B4369" s="1" t="s">
        <v>26</v>
      </c>
      <c r="C4369" s="1" t="n">
        <v>708000</v>
      </c>
      <c r="D4369" s="1" t="n">
        <v>39804.1</v>
      </c>
      <c r="E4369" s="1" t="n">
        <v>0.0513</v>
      </c>
      <c r="F4369" s="1" t="n">
        <v>0.0412</v>
      </c>
    </row>
    <row r="4370" customFormat="false" ht="15" hidden="false" customHeight="false" outlineLevel="0" collapsed="false">
      <c r="A4370" s="1" t="s">
        <v>4405</v>
      </c>
      <c r="B4370" s="1" t="s">
        <v>32</v>
      </c>
      <c r="C4370" s="1" t="n">
        <v>668000</v>
      </c>
      <c r="D4370" s="1" t="n">
        <v>25378.1</v>
      </c>
      <c r="E4370" s="1" t="n">
        <v>0.0378</v>
      </c>
      <c r="F4370" s="1" t="n">
        <v>0.0951</v>
      </c>
    </row>
    <row r="4371" customFormat="false" ht="15" hidden="false" customHeight="false" outlineLevel="0" collapsed="false">
      <c r="A4371" s="1" t="s">
        <v>4406</v>
      </c>
      <c r="B4371" s="1" t="s">
        <v>92</v>
      </c>
      <c r="C4371" s="1" t="n">
        <v>825000</v>
      </c>
      <c r="D4371" s="1" t="n">
        <v>169829.4</v>
      </c>
      <c r="E4371" s="1" t="n">
        <v>0.0152</v>
      </c>
      <c r="F4371" s="1" t="n">
        <v>0.0462</v>
      </c>
    </row>
    <row r="4372" customFormat="false" ht="15" hidden="false" customHeight="false" outlineLevel="0" collapsed="false">
      <c r="A4372" s="1" t="s">
        <v>4407</v>
      </c>
      <c r="B4372" s="1" t="s">
        <v>41</v>
      </c>
      <c r="C4372" s="1" t="n">
        <v>739000</v>
      </c>
      <c r="D4372" s="1" t="n">
        <v>7665.7</v>
      </c>
      <c r="E4372" s="1" t="n">
        <v>0.0902</v>
      </c>
      <c r="F4372" s="1" t="n">
        <v>0.0938</v>
      </c>
    </row>
    <row r="4373" customFormat="false" ht="15" hidden="false" customHeight="false" outlineLevel="0" collapsed="false">
      <c r="A4373" s="1" t="s">
        <v>4408</v>
      </c>
      <c r="B4373" s="1" t="s">
        <v>41</v>
      </c>
      <c r="C4373" s="1" t="n">
        <v>809000</v>
      </c>
      <c r="D4373" s="1" t="n">
        <v>3278.2</v>
      </c>
      <c r="E4373" s="1" t="n">
        <v>0.0147</v>
      </c>
      <c r="F4373" s="1" t="n">
        <v>0.0576</v>
      </c>
    </row>
    <row r="4374" customFormat="false" ht="15" hidden="false" customHeight="false" outlineLevel="0" collapsed="false">
      <c r="A4374" s="1" t="s">
        <v>4409</v>
      </c>
      <c r="B4374" s="1" t="s">
        <v>26</v>
      </c>
      <c r="C4374" s="1" t="n">
        <v>1400000</v>
      </c>
      <c r="D4374" s="1" t="n">
        <v>842332.5</v>
      </c>
      <c r="E4374" s="1" t="n">
        <v>0.0404</v>
      </c>
      <c r="F4374" s="1" t="n">
        <v>0.0409</v>
      </c>
    </row>
    <row r="4375" customFormat="false" ht="15" hidden="false" customHeight="false" outlineLevel="0" collapsed="false">
      <c r="A4375" s="1" t="s">
        <v>4410</v>
      </c>
      <c r="B4375" s="1" t="s">
        <v>214</v>
      </c>
      <c r="C4375" s="1" t="n">
        <v>1840000</v>
      </c>
      <c r="D4375" s="1" t="n">
        <v>8722.8</v>
      </c>
      <c r="E4375" s="1" t="n">
        <v>0.0093</v>
      </c>
      <c r="F4375" s="1" t="n">
        <v>0.0811</v>
      </c>
    </row>
    <row r="4376" customFormat="false" ht="15" hidden="false" customHeight="false" outlineLevel="0" collapsed="false">
      <c r="A4376" s="1" t="s">
        <v>4411</v>
      </c>
      <c r="B4376" s="1" t="s">
        <v>74</v>
      </c>
      <c r="C4376" s="1" t="n">
        <v>571000</v>
      </c>
      <c r="D4376" s="1" t="n">
        <v>209507.9</v>
      </c>
      <c r="E4376" s="1" t="n">
        <v>0.0321</v>
      </c>
      <c r="F4376" s="1" t="n">
        <v>0.0951</v>
      </c>
    </row>
    <row r="4377" customFormat="false" ht="15" hidden="false" customHeight="false" outlineLevel="0" collapsed="false">
      <c r="A4377" s="1" t="s">
        <v>4412</v>
      </c>
      <c r="B4377" s="1" t="s">
        <v>214</v>
      </c>
      <c r="C4377" s="1" t="n">
        <v>693000</v>
      </c>
      <c r="D4377" s="1" t="n">
        <v>5454.9</v>
      </c>
      <c r="E4377" s="1" t="n">
        <v>0.0094</v>
      </c>
      <c r="F4377" s="1" t="n">
        <v>0.0822</v>
      </c>
    </row>
    <row r="4378" customFormat="false" ht="15" hidden="false" customHeight="false" outlineLevel="0" collapsed="false">
      <c r="A4378" s="1" t="s">
        <v>4413</v>
      </c>
      <c r="B4378" s="1" t="s">
        <v>26</v>
      </c>
      <c r="C4378" s="1" t="n">
        <v>685000</v>
      </c>
      <c r="D4378" s="1" t="n">
        <v>1086.8</v>
      </c>
      <c r="E4378" s="1" t="n">
        <v>0.0107</v>
      </c>
      <c r="F4378" s="1" t="n">
        <v>0.0654</v>
      </c>
    </row>
    <row r="4379" customFormat="false" ht="15" hidden="false" customHeight="false" outlineLevel="0" collapsed="false">
      <c r="A4379" s="1" t="s">
        <v>4414</v>
      </c>
      <c r="B4379" s="1" t="s">
        <v>53</v>
      </c>
      <c r="C4379" s="1" t="n">
        <v>570000</v>
      </c>
      <c r="F4379" s="1" t="n">
        <v>0.0759</v>
      </c>
    </row>
    <row r="4380" customFormat="false" ht="15" hidden="false" customHeight="false" outlineLevel="0" collapsed="false">
      <c r="A4380" s="1" t="s">
        <v>4415</v>
      </c>
      <c r="B4380" s="1" t="s">
        <v>21</v>
      </c>
      <c r="C4380" s="1" t="n">
        <v>737000</v>
      </c>
      <c r="D4380" s="1" t="n">
        <v>104744.8</v>
      </c>
      <c r="E4380" s="1" t="n">
        <v>0.0113</v>
      </c>
      <c r="F4380" s="1" t="n">
        <v>0.0584</v>
      </c>
    </row>
    <row r="4381" customFormat="false" ht="15" hidden="false" customHeight="false" outlineLevel="0" collapsed="false">
      <c r="A4381" s="1" t="s">
        <v>4416</v>
      </c>
      <c r="B4381" s="1" t="s">
        <v>21</v>
      </c>
      <c r="C4381" s="1" t="n">
        <v>689000</v>
      </c>
      <c r="D4381" s="1" t="n">
        <v>188162.9</v>
      </c>
      <c r="E4381" s="1" t="n">
        <v>0.0283</v>
      </c>
      <c r="F4381" s="1" t="n">
        <v>0.0672</v>
      </c>
    </row>
    <row r="4382" customFormat="false" ht="15" hidden="false" customHeight="false" outlineLevel="0" collapsed="false">
      <c r="A4382" s="1" t="s">
        <v>4417</v>
      </c>
      <c r="B4382" s="1" t="s">
        <v>74</v>
      </c>
      <c r="C4382" s="1" t="n">
        <v>580000</v>
      </c>
      <c r="D4382" s="1" t="n">
        <v>74.7</v>
      </c>
      <c r="E4382" s="1" t="n">
        <v>0.0204</v>
      </c>
      <c r="F4382" s="1" t="n">
        <v>0.5751</v>
      </c>
    </row>
    <row r="4383" customFormat="false" ht="15" hidden="false" customHeight="false" outlineLevel="0" collapsed="false">
      <c r="A4383" s="1" t="s">
        <v>4418</v>
      </c>
      <c r="B4383" s="1" t="s">
        <v>88</v>
      </c>
      <c r="C4383" s="1" t="n">
        <v>1080000</v>
      </c>
      <c r="D4383" s="1" t="n">
        <v>4720.7</v>
      </c>
      <c r="E4383" s="1" t="n">
        <v>0.0407</v>
      </c>
      <c r="F4383" s="1" t="n">
        <v>0.0938</v>
      </c>
    </row>
    <row r="4384" customFormat="false" ht="15" hidden="false" customHeight="false" outlineLevel="0" collapsed="false">
      <c r="A4384" s="1" t="s">
        <v>4419</v>
      </c>
      <c r="B4384" s="1" t="s">
        <v>24</v>
      </c>
      <c r="C4384" s="1" t="n">
        <v>635000</v>
      </c>
      <c r="D4384" s="1" t="n">
        <v>1734.3</v>
      </c>
      <c r="E4384" s="1" t="n">
        <v>0.0445</v>
      </c>
      <c r="F4384" s="1" t="n">
        <v>0.0759</v>
      </c>
    </row>
    <row r="4385" customFormat="false" ht="15" hidden="false" customHeight="false" outlineLevel="0" collapsed="false">
      <c r="A4385" s="1" t="s">
        <v>4420</v>
      </c>
      <c r="B4385" s="1" t="s">
        <v>81</v>
      </c>
      <c r="C4385" s="1" t="n">
        <v>658000</v>
      </c>
      <c r="D4385" s="1" t="n">
        <v>7691.6</v>
      </c>
      <c r="E4385" s="1" t="n">
        <v>0.031</v>
      </c>
      <c r="F4385" s="1" t="n">
        <v>0.0938</v>
      </c>
    </row>
    <row r="4386" customFormat="false" ht="15" hidden="false" customHeight="false" outlineLevel="0" collapsed="false">
      <c r="A4386" s="1" t="s">
        <v>4421</v>
      </c>
      <c r="B4386" s="1" t="s">
        <v>71</v>
      </c>
      <c r="C4386" s="1" t="n">
        <v>679000</v>
      </c>
      <c r="D4386" s="1" t="n">
        <v>3311.3</v>
      </c>
      <c r="E4386" s="1" t="n">
        <v>0.0244</v>
      </c>
      <c r="F4386" s="1" t="n">
        <v>0.0938</v>
      </c>
    </row>
    <row r="4387" customFormat="false" ht="15" hidden="false" customHeight="false" outlineLevel="0" collapsed="false">
      <c r="A4387" s="1" t="s">
        <v>4422</v>
      </c>
      <c r="B4387" s="1" t="s">
        <v>41</v>
      </c>
      <c r="C4387" s="1" t="n">
        <v>617000</v>
      </c>
      <c r="D4387" s="1" t="n">
        <v>3395.2</v>
      </c>
      <c r="E4387" s="1" t="n">
        <v>0.0112</v>
      </c>
      <c r="F4387" s="1" t="n">
        <v>0.0811</v>
      </c>
    </row>
    <row r="4388" customFormat="false" ht="15" hidden="false" customHeight="false" outlineLevel="0" collapsed="false">
      <c r="A4388" s="1" t="s">
        <v>4423</v>
      </c>
      <c r="B4388" s="1" t="s">
        <v>30</v>
      </c>
      <c r="C4388" s="1" t="n">
        <v>675000</v>
      </c>
      <c r="D4388" s="1" t="n">
        <v>10362.7</v>
      </c>
      <c r="E4388" s="1" t="n">
        <v>0.006</v>
      </c>
      <c r="F4388" s="1" t="n">
        <v>0.0654</v>
      </c>
    </row>
    <row r="4389" customFormat="false" ht="15" hidden="false" customHeight="false" outlineLevel="0" collapsed="false">
      <c r="A4389" s="1" t="s">
        <v>4424</v>
      </c>
      <c r="B4389" s="1" t="s">
        <v>26</v>
      </c>
      <c r="C4389" s="1" t="n">
        <v>575000</v>
      </c>
      <c r="D4389" s="1" t="n">
        <v>144339.4</v>
      </c>
      <c r="E4389" s="1" t="n">
        <v>0.0217</v>
      </c>
      <c r="F4389" s="1" t="n">
        <v>0.0518</v>
      </c>
    </row>
    <row r="4390" customFormat="false" ht="15" hidden="false" customHeight="false" outlineLevel="0" collapsed="false">
      <c r="A4390" s="1" t="s">
        <v>4425</v>
      </c>
      <c r="B4390" s="1" t="s">
        <v>26</v>
      </c>
      <c r="C4390" s="1" t="n">
        <v>804000</v>
      </c>
      <c r="D4390" s="1" t="n">
        <v>91929.4</v>
      </c>
      <c r="E4390" s="1" t="n">
        <v>0.0399</v>
      </c>
      <c r="F4390" s="1" t="n">
        <v>0.0759</v>
      </c>
    </row>
    <row r="4391" customFormat="false" ht="15" hidden="false" customHeight="false" outlineLevel="0" collapsed="false">
      <c r="A4391" s="1" t="s">
        <v>4426</v>
      </c>
      <c r="B4391" s="1" t="s">
        <v>92</v>
      </c>
      <c r="C4391" s="1" t="n">
        <v>598000</v>
      </c>
      <c r="D4391" s="1" t="n">
        <v>1516.6</v>
      </c>
      <c r="E4391" s="1" t="n">
        <v>0.0437</v>
      </c>
      <c r="F4391" s="1" t="n">
        <v>0.1359</v>
      </c>
    </row>
    <row r="4392" customFormat="false" ht="15" hidden="false" customHeight="false" outlineLevel="0" collapsed="false">
      <c r="A4392" s="1" t="s">
        <v>4427</v>
      </c>
      <c r="B4392" s="1" t="s">
        <v>26</v>
      </c>
      <c r="C4392" s="1" t="n">
        <v>1010000</v>
      </c>
      <c r="D4392" s="1" t="n">
        <v>16564.5</v>
      </c>
      <c r="E4392" s="1" t="n">
        <v>0.0496</v>
      </c>
      <c r="F4392" s="1" t="n">
        <v>0.0759</v>
      </c>
    </row>
    <row r="4393" customFormat="false" ht="15" hidden="false" customHeight="false" outlineLevel="0" collapsed="false">
      <c r="A4393" s="1" t="s">
        <v>4428</v>
      </c>
      <c r="B4393" s="1" t="s">
        <v>92</v>
      </c>
      <c r="C4393" s="1" t="n">
        <v>622000</v>
      </c>
      <c r="D4393" s="1" t="n">
        <v>68827.9</v>
      </c>
      <c r="E4393" s="1" t="n">
        <v>0.0903</v>
      </c>
      <c r="F4393" s="1" t="n">
        <v>0.0759</v>
      </c>
    </row>
    <row r="4394" customFormat="false" ht="15" hidden="false" customHeight="false" outlineLevel="0" collapsed="false">
      <c r="A4394" s="1" t="s">
        <v>4429</v>
      </c>
      <c r="B4394" s="1" t="s">
        <v>88</v>
      </c>
      <c r="C4394" s="1" t="n">
        <v>571000</v>
      </c>
      <c r="F4394" s="1" t="n">
        <v>0.0759</v>
      </c>
    </row>
    <row r="4395" customFormat="false" ht="15" hidden="false" customHeight="false" outlineLevel="0" collapsed="false">
      <c r="A4395" s="1" t="s">
        <v>4430</v>
      </c>
      <c r="B4395" s="1" t="s">
        <v>92</v>
      </c>
      <c r="C4395" s="1" t="n">
        <v>913000</v>
      </c>
      <c r="D4395" s="1" t="n">
        <v>17095.9</v>
      </c>
      <c r="E4395" s="1" t="n">
        <v>0.0181</v>
      </c>
      <c r="F4395" s="1" t="n">
        <v>0.0462</v>
      </c>
    </row>
    <row r="4396" customFormat="false" ht="15" hidden="false" customHeight="false" outlineLevel="0" collapsed="false">
      <c r="A4396" s="1" t="s">
        <v>4431</v>
      </c>
      <c r="B4396" s="1" t="s">
        <v>26</v>
      </c>
      <c r="C4396" s="1" t="n">
        <v>583000</v>
      </c>
      <c r="D4396" s="1" t="n">
        <v>649887.2</v>
      </c>
      <c r="E4396" s="1" t="n">
        <v>0.0291</v>
      </c>
      <c r="F4396" s="1" t="n">
        <v>0.0951</v>
      </c>
    </row>
    <row r="4397" customFormat="false" ht="15" hidden="false" customHeight="false" outlineLevel="0" collapsed="false">
      <c r="A4397" s="1" t="s">
        <v>4432</v>
      </c>
      <c r="B4397" s="1" t="s">
        <v>24</v>
      </c>
      <c r="C4397" s="1" t="n">
        <v>613000</v>
      </c>
      <c r="D4397" s="1" t="n">
        <v>1555.9</v>
      </c>
      <c r="E4397" s="1" t="n">
        <v>0.0395</v>
      </c>
      <c r="F4397" s="1" t="n">
        <v>0.0546</v>
      </c>
    </row>
    <row r="4398" customFormat="false" ht="15" hidden="false" customHeight="false" outlineLevel="0" collapsed="false">
      <c r="A4398" s="1" t="s">
        <v>4433</v>
      </c>
      <c r="B4398" s="1" t="s">
        <v>26</v>
      </c>
      <c r="C4398" s="1" t="n">
        <v>784000</v>
      </c>
      <c r="D4398" s="1" t="n">
        <v>433890.3</v>
      </c>
      <c r="E4398" s="1" t="n">
        <v>0.0383</v>
      </c>
      <c r="F4398" s="1" t="n">
        <v>0.0409</v>
      </c>
    </row>
    <row r="4399" customFormat="false" ht="15" hidden="false" customHeight="false" outlineLevel="0" collapsed="false">
      <c r="A4399" s="1" t="s">
        <v>4434</v>
      </c>
      <c r="B4399" s="1" t="s">
        <v>214</v>
      </c>
      <c r="C4399" s="1" t="n">
        <v>680000</v>
      </c>
      <c r="D4399" s="1" t="n">
        <v>11790.8</v>
      </c>
      <c r="E4399" s="1" t="n">
        <v>0.0672</v>
      </c>
      <c r="F4399" s="1" t="n">
        <v>0.0951</v>
      </c>
    </row>
    <row r="4400" customFormat="false" ht="15" hidden="false" customHeight="false" outlineLevel="0" collapsed="false">
      <c r="A4400" s="1" t="s">
        <v>4435</v>
      </c>
      <c r="B4400" s="1" t="s">
        <v>50</v>
      </c>
      <c r="C4400" s="1" t="n">
        <v>671000</v>
      </c>
      <c r="D4400" s="1" t="n">
        <v>11261.4</v>
      </c>
      <c r="E4400" s="1" t="n">
        <v>0.028</v>
      </c>
      <c r="F4400" s="1" t="n">
        <v>0.0409</v>
      </c>
    </row>
    <row r="4401" customFormat="false" ht="15" hidden="false" customHeight="false" outlineLevel="0" collapsed="false">
      <c r="A4401" s="1" t="s">
        <v>4436</v>
      </c>
      <c r="B4401" s="1" t="s">
        <v>21</v>
      </c>
      <c r="C4401" s="1" t="n">
        <v>607000</v>
      </c>
      <c r="D4401" s="1" t="n">
        <v>164259.3</v>
      </c>
      <c r="E4401" s="1" t="n">
        <v>0.0062</v>
      </c>
      <c r="F4401" s="1" t="n">
        <v>0.0822</v>
      </c>
    </row>
    <row r="4402" customFormat="false" ht="15" hidden="false" customHeight="false" outlineLevel="0" collapsed="false">
      <c r="A4402" s="1" t="s">
        <v>4437</v>
      </c>
      <c r="B4402" s="1" t="s">
        <v>26</v>
      </c>
      <c r="C4402" s="1" t="n">
        <v>669000</v>
      </c>
      <c r="D4402" s="1" t="n">
        <v>4164.7</v>
      </c>
      <c r="E4402" s="1" t="n">
        <v>0.0254</v>
      </c>
      <c r="F4402" s="1" t="n">
        <v>0.051</v>
      </c>
    </row>
    <row r="4403" customFormat="false" ht="15" hidden="false" customHeight="false" outlineLevel="0" collapsed="false">
      <c r="A4403" s="1" t="s">
        <v>4438</v>
      </c>
      <c r="B4403" s="1" t="s">
        <v>26</v>
      </c>
      <c r="C4403" s="1" t="n">
        <v>1010000</v>
      </c>
      <c r="D4403" s="1" t="n">
        <v>70948</v>
      </c>
      <c r="E4403" s="1" t="n">
        <v>0.0146</v>
      </c>
      <c r="F4403" s="1" t="n">
        <v>0.0854</v>
      </c>
    </row>
    <row r="4404" customFormat="false" ht="15" hidden="false" customHeight="false" outlineLevel="0" collapsed="false">
      <c r="A4404" s="1" t="s">
        <v>4439</v>
      </c>
      <c r="B4404" s="1" t="s">
        <v>62</v>
      </c>
      <c r="C4404" s="1" t="n">
        <v>840000</v>
      </c>
      <c r="D4404" s="1" t="n">
        <v>224899.1</v>
      </c>
      <c r="E4404" s="1" t="n">
        <v>0.0318</v>
      </c>
      <c r="F4404" s="1" t="n">
        <v>0.0518</v>
      </c>
    </row>
    <row r="4405" customFormat="false" ht="15" hidden="false" customHeight="false" outlineLevel="0" collapsed="false">
      <c r="A4405" s="1" t="s">
        <v>4440</v>
      </c>
      <c r="B4405" s="1" t="s">
        <v>88</v>
      </c>
      <c r="C4405" s="1" t="n">
        <v>674000</v>
      </c>
      <c r="D4405" s="1" t="n">
        <v>6347.8</v>
      </c>
      <c r="E4405" s="1" t="n">
        <v>0.0615</v>
      </c>
      <c r="F4405" s="1" t="n">
        <v>0.0938</v>
      </c>
    </row>
    <row r="4406" customFormat="false" ht="15" hidden="false" customHeight="false" outlineLevel="0" collapsed="false">
      <c r="A4406" s="1" t="s">
        <v>4441</v>
      </c>
      <c r="B4406" s="1" t="s">
        <v>214</v>
      </c>
      <c r="C4406" s="1" t="n">
        <v>626000</v>
      </c>
      <c r="D4406" s="1" t="n">
        <v>714044.3</v>
      </c>
      <c r="E4406" s="1" t="n">
        <v>0.0173</v>
      </c>
      <c r="F4406" s="1" t="n">
        <v>0.095</v>
      </c>
    </row>
    <row r="4407" customFormat="false" ht="15" hidden="false" customHeight="false" outlineLevel="0" collapsed="false">
      <c r="A4407" s="1" t="s">
        <v>4442</v>
      </c>
      <c r="B4407" s="1" t="s">
        <v>26</v>
      </c>
      <c r="C4407" s="1" t="n">
        <v>672000</v>
      </c>
      <c r="D4407" s="1" t="n">
        <v>241502.8</v>
      </c>
      <c r="E4407" s="1" t="n">
        <v>0.018</v>
      </c>
      <c r="F4407" s="1" t="n">
        <v>0.0854</v>
      </c>
    </row>
    <row r="4408" customFormat="false" ht="15" hidden="false" customHeight="false" outlineLevel="0" collapsed="false">
      <c r="A4408" s="1" t="s">
        <v>4443</v>
      </c>
      <c r="B4408" s="1" t="s">
        <v>24</v>
      </c>
      <c r="C4408" s="1" t="n">
        <v>862000</v>
      </c>
      <c r="D4408" s="1" t="n">
        <v>33103.1</v>
      </c>
      <c r="E4408" s="1" t="n">
        <v>0.0693</v>
      </c>
      <c r="F4408" s="1" t="n">
        <v>0.0938</v>
      </c>
    </row>
    <row r="4409" customFormat="false" ht="15" hidden="false" customHeight="false" outlineLevel="0" collapsed="false">
      <c r="A4409" s="1" t="s">
        <v>4444</v>
      </c>
      <c r="B4409" s="1" t="s">
        <v>92</v>
      </c>
      <c r="C4409" s="1" t="n">
        <v>620000</v>
      </c>
      <c r="D4409" s="1" t="n">
        <v>4116.5</v>
      </c>
      <c r="E4409" s="1" t="n">
        <v>0.0118</v>
      </c>
      <c r="F4409" s="1" t="n">
        <v>0.052</v>
      </c>
    </row>
    <row r="4410" customFormat="false" ht="15" hidden="false" customHeight="false" outlineLevel="0" collapsed="false">
      <c r="A4410" s="1" t="s">
        <v>4445</v>
      </c>
      <c r="B4410" s="1" t="s">
        <v>24</v>
      </c>
      <c r="C4410" s="1" t="n">
        <v>1380000</v>
      </c>
      <c r="D4410" s="1" t="n">
        <v>67813.4</v>
      </c>
      <c r="E4410" s="1" t="n">
        <v>0.0943</v>
      </c>
      <c r="F4410" s="1" t="n">
        <v>0.0759</v>
      </c>
    </row>
    <row r="4411" customFormat="false" ht="15" hidden="false" customHeight="false" outlineLevel="0" collapsed="false">
      <c r="A4411" s="1" t="s">
        <v>4446</v>
      </c>
      <c r="B4411" s="1" t="s">
        <v>26</v>
      </c>
      <c r="C4411" s="1" t="n">
        <v>685000</v>
      </c>
      <c r="D4411" s="1" t="n">
        <v>1488</v>
      </c>
      <c r="E4411" s="1" t="n">
        <v>0.0184</v>
      </c>
      <c r="F4411" s="1" t="n">
        <v>0.2267</v>
      </c>
    </row>
    <row r="4412" customFormat="false" ht="15" hidden="false" customHeight="false" outlineLevel="0" collapsed="false">
      <c r="A4412" s="1" t="s">
        <v>4447</v>
      </c>
      <c r="B4412" s="1" t="s">
        <v>26</v>
      </c>
      <c r="C4412" s="1" t="n">
        <v>582000</v>
      </c>
      <c r="D4412" s="1" t="n">
        <v>6723.6</v>
      </c>
      <c r="E4412" s="1" t="n">
        <v>0.0381</v>
      </c>
      <c r="F4412" s="1" t="n">
        <v>0.0938</v>
      </c>
    </row>
    <row r="4413" customFormat="false" ht="15" hidden="false" customHeight="false" outlineLevel="0" collapsed="false">
      <c r="A4413" s="1" t="s">
        <v>4448</v>
      </c>
      <c r="B4413" s="1" t="s">
        <v>195</v>
      </c>
      <c r="C4413" s="1" t="n">
        <v>758000</v>
      </c>
      <c r="D4413" s="1" t="n">
        <v>4129.4</v>
      </c>
      <c r="E4413" s="1" t="n">
        <v>0.0253</v>
      </c>
      <c r="F4413" s="1" t="n">
        <v>0.0409</v>
      </c>
    </row>
    <row r="4414" customFormat="false" ht="15" hidden="false" customHeight="false" outlineLevel="0" collapsed="false">
      <c r="A4414" s="1" t="s">
        <v>4449</v>
      </c>
      <c r="B4414" s="1" t="s">
        <v>24</v>
      </c>
      <c r="C4414" s="1" t="n">
        <v>571000</v>
      </c>
      <c r="D4414" s="1" t="n">
        <v>779.5</v>
      </c>
      <c r="E4414" s="1" t="n">
        <v>0.0188</v>
      </c>
      <c r="F4414" s="1" t="n">
        <v>0.0585</v>
      </c>
    </row>
    <row r="4415" customFormat="false" ht="15" hidden="false" customHeight="false" outlineLevel="0" collapsed="false">
      <c r="A4415" s="1" t="s">
        <v>4450</v>
      </c>
      <c r="B4415" s="1" t="s">
        <v>92</v>
      </c>
      <c r="C4415" s="1" t="n">
        <v>572000</v>
      </c>
      <c r="D4415" s="1" t="n">
        <v>213.5</v>
      </c>
      <c r="E4415" s="1" t="n">
        <v>0.006</v>
      </c>
      <c r="F4415" s="1" t="n">
        <v>0.2997</v>
      </c>
    </row>
    <row r="4416" customFormat="false" ht="15" hidden="false" customHeight="false" outlineLevel="0" collapsed="false">
      <c r="A4416" s="1" t="s">
        <v>4451</v>
      </c>
      <c r="B4416" s="1" t="s">
        <v>88</v>
      </c>
      <c r="C4416" s="1" t="n">
        <v>568000</v>
      </c>
      <c r="D4416" s="1" t="n">
        <v>771.1</v>
      </c>
      <c r="E4416" s="1" t="n">
        <v>0.0481</v>
      </c>
      <c r="F4416" s="1" t="n">
        <v>0.0951</v>
      </c>
    </row>
    <row r="4417" customFormat="false" ht="15" hidden="false" customHeight="false" outlineLevel="0" collapsed="false">
      <c r="A4417" s="1" t="s">
        <v>4452</v>
      </c>
      <c r="B4417" s="1" t="s">
        <v>41</v>
      </c>
      <c r="C4417" s="1" t="n">
        <v>661000</v>
      </c>
      <c r="D4417" s="1" t="n">
        <v>157.6</v>
      </c>
      <c r="E4417" s="1" t="n">
        <v>0.0168</v>
      </c>
      <c r="F4417" s="1" t="n">
        <v>0.2059</v>
      </c>
    </row>
    <row r="4418" customFormat="false" ht="15" hidden="false" customHeight="false" outlineLevel="0" collapsed="false">
      <c r="A4418" s="1" t="s">
        <v>4453</v>
      </c>
      <c r="B4418" s="1" t="s">
        <v>26</v>
      </c>
      <c r="C4418" s="1" t="n">
        <v>603000</v>
      </c>
      <c r="D4418" s="1" t="n">
        <v>69169</v>
      </c>
      <c r="E4418" s="1" t="n">
        <v>0.0186</v>
      </c>
      <c r="F4418" s="1" t="n">
        <v>0.0757</v>
      </c>
    </row>
    <row r="4419" customFormat="false" ht="15" hidden="false" customHeight="false" outlineLevel="0" collapsed="false">
      <c r="A4419" s="1" t="s">
        <v>4454</v>
      </c>
      <c r="B4419" s="1" t="s">
        <v>26</v>
      </c>
      <c r="C4419" s="1" t="n">
        <v>948000</v>
      </c>
      <c r="D4419" s="1" t="n">
        <v>33253.6</v>
      </c>
      <c r="E4419" s="1" t="n">
        <v>0.0398</v>
      </c>
      <c r="F4419" s="1" t="n">
        <v>0.0432</v>
      </c>
    </row>
    <row r="4420" customFormat="false" ht="15" hidden="false" customHeight="false" outlineLevel="0" collapsed="false">
      <c r="A4420" s="1" t="s">
        <v>4455</v>
      </c>
      <c r="B4420" s="1" t="s">
        <v>26</v>
      </c>
      <c r="C4420" s="1" t="n">
        <v>621000</v>
      </c>
      <c r="D4420" s="1" t="n">
        <v>1327159.7</v>
      </c>
      <c r="E4420" s="1" t="n">
        <v>0.0468</v>
      </c>
      <c r="F4420" s="1" t="n">
        <v>0.0518</v>
      </c>
    </row>
    <row r="4421" customFormat="false" ht="15" hidden="false" customHeight="false" outlineLevel="0" collapsed="false">
      <c r="A4421" s="1" t="s">
        <v>4456</v>
      </c>
      <c r="B4421" s="1" t="s">
        <v>92</v>
      </c>
      <c r="C4421" s="1" t="n">
        <v>624000</v>
      </c>
      <c r="D4421" s="1" t="n">
        <v>10194.8</v>
      </c>
      <c r="E4421" s="1" t="n">
        <v>0.0093</v>
      </c>
      <c r="F4421" s="1" t="n">
        <v>0.0654</v>
      </c>
    </row>
    <row r="4422" customFormat="false" ht="15" hidden="false" customHeight="false" outlineLevel="0" collapsed="false">
      <c r="A4422" s="1" t="s">
        <v>4457</v>
      </c>
      <c r="B4422" s="1" t="s">
        <v>92</v>
      </c>
      <c r="C4422" s="1" t="n">
        <v>679000</v>
      </c>
      <c r="D4422" s="1" t="n">
        <v>10908.1</v>
      </c>
      <c r="E4422" s="1" t="n">
        <v>0.0134</v>
      </c>
      <c r="F4422" s="1" t="n">
        <v>0.0576</v>
      </c>
    </row>
    <row r="4423" customFormat="false" ht="15" hidden="false" customHeight="false" outlineLevel="0" collapsed="false">
      <c r="A4423" s="1" t="s">
        <v>4458</v>
      </c>
      <c r="B4423" s="1" t="s">
        <v>26</v>
      </c>
      <c r="C4423" s="1" t="n">
        <v>557000</v>
      </c>
      <c r="D4423" s="1" t="n">
        <v>1119.9</v>
      </c>
      <c r="E4423" s="1" t="n">
        <v>0.0574</v>
      </c>
      <c r="F4423" s="1" t="n">
        <v>0.0951</v>
      </c>
    </row>
    <row r="4424" customFormat="false" ht="15" hidden="false" customHeight="false" outlineLevel="0" collapsed="false">
      <c r="A4424" s="1" t="s">
        <v>4459</v>
      </c>
      <c r="B4424" s="1" t="s">
        <v>24</v>
      </c>
      <c r="C4424" s="1" t="n">
        <v>594000</v>
      </c>
      <c r="D4424" s="1" t="n">
        <v>800.6</v>
      </c>
      <c r="E4424" s="1" t="n">
        <v>0.0062</v>
      </c>
      <c r="F4424" s="1" t="n">
        <v>0.0654</v>
      </c>
    </row>
    <row r="4425" customFormat="false" ht="15" hidden="false" customHeight="false" outlineLevel="0" collapsed="false">
      <c r="A4425" s="1" t="s">
        <v>4460</v>
      </c>
      <c r="B4425" s="1" t="s">
        <v>41</v>
      </c>
      <c r="C4425" s="1" t="n">
        <v>769000</v>
      </c>
      <c r="D4425" s="1" t="n">
        <v>1500.2</v>
      </c>
      <c r="E4425" s="1" t="n">
        <v>0.0249</v>
      </c>
      <c r="F4425" s="1" t="n">
        <v>0.0938</v>
      </c>
    </row>
    <row r="4426" customFormat="false" ht="15" hidden="false" customHeight="false" outlineLevel="0" collapsed="false">
      <c r="A4426" s="1" t="s">
        <v>4461</v>
      </c>
      <c r="B4426" s="1" t="s">
        <v>24</v>
      </c>
      <c r="C4426" s="1" t="n">
        <v>627000</v>
      </c>
      <c r="D4426" s="1" t="n">
        <v>2336.5</v>
      </c>
      <c r="E4426" s="1" t="n">
        <v>0.036</v>
      </c>
      <c r="F4426" s="1" t="n">
        <v>0.0672</v>
      </c>
    </row>
    <row r="4427" customFormat="false" ht="15" hidden="false" customHeight="false" outlineLevel="0" collapsed="false">
      <c r="A4427" s="1" t="s">
        <v>4462</v>
      </c>
      <c r="B4427" s="1" t="s">
        <v>50</v>
      </c>
      <c r="C4427" s="1" t="n">
        <v>616000</v>
      </c>
      <c r="D4427" s="1" t="n">
        <v>315.3</v>
      </c>
      <c r="E4427" s="1" t="n">
        <v>0.0007</v>
      </c>
      <c r="F4427" s="1" t="n">
        <v>0.1113</v>
      </c>
    </row>
    <row r="4428" customFormat="false" ht="15" hidden="false" customHeight="false" outlineLevel="0" collapsed="false">
      <c r="A4428" s="1" t="s">
        <v>4463</v>
      </c>
      <c r="B4428" s="1" t="s">
        <v>24</v>
      </c>
      <c r="C4428" s="1" t="n">
        <v>1370000</v>
      </c>
      <c r="D4428" s="1" t="n">
        <v>1242457.3</v>
      </c>
      <c r="E4428" s="1" t="n">
        <v>0.0466</v>
      </c>
      <c r="F4428" s="1" t="n">
        <v>0.0951</v>
      </c>
    </row>
    <row r="4429" customFormat="false" ht="15" hidden="false" customHeight="false" outlineLevel="0" collapsed="false">
      <c r="A4429" s="1" t="s">
        <v>4464</v>
      </c>
      <c r="B4429" s="1" t="s">
        <v>26</v>
      </c>
      <c r="C4429" s="1" t="n">
        <v>609000</v>
      </c>
      <c r="D4429" s="1" t="n">
        <v>57647.5</v>
      </c>
      <c r="E4429" s="1" t="n">
        <v>0.0243</v>
      </c>
      <c r="F4429" s="1" t="n">
        <v>0.0951</v>
      </c>
    </row>
    <row r="4430" customFormat="false" ht="15" hidden="false" customHeight="false" outlineLevel="0" collapsed="false">
      <c r="A4430" s="1" t="s">
        <v>4465</v>
      </c>
      <c r="B4430" s="1" t="s">
        <v>30</v>
      </c>
      <c r="C4430" s="1" t="n">
        <v>1230000</v>
      </c>
      <c r="D4430" s="1" t="n">
        <v>13985.8</v>
      </c>
      <c r="E4430" s="1" t="n">
        <v>0.037</v>
      </c>
      <c r="F4430" s="1" t="n">
        <v>0.0409</v>
      </c>
    </row>
    <row r="4431" customFormat="false" ht="15" hidden="false" customHeight="false" outlineLevel="0" collapsed="false">
      <c r="A4431" s="1" t="s">
        <v>4466</v>
      </c>
      <c r="B4431" s="1" t="s">
        <v>71</v>
      </c>
      <c r="C4431" s="1" t="n">
        <v>1470000</v>
      </c>
      <c r="D4431" s="1" t="n">
        <v>6246.9</v>
      </c>
      <c r="E4431" s="1" t="n">
        <v>0.0243</v>
      </c>
      <c r="F4431" s="1" t="n">
        <v>0.051</v>
      </c>
    </row>
    <row r="4432" customFormat="false" ht="15" hidden="false" customHeight="false" outlineLevel="0" collapsed="false">
      <c r="A4432" s="1" t="s">
        <v>4467</v>
      </c>
      <c r="B4432" s="1" t="s">
        <v>88</v>
      </c>
      <c r="C4432" s="1" t="n">
        <v>564000</v>
      </c>
      <c r="D4432" s="1" t="n">
        <v>603.9</v>
      </c>
      <c r="E4432" s="1" t="n">
        <v>0.0056</v>
      </c>
      <c r="F4432" s="1" t="n">
        <v>0.0822</v>
      </c>
    </row>
    <row r="4433" customFormat="false" ht="15" hidden="false" customHeight="false" outlineLevel="0" collapsed="false">
      <c r="A4433" s="1" t="s">
        <v>4468</v>
      </c>
      <c r="B4433" s="1" t="s">
        <v>71</v>
      </c>
      <c r="C4433" s="1" t="n">
        <v>568000</v>
      </c>
      <c r="D4433" s="1" t="n">
        <v>1068.9</v>
      </c>
      <c r="E4433" s="1" t="n">
        <v>0.029</v>
      </c>
      <c r="F4433" s="1" t="n">
        <v>0.117</v>
      </c>
    </row>
    <row r="4434" customFormat="false" ht="15" hidden="false" customHeight="false" outlineLevel="0" collapsed="false">
      <c r="A4434" s="1" t="s">
        <v>4469</v>
      </c>
      <c r="B4434" s="1" t="s">
        <v>32</v>
      </c>
      <c r="C4434" s="1" t="n">
        <v>1590000</v>
      </c>
      <c r="D4434" s="1" t="n">
        <v>17524.5</v>
      </c>
      <c r="E4434" s="1" t="n">
        <v>0.0711</v>
      </c>
      <c r="F4434" s="1" t="n">
        <v>0.0759</v>
      </c>
    </row>
    <row r="4435" customFormat="false" ht="15" hidden="false" customHeight="false" outlineLevel="0" collapsed="false">
      <c r="A4435" s="1" t="s">
        <v>4470</v>
      </c>
      <c r="B4435" s="1" t="s">
        <v>41</v>
      </c>
      <c r="C4435" s="1" t="n">
        <v>835000</v>
      </c>
      <c r="D4435" s="1" t="n">
        <v>4774.1</v>
      </c>
      <c r="E4435" s="1" t="n">
        <v>0.0276</v>
      </c>
      <c r="F4435" s="1" t="n">
        <v>0.0938</v>
      </c>
    </row>
    <row r="4436" customFormat="false" ht="15" hidden="false" customHeight="false" outlineLevel="0" collapsed="false">
      <c r="A4436" s="1" t="s">
        <v>4471</v>
      </c>
      <c r="B4436" s="1" t="s">
        <v>32</v>
      </c>
      <c r="C4436" s="1" t="n">
        <v>585000</v>
      </c>
      <c r="D4436" s="1" t="n">
        <v>3142.8</v>
      </c>
      <c r="E4436" s="1" t="n">
        <v>0.0217</v>
      </c>
      <c r="F4436" s="1" t="n">
        <v>0.1067</v>
      </c>
    </row>
    <row r="4437" customFormat="false" ht="15" hidden="false" customHeight="false" outlineLevel="0" collapsed="false">
      <c r="A4437" s="1" t="s">
        <v>4472</v>
      </c>
      <c r="B4437" s="1" t="s">
        <v>74</v>
      </c>
      <c r="C4437" s="1" t="n">
        <v>985000</v>
      </c>
      <c r="D4437" s="1" t="n">
        <v>50931.2</v>
      </c>
      <c r="E4437" s="1" t="n">
        <v>0.0221</v>
      </c>
      <c r="F4437" s="1" t="n">
        <v>0.0938</v>
      </c>
    </row>
    <row r="4438" customFormat="false" ht="15" hidden="false" customHeight="false" outlineLevel="0" collapsed="false">
      <c r="A4438" s="1" t="s">
        <v>4473</v>
      </c>
      <c r="B4438" s="1" t="s">
        <v>62</v>
      </c>
      <c r="C4438" s="1" t="n">
        <v>693000</v>
      </c>
      <c r="D4438" s="1" t="n">
        <v>12630.5</v>
      </c>
      <c r="E4438" s="1" t="n">
        <v>0.056</v>
      </c>
      <c r="F4438" s="1" t="n">
        <v>0.0759</v>
      </c>
    </row>
    <row r="4439" customFormat="false" ht="15" hidden="false" customHeight="false" outlineLevel="0" collapsed="false">
      <c r="A4439" s="1" t="s">
        <v>4474</v>
      </c>
      <c r="B4439" s="1" t="s">
        <v>26</v>
      </c>
      <c r="C4439" s="1" t="n">
        <v>800000</v>
      </c>
      <c r="D4439" s="1" t="n">
        <v>308196.1</v>
      </c>
      <c r="E4439" s="1" t="n">
        <v>0.0414</v>
      </c>
      <c r="F4439" s="1" t="n">
        <v>0.0432</v>
      </c>
    </row>
    <row r="4440" customFormat="false" ht="15" hidden="false" customHeight="false" outlineLevel="0" collapsed="false">
      <c r="A4440" s="1" t="s">
        <v>4475</v>
      </c>
      <c r="B4440" s="1" t="s">
        <v>26</v>
      </c>
      <c r="C4440" s="1" t="n">
        <v>798000</v>
      </c>
      <c r="D4440" s="1" t="n">
        <v>16485.7</v>
      </c>
      <c r="E4440" s="1" t="n">
        <v>0.0271</v>
      </c>
      <c r="F4440" s="1" t="n">
        <v>0.0938</v>
      </c>
    </row>
    <row r="4441" customFormat="false" ht="15" hidden="false" customHeight="false" outlineLevel="0" collapsed="false">
      <c r="A4441" s="1" t="s">
        <v>4476</v>
      </c>
      <c r="B4441" s="1" t="s">
        <v>287</v>
      </c>
      <c r="C4441" s="1" t="n">
        <v>1000000</v>
      </c>
      <c r="D4441" s="1" t="n">
        <v>4815.9</v>
      </c>
      <c r="E4441" s="1" t="n">
        <v>0.0278</v>
      </c>
      <c r="F4441" s="1" t="n">
        <v>0.0759</v>
      </c>
    </row>
    <row r="4442" customFormat="false" ht="15" hidden="false" customHeight="false" outlineLevel="0" collapsed="false">
      <c r="A4442" s="1" t="s">
        <v>4477</v>
      </c>
      <c r="B4442" s="1" t="s">
        <v>32</v>
      </c>
      <c r="C4442" s="1" t="n">
        <v>597000</v>
      </c>
      <c r="D4442" s="1" t="n">
        <v>116.9</v>
      </c>
      <c r="E4442" s="1" t="n">
        <v>0.0155</v>
      </c>
      <c r="F4442" s="1" t="n">
        <v>0.2011</v>
      </c>
    </row>
    <row r="4443" customFormat="false" ht="15" hidden="false" customHeight="false" outlineLevel="0" collapsed="false">
      <c r="A4443" s="1" t="s">
        <v>4478</v>
      </c>
      <c r="B4443" s="1" t="s">
        <v>41</v>
      </c>
      <c r="C4443" s="1" t="n">
        <v>579000</v>
      </c>
      <c r="D4443" s="1" t="n">
        <v>4475.2</v>
      </c>
      <c r="E4443" s="1" t="n">
        <v>0.039</v>
      </c>
      <c r="F4443" s="1" t="n">
        <v>0.0951</v>
      </c>
    </row>
    <row r="4444" customFormat="false" ht="15" hidden="false" customHeight="false" outlineLevel="0" collapsed="false">
      <c r="A4444" s="1" t="s">
        <v>4479</v>
      </c>
      <c r="B4444" s="1" t="s">
        <v>88</v>
      </c>
      <c r="C4444" s="1" t="n">
        <v>1090000</v>
      </c>
      <c r="D4444" s="1" t="n">
        <v>135049.8</v>
      </c>
      <c r="E4444" s="1" t="n">
        <v>0.0517</v>
      </c>
      <c r="F4444" s="1" t="n">
        <v>0.0759</v>
      </c>
    </row>
    <row r="4445" customFormat="false" ht="15" hidden="false" customHeight="false" outlineLevel="0" collapsed="false">
      <c r="A4445" s="1" t="s">
        <v>4480</v>
      </c>
      <c r="B4445" s="1" t="s">
        <v>26</v>
      </c>
      <c r="C4445" s="1" t="n">
        <v>633000</v>
      </c>
      <c r="D4445" s="1" t="n">
        <v>9939</v>
      </c>
      <c r="F4445" s="1" t="n">
        <v>0.0759</v>
      </c>
    </row>
    <row r="4446" customFormat="false" ht="15" hidden="false" customHeight="false" outlineLevel="0" collapsed="false">
      <c r="A4446" s="1" t="s">
        <v>4481</v>
      </c>
      <c r="B4446" s="1" t="s">
        <v>88</v>
      </c>
      <c r="C4446" s="1" t="n">
        <v>1040000</v>
      </c>
      <c r="D4446" s="1" t="n">
        <v>5277.9</v>
      </c>
      <c r="E4446" s="1" t="n">
        <v>0.0545</v>
      </c>
      <c r="F4446" s="1" t="n">
        <v>0.0759</v>
      </c>
    </row>
    <row r="4447" customFormat="false" ht="15" hidden="false" customHeight="false" outlineLevel="0" collapsed="false">
      <c r="A4447" s="1" t="s">
        <v>4482</v>
      </c>
      <c r="B4447" s="1" t="s">
        <v>26</v>
      </c>
      <c r="C4447" s="1" t="n">
        <v>720000</v>
      </c>
      <c r="D4447" s="1" t="n">
        <v>19674.9</v>
      </c>
      <c r="E4447" s="1" t="n">
        <v>0.0184</v>
      </c>
      <c r="F4447" s="1" t="n">
        <v>0.1053</v>
      </c>
    </row>
    <row r="4448" customFormat="false" ht="15" hidden="false" customHeight="false" outlineLevel="0" collapsed="false">
      <c r="A4448" s="1" t="s">
        <v>4483</v>
      </c>
      <c r="B4448" s="1" t="s">
        <v>81</v>
      </c>
      <c r="C4448" s="1" t="n">
        <v>579000</v>
      </c>
      <c r="D4448" s="1" t="n">
        <v>14299.6</v>
      </c>
      <c r="E4448" s="1" t="n">
        <v>0.0119</v>
      </c>
      <c r="F4448" s="1" t="n">
        <v>0.0822</v>
      </c>
    </row>
    <row r="4449" customFormat="false" ht="15" hidden="false" customHeight="false" outlineLevel="0" collapsed="false">
      <c r="A4449" s="1" t="s">
        <v>4484</v>
      </c>
      <c r="B4449" s="1" t="s">
        <v>24</v>
      </c>
      <c r="C4449" s="1" t="n">
        <v>894000</v>
      </c>
      <c r="D4449" s="1" t="n">
        <v>146271.1</v>
      </c>
      <c r="E4449" s="1" t="n">
        <v>0.0132</v>
      </c>
      <c r="F4449" s="1" t="n">
        <v>0.0654</v>
      </c>
    </row>
    <row r="4450" customFormat="false" ht="15" hidden="false" customHeight="false" outlineLevel="0" collapsed="false">
      <c r="A4450" s="1" t="s">
        <v>4485</v>
      </c>
      <c r="B4450" s="1" t="s">
        <v>88</v>
      </c>
      <c r="C4450" s="1" t="n">
        <v>790000</v>
      </c>
      <c r="D4450" s="1" t="n">
        <v>1052.2</v>
      </c>
      <c r="E4450" s="1" t="n">
        <v>0.0698</v>
      </c>
      <c r="F4450" s="1" t="n">
        <v>0.0938</v>
      </c>
    </row>
    <row r="4451" customFormat="false" ht="15" hidden="false" customHeight="false" outlineLevel="0" collapsed="false">
      <c r="A4451" s="1" t="s">
        <v>4486</v>
      </c>
      <c r="B4451" s="1" t="s">
        <v>88</v>
      </c>
      <c r="C4451" s="1" t="n">
        <v>932000</v>
      </c>
      <c r="D4451" s="1" t="n">
        <v>3302.8</v>
      </c>
      <c r="E4451" s="1" t="n">
        <v>0.017</v>
      </c>
      <c r="F4451" s="1" t="n">
        <v>0.1053</v>
      </c>
    </row>
    <row r="4452" customFormat="false" ht="15" hidden="false" customHeight="false" outlineLevel="0" collapsed="false">
      <c r="A4452" s="1" t="s">
        <v>4487</v>
      </c>
      <c r="B4452" s="1" t="s">
        <v>195</v>
      </c>
      <c r="C4452" s="1" t="n">
        <v>616000</v>
      </c>
      <c r="D4452" s="1" t="n">
        <v>82070.1</v>
      </c>
      <c r="E4452" s="1" t="n">
        <v>0.073</v>
      </c>
      <c r="F4452" s="1" t="n">
        <v>0.0518</v>
      </c>
    </row>
    <row r="4453" customFormat="false" ht="15" hidden="false" customHeight="false" outlineLevel="0" collapsed="false">
      <c r="A4453" s="1" t="s">
        <v>4488</v>
      </c>
      <c r="B4453" s="1" t="s">
        <v>53</v>
      </c>
      <c r="C4453" s="1" t="n">
        <v>803000</v>
      </c>
      <c r="D4453" s="1" t="n">
        <v>283057.5</v>
      </c>
      <c r="E4453" s="1" t="n">
        <v>0.017</v>
      </c>
      <c r="F4453" s="1" t="n">
        <v>0.1067</v>
      </c>
    </row>
    <row r="4454" customFormat="false" ht="15" hidden="false" customHeight="false" outlineLevel="0" collapsed="false">
      <c r="A4454" s="1" t="s">
        <v>4489</v>
      </c>
      <c r="B4454" s="1" t="s">
        <v>53</v>
      </c>
      <c r="C4454" s="1" t="n">
        <v>1390000</v>
      </c>
      <c r="D4454" s="1" t="n">
        <v>9458.9</v>
      </c>
      <c r="F4454" s="1" t="n">
        <v>0.0951</v>
      </c>
    </row>
    <row r="4455" customFormat="false" ht="15" hidden="false" customHeight="false" outlineLevel="0" collapsed="false">
      <c r="A4455" s="1" t="s">
        <v>4490</v>
      </c>
      <c r="B4455" s="1" t="s">
        <v>74</v>
      </c>
      <c r="C4455" s="1" t="n">
        <v>590000</v>
      </c>
      <c r="D4455" s="1" t="n">
        <v>29777.1</v>
      </c>
      <c r="E4455" s="1" t="n">
        <v>0.011</v>
      </c>
      <c r="F4455" s="1" t="n">
        <v>0.0911</v>
      </c>
    </row>
    <row r="4456" customFormat="false" ht="15" hidden="false" customHeight="false" outlineLevel="0" collapsed="false">
      <c r="A4456" s="1" t="s">
        <v>4491</v>
      </c>
      <c r="B4456" s="1" t="s">
        <v>26</v>
      </c>
      <c r="C4456" s="1" t="n">
        <v>544000</v>
      </c>
      <c r="D4456" s="1" t="n">
        <v>1307548.4</v>
      </c>
      <c r="E4456" s="1" t="n">
        <v>0.0154</v>
      </c>
      <c r="F4456" s="1" t="n">
        <v>0.0585</v>
      </c>
    </row>
    <row r="4457" customFormat="false" ht="15" hidden="false" customHeight="false" outlineLevel="0" collapsed="false">
      <c r="A4457" s="1" t="s">
        <v>4492</v>
      </c>
      <c r="B4457" s="1" t="s">
        <v>28</v>
      </c>
      <c r="C4457" s="1" t="n">
        <v>555000</v>
      </c>
      <c r="D4457" s="1" t="n">
        <v>8917.5</v>
      </c>
      <c r="E4457" s="1" t="n">
        <v>0.0333</v>
      </c>
      <c r="F4457" s="1" t="n">
        <v>0.0951</v>
      </c>
    </row>
    <row r="4458" customFormat="false" ht="15" hidden="false" customHeight="false" outlineLevel="0" collapsed="false">
      <c r="A4458" s="1" t="s">
        <v>4493</v>
      </c>
      <c r="B4458" s="1" t="s">
        <v>26</v>
      </c>
      <c r="C4458" s="1" t="n">
        <v>569000</v>
      </c>
      <c r="D4458" s="1" t="n">
        <v>3766162</v>
      </c>
      <c r="E4458" s="1" t="n">
        <v>0.0286</v>
      </c>
      <c r="F4458" s="1" t="n">
        <v>0.0522</v>
      </c>
    </row>
    <row r="4459" customFormat="false" ht="15" hidden="false" customHeight="false" outlineLevel="0" collapsed="false">
      <c r="A4459" s="1" t="s">
        <v>4494</v>
      </c>
      <c r="B4459" s="1" t="s">
        <v>26</v>
      </c>
      <c r="C4459" s="1" t="n">
        <v>1310000</v>
      </c>
      <c r="D4459" s="1" t="n">
        <v>7322061.4</v>
      </c>
      <c r="E4459" s="1" t="n">
        <v>0.0077</v>
      </c>
      <c r="F4459" s="1" t="n">
        <v>0.0822</v>
      </c>
    </row>
    <row r="4460" customFormat="false" ht="15" hidden="false" customHeight="false" outlineLevel="0" collapsed="false">
      <c r="A4460" s="1" t="s">
        <v>4495</v>
      </c>
      <c r="B4460" s="1" t="s">
        <v>92</v>
      </c>
      <c r="C4460" s="1" t="n">
        <v>856000</v>
      </c>
      <c r="D4460" s="1" t="n">
        <v>31047.4</v>
      </c>
      <c r="E4460" s="1" t="n">
        <v>0.0386</v>
      </c>
      <c r="F4460" s="1" t="n">
        <v>0.0951</v>
      </c>
    </row>
    <row r="4461" customFormat="false" ht="15" hidden="false" customHeight="false" outlineLevel="0" collapsed="false">
      <c r="A4461" s="1" t="s">
        <v>4496</v>
      </c>
      <c r="B4461" s="1" t="s">
        <v>26</v>
      </c>
      <c r="C4461" s="1" t="n">
        <v>672000</v>
      </c>
      <c r="D4461" s="1" t="n">
        <v>34489.1</v>
      </c>
      <c r="E4461" s="1" t="n">
        <v>0.0291</v>
      </c>
      <c r="F4461" s="1" t="n">
        <v>0.0759</v>
      </c>
    </row>
    <row r="4462" customFormat="false" ht="15" hidden="false" customHeight="false" outlineLevel="0" collapsed="false">
      <c r="A4462" s="1" t="s">
        <v>4497</v>
      </c>
      <c r="B4462" s="1" t="s">
        <v>26</v>
      </c>
      <c r="C4462" s="1" t="n">
        <v>779000</v>
      </c>
      <c r="D4462" s="1" t="n">
        <v>139625.7</v>
      </c>
      <c r="E4462" s="1" t="n">
        <v>0.0358</v>
      </c>
      <c r="F4462" s="1" t="n">
        <v>0.0759</v>
      </c>
    </row>
    <row r="4463" customFormat="false" ht="15" hidden="false" customHeight="false" outlineLevel="0" collapsed="false">
      <c r="A4463" s="1" t="s">
        <v>4498</v>
      </c>
      <c r="B4463" s="1" t="s">
        <v>26</v>
      </c>
      <c r="C4463" s="1" t="n">
        <v>581000</v>
      </c>
      <c r="D4463" s="1" t="n">
        <v>31820.4</v>
      </c>
      <c r="E4463" s="1" t="n">
        <v>0.0721</v>
      </c>
      <c r="F4463" s="1" t="n">
        <v>0.0759</v>
      </c>
    </row>
    <row r="4464" customFormat="false" ht="15" hidden="false" customHeight="false" outlineLevel="0" collapsed="false">
      <c r="A4464" s="1" t="s">
        <v>4499</v>
      </c>
      <c r="B4464" s="1" t="s">
        <v>62</v>
      </c>
      <c r="C4464" s="1" t="n">
        <v>718000</v>
      </c>
      <c r="D4464" s="1" t="n">
        <v>4128.1</v>
      </c>
      <c r="E4464" s="1" t="n">
        <v>0.0589</v>
      </c>
      <c r="F4464" s="1" t="n">
        <v>0.0938</v>
      </c>
    </row>
    <row r="4465" customFormat="false" ht="15" hidden="false" customHeight="false" outlineLevel="0" collapsed="false">
      <c r="A4465" s="1" t="s">
        <v>4500</v>
      </c>
      <c r="B4465" s="1" t="s">
        <v>26</v>
      </c>
      <c r="C4465" s="1" t="n">
        <v>566000</v>
      </c>
      <c r="D4465" s="1" t="n">
        <v>85333.4</v>
      </c>
      <c r="E4465" s="1" t="n">
        <v>0.017</v>
      </c>
      <c r="F4465" s="1" t="n">
        <v>0.1067</v>
      </c>
    </row>
    <row r="4466" customFormat="false" ht="15" hidden="false" customHeight="false" outlineLevel="0" collapsed="false">
      <c r="A4466" s="1" t="s">
        <v>4501</v>
      </c>
      <c r="B4466" s="1" t="s">
        <v>35</v>
      </c>
      <c r="C4466" s="1" t="n">
        <v>589000</v>
      </c>
      <c r="D4466" s="1" t="n">
        <v>7719.3</v>
      </c>
      <c r="E4466" s="1" t="n">
        <v>0.0406</v>
      </c>
      <c r="F4466" s="1" t="n">
        <v>0.117</v>
      </c>
    </row>
    <row r="4467" customFormat="false" ht="15" hidden="false" customHeight="false" outlineLevel="0" collapsed="false">
      <c r="A4467" s="1" t="s">
        <v>4502</v>
      </c>
      <c r="B4467" s="1" t="s">
        <v>26</v>
      </c>
      <c r="C4467" s="1" t="n">
        <v>539000</v>
      </c>
      <c r="D4467" s="1" t="n">
        <v>3122.6</v>
      </c>
      <c r="E4467" s="1" t="n">
        <v>0.0137</v>
      </c>
      <c r="F4467" s="1" t="n">
        <v>0.1062</v>
      </c>
    </row>
    <row r="4468" customFormat="false" ht="15" hidden="false" customHeight="false" outlineLevel="0" collapsed="false">
      <c r="A4468" s="1" t="s">
        <v>4503</v>
      </c>
      <c r="B4468" s="1" t="s">
        <v>32</v>
      </c>
      <c r="C4468" s="1" t="n">
        <v>1150000</v>
      </c>
      <c r="D4468" s="1" t="n">
        <v>7062.3</v>
      </c>
      <c r="E4468" s="1" t="n">
        <v>0.0158</v>
      </c>
      <c r="F4468" s="1" t="n">
        <v>0.0576</v>
      </c>
    </row>
    <row r="4469" customFormat="false" ht="15" hidden="false" customHeight="false" outlineLevel="0" collapsed="false">
      <c r="A4469" s="1" t="s">
        <v>4504</v>
      </c>
      <c r="B4469" s="1" t="s">
        <v>32</v>
      </c>
      <c r="C4469" s="1" t="n">
        <v>566000</v>
      </c>
      <c r="D4469" s="1" t="n">
        <v>159245</v>
      </c>
      <c r="E4469" s="1" t="n">
        <v>0.0223</v>
      </c>
      <c r="F4469" s="1" t="n">
        <v>0.0951</v>
      </c>
    </row>
    <row r="4470" customFormat="false" ht="15" hidden="false" customHeight="false" outlineLevel="0" collapsed="false">
      <c r="A4470" s="1" t="s">
        <v>4505</v>
      </c>
      <c r="B4470" s="1" t="s">
        <v>35</v>
      </c>
      <c r="C4470" s="1" t="n">
        <v>1020000</v>
      </c>
      <c r="D4470" s="1" t="n">
        <v>880743.5</v>
      </c>
      <c r="E4470" s="1" t="n">
        <v>0.0251</v>
      </c>
      <c r="F4470" s="1" t="n">
        <v>0.0409</v>
      </c>
    </row>
    <row r="4471" customFormat="false" ht="15" hidden="false" customHeight="false" outlineLevel="0" collapsed="false">
      <c r="A4471" s="1" t="s">
        <v>4506</v>
      </c>
      <c r="B4471" s="1" t="s">
        <v>214</v>
      </c>
      <c r="C4471" s="1" t="n">
        <v>694000</v>
      </c>
      <c r="D4471" s="1" t="n">
        <v>7330.1</v>
      </c>
      <c r="E4471" s="1" t="n">
        <v>0.0226</v>
      </c>
      <c r="F4471" s="1" t="n">
        <v>0.0759</v>
      </c>
    </row>
    <row r="4472" customFormat="false" ht="15" hidden="false" customHeight="false" outlineLevel="0" collapsed="false">
      <c r="A4472" s="1" t="s">
        <v>4507</v>
      </c>
      <c r="B4472" s="1" t="s">
        <v>26</v>
      </c>
      <c r="C4472" s="1" t="n">
        <v>856000</v>
      </c>
      <c r="D4472" s="1" t="n">
        <v>3067.4</v>
      </c>
      <c r="E4472" s="1" t="n">
        <v>0.0103</v>
      </c>
      <c r="F4472" s="1" t="n">
        <v>0.1187</v>
      </c>
    </row>
    <row r="4473" customFormat="false" ht="15" hidden="false" customHeight="false" outlineLevel="0" collapsed="false">
      <c r="A4473" s="1" t="s">
        <v>4508</v>
      </c>
      <c r="B4473" s="1" t="s">
        <v>50</v>
      </c>
      <c r="C4473" s="1" t="n">
        <v>738000</v>
      </c>
      <c r="D4473" s="1" t="n">
        <v>2737109.5</v>
      </c>
      <c r="E4473" s="1" t="n">
        <v>0.0312</v>
      </c>
      <c r="F4473" s="1" t="n">
        <v>0.0518</v>
      </c>
    </row>
    <row r="4474" customFormat="false" ht="15" hidden="false" customHeight="false" outlineLevel="0" collapsed="false">
      <c r="A4474" s="1" t="s">
        <v>4509</v>
      </c>
      <c r="B4474" s="1" t="s">
        <v>26</v>
      </c>
      <c r="C4474" s="1" t="n">
        <v>536000</v>
      </c>
      <c r="D4474" s="1" t="n">
        <v>6068.3</v>
      </c>
      <c r="E4474" s="1" t="n">
        <v>0.013</v>
      </c>
      <c r="F4474" s="1" t="n">
        <v>0.0736</v>
      </c>
    </row>
    <row r="4475" customFormat="false" ht="15" hidden="false" customHeight="false" outlineLevel="0" collapsed="false">
      <c r="A4475" s="1" t="s">
        <v>4510</v>
      </c>
      <c r="B4475" s="1" t="s">
        <v>32</v>
      </c>
      <c r="C4475" s="1" t="n">
        <v>590000</v>
      </c>
      <c r="D4475" s="1" t="n">
        <v>165814.9</v>
      </c>
      <c r="E4475" s="1" t="n">
        <v>0.0536</v>
      </c>
      <c r="F4475" s="1" t="n">
        <v>0.1184</v>
      </c>
    </row>
    <row r="4476" customFormat="false" ht="15" hidden="false" customHeight="false" outlineLevel="0" collapsed="false">
      <c r="A4476" s="1" t="s">
        <v>4511</v>
      </c>
      <c r="B4476" s="1" t="s">
        <v>62</v>
      </c>
      <c r="C4476" s="1" t="n">
        <v>591000</v>
      </c>
      <c r="D4476" s="1" t="n">
        <v>8148.1</v>
      </c>
      <c r="E4476" s="1" t="n">
        <v>0.0094</v>
      </c>
      <c r="F4476" s="1" t="n">
        <v>0.1471</v>
      </c>
    </row>
    <row r="4477" customFormat="false" ht="15" hidden="false" customHeight="false" outlineLevel="0" collapsed="false">
      <c r="A4477" s="1" t="s">
        <v>4512</v>
      </c>
      <c r="B4477" s="1" t="s">
        <v>81</v>
      </c>
      <c r="C4477" s="1" t="n">
        <v>628000</v>
      </c>
      <c r="D4477" s="1" t="n">
        <v>6111.5</v>
      </c>
      <c r="E4477" s="1" t="n">
        <v>0.0325</v>
      </c>
      <c r="F4477" s="1" t="n">
        <v>0.0938</v>
      </c>
    </row>
    <row r="4478" customFormat="false" ht="15" hidden="false" customHeight="false" outlineLevel="0" collapsed="false">
      <c r="A4478" s="1" t="s">
        <v>4513</v>
      </c>
      <c r="B4478" s="1" t="s">
        <v>50</v>
      </c>
      <c r="C4478" s="1" t="n">
        <v>586000</v>
      </c>
      <c r="D4478" s="1" t="n">
        <v>334808.1</v>
      </c>
      <c r="E4478" s="1" t="n">
        <v>0.0094</v>
      </c>
      <c r="F4478" s="1" t="n">
        <v>0.0822</v>
      </c>
    </row>
    <row r="4479" customFormat="false" ht="15" hidden="false" customHeight="false" outlineLevel="0" collapsed="false">
      <c r="A4479" s="1" t="s">
        <v>4514</v>
      </c>
      <c r="B4479" s="1" t="s">
        <v>92</v>
      </c>
      <c r="C4479" s="1" t="n">
        <v>697000</v>
      </c>
      <c r="D4479" s="1" t="n">
        <v>6993.7</v>
      </c>
      <c r="E4479" s="1" t="n">
        <v>0.0149</v>
      </c>
      <c r="F4479" s="1" t="n">
        <v>0.0462</v>
      </c>
    </row>
    <row r="4480" customFormat="false" ht="15" hidden="false" customHeight="false" outlineLevel="0" collapsed="false">
      <c r="A4480" s="1" t="s">
        <v>4515</v>
      </c>
      <c r="B4480" s="1" t="s">
        <v>88</v>
      </c>
      <c r="C4480" s="1" t="n">
        <v>722000</v>
      </c>
      <c r="D4480" s="1" t="n">
        <v>4408.5</v>
      </c>
      <c r="E4480" s="1" t="n">
        <v>0.1063</v>
      </c>
      <c r="F4480" s="1" t="n">
        <v>0.1043</v>
      </c>
    </row>
    <row r="4481" customFormat="false" ht="15" hidden="false" customHeight="false" outlineLevel="0" collapsed="false">
      <c r="A4481" s="1" t="s">
        <v>4516</v>
      </c>
      <c r="B4481" s="1" t="s">
        <v>32</v>
      </c>
      <c r="C4481" s="1" t="n">
        <v>717000</v>
      </c>
      <c r="D4481" s="1" t="n">
        <v>481.4</v>
      </c>
      <c r="E4481" s="1" t="n">
        <v>0.0197</v>
      </c>
      <c r="F4481" s="1" t="n">
        <v>0.0854</v>
      </c>
    </row>
    <row r="4482" customFormat="false" ht="15" hidden="false" customHeight="false" outlineLevel="0" collapsed="false">
      <c r="A4482" s="1" t="s">
        <v>4517</v>
      </c>
      <c r="B4482" s="1" t="s">
        <v>88</v>
      </c>
      <c r="C4482" s="1" t="n">
        <v>575000</v>
      </c>
      <c r="D4482" s="1" t="n">
        <v>10851.5</v>
      </c>
      <c r="E4482" s="1" t="n">
        <v>0.0452</v>
      </c>
      <c r="F4482" s="1" t="n">
        <v>0.1518</v>
      </c>
    </row>
    <row r="4483" customFormat="false" ht="15" hidden="false" customHeight="false" outlineLevel="0" collapsed="false">
      <c r="A4483" s="1" t="s">
        <v>4518</v>
      </c>
      <c r="B4483" s="1" t="s">
        <v>88</v>
      </c>
      <c r="C4483" s="1" t="n">
        <v>790000</v>
      </c>
      <c r="D4483" s="1" t="n">
        <v>10394.7</v>
      </c>
      <c r="E4483" s="1" t="n">
        <v>0.0476</v>
      </c>
      <c r="F4483" s="1" t="n">
        <v>0.0938</v>
      </c>
    </row>
    <row r="4484" customFormat="false" ht="15" hidden="false" customHeight="false" outlineLevel="0" collapsed="false">
      <c r="A4484" s="1" t="s">
        <v>4519</v>
      </c>
      <c r="B4484" s="1" t="s">
        <v>26</v>
      </c>
      <c r="C4484" s="1" t="n">
        <v>590000</v>
      </c>
      <c r="D4484" s="1" t="n">
        <v>27644.7</v>
      </c>
      <c r="E4484" s="1" t="n">
        <v>0.0434</v>
      </c>
      <c r="F4484" s="1" t="n">
        <v>0.0409</v>
      </c>
    </row>
    <row r="4485" customFormat="false" ht="15" hidden="false" customHeight="false" outlineLevel="0" collapsed="false">
      <c r="A4485" s="1" t="s">
        <v>4520</v>
      </c>
      <c r="B4485" s="1" t="s">
        <v>21</v>
      </c>
      <c r="C4485" s="1" t="n">
        <v>785000</v>
      </c>
      <c r="D4485" s="1" t="n">
        <v>485643.2</v>
      </c>
      <c r="E4485" s="1" t="n">
        <v>0.065</v>
      </c>
      <c r="F4485" s="1" t="n">
        <v>0.0951</v>
      </c>
    </row>
    <row r="4486" customFormat="false" ht="15" hidden="false" customHeight="false" outlineLevel="0" collapsed="false">
      <c r="A4486" s="1" t="s">
        <v>4521</v>
      </c>
      <c r="B4486" s="1" t="s">
        <v>21</v>
      </c>
      <c r="C4486" s="1" t="n">
        <v>2580000</v>
      </c>
      <c r="D4486" s="1" t="n">
        <v>36804.7</v>
      </c>
      <c r="E4486" s="1" t="n">
        <v>0.0054</v>
      </c>
      <c r="F4486" s="1" t="n">
        <v>0.0654</v>
      </c>
    </row>
    <row r="4487" customFormat="false" ht="15" hidden="false" customHeight="false" outlineLevel="0" collapsed="false">
      <c r="A4487" s="1" t="s">
        <v>4522</v>
      </c>
      <c r="B4487" s="1" t="s">
        <v>26</v>
      </c>
      <c r="C4487" s="1" t="n">
        <v>685000</v>
      </c>
      <c r="D4487" s="1" t="n">
        <v>6675</v>
      </c>
      <c r="E4487" s="1" t="n">
        <v>0.0589</v>
      </c>
      <c r="F4487" s="1" t="n">
        <v>0.0938</v>
      </c>
    </row>
    <row r="4488" customFormat="false" ht="15" hidden="false" customHeight="false" outlineLevel="0" collapsed="false">
      <c r="A4488" s="1" t="s">
        <v>4523</v>
      </c>
      <c r="B4488" s="1" t="s">
        <v>26</v>
      </c>
      <c r="C4488" s="1" t="n">
        <v>769000</v>
      </c>
      <c r="D4488" s="1" t="n">
        <v>38140.4</v>
      </c>
      <c r="E4488" s="1" t="n">
        <v>0.0159</v>
      </c>
      <c r="F4488" s="1" t="n">
        <v>0.0854</v>
      </c>
    </row>
    <row r="4489" customFormat="false" ht="15" hidden="false" customHeight="false" outlineLevel="0" collapsed="false">
      <c r="A4489" s="1" t="s">
        <v>4524</v>
      </c>
      <c r="B4489" s="1" t="s">
        <v>214</v>
      </c>
      <c r="C4489" s="1" t="n">
        <v>555000</v>
      </c>
      <c r="D4489" s="1" t="n">
        <v>1209.4</v>
      </c>
      <c r="E4489" s="1" t="n">
        <v>0.0221</v>
      </c>
      <c r="F4489" s="1" t="n">
        <v>0.0845</v>
      </c>
    </row>
    <row r="4490" customFormat="false" ht="15" hidden="false" customHeight="false" outlineLevel="0" collapsed="false">
      <c r="A4490" s="1" t="s">
        <v>4525</v>
      </c>
      <c r="B4490" s="1" t="s">
        <v>41</v>
      </c>
      <c r="C4490" s="1" t="n">
        <v>642000</v>
      </c>
      <c r="D4490" s="1" t="n">
        <v>18838</v>
      </c>
      <c r="E4490" s="1" t="n">
        <v>0.0222</v>
      </c>
      <c r="F4490" s="1" t="n">
        <v>0.0759</v>
      </c>
    </row>
    <row r="4491" customFormat="false" ht="15" hidden="false" customHeight="false" outlineLevel="0" collapsed="false">
      <c r="A4491" s="1" t="s">
        <v>4526</v>
      </c>
      <c r="B4491" s="1" t="s">
        <v>287</v>
      </c>
      <c r="C4491" s="1" t="n">
        <v>564000</v>
      </c>
      <c r="D4491" s="1" t="n">
        <v>1030.6</v>
      </c>
      <c r="F4491" s="1" t="n">
        <v>0.0409</v>
      </c>
    </row>
    <row r="4492" customFormat="false" ht="15" hidden="false" customHeight="false" outlineLevel="0" collapsed="false">
      <c r="A4492" s="1" t="s">
        <v>4527</v>
      </c>
      <c r="B4492" s="1" t="s">
        <v>26</v>
      </c>
      <c r="C4492" s="1" t="n">
        <v>1420000</v>
      </c>
      <c r="D4492" s="1" t="n">
        <v>11027.5</v>
      </c>
      <c r="E4492" s="1" t="n">
        <v>0.0391</v>
      </c>
      <c r="F4492" s="1" t="n">
        <v>0.1168</v>
      </c>
    </row>
    <row r="4493" customFormat="false" ht="15" hidden="false" customHeight="false" outlineLevel="0" collapsed="false">
      <c r="A4493" s="1" t="s">
        <v>4528</v>
      </c>
      <c r="B4493" s="1" t="s">
        <v>30</v>
      </c>
      <c r="C4493" s="1" t="n">
        <v>910000</v>
      </c>
      <c r="D4493" s="1" t="n">
        <v>103295</v>
      </c>
      <c r="E4493" s="1" t="n">
        <v>0.0343</v>
      </c>
      <c r="F4493" s="1" t="n">
        <v>0.0759</v>
      </c>
    </row>
    <row r="4494" customFormat="false" ht="15" hidden="false" customHeight="false" outlineLevel="0" collapsed="false">
      <c r="A4494" s="1" t="s">
        <v>4529</v>
      </c>
      <c r="B4494" s="1" t="s">
        <v>88</v>
      </c>
      <c r="C4494" s="1" t="n">
        <v>578000</v>
      </c>
      <c r="D4494" s="1" t="n">
        <v>6661.6</v>
      </c>
      <c r="E4494" s="1" t="n">
        <v>0.0195</v>
      </c>
      <c r="F4494" s="1" t="n">
        <v>0.0765</v>
      </c>
    </row>
    <row r="4495" customFormat="false" ht="15" hidden="false" customHeight="false" outlineLevel="0" collapsed="false">
      <c r="A4495" s="1" t="s">
        <v>4530</v>
      </c>
      <c r="B4495" s="1" t="s">
        <v>50</v>
      </c>
      <c r="C4495" s="1" t="n">
        <v>1270000</v>
      </c>
      <c r="D4495" s="1" t="n">
        <v>33471.3</v>
      </c>
      <c r="E4495" s="1" t="n">
        <v>0.0518</v>
      </c>
      <c r="F4495" s="1" t="n">
        <v>0.0938</v>
      </c>
    </row>
    <row r="4496" customFormat="false" ht="15" hidden="false" customHeight="false" outlineLevel="0" collapsed="false">
      <c r="A4496" s="1" t="s">
        <v>4531</v>
      </c>
      <c r="B4496" s="1" t="s">
        <v>50</v>
      </c>
      <c r="C4496" s="1" t="n">
        <v>539000</v>
      </c>
      <c r="D4496" s="1" t="n">
        <v>12341.5</v>
      </c>
      <c r="E4496" s="1" t="n">
        <v>0.0173</v>
      </c>
      <c r="F4496" s="1" t="n">
        <v>0.0518</v>
      </c>
    </row>
    <row r="4497" customFormat="false" ht="15" hidden="false" customHeight="false" outlineLevel="0" collapsed="false">
      <c r="A4497" s="1" t="s">
        <v>4532</v>
      </c>
      <c r="B4497" s="1" t="s">
        <v>26</v>
      </c>
      <c r="C4497" s="1" t="n">
        <v>837000</v>
      </c>
      <c r="D4497" s="1" t="n">
        <v>625967.1</v>
      </c>
      <c r="E4497" s="1" t="n">
        <v>0.0251</v>
      </c>
      <c r="F4497" s="1" t="n">
        <v>0.051</v>
      </c>
    </row>
    <row r="4498" customFormat="false" ht="15" hidden="false" customHeight="false" outlineLevel="0" collapsed="false">
      <c r="A4498" s="1" t="s">
        <v>4533</v>
      </c>
      <c r="B4498" s="1" t="s">
        <v>24</v>
      </c>
      <c r="C4498" s="1" t="n">
        <v>1120000</v>
      </c>
      <c r="D4498" s="1" t="n">
        <v>992899.9</v>
      </c>
      <c r="E4498" s="1" t="n">
        <v>0.0281</v>
      </c>
      <c r="F4498" s="1" t="n">
        <v>0.0409</v>
      </c>
    </row>
    <row r="4499" customFormat="false" ht="15" hidden="false" customHeight="false" outlineLevel="0" collapsed="false">
      <c r="A4499" s="1" t="s">
        <v>4534</v>
      </c>
      <c r="B4499" s="1" t="s">
        <v>88</v>
      </c>
      <c r="C4499" s="1" t="n">
        <v>714000</v>
      </c>
      <c r="D4499" s="1" t="n">
        <v>683.8</v>
      </c>
      <c r="E4499" s="1" t="n">
        <v>0.0398</v>
      </c>
      <c r="F4499" s="1" t="n">
        <v>0.1226</v>
      </c>
    </row>
    <row r="4500" customFormat="false" ht="15" hidden="false" customHeight="false" outlineLevel="0" collapsed="false">
      <c r="A4500" s="1" t="s">
        <v>4535</v>
      </c>
      <c r="B4500" s="1" t="s">
        <v>26</v>
      </c>
      <c r="C4500" s="1" t="n">
        <v>640000</v>
      </c>
      <c r="D4500" s="1" t="n">
        <v>546.5</v>
      </c>
      <c r="E4500" s="1" t="n">
        <v>0.0065</v>
      </c>
      <c r="F4500" s="1" t="n">
        <v>0.0903</v>
      </c>
    </row>
    <row r="4501" customFormat="false" ht="15" hidden="false" customHeight="false" outlineLevel="0" collapsed="false">
      <c r="A4501" s="1" t="s">
        <v>4536</v>
      </c>
      <c r="B4501" s="1" t="s">
        <v>21</v>
      </c>
      <c r="C4501" s="1" t="n">
        <v>579000</v>
      </c>
      <c r="D4501" s="1" t="n">
        <v>31925</v>
      </c>
      <c r="E4501" s="1" t="n">
        <v>0.0454</v>
      </c>
      <c r="F4501" s="1" t="n">
        <v>0.0759</v>
      </c>
    </row>
    <row r="4502" customFormat="false" ht="15" hidden="false" customHeight="false" outlineLevel="0" collapsed="false">
      <c r="A4502" s="1" t="s">
        <v>4537</v>
      </c>
      <c r="B4502" s="1" t="s">
        <v>21</v>
      </c>
      <c r="C4502" s="1" t="n">
        <v>713000</v>
      </c>
      <c r="D4502" s="1" t="n">
        <v>31004.7</v>
      </c>
      <c r="E4502" s="1" t="n">
        <v>0.0081</v>
      </c>
      <c r="F4502" s="1" t="n">
        <v>0.0822</v>
      </c>
    </row>
    <row r="4503" customFormat="false" ht="15" hidden="false" customHeight="false" outlineLevel="0" collapsed="false">
      <c r="A4503" s="1" t="s">
        <v>4538</v>
      </c>
      <c r="B4503" s="1" t="s">
        <v>62</v>
      </c>
      <c r="C4503" s="1" t="n">
        <v>614000</v>
      </c>
      <c r="D4503" s="1" t="n">
        <v>2378.9</v>
      </c>
      <c r="E4503" s="1" t="n">
        <v>0.04</v>
      </c>
      <c r="F4503" s="1" t="n">
        <v>0.0938</v>
      </c>
    </row>
    <row r="4504" customFormat="false" ht="15" hidden="false" customHeight="false" outlineLevel="0" collapsed="false">
      <c r="A4504" s="1" t="s">
        <v>4539</v>
      </c>
      <c r="B4504" s="1" t="s">
        <v>88</v>
      </c>
      <c r="C4504" s="1" t="n">
        <v>685000</v>
      </c>
      <c r="D4504" s="1" t="n">
        <v>657</v>
      </c>
      <c r="E4504" s="1" t="n">
        <v>0.0424</v>
      </c>
      <c r="F4504" s="1" t="n">
        <v>0.0759</v>
      </c>
    </row>
    <row r="4505" customFormat="false" ht="15" hidden="false" customHeight="false" outlineLevel="0" collapsed="false">
      <c r="A4505" s="1" t="s">
        <v>4540</v>
      </c>
      <c r="B4505" s="1" t="s">
        <v>26</v>
      </c>
      <c r="C4505" s="1" t="n">
        <v>520000</v>
      </c>
      <c r="D4505" s="1" t="n">
        <v>9844.2</v>
      </c>
      <c r="F4505" s="1" t="n">
        <v>0.0951</v>
      </c>
    </row>
    <row r="4506" customFormat="false" ht="15" hidden="false" customHeight="false" outlineLevel="0" collapsed="false">
      <c r="A4506" s="1" t="s">
        <v>4541</v>
      </c>
      <c r="B4506" s="1" t="s">
        <v>214</v>
      </c>
      <c r="C4506" s="1" t="n">
        <v>918000</v>
      </c>
      <c r="D4506" s="1" t="n">
        <v>10053.8</v>
      </c>
      <c r="E4506" s="1" t="n">
        <v>0.0126</v>
      </c>
      <c r="F4506" s="1" t="n">
        <v>0.0584</v>
      </c>
    </row>
    <row r="4507" customFormat="false" ht="15" hidden="false" customHeight="false" outlineLevel="0" collapsed="false">
      <c r="A4507" s="1" t="s">
        <v>4542</v>
      </c>
      <c r="B4507" s="1" t="s">
        <v>26</v>
      </c>
      <c r="C4507" s="1" t="n">
        <v>554000</v>
      </c>
      <c r="D4507" s="1" t="n">
        <v>685.2</v>
      </c>
      <c r="E4507" s="1" t="n">
        <v>0.0107</v>
      </c>
      <c r="F4507" s="1" t="n">
        <v>0.0822</v>
      </c>
    </row>
    <row r="4508" customFormat="false" ht="15" hidden="false" customHeight="false" outlineLevel="0" collapsed="false">
      <c r="A4508" s="1" t="s">
        <v>4543</v>
      </c>
      <c r="B4508" s="1" t="s">
        <v>50</v>
      </c>
      <c r="C4508" s="1" t="n">
        <v>564000</v>
      </c>
      <c r="D4508" s="1" t="n">
        <v>1494.3</v>
      </c>
      <c r="E4508" s="1" t="n">
        <v>0.0086</v>
      </c>
      <c r="F4508" s="1" t="n">
        <v>0.0822</v>
      </c>
    </row>
    <row r="4509" customFormat="false" ht="15" hidden="false" customHeight="false" outlineLevel="0" collapsed="false">
      <c r="A4509" s="1" t="s">
        <v>4544</v>
      </c>
      <c r="B4509" s="1" t="s">
        <v>92</v>
      </c>
      <c r="C4509" s="1" t="n">
        <v>562000</v>
      </c>
      <c r="D4509" s="1" t="n">
        <v>947.8</v>
      </c>
      <c r="E4509" s="1" t="n">
        <v>0.0196</v>
      </c>
      <c r="F4509" s="1" t="n">
        <v>0.1053</v>
      </c>
    </row>
    <row r="4510" customFormat="false" ht="15" hidden="false" customHeight="false" outlineLevel="0" collapsed="false">
      <c r="A4510" s="1" t="s">
        <v>4545</v>
      </c>
      <c r="B4510" s="1" t="s">
        <v>30</v>
      </c>
      <c r="C4510" s="1" t="n">
        <v>562000</v>
      </c>
      <c r="D4510" s="1" t="n">
        <v>10875.7</v>
      </c>
      <c r="E4510" s="1" t="n">
        <v>0.0543</v>
      </c>
      <c r="F4510" s="1" t="n">
        <v>0.0951</v>
      </c>
    </row>
    <row r="4511" customFormat="false" ht="15" hidden="false" customHeight="false" outlineLevel="0" collapsed="false">
      <c r="A4511" s="1" t="s">
        <v>4546</v>
      </c>
      <c r="B4511" s="1" t="s">
        <v>71</v>
      </c>
      <c r="C4511" s="1" t="n">
        <v>554000</v>
      </c>
      <c r="D4511" s="1" t="n">
        <v>4609.9</v>
      </c>
      <c r="E4511" s="1" t="n">
        <v>0.04</v>
      </c>
      <c r="F4511" s="1" t="n">
        <v>0.0409</v>
      </c>
    </row>
    <row r="4512" customFormat="false" ht="15" hidden="false" customHeight="false" outlineLevel="0" collapsed="false">
      <c r="A4512" s="1" t="s">
        <v>4547</v>
      </c>
      <c r="B4512" s="1" t="s">
        <v>50</v>
      </c>
      <c r="C4512" s="1" t="n">
        <v>623000</v>
      </c>
      <c r="D4512" s="1" t="n">
        <v>10376.6</v>
      </c>
      <c r="E4512" s="1" t="n">
        <v>0.0068</v>
      </c>
      <c r="F4512" s="1" t="n">
        <v>0.1013</v>
      </c>
    </row>
    <row r="4513" customFormat="false" ht="15" hidden="false" customHeight="false" outlineLevel="0" collapsed="false">
      <c r="A4513" s="1" t="s">
        <v>4548</v>
      </c>
      <c r="B4513" s="1" t="s">
        <v>41</v>
      </c>
      <c r="C4513" s="1" t="n">
        <v>644000</v>
      </c>
      <c r="D4513" s="1" t="n">
        <v>289.5</v>
      </c>
      <c r="E4513" s="1" t="n">
        <v>0.0134</v>
      </c>
      <c r="F4513" s="1" t="n">
        <v>0.0726</v>
      </c>
    </row>
    <row r="4514" customFormat="false" ht="15" hidden="false" customHeight="false" outlineLevel="0" collapsed="false">
      <c r="A4514" s="1" t="s">
        <v>4549</v>
      </c>
      <c r="B4514" s="1" t="s">
        <v>26</v>
      </c>
      <c r="C4514" s="1" t="n">
        <v>634000</v>
      </c>
      <c r="D4514" s="1" t="n">
        <v>17501.8</v>
      </c>
      <c r="E4514" s="1" t="n">
        <v>0.0079</v>
      </c>
      <c r="F4514" s="1" t="n">
        <v>0.0811</v>
      </c>
    </row>
    <row r="4515" customFormat="false" ht="15" hidden="false" customHeight="false" outlineLevel="0" collapsed="false">
      <c r="A4515" s="1" t="s">
        <v>4550</v>
      </c>
      <c r="B4515" s="1" t="s">
        <v>26</v>
      </c>
      <c r="C4515" s="1" t="n">
        <v>855000</v>
      </c>
      <c r="D4515" s="1" t="n">
        <v>31429.7</v>
      </c>
      <c r="E4515" s="1" t="n">
        <v>0.0803</v>
      </c>
      <c r="F4515" s="1" t="n">
        <v>0.0938</v>
      </c>
    </row>
    <row r="4516" customFormat="false" ht="15" hidden="false" customHeight="false" outlineLevel="0" collapsed="false">
      <c r="A4516" s="1" t="s">
        <v>4551</v>
      </c>
      <c r="B4516" s="1" t="s">
        <v>53</v>
      </c>
      <c r="C4516" s="1" t="n">
        <v>661000</v>
      </c>
      <c r="D4516" s="1" t="n">
        <v>43685.5</v>
      </c>
      <c r="E4516" s="1" t="n">
        <v>0.0213</v>
      </c>
      <c r="F4516" s="1" t="n">
        <v>0.0951</v>
      </c>
    </row>
    <row r="4517" customFormat="false" ht="15" hidden="false" customHeight="false" outlineLevel="0" collapsed="false">
      <c r="A4517" s="1" t="s">
        <v>4552</v>
      </c>
      <c r="B4517" s="1" t="s">
        <v>26</v>
      </c>
      <c r="C4517" s="1" t="n">
        <v>959000</v>
      </c>
      <c r="D4517" s="1" t="n">
        <v>7513</v>
      </c>
      <c r="E4517" s="1" t="n">
        <v>0.012</v>
      </c>
      <c r="F4517" s="1" t="n">
        <v>0.1187</v>
      </c>
    </row>
    <row r="4518" customFormat="false" ht="15" hidden="false" customHeight="false" outlineLevel="0" collapsed="false">
      <c r="A4518" s="1" t="s">
        <v>4553</v>
      </c>
      <c r="B4518" s="1" t="s">
        <v>26</v>
      </c>
      <c r="C4518" s="1" t="n">
        <v>933000</v>
      </c>
      <c r="D4518" s="1" t="n">
        <v>683859.6</v>
      </c>
      <c r="E4518" s="1" t="n">
        <v>0.0233</v>
      </c>
      <c r="F4518" s="1" t="n">
        <v>0.0813</v>
      </c>
    </row>
    <row r="4519" customFormat="false" ht="15" hidden="false" customHeight="false" outlineLevel="0" collapsed="false">
      <c r="A4519" s="1" t="s">
        <v>4554</v>
      </c>
      <c r="B4519" s="1" t="s">
        <v>71</v>
      </c>
      <c r="C4519" s="1" t="n">
        <v>556000</v>
      </c>
      <c r="D4519" s="1" t="n">
        <v>197482</v>
      </c>
      <c r="E4519" s="1" t="n">
        <v>0.0507</v>
      </c>
      <c r="F4519" s="1" t="n">
        <v>0.0951</v>
      </c>
    </row>
    <row r="4520" customFormat="false" ht="15" hidden="false" customHeight="false" outlineLevel="0" collapsed="false">
      <c r="A4520" s="1" t="s">
        <v>4555</v>
      </c>
      <c r="B4520" s="1" t="s">
        <v>53</v>
      </c>
      <c r="C4520" s="1" t="n">
        <v>739000</v>
      </c>
      <c r="D4520" s="1" t="n">
        <v>47296.8</v>
      </c>
      <c r="E4520" s="1" t="n">
        <v>0.0305</v>
      </c>
      <c r="F4520" s="1" t="n">
        <v>0.0432</v>
      </c>
    </row>
    <row r="4521" customFormat="false" ht="15" hidden="false" customHeight="false" outlineLevel="0" collapsed="false">
      <c r="A4521" s="1" t="s">
        <v>4556</v>
      </c>
      <c r="B4521" s="1" t="s">
        <v>92</v>
      </c>
      <c r="C4521" s="1" t="n">
        <v>561000</v>
      </c>
      <c r="D4521" s="1" t="n">
        <v>848.7</v>
      </c>
      <c r="E4521" s="1" t="n">
        <v>0.0511</v>
      </c>
      <c r="F4521" s="1" t="n">
        <v>0.0759</v>
      </c>
    </row>
    <row r="4522" customFormat="false" ht="15" hidden="false" customHeight="false" outlineLevel="0" collapsed="false">
      <c r="A4522" s="1" t="s">
        <v>4557</v>
      </c>
      <c r="B4522" s="1" t="s">
        <v>21</v>
      </c>
      <c r="C4522" s="1" t="n">
        <v>574000</v>
      </c>
      <c r="D4522" s="1" t="n">
        <v>4205.8</v>
      </c>
      <c r="E4522" s="1" t="n">
        <v>0.0082</v>
      </c>
      <c r="F4522" s="1" t="n">
        <v>0.0811</v>
      </c>
    </row>
    <row r="4523" customFormat="false" ht="15" hidden="false" customHeight="false" outlineLevel="0" collapsed="false">
      <c r="A4523" s="1" t="s">
        <v>4558</v>
      </c>
      <c r="B4523" s="1" t="s">
        <v>24</v>
      </c>
      <c r="C4523" s="1" t="n">
        <v>594000</v>
      </c>
      <c r="D4523" s="1" t="n">
        <v>14481.5</v>
      </c>
      <c r="E4523" s="1" t="n">
        <v>0.106</v>
      </c>
      <c r="F4523" s="1" t="n">
        <v>0.0938</v>
      </c>
    </row>
    <row r="4524" customFormat="false" ht="15" hidden="false" customHeight="false" outlineLevel="0" collapsed="false">
      <c r="A4524" s="1" t="s">
        <v>4559</v>
      </c>
      <c r="B4524" s="1" t="s">
        <v>214</v>
      </c>
      <c r="C4524" s="1" t="n">
        <v>544000</v>
      </c>
      <c r="D4524" s="1" t="n">
        <v>153.9</v>
      </c>
      <c r="E4524" s="1" t="n">
        <v>0.0357</v>
      </c>
      <c r="F4524" s="1" t="n">
        <v>0.051</v>
      </c>
    </row>
    <row r="4525" customFormat="false" ht="15" hidden="false" customHeight="false" outlineLevel="0" collapsed="false">
      <c r="A4525" s="1" t="s">
        <v>4560</v>
      </c>
      <c r="B4525" s="1" t="s">
        <v>88</v>
      </c>
      <c r="C4525" s="1" t="n">
        <v>875000</v>
      </c>
      <c r="D4525" s="1" t="n">
        <v>50862.6</v>
      </c>
      <c r="E4525" s="1" t="n">
        <v>0.0615</v>
      </c>
      <c r="F4525" s="1" t="n">
        <v>0.0759</v>
      </c>
    </row>
    <row r="4526" customFormat="false" ht="15" hidden="false" customHeight="false" outlineLevel="0" collapsed="false">
      <c r="A4526" s="1" t="s">
        <v>4561</v>
      </c>
      <c r="B4526" s="1" t="s">
        <v>26</v>
      </c>
      <c r="C4526" s="1" t="n">
        <v>1550000</v>
      </c>
      <c r="D4526" s="1" t="n">
        <v>51656.5</v>
      </c>
      <c r="E4526" s="1" t="n">
        <v>0.0222</v>
      </c>
      <c r="F4526" s="1" t="n">
        <v>0.0854</v>
      </c>
    </row>
    <row r="4527" customFormat="false" ht="15" hidden="false" customHeight="false" outlineLevel="0" collapsed="false">
      <c r="A4527" s="1" t="s">
        <v>4562</v>
      </c>
      <c r="B4527" s="1" t="s">
        <v>214</v>
      </c>
      <c r="C4527" s="1" t="n">
        <v>840000</v>
      </c>
      <c r="D4527" s="1" t="n">
        <v>9181.5</v>
      </c>
      <c r="E4527" s="1" t="n">
        <v>0.01</v>
      </c>
      <c r="F4527" s="1" t="n">
        <v>0.1187</v>
      </c>
    </row>
    <row r="4528" customFormat="false" ht="15" hidden="false" customHeight="false" outlineLevel="0" collapsed="false">
      <c r="A4528" s="1" t="s">
        <v>4563</v>
      </c>
      <c r="B4528" s="1" t="s">
        <v>41</v>
      </c>
      <c r="C4528" s="1" t="n">
        <v>544000</v>
      </c>
      <c r="D4528" s="1" t="n">
        <v>20167.4</v>
      </c>
      <c r="E4528" s="1" t="n">
        <v>0.0133</v>
      </c>
      <c r="F4528" s="1" t="n">
        <v>0.1067</v>
      </c>
    </row>
    <row r="4529" customFormat="false" ht="15" hidden="false" customHeight="false" outlineLevel="0" collapsed="false">
      <c r="A4529" s="1" t="s">
        <v>4564</v>
      </c>
      <c r="B4529" s="1" t="s">
        <v>24</v>
      </c>
      <c r="C4529" s="1" t="n">
        <v>535000</v>
      </c>
      <c r="D4529" s="1" t="n">
        <v>9356.9</v>
      </c>
      <c r="E4529" s="1" t="n">
        <v>0.0235</v>
      </c>
      <c r="F4529" s="1" t="n">
        <v>0.0585</v>
      </c>
    </row>
    <row r="4530" customFormat="false" ht="15" hidden="false" customHeight="false" outlineLevel="0" collapsed="false">
      <c r="A4530" s="1" t="s">
        <v>4565</v>
      </c>
      <c r="B4530" s="1" t="s">
        <v>24</v>
      </c>
      <c r="C4530" s="1" t="n">
        <v>650000</v>
      </c>
      <c r="D4530" s="1" t="n">
        <v>167698</v>
      </c>
      <c r="E4530" s="1" t="n">
        <v>0.0332</v>
      </c>
      <c r="F4530" s="1" t="n">
        <v>0.0951</v>
      </c>
    </row>
    <row r="4531" customFormat="false" ht="15" hidden="false" customHeight="false" outlineLevel="0" collapsed="false">
      <c r="A4531" s="1" t="s">
        <v>4566</v>
      </c>
      <c r="B4531" s="1" t="s">
        <v>53</v>
      </c>
      <c r="C4531" s="1" t="n">
        <v>1300000</v>
      </c>
      <c r="D4531" s="1" t="n">
        <v>567680.9</v>
      </c>
      <c r="E4531" s="1" t="n">
        <v>0.0119</v>
      </c>
      <c r="F4531" s="1" t="n">
        <v>0.1067</v>
      </c>
    </row>
    <row r="4532" customFormat="false" ht="15" hidden="false" customHeight="false" outlineLevel="0" collapsed="false">
      <c r="A4532" s="1" t="s">
        <v>4567</v>
      </c>
      <c r="B4532" s="1" t="s">
        <v>53</v>
      </c>
      <c r="C4532" s="1" t="n">
        <v>603000</v>
      </c>
      <c r="D4532" s="1" t="n">
        <v>5028.5</v>
      </c>
      <c r="E4532" s="1" t="n">
        <v>0.0025</v>
      </c>
      <c r="F4532" s="1" t="n">
        <v>0.0811</v>
      </c>
    </row>
    <row r="4533" customFormat="false" ht="15" hidden="false" customHeight="false" outlineLevel="0" collapsed="false">
      <c r="A4533" s="1" t="s">
        <v>4568</v>
      </c>
      <c r="B4533" s="1" t="s">
        <v>214</v>
      </c>
      <c r="C4533" s="1" t="n">
        <v>914000</v>
      </c>
      <c r="D4533" s="1" t="n">
        <v>4960.6</v>
      </c>
      <c r="E4533" s="1" t="n">
        <v>0.004</v>
      </c>
      <c r="F4533" s="1" t="n">
        <v>0.0654</v>
      </c>
    </row>
    <row r="4534" customFormat="false" ht="15" hidden="false" customHeight="false" outlineLevel="0" collapsed="false">
      <c r="A4534" s="1" t="s">
        <v>4569</v>
      </c>
      <c r="B4534" s="1" t="s">
        <v>26</v>
      </c>
      <c r="C4534" s="1" t="n">
        <v>569000</v>
      </c>
      <c r="D4534" s="1" t="n">
        <v>37708</v>
      </c>
      <c r="E4534" s="1" t="n">
        <v>0.0198</v>
      </c>
      <c r="F4534" s="1" t="n">
        <v>0.0854</v>
      </c>
    </row>
    <row r="4535" customFormat="false" ht="15" hidden="false" customHeight="false" outlineLevel="0" collapsed="false">
      <c r="A4535" s="1" t="s">
        <v>4570</v>
      </c>
      <c r="B4535" s="1" t="s">
        <v>195</v>
      </c>
      <c r="C4535" s="1" t="n">
        <v>1030000</v>
      </c>
      <c r="D4535" s="1" t="n">
        <v>5286</v>
      </c>
      <c r="E4535" s="1" t="n">
        <v>0.0576</v>
      </c>
      <c r="F4535" s="1" t="n">
        <v>0.1241</v>
      </c>
    </row>
    <row r="4536" customFormat="false" ht="15" hidden="false" customHeight="false" outlineLevel="0" collapsed="false">
      <c r="A4536" s="1" t="s">
        <v>4571</v>
      </c>
      <c r="B4536" s="1" t="s">
        <v>88</v>
      </c>
      <c r="C4536" s="1" t="n">
        <v>575000</v>
      </c>
      <c r="D4536" s="1" t="n">
        <v>21547.8</v>
      </c>
      <c r="F4536" s="1" t="n">
        <v>0.0938</v>
      </c>
    </row>
    <row r="4537" customFormat="false" ht="15" hidden="false" customHeight="false" outlineLevel="0" collapsed="false">
      <c r="A4537" s="1" t="s">
        <v>4572</v>
      </c>
      <c r="B4537" s="1" t="s">
        <v>287</v>
      </c>
      <c r="C4537" s="1" t="n">
        <v>584000</v>
      </c>
      <c r="D4537" s="1" t="n">
        <v>29459.5</v>
      </c>
      <c r="E4537" s="1" t="n">
        <v>0.0471</v>
      </c>
      <c r="F4537" s="1" t="n">
        <v>0.0759</v>
      </c>
    </row>
    <row r="4538" customFormat="false" ht="15" hidden="false" customHeight="false" outlineLevel="0" collapsed="false">
      <c r="A4538" s="1" t="s">
        <v>4573</v>
      </c>
      <c r="B4538" s="1" t="s">
        <v>74</v>
      </c>
      <c r="C4538" s="1" t="n">
        <v>557000</v>
      </c>
      <c r="D4538" s="1" t="n">
        <v>1066.9</v>
      </c>
      <c r="E4538" s="1" t="n">
        <v>0.0213</v>
      </c>
      <c r="F4538" s="1" t="n">
        <v>0.117</v>
      </c>
    </row>
    <row r="4539" customFormat="false" ht="15" hidden="false" customHeight="false" outlineLevel="0" collapsed="false">
      <c r="A4539" s="1" t="s">
        <v>4574</v>
      </c>
      <c r="B4539" s="1" t="s">
        <v>287</v>
      </c>
      <c r="C4539" s="1" t="n">
        <v>1220000</v>
      </c>
      <c r="D4539" s="1" t="n">
        <v>136445.1</v>
      </c>
      <c r="E4539" s="1" t="n">
        <v>0.0243</v>
      </c>
      <c r="F4539" s="1" t="n">
        <v>0.0409</v>
      </c>
    </row>
    <row r="4540" customFormat="false" ht="15" hidden="false" customHeight="false" outlineLevel="0" collapsed="false">
      <c r="A4540" s="1" t="s">
        <v>4575</v>
      </c>
      <c r="B4540" s="1" t="s">
        <v>26</v>
      </c>
      <c r="C4540" s="1" t="n">
        <v>625000</v>
      </c>
      <c r="D4540" s="1" t="n">
        <v>72810.5</v>
      </c>
      <c r="E4540" s="1" t="n">
        <v>0.0208</v>
      </c>
      <c r="F4540" s="1" t="n">
        <v>0.0759</v>
      </c>
    </row>
    <row r="4541" customFormat="false" ht="15" hidden="false" customHeight="false" outlineLevel="0" collapsed="false">
      <c r="A4541" s="1" t="s">
        <v>4576</v>
      </c>
      <c r="B4541" s="1" t="s">
        <v>21</v>
      </c>
      <c r="C4541" s="1" t="n">
        <v>769000</v>
      </c>
      <c r="D4541" s="1" t="n">
        <v>229068.9</v>
      </c>
      <c r="E4541" s="1" t="n">
        <v>0.0424</v>
      </c>
      <c r="F4541" s="1" t="n">
        <v>0.0759</v>
      </c>
    </row>
    <row r="4542" customFormat="false" ht="15" hidden="false" customHeight="false" outlineLevel="0" collapsed="false">
      <c r="A4542" s="1" t="s">
        <v>4577</v>
      </c>
      <c r="B4542" s="1" t="s">
        <v>74</v>
      </c>
      <c r="C4542" s="1" t="n">
        <v>624000</v>
      </c>
      <c r="D4542" s="1" t="n">
        <v>7475.7</v>
      </c>
      <c r="E4542" s="1" t="n">
        <v>0.0226</v>
      </c>
      <c r="F4542" s="1" t="n">
        <v>0.0759</v>
      </c>
    </row>
    <row r="4543" customFormat="false" ht="15" hidden="false" customHeight="false" outlineLevel="0" collapsed="false">
      <c r="A4543" s="1" t="s">
        <v>4578</v>
      </c>
      <c r="B4543" s="1" t="s">
        <v>81</v>
      </c>
      <c r="C4543" s="1" t="n">
        <v>571000</v>
      </c>
      <c r="D4543" s="1" t="n">
        <v>30321.7</v>
      </c>
      <c r="E4543" s="1" t="n">
        <v>0.041</v>
      </c>
      <c r="F4543" s="1" t="n">
        <v>0.117</v>
      </c>
    </row>
    <row r="4544" customFormat="false" ht="15" hidden="false" customHeight="false" outlineLevel="0" collapsed="false">
      <c r="A4544" s="1" t="s">
        <v>4579</v>
      </c>
      <c r="B4544" s="1" t="s">
        <v>62</v>
      </c>
      <c r="C4544" s="1" t="n">
        <v>829000</v>
      </c>
      <c r="D4544" s="1" t="n">
        <v>105170.3</v>
      </c>
      <c r="E4544" s="1" t="n">
        <v>0.0656</v>
      </c>
      <c r="F4544" s="1" t="n">
        <v>0.0432</v>
      </c>
    </row>
    <row r="4545" customFormat="false" ht="15" hidden="false" customHeight="false" outlineLevel="0" collapsed="false">
      <c r="A4545" s="1" t="s">
        <v>4580</v>
      </c>
      <c r="B4545" s="1" t="s">
        <v>26</v>
      </c>
      <c r="C4545" s="1" t="n">
        <v>535000</v>
      </c>
      <c r="D4545" s="1" t="n">
        <v>18266.8</v>
      </c>
      <c r="E4545" s="1" t="n">
        <v>0.0453</v>
      </c>
      <c r="F4545" s="1" t="n">
        <v>0.0759</v>
      </c>
    </row>
    <row r="4546" customFormat="false" ht="15" hidden="false" customHeight="false" outlineLevel="0" collapsed="false">
      <c r="A4546" s="1" t="s">
        <v>4581</v>
      </c>
      <c r="B4546" s="1" t="s">
        <v>92</v>
      </c>
      <c r="C4546" s="1" t="n">
        <v>654000</v>
      </c>
      <c r="D4546" s="1" t="n">
        <v>80600.5</v>
      </c>
      <c r="E4546" s="1" t="n">
        <v>0.0173</v>
      </c>
      <c r="F4546" s="1" t="n">
        <v>0.0585</v>
      </c>
    </row>
    <row r="4547" customFormat="false" ht="15" hidden="false" customHeight="false" outlineLevel="0" collapsed="false">
      <c r="A4547" s="1" t="s">
        <v>4582</v>
      </c>
      <c r="B4547" s="1" t="s">
        <v>24</v>
      </c>
      <c r="C4547" s="1" t="n">
        <v>547000</v>
      </c>
      <c r="D4547" s="1" t="n">
        <v>393.9</v>
      </c>
      <c r="E4547" s="1" t="n">
        <v>0.0154</v>
      </c>
      <c r="F4547" s="1" t="n">
        <v>0.095</v>
      </c>
    </row>
    <row r="4548" customFormat="false" ht="15" hidden="false" customHeight="false" outlineLevel="0" collapsed="false">
      <c r="A4548" s="1" t="s">
        <v>4583</v>
      </c>
      <c r="B4548" s="1" t="s">
        <v>214</v>
      </c>
      <c r="C4548" s="1" t="n">
        <v>575000</v>
      </c>
      <c r="D4548" s="1" t="n">
        <v>49278.6</v>
      </c>
      <c r="E4548" s="1" t="n">
        <v>0.0147</v>
      </c>
      <c r="F4548" s="1" t="n">
        <v>0.1119</v>
      </c>
    </row>
    <row r="4549" customFormat="false" ht="15" hidden="false" customHeight="false" outlineLevel="0" collapsed="false">
      <c r="A4549" s="1" t="s">
        <v>4584</v>
      </c>
      <c r="B4549" s="1" t="s">
        <v>26</v>
      </c>
      <c r="C4549" s="1" t="n">
        <v>531000</v>
      </c>
      <c r="D4549" s="1" t="n">
        <v>334736.7</v>
      </c>
      <c r="E4549" s="1" t="n">
        <v>0.0305</v>
      </c>
      <c r="F4549" s="1" t="n">
        <v>0.0951</v>
      </c>
    </row>
    <row r="4550" customFormat="false" ht="15" hidden="false" customHeight="false" outlineLevel="0" collapsed="false">
      <c r="A4550" s="1" t="s">
        <v>4585</v>
      </c>
      <c r="B4550" s="1" t="s">
        <v>92</v>
      </c>
      <c r="C4550" s="1" t="n">
        <v>566000</v>
      </c>
      <c r="D4550" s="1" t="n">
        <v>10103.5</v>
      </c>
      <c r="E4550" s="1" t="n">
        <v>0.0236</v>
      </c>
      <c r="F4550" s="1" t="n">
        <v>0.0951</v>
      </c>
    </row>
    <row r="4551" customFormat="false" ht="15" hidden="false" customHeight="false" outlineLevel="0" collapsed="false">
      <c r="A4551" s="1" t="s">
        <v>4586</v>
      </c>
      <c r="B4551" s="1" t="s">
        <v>26</v>
      </c>
      <c r="C4551" s="1" t="n">
        <v>581000</v>
      </c>
      <c r="D4551" s="1" t="n">
        <v>15748.1</v>
      </c>
      <c r="E4551" s="1" t="n">
        <v>0.0206</v>
      </c>
      <c r="F4551" s="1" t="n">
        <v>0.0854</v>
      </c>
    </row>
    <row r="4552" customFormat="false" ht="15" hidden="false" customHeight="false" outlineLevel="0" collapsed="false">
      <c r="A4552" s="1" t="s">
        <v>4587</v>
      </c>
      <c r="B4552" s="1" t="s">
        <v>26</v>
      </c>
      <c r="C4552" s="1" t="n">
        <v>792000</v>
      </c>
      <c r="D4552" s="1" t="n">
        <v>230191.9</v>
      </c>
      <c r="E4552" s="1" t="n">
        <v>0.0275</v>
      </c>
      <c r="F4552" s="1" t="n">
        <v>0.0409</v>
      </c>
    </row>
    <row r="4553" customFormat="false" ht="15" hidden="false" customHeight="false" outlineLevel="0" collapsed="false">
      <c r="A4553" s="1" t="s">
        <v>4588</v>
      </c>
      <c r="B4553" s="1" t="s">
        <v>41</v>
      </c>
      <c r="C4553" s="1" t="n">
        <v>553000</v>
      </c>
      <c r="D4553" s="1" t="n">
        <v>1687.2</v>
      </c>
      <c r="E4553" s="1" t="n">
        <v>0.0097</v>
      </c>
      <c r="F4553" s="1" t="n">
        <v>0.1015</v>
      </c>
    </row>
    <row r="4554" customFormat="false" ht="15" hidden="false" customHeight="false" outlineLevel="0" collapsed="false">
      <c r="A4554" s="1" t="s">
        <v>4589</v>
      </c>
      <c r="B4554" s="1" t="s">
        <v>24</v>
      </c>
      <c r="C4554" s="1" t="n">
        <v>536000</v>
      </c>
      <c r="D4554" s="1" t="n">
        <v>744.2</v>
      </c>
      <c r="E4554" s="1" t="n">
        <v>0.025</v>
      </c>
      <c r="F4554" s="1" t="n">
        <v>0.0951</v>
      </c>
    </row>
    <row r="4555" customFormat="false" ht="15" hidden="false" customHeight="false" outlineLevel="0" collapsed="false">
      <c r="A4555" s="1" t="s">
        <v>4590</v>
      </c>
      <c r="B4555" s="1" t="s">
        <v>92</v>
      </c>
      <c r="C4555" s="1" t="n">
        <v>2210000</v>
      </c>
      <c r="D4555" s="1" t="n">
        <v>449681.7</v>
      </c>
      <c r="E4555" s="1" t="n">
        <v>0.0239</v>
      </c>
      <c r="F4555" s="1" t="n">
        <v>0.0409</v>
      </c>
    </row>
    <row r="4556" customFormat="false" ht="15" hidden="false" customHeight="false" outlineLevel="0" collapsed="false">
      <c r="A4556" s="1" t="s">
        <v>4591</v>
      </c>
      <c r="B4556" s="1" t="s">
        <v>88</v>
      </c>
      <c r="C4556" s="1" t="n">
        <v>761000</v>
      </c>
      <c r="D4556" s="1" t="n">
        <v>6018.7</v>
      </c>
      <c r="E4556" s="1" t="n">
        <v>0.0377</v>
      </c>
      <c r="F4556" s="1" t="n">
        <v>0.0759</v>
      </c>
    </row>
    <row r="4557" customFormat="false" ht="15" hidden="false" customHeight="false" outlineLevel="0" collapsed="false">
      <c r="A4557" s="1" t="s">
        <v>4592</v>
      </c>
      <c r="B4557" s="1" t="s">
        <v>26</v>
      </c>
      <c r="C4557" s="1" t="n">
        <v>246000</v>
      </c>
      <c r="D4557" s="1" t="n">
        <v>354.2</v>
      </c>
      <c r="E4557" s="1" t="n">
        <v>0.0184</v>
      </c>
      <c r="F4557" s="1" t="n">
        <v>0.1053</v>
      </c>
    </row>
    <row r="4558" customFormat="false" ht="15" hidden="false" customHeight="false" outlineLevel="0" collapsed="false">
      <c r="A4558" s="1" t="s">
        <v>4593</v>
      </c>
      <c r="B4558" s="1" t="s">
        <v>53</v>
      </c>
      <c r="C4558" s="1" t="n">
        <v>554000</v>
      </c>
      <c r="D4558" s="1" t="n">
        <v>7636.9</v>
      </c>
      <c r="E4558" s="1" t="n">
        <v>0.0538</v>
      </c>
      <c r="F4558" s="1" t="n">
        <v>0.0759</v>
      </c>
    </row>
    <row r="4559" customFormat="false" ht="15" hidden="false" customHeight="false" outlineLevel="0" collapsed="false">
      <c r="A4559" s="1" t="s">
        <v>4594</v>
      </c>
      <c r="B4559" s="1" t="s">
        <v>214</v>
      </c>
      <c r="C4559" s="1" t="n">
        <v>540000</v>
      </c>
      <c r="D4559" s="1" t="n">
        <v>9065.7</v>
      </c>
      <c r="E4559" s="1" t="n">
        <v>0.0229</v>
      </c>
      <c r="F4559" s="1" t="n">
        <v>0.0518</v>
      </c>
    </row>
    <row r="4560" customFormat="false" ht="15" hidden="false" customHeight="false" outlineLevel="0" collapsed="false">
      <c r="A4560" s="1" t="s">
        <v>4595</v>
      </c>
      <c r="B4560" s="1" t="s">
        <v>26</v>
      </c>
      <c r="C4560" s="1" t="n">
        <v>1010000</v>
      </c>
      <c r="D4560" s="1" t="n">
        <v>105855.8</v>
      </c>
      <c r="E4560" s="1" t="n">
        <v>0.0513</v>
      </c>
      <c r="F4560" s="1" t="n">
        <v>0.0759</v>
      </c>
    </row>
    <row r="4561" customFormat="false" ht="15" hidden="false" customHeight="false" outlineLevel="0" collapsed="false">
      <c r="A4561" s="1" t="s">
        <v>4596</v>
      </c>
      <c r="B4561" s="1" t="s">
        <v>53</v>
      </c>
      <c r="C4561" s="1" t="n">
        <v>556000</v>
      </c>
      <c r="D4561" s="1" t="n">
        <v>19168</v>
      </c>
      <c r="E4561" s="1" t="n">
        <v>0.1132</v>
      </c>
      <c r="F4561" s="1" t="n">
        <v>0.0951</v>
      </c>
    </row>
    <row r="4562" customFormat="false" ht="15" hidden="false" customHeight="false" outlineLevel="0" collapsed="false">
      <c r="A4562" s="1" t="s">
        <v>4597</v>
      </c>
      <c r="B4562" s="1" t="s">
        <v>26</v>
      </c>
      <c r="C4562" s="1" t="n">
        <v>1720000</v>
      </c>
      <c r="D4562" s="1" t="n">
        <v>124748.3</v>
      </c>
      <c r="E4562" s="1" t="n">
        <v>0.0078</v>
      </c>
      <c r="F4562" s="1" t="n">
        <v>0.0654</v>
      </c>
    </row>
    <row r="4563" customFormat="false" ht="15" hidden="false" customHeight="false" outlineLevel="0" collapsed="false">
      <c r="A4563" s="1" t="s">
        <v>4598</v>
      </c>
      <c r="B4563" s="1" t="s">
        <v>74</v>
      </c>
      <c r="C4563" s="1" t="n">
        <v>583000</v>
      </c>
      <c r="D4563" s="1" t="n">
        <v>17607.1</v>
      </c>
      <c r="E4563" s="1" t="n">
        <v>0.0406</v>
      </c>
      <c r="F4563" s="1" t="n">
        <v>0.0759</v>
      </c>
    </row>
    <row r="4564" customFormat="false" ht="15" hidden="false" customHeight="false" outlineLevel="0" collapsed="false">
      <c r="A4564" s="1" t="s">
        <v>4599</v>
      </c>
      <c r="B4564" s="1" t="s">
        <v>92</v>
      </c>
      <c r="C4564" s="1" t="n">
        <v>539000</v>
      </c>
      <c r="D4564" s="1" t="n">
        <v>107700.2</v>
      </c>
      <c r="E4564" s="1" t="n">
        <v>0.0221</v>
      </c>
      <c r="F4564" s="1" t="n">
        <v>0.0518</v>
      </c>
    </row>
    <row r="4565" customFormat="false" ht="15" hidden="false" customHeight="false" outlineLevel="0" collapsed="false">
      <c r="A4565" s="1" t="s">
        <v>4600</v>
      </c>
      <c r="B4565" s="1" t="s">
        <v>26</v>
      </c>
      <c r="C4565" s="1" t="n">
        <v>560000</v>
      </c>
      <c r="D4565" s="1" t="n">
        <v>5777.8</v>
      </c>
      <c r="E4565" s="1" t="n">
        <v>0.0255</v>
      </c>
      <c r="F4565" s="1" t="n">
        <v>0.0759</v>
      </c>
    </row>
    <row r="4566" customFormat="false" ht="15" hidden="false" customHeight="false" outlineLevel="0" collapsed="false">
      <c r="A4566" s="1" t="s">
        <v>4601</v>
      </c>
      <c r="B4566" s="1" t="s">
        <v>26</v>
      </c>
      <c r="C4566" s="1" t="n">
        <v>688000</v>
      </c>
      <c r="D4566" s="1" t="n">
        <v>2580.8</v>
      </c>
      <c r="E4566" s="1" t="n">
        <v>0.0405</v>
      </c>
      <c r="F4566" s="1" t="n">
        <v>0.0759</v>
      </c>
    </row>
    <row r="4567" customFormat="false" ht="15" hidden="false" customHeight="false" outlineLevel="0" collapsed="false">
      <c r="A4567" s="1" t="s">
        <v>4602</v>
      </c>
      <c r="B4567" s="1" t="s">
        <v>92</v>
      </c>
      <c r="C4567" s="1" t="n">
        <v>695000</v>
      </c>
      <c r="D4567" s="1" t="n">
        <v>176337.9</v>
      </c>
      <c r="E4567" s="1" t="n">
        <v>0.0113</v>
      </c>
      <c r="F4567" s="1" t="n">
        <v>0.0584</v>
      </c>
    </row>
    <row r="4568" customFormat="false" ht="15" hidden="false" customHeight="false" outlineLevel="0" collapsed="false">
      <c r="A4568" s="1" t="s">
        <v>4603</v>
      </c>
      <c r="B4568" s="1" t="s">
        <v>24</v>
      </c>
      <c r="C4568" s="1" t="n">
        <v>569000</v>
      </c>
      <c r="D4568" s="1" t="n">
        <v>34542.5</v>
      </c>
      <c r="E4568" s="1" t="n">
        <v>0.0345</v>
      </c>
      <c r="F4568" s="1" t="n">
        <v>0.0759</v>
      </c>
    </row>
    <row r="4569" customFormat="false" ht="15" hidden="false" customHeight="false" outlineLevel="0" collapsed="false">
      <c r="A4569" s="1" t="s">
        <v>4604</v>
      </c>
      <c r="B4569" s="1" t="s">
        <v>50</v>
      </c>
      <c r="C4569" s="1" t="n">
        <v>660000</v>
      </c>
      <c r="D4569" s="1" t="n">
        <v>20177</v>
      </c>
      <c r="E4569" s="1" t="n">
        <v>0.0058</v>
      </c>
      <c r="F4569" s="1" t="n">
        <v>0.0811</v>
      </c>
    </row>
    <row r="4570" customFormat="false" ht="15" hidden="false" customHeight="false" outlineLevel="0" collapsed="false">
      <c r="A4570" s="1" t="s">
        <v>4605</v>
      </c>
      <c r="B4570" s="1" t="s">
        <v>50</v>
      </c>
      <c r="C4570" s="1" t="n">
        <v>563000</v>
      </c>
      <c r="D4570" s="1" t="n">
        <v>13483.8</v>
      </c>
      <c r="E4570" s="1" t="n">
        <v>0.0226</v>
      </c>
      <c r="F4570" s="1" t="n">
        <v>0.0585</v>
      </c>
    </row>
    <row r="4571" customFormat="false" ht="15" hidden="false" customHeight="false" outlineLevel="0" collapsed="false">
      <c r="A4571" s="1" t="s">
        <v>4606</v>
      </c>
      <c r="B4571" s="1" t="s">
        <v>26</v>
      </c>
      <c r="C4571" s="1" t="n">
        <v>665000</v>
      </c>
      <c r="D4571" s="1" t="n">
        <v>803195.5</v>
      </c>
      <c r="E4571" s="1" t="n">
        <v>0.025</v>
      </c>
      <c r="F4571" s="1" t="n">
        <v>0.0518</v>
      </c>
    </row>
    <row r="4572" customFormat="false" ht="15" hidden="false" customHeight="false" outlineLevel="0" collapsed="false">
      <c r="A4572" s="1" t="s">
        <v>4607</v>
      </c>
      <c r="B4572" s="1" t="s">
        <v>71</v>
      </c>
      <c r="C4572" s="1" t="n">
        <v>1520000</v>
      </c>
      <c r="D4572" s="1" t="n">
        <v>458022.7</v>
      </c>
      <c r="E4572" s="1" t="n">
        <v>0.0121</v>
      </c>
      <c r="F4572" s="1" t="n">
        <v>0.052</v>
      </c>
    </row>
    <row r="4573" customFormat="false" ht="15" hidden="false" customHeight="false" outlineLevel="0" collapsed="false">
      <c r="A4573" s="1" t="s">
        <v>4608</v>
      </c>
      <c r="B4573" s="1" t="s">
        <v>26</v>
      </c>
      <c r="C4573" s="1" t="n">
        <v>656000</v>
      </c>
      <c r="D4573" s="1" t="n">
        <v>20817.9</v>
      </c>
      <c r="E4573" s="1" t="n">
        <v>0.0588</v>
      </c>
      <c r="F4573" s="1" t="n">
        <v>0.0409</v>
      </c>
    </row>
    <row r="4574" customFormat="false" ht="15" hidden="false" customHeight="false" outlineLevel="0" collapsed="false">
      <c r="A4574" s="1" t="s">
        <v>4609</v>
      </c>
      <c r="B4574" s="1" t="s">
        <v>21</v>
      </c>
      <c r="C4574" s="1" t="n">
        <v>624000</v>
      </c>
      <c r="D4574" s="1" t="n">
        <v>208386.5</v>
      </c>
      <c r="E4574" s="1" t="n">
        <v>0.0363</v>
      </c>
      <c r="F4574" s="1" t="n">
        <v>0.0951</v>
      </c>
    </row>
    <row r="4575" customFormat="false" ht="15" hidden="false" customHeight="false" outlineLevel="0" collapsed="false">
      <c r="A4575" s="1" t="s">
        <v>4610</v>
      </c>
      <c r="B4575" s="1" t="s">
        <v>41</v>
      </c>
      <c r="C4575" s="1" t="n">
        <v>684000</v>
      </c>
      <c r="D4575" s="1" t="n">
        <v>837.8</v>
      </c>
      <c r="E4575" s="1" t="n">
        <v>0.0418</v>
      </c>
      <c r="F4575" s="1" t="n">
        <v>0.1516</v>
      </c>
    </row>
    <row r="4576" customFormat="false" ht="15" hidden="false" customHeight="false" outlineLevel="0" collapsed="false">
      <c r="A4576" s="1" t="s">
        <v>4611</v>
      </c>
      <c r="B4576" s="1" t="s">
        <v>24</v>
      </c>
      <c r="C4576" s="1" t="n">
        <v>600000</v>
      </c>
      <c r="D4576" s="1" t="n">
        <v>15492.2</v>
      </c>
      <c r="E4576" s="1" t="n">
        <v>0.0446</v>
      </c>
      <c r="F4576" s="1" t="n">
        <v>0.0951</v>
      </c>
    </row>
    <row r="4577" customFormat="false" ht="15" hidden="false" customHeight="false" outlineLevel="0" collapsed="false">
      <c r="A4577" s="1" t="s">
        <v>4612</v>
      </c>
      <c r="B4577" s="1" t="s">
        <v>26</v>
      </c>
      <c r="C4577" s="1" t="n">
        <v>695000</v>
      </c>
      <c r="D4577" s="1" t="n">
        <v>10083.6</v>
      </c>
      <c r="E4577" s="1" t="n">
        <v>0.0159</v>
      </c>
      <c r="F4577" s="1" t="n">
        <v>0.0937</v>
      </c>
    </row>
    <row r="4578" customFormat="false" ht="15" hidden="false" customHeight="false" outlineLevel="0" collapsed="false">
      <c r="A4578" s="1" t="s">
        <v>4613</v>
      </c>
      <c r="B4578" s="1" t="s">
        <v>26</v>
      </c>
      <c r="C4578" s="1" t="n">
        <v>734000</v>
      </c>
      <c r="D4578" s="1" t="n">
        <v>17971.8</v>
      </c>
      <c r="E4578" s="1" t="n">
        <v>0.0056</v>
      </c>
      <c r="F4578" s="1" t="n">
        <v>0.0811</v>
      </c>
    </row>
    <row r="4579" customFormat="false" ht="15" hidden="false" customHeight="false" outlineLevel="0" collapsed="false">
      <c r="A4579" s="1" t="s">
        <v>4614</v>
      </c>
      <c r="B4579" s="1" t="s">
        <v>26</v>
      </c>
      <c r="C4579" s="1" t="n">
        <v>605000</v>
      </c>
      <c r="D4579" s="1" t="n">
        <v>7279.7</v>
      </c>
      <c r="E4579" s="1" t="n">
        <v>0.0452</v>
      </c>
      <c r="F4579" s="1" t="n">
        <v>0.0759</v>
      </c>
    </row>
    <row r="4580" customFormat="false" ht="15" hidden="false" customHeight="false" outlineLevel="0" collapsed="false">
      <c r="A4580" s="1" t="s">
        <v>4615</v>
      </c>
      <c r="B4580" s="1" t="s">
        <v>26</v>
      </c>
      <c r="C4580" s="1" t="n">
        <v>618000</v>
      </c>
      <c r="D4580" s="1" t="n">
        <v>52275.3</v>
      </c>
      <c r="E4580" s="1" t="n">
        <v>0.015</v>
      </c>
      <c r="F4580" s="1" t="n">
        <v>0.0576</v>
      </c>
    </row>
    <row r="4581" customFormat="false" ht="15" hidden="false" customHeight="false" outlineLevel="0" collapsed="false">
      <c r="A4581" s="1" t="s">
        <v>4616</v>
      </c>
      <c r="B4581" s="1" t="s">
        <v>26</v>
      </c>
      <c r="C4581" s="1" t="n">
        <v>831000</v>
      </c>
      <c r="D4581" s="1" t="n">
        <v>145354.5</v>
      </c>
      <c r="E4581" s="1" t="n">
        <v>0.0982</v>
      </c>
      <c r="F4581" s="1" t="n">
        <v>0.0759</v>
      </c>
    </row>
    <row r="4582" customFormat="false" ht="15" hidden="false" customHeight="false" outlineLevel="0" collapsed="false">
      <c r="A4582" s="1" t="s">
        <v>4617</v>
      </c>
      <c r="B4582" s="1" t="s">
        <v>26</v>
      </c>
      <c r="C4582" s="1" t="n">
        <v>590000</v>
      </c>
      <c r="D4582" s="1" t="n">
        <v>20823.1</v>
      </c>
      <c r="E4582" s="1" t="n">
        <v>0.0245</v>
      </c>
      <c r="F4582" s="1" t="n">
        <v>0.0518</v>
      </c>
    </row>
    <row r="4583" customFormat="false" ht="15" hidden="false" customHeight="false" outlineLevel="0" collapsed="false">
      <c r="A4583" s="1" t="s">
        <v>4618</v>
      </c>
      <c r="B4583" s="1" t="s">
        <v>92</v>
      </c>
      <c r="C4583" s="1" t="n">
        <v>553000</v>
      </c>
      <c r="D4583" s="1" t="n">
        <v>8845.6</v>
      </c>
      <c r="E4583" s="1" t="n">
        <v>0.027</v>
      </c>
      <c r="F4583" s="1" t="n">
        <v>0.0951</v>
      </c>
    </row>
    <row r="4584" customFormat="false" ht="15" hidden="false" customHeight="false" outlineLevel="0" collapsed="false">
      <c r="A4584" s="1" t="s">
        <v>4619</v>
      </c>
      <c r="B4584" s="1" t="s">
        <v>26</v>
      </c>
      <c r="C4584" s="1" t="n">
        <v>608000</v>
      </c>
      <c r="D4584" s="1" t="n">
        <v>18273</v>
      </c>
      <c r="E4584" s="1" t="n">
        <v>0.0421</v>
      </c>
      <c r="F4584" s="1" t="n">
        <v>0.0759</v>
      </c>
    </row>
    <row r="4585" customFormat="false" ht="15" hidden="false" customHeight="false" outlineLevel="0" collapsed="false">
      <c r="A4585" s="1" t="s">
        <v>4620</v>
      </c>
      <c r="B4585" s="1" t="s">
        <v>50</v>
      </c>
      <c r="C4585" s="1" t="n">
        <v>722000</v>
      </c>
      <c r="D4585" s="1" t="n">
        <v>161665</v>
      </c>
      <c r="E4585" s="1" t="n">
        <v>0.0292</v>
      </c>
      <c r="F4585" s="1" t="n">
        <v>0.0584</v>
      </c>
    </row>
    <row r="4586" customFormat="false" ht="15" hidden="false" customHeight="false" outlineLevel="0" collapsed="false">
      <c r="A4586" s="1" t="s">
        <v>4621</v>
      </c>
      <c r="B4586" s="1" t="s">
        <v>35</v>
      </c>
      <c r="C4586" s="1" t="n">
        <v>692000</v>
      </c>
      <c r="D4586" s="1" t="n">
        <v>3065.4</v>
      </c>
      <c r="E4586" s="1" t="n">
        <v>0.0187</v>
      </c>
      <c r="F4586" s="1" t="n">
        <v>0.131</v>
      </c>
    </row>
    <row r="4587" customFormat="false" ht="15" hidden="false" customHeight="false" outlineLevel="0" collapsed="false">
      <c r="A4587" s="1" t="s">
        <v>4622</v>
      </c>
      <c r="B4587" s="1" t="s">
        <v>26</v>
      </c>
      <c r="C4587" s="1" t="n">
        <v>809000</v>
      </c>
      <c r="D4587" s="1" t="n">
        <v>523468.5</v>
      </c>
      <c r="E4587" s="1" t="n">
        <v>0.0179</v>
      </c>
      <c r="F4587" s="1" t="n">
        <v>0.2294</v>
      </c>
    </row>
    <row r="4588" customFormat="false" ht="15" hidden="false" customHeight="false" outlineLevel="0" collapsed="false">
      <c r="A4588" s="1" t="s">
        <v>4623</v>
      </c>
      <c r="B4588" s="1" t="s">
        <v>50</v>
      </c>
      <c r="C4588" s="1" t="n">
        <v>861000</v>
      </c>
      <c r="D4588" s="1" t="n">
        <v>47262.5</v>
      </c>
      <c r="E4588" s="1" t="n">
        <v>0.1073</v>
      </c>
      <c r="F4588" s="1" t="n">
        <v>0.0938</v>
      </c>
    </row>
    <row r="4589" customFormat="false" ht="15" hidden="false" customHeight="false" outlineLevel="0" collapsed="false">
      <c r="A4589" s="1" t="s">
        <v>4624</v>
      </c>
      <c r="B4589" s="1" t="s">
        <v>26</v>
      </c>
      <c r="C4589" s="1" t="n">
        <v>744000</v>
      </c>
      <c r="D4589" s="1" t="n">
        <v>404789.3</v>
      </c>
      <c r="E4589" s="1" t="n">
        <v>0.0403</v>
      </c>
      <c r="F4589" s="1" t="n">
        <v>0.0432</v>
      </c>
    </row>
    <row r="4590" customFormat="false" ht="15" hidden="false" customHeight="false" outlineLevel="0" collapsed="false">
      <c r="A4590" s="1" t="s">
        <v>4625</v>
      </c>
      <c r="B4590" s="1" t="s">
        <v>26</v>
      </c>
      <c r="C4590" s="1" t="n">
        <v>550000</v>
      </c>
      <c r="D4590" s="1" t="n">
        <v>3012</v>
      </c>
      <c r="E4590" s="1" t="n">
        <v>0.0062</v>
      </c>
      <c r="F4590" s="1" t="n">
        <v>0.0811</v>
      </c>
    </row>
    <row r="4591" customFormat="false" ht="15" hidden="false" customHeight="false" outlineLevel="0" collapsed="false">
      <c r="A4591" s="1" t="s">
        <v>4626</v>
      </c>
      <c r="B4591" s="1" t="s">
        <v>41</v>
      </c>
      <c r="C4591" s="1" t="n">
        <v>769000</v>
      </c>
      <c r="D4591" s="1" t="n">
        <v>30116.8</v>
      </c>
      <c r="E4591" s="1" t="n">
        <v>0.0263</v>
      </c>
      <c r="F4591" s="1" t="n">
        <v>0.0938</v>
      </c>
    </row>
    <row r="4592" customFormat="false" ht="15" hidden="false" customHeight="false" outlineLevel="0" collapsed="false">
      <c r="A4592" s="1" t="s">
        <v>4627</v>
      </c>
      <c r="B4592" s="1" t="s">
        <v>26</v>
      </c>
      <c r="C4592" s="1" t="n">
        <v>596000</v>
      </c>
      <c r="D4592" s="1" t="n">
        <v>40034.4</v>
      </c>
      <c r="E4592" s="1" t="n">
        <v>0.0608</v>
      </c>
      <c r="F4592" s="1" t="n">
        <v>0.0759</v>
      </c>
    </row>
    <row r="4593" customFormat="false" ht="15" hidden="false" customHeight="false" outlineLevel="0" collapsed="false">
      <c r="A4593" s="1" t="s">
        <v>4628</v>
      </c>
      <c r="B4593" s="1" t="s">
        <v>88</v>
      </c>
      <c r="C4593" s="1" t="n">
        <v>695000</v>
      </c>
      <c r="D4593" s="1" t="n">
        <v>25249</v>
      </c>
      <c r="E4593" s="1" t="n">
        <v>0.0334</v>
      </c>
      <c r="F4593" s="1" t="n">
        <v>0.0938</v>
      </c>
    </row>
    <row r="4594" customFormat="false" ht="15" hidden="false" customHeight="false" outlineLevel="0" collapsed="false">
      <c r="A4594" s="1" t="s">
        <v>4629</v>
      </c>
      <c r="B4594" s="1" t="s">
        <v>74</v>
      </c>
      <c r="C4594" s="1" t="n">
        <v>910000</v>
      </c>
      <c r="D4594" s="1" t="n">
        <v>24760</v>
      </c>
      <c r="E4594" s="1" t="n">
        <v>0.0618</v>
      </c>
      <c r="F4594" s="1" t="n">
        <v>0.0759</v>
      </c>
    </row>
    <row r="4595" customFormat="false" ht="15" hidden="false" customHeight="false" outlineLevel="0" collapsed="false">
      <c r="A4595" s="1" t="s">
        <v>4630</v>
      </c>
      <c r="B4595" s="1" t="s">
        <v>50</v>
      </c>
      <c r="C4595" s="1" t="n">
        <v>715000</v>
      </c>
      <c r="D4595" s="1" t="n">
        <v>64928.6</v>
      </c>
      <c r="E4595" s="1" t="n">
        <v>0.0316</v>
      </c>
      <c r="F4595" s="1" t="n">
        <v>0.0518</v>
      </c>
    </row>
    <row r="4596" customFormat="false" ht="15" hidden="false" customHeight="false" outlineLevel="0" collapsed="false">
      <c r="A4596" s="1" t="s">
        <v>4631</v>
      </c>
      <c r="B4596" s="1" t="s">
        <v>92</v>
      </c>
      <c r="C4596" s="1" t="n">
        <v>697000</v>
      </c>
      <c r="D4596" s="1" t="n">
        <v>18705</v>
      </c>
      <c r="E4596" s="1" t="n">
        <v>0.0209</v>
      </c>
      <c r="F4596" s="1" t="n">
        <v>0.0759</v>
      </c>
    </row>
    <row r="4597" customFormat="false" ht="15" hidden="false" customHeight="false" outlineLevel="0" collapsed="false">
      <c r="A4597" s="1" t="s">
        <v>4632</v>
      </c>
      <c r="B4597" s="1" t="s">
        <v>26</v>
      </c>
      <c r="C4597" s="1" t="n">
        <v>603000</v>
      </c>
      <c r="D4597" s="1" t="n">
        <v>14427</v>
      </c>
      <c r="E4597" s="1" t="n">
        <v>0.0335</v>
      </c>
      <c r="F4597" s="1" t="n">
        <v>0.0409</v>
      </c>
    </row>
    <row r="4598" customFormat="false" ht="15" hidden="false" customHeight="false" outlineLevel="0" collapsed="false">
      <c r="A4598" s="1" t="s">
        <v>4633</v>
      </c>
      <c r="B4598" s="1" t="s">
        <v>26</v>
      </c>
      <c r="C4598" s="1" t="n">
        <v>521000</v>
      </c>
      <c r="D4598" s="1" t="n">
        <v>29792.7</v>
      </c>
      <c r="E4598" s="1" t="n">
        <v>0.0196</v>
      </c>
      <c r="F4598" s="1" t="n">
        <v>0.0616</v>
      </c>
    </row>
    <row r="4599" customFormat="false" ht="15" hidden="false" customHeight="false" outlineLevel="0" collapsed="false">
      <c r="A4599" s="1" t="s">
        <v>4634</v>
      </c>
      <c r="B4599" s="1" t="s">
        <v>53</v>
      </c>
      <c r="C4599" s="1" t="n">
        <v>530000</v>
      </c>
      <c r="D4599" s="1" t="n">
        <v>122949.8</v>
      </c>
      <c r="E4599" s="1" t="n">
        <v>0.0145</v>
      </c>
      <c r="F4599" s="1" t="n">
        <v>0.1067</v>
      </c>
    </row>
    <row r="4600" customFormat="false" ht="15" hidden="false" customHeight="false" outlineLevel="0" collapsed="false">
      <c r="A4600" s="1" t="s">
        <v>4635</v>
      </c>
      <c r="B4600" s="1" t="s">
        <v>62</v>
      </c>
      <c r="C4600" s="1" t="n">
        <v>925000</v>
      </c>
      <c r="D4600" s="1" t="n">
        <v>5014.2</v>
      </c>
      <c r="E4600" s="1" t="n">
        <v>0.0248</v>
      </c>
      <c r="F4600" s="1" t="n">
        <v>0.0759</v>
      </c>
    </row>
    <row r="4601" customFormat="false" ht="15" hidden="false" customHeight="false" outlineLevel="0" collapsed="false">
      <c r="A4601" s="1" t="s">
        <v>4636</v>
      </c>
      <c r="B4601" s="1" t="s">
        <v>62</v>
      </c>
      <c r="C4601" s="1" t="n">
        <v>542000</v>
      </c>
      <c r="D4601" s="1" t="n">
        <v>3018.8</v>
      </c>
      <c r="E4601" s="1" t="n">
        <v>0.0129</v>
      </c>
      <c r="F4601" s="1" t="n">
        <v>0.0585</v>
      </c>
    </row>
    <row r="4602" customFormat="false" ht="15" hidden="false" customHeight="false" outlineLevel="0" collapsed="false">
      <c r="A4602" s="1" t="s">
        <v>4637</v>
      </c>
      <c r="B4602" s="1" t="s">
        <v>74</v>
      </c>
      <c r="C4602" s="1" t="n">
        <v>521000</v>
      </c>
      <c r="D4602" s="1" t="n">
        <v>221.6</v>
      </c>
      <c r="E4602" s="1" t="n">
        <v>0.0667</v>
      </c>
      <c r="F4602" s="1" t="n">
        <v>0.0951</v>
      </c>
    </row>
    <row r="4603" customFormat="false" ht="15" hidden="false" customHeight="false" outlineLevel="0" collapsed="false">
      <c r="A4603" s="1" t="s">
        <v>4638</v>
      </c>
      <c r="B4603" s="1" t="s">
        <v>26</v>
      </c>
      <c r="C4603" s="1" t="n">
        <v>604000</v>
      </c>
      <c r="D4603" s="1" t="n">
        <v>1339031.1</v>
      </c>
      <c r="E4603" s="1" t="n">
        <v>0.0244</v>
      </c>
      <c r="F4603" s="1" t="n">
        <v>0.0518</v>
      </c>
    </row>
    <row r="4604" customFormat="false" ht="15" hidden="false" customHeight="false" outlineLevel="0" collapsed="false">
      <c r="A4604" s="1" t="s">
        <v>4639</v>
      </c>
      <c r="B4604" s="1" t="s">
        <v>74</v>
      </c>
      <c r="C4604" s="1" t="n">
        <v>1010000</v>
      </c>
      <c r="D4604" s="1" t="n">
        <v>4058153.9</v>
      </c>
      <c r="E4604" s="1" t="n">
        <v>0.0188</v>
      </c>
      <c r="F4604" s="1" t="n">
        <v>0.0585</v>
      </c>
    </row>
    <row r="4605" customFormat="false" ht="15" hidden="false" customHeight="false" outlineLevel="0" collapsed="false">
      <c r="A4605" s="1" t="s">
        <v>4640</v>
      </c>
      <c r="B4605" s="1" t="s">
        <v>41</v>
      </c>
      <c r="C4605" s="1" t="n">
        <v>988000</v>
      </c>
      <c r="D4605" s="1" t="n">
        <v>1111.2</v>
      </c>
      <c r="E4605" s="1" t="n">
        <v>0.0095</v>
      </c>
      <c r="F4605" s="1" t="n">
        <v>0.112</v>
      </c>
    </row>
    <row r="4606" customFormat="false" ht="15" hidden="false" customHeight="false" outlineLevel="0" collapsed="false">
      <c r="A4606" s="1" t="s">
        <v>4641</v>
      </c>
      <c r="B4606" s="1" t="s">
        <v>195</v>
      </c>
      <c r="C4606" s="1" t="n">
        <v>716000</v>
      </c>
      <c r="D4606" s="1" t="n">
        <v>13923.3</v>
      </c>
      <c r="E4606" s="1" t="n">
        <v>0.0623</v>
      </c>
      <c r="F4606" s="1" t="n">
        <v>0.0759</v>
      </c>
    </row>
    <row r="4607" customFormat="false" ht="15" hidden="false" customHeight="false" outlineLevel="0" collapsed="false">
      <c r="A4607" s="1" t="s">
        <v>4642</v>
      </c>
      <c r="B4607" s="1" t="s">
        <v>32</v>
      </c>
      <c r="C4607" s="1" t="n">
        <v>681000</v>
      </c>
      <c r="D4607" s="1" t="n">
        <v>21147.4</v>
      </c>
      <c r="E4607" s="1" t="n">
        <v>0.0205</v>
      </c>
      <c r="F4607" s="1" t="n">
        <v>0.0409</v>
      </c>
    </row>
    <row r="4608" customFormat="false" ht="15" hidden="false" customHeight="false" outlineLevel="0" collapsed="false">
      <c r="A4608" s="1" t="s">
        <v>4643</v>
      </c>
      <c r="B4608" s="1" t="s">
        <v>53</v>
      </c>
      <c r="C4608" s="1" t="n">
        <v>576000</v>
      </c>
      <c r="D4608" s="1" t="n">
        <v>676.8</v>
      </c>
      <c r="E4608" s="1" t="n">
        <v>0.0166</v>
      </c>
      <c r="F4608" s="1" t="n">
        <v>0.0608</v>
      </c>
    </row>
    <row r="4609" customFormat="false" ht="15" hidden="false" customHeight="false" outlineLevel="0" collapsed="false">
      <c r="A4609" s="1" t="s">
        <v>4644</v>
      </c>
      <c r="B4609" s="1" t="s">
        <v>71</v>
      </c>
      <c r="C4609" s="1" t="n">
        <v>1520000</v>
      </c>
      <c r="D4609" s="1" t="n">
        <v>269679.2</v>
      </c>
      <c r="E4609" s="1" t="n">
        <v>0.0443</v>
      </c>
      <c r="F4609" s="1" t="n">
        <v>0.0938</v>
      </c>
    </row>
    <row r="4610" customFormat="false" ht="15" hidden="false" customHeight="false" outlineLevel="0" collapsed="false">
      <c r="A4610" s="1" t="s">
        <v>4645</v>
      </c>
      <c r="B4610" s="1" t="s">
        <v>26</v>
      </c>
      <c r="C4610" s="1" t="n">
        <v>949000</v>
      </c>
      <c r="D4610" s="1" t="n">
        <v>397359.3</v>
      </c>
      <c r="E4610" s="1" t="n">
        <v>0.034</v>
      </c>
      <c r="F4610" s="1" t="n">
        <v>0.0432</v>
      </c>
    </row>
    <row r="4611" customFormat="false" ht="15" hidden="false" customHeight="false" outlineLevel="0" collapsed="false">
      <c r="A4611" s="1" t="s">
        <v>4646</v>
      </c>
      <c r="B4611" s="1" t="s">
        <v>30</v>
      </c>
      <c r="C4611" s="1" t="n">
        <v>628000</v>
      </c>
      <c r="D4611" s="1" t="n">
        <v>3152.1</v>
      </c>
      <c r="E4611" s="1" t="n">
        <v>0.0056</v>
      </c>
      <c r="F4611" s="1" t="n">
        <v>0.0654</v>
      </c>
    </row>
    <row r="4612" customFormat="false" ht="15" hidden="false" customHeight="false" outlineLevel="0" collapsed="false">
      <c r="A4612" s="1" t="s">
        <v>4647</v>
      </c>
      <c r="B4612" s="1" t="s">
        <v>35</v>
      </c>
      <c r="C4612" s="1" t="n">
        <v>1120000</v>
      </c>
      <c r="D4612" s="1" t="n">
        <v>110912.6</v>
      </c>
      <c r="E4612" s="1" t="n">
        <v>0.0578</v>
      </c>
      <c r="F4612" s="1" t="n">
        <v>0.0759</v>
      </c>
    </row>
    <row r="4613" customFormat="false" ht="15" hidden="false" customHeight="false" outlineLevel="0" collapsed="false">
      <c r="A4613" s="1" t="s">
        <v>4648</v>
      </c>
      <c r="B4613" s="1" t="s">
        <v>53</v>
      </c>
      <c r="C4613" s="1" t="n">
        <v>529000</v>
      </c>
      <c r="D4613" s="1" t="n">
        <v>12351.1</v>
      </c>
      <c r="E4613" s="1" t="n">
        <v>0.1287</v>
      </c>
      <c r="F4613" s="1" t="n">
        <v>0.0951</v>
      </c>
    </row>
    <row r="4614" customFormat="false" ht="15" hidden="false" customHeight="false" outlineLevel="0" collapsed="false">
      <c r="A4614" s="1" t="s">
        <v>4649</v>
      </c>
      <c r="B4614" s="1" t="s">
        <v>53</v>
      </c>
      <c r="C4614" s="1" t="n">
        <v>837000</v>
      </c>
      <c r="D4614" s="1" t="n">
        <v>48537.7</v>
      </c>
      <c r="E4614" s="1" t="n">
        <v>0.0454</v>
      </c>
      <c r="F4614" s="1" t="n">
        <v>0.0951</v>
      </c>
    </row>
    <row r="4615" customFormat="false" ht="15" hidden="false" customHeight="false" outlineLevel="0" collapsed="false">
      <c r="A4615" s="1" t="s">
        <v>4650</v>
      </c>
      <c r="B4615" s="1" t="s">
        <v>195</v>
      </c>
      <c r="C4615" s="1" t="n">
        <v>596000</v>
      </c>
      <c r="D4615" s="1" t="n">
        <v>2981.6</v>
      </c>
      <c r="E4615" s="1" t="n">
        <v>0.0242</v>
      </c>
      <c r="F4615" s="1" t="n">
        <v>0.0938</v>
      </c>
    </row>
    <row r="4616" customFormat="false" ht="15" hidden="false" customHeight="false" outlineLevel="0" collapsed="false">
      <c r="A4616" s="1" t="s">
        <v>4651</v>
      </c>
      <c r="B4616" s="1" t="s">
        <v>92</v>
      </c>
      <c r="C4616" s="1" t="n">
        <v>730000</v>
      </c>
      <c r="D4616" s="1" t="n">
        <v>968706.8</v>
      </c>
      <c r="E4616" s="1" t="n">
        <v>0.0274</v>
      </c>
      <c r="F4616" s="1" t="n">
        <v>0.0518</v>
      </c>
    </row>
    <row r="4617" customFormat="false" ht="15" hidden="false" customHeight="false" outlineLevel="0" collapsed="false">
      <c r="A4617" s="1" t="s">
        <v>4652</v>
      </c>
      <c r="B4617" s="1" t="s">
        <v>81</v>
      </c>
      <c r="C4617" s="1" t="n">
        <v>568000</v>
      </c>
      <c r="D4617" s="1" t="n">
        <v>1136</v>
      </c>
      <c r="E4617" s="1" t="n">
        <v>0.0282</v>
      </c>
      <c r="F4617" s="1" t="n">
        <v>0.1119</v>
      </c>
    </row>
    <row r="4618" customFormat="false" ht="15" hidden="false" customHeight="false" outlineLevel="0" collapsed="false">
      <c r="A4618" s="1" t="s">
        <v>4653</v>
      </c>
      <c r="B4618" s="1" t="s">
        <v>26</v>
      </c>
      <c r="C4618" s="1" t="n">
        <v>1110000</v>
      </c>
      <c r="D4618" s="1" t="n">
        <v>20360</v>
      </c>
      <c r="E4618" s="1" t="n">
        <v>0.039</v>
      </c>
      <c r="F4618" s="1" t="n">
        <v>0.0409</v>
      </c>
    </row>
    <row r="4619" customFormat="false" ht="15" hidden="false" customHeight="false" outlineLevel="0" collapsed="false">
      <c r="A4619" s="1" t="s">
        <v>4654</v>
      </c>
      <c r="B4619" s="1" t="s">
        <v>81</v>
      </c>
      <c r="C4619" s="1" t="n">
        <v>530000</v>
      </c>
      <c r="D4619" s="1" t="n">
        <v>12065.4</v>
      </c>
      <c r="E4619" s="1" t="n">
        <v>0.0085</v>
      </c>
      <c r="F4619" s="1" t="n">
        <v>0.1471</v>
      </c>
    </row>
    <row r="4620" customFormat="false" ht="15" hidden="false" customHeight="false" outlineLevel="0" collapsed="false">
      <c r="A4620" s="1" t="s">
        <v>4655</v>
      </c>
      <c r="B4620" s="1" t="s">
        <v>26</v>
      </c>
      <c r="C4620" s="1" t="n">
        <v>595000</v>
      </c>
      <c r="D4620" s="1" t="n">
        <v>249048.7</v>
      </c>
      <c r="E4620" s="1" t="n">
        <v>0.0499</v>
      </c>
      <c r="F4620" s="1" t="n">
        <v>0.0518</v>
      </c>
    </row>
    <row r="4621" customFormat="false" ht="15" hidden="false" customHeight="false" outlineLevel="0" collapsed="false">
      <c r="A4621" s="1" t="s">
        <v>4656</v>
      </c>
      <c r="B4621" s="1" t="s">
        <v>41</v>
      </c>
      <c r="C4621" s="1" t="n">
        <v>612000</v>
      </c>
      <c r="D4621" s="1" t="n">
        <v>3723.6</v>
      </c>
      <c r="E4621" s="1" t="n">
        <v>0.0223</v>
      </c>
      <c r="F4621" s="1" t="n">
        <v>0.1067</v>
      </c>
    </row>
    <row r="4622" customFormat="false" ht="15" hidden="false" customHeight="false" outlineLevel="0" collapsed="false">
      <c r="A4622" s="1" t="s">
        <v>4657</v>
      </c>
      <c r="B4622" s="1" t="s">
        <v>24</v>
      </c>
      <c r="C4622" s="1" t="n">
        <v>761000</v>
      </c>
      <c r="D4622" s="1" t="n">
        <v>98567.9</v>
      </c>
      <c r="E4622" s="1" t="n">
        <v>0.0236</v>
      </c>
      <c r="F4622" s="1" t="n">
        <v>0.0432</v>
      </c>
    </row>
    <row r="4623" customFormat="false" ht="15" hidden="false" customHeight="false" outlineLevel="0" collapsed="false">
      <c r="A4623" s="1" t="s">
        <v>4658</v>
      </c>
      <c r="B4623" s="1" t="s">
        <v>26</v>
      </c>
      <c r="C4623" s="1" t="n">
        <v>642000</v>
      </c>
      <c r="D4623" s="1" t="n">
        <v>6452.8</v>
      </c>
      <c r="E4623" s="1" t="n">
        <v>0.0644</v>
      </c>
      <c r="F4623" s="1" t="n">
        <v>0.0938</v>
      </c>
    </row>
    <row r="4624" customFormat="false" ht="15" hidden="false" customHeight="false" outlineLevel="0" collapsed="false">
      <c r="A4624" s="1" t="s">
        <v>4659</v>
      </c>
      <c r="B4624" s="1" t="s">
        <v>24</v>
      </c>
      <c r="C4624" s="1" t="n">
        <v>568000</v>
      </c>
      <c r="D4624" s="1" t="n">
        <v>317.1</v>
      </c>
      <c r="E4624" s="1" t="n">
        <v>0.0574</v>
      </c>
      <c r="F4624" s="1" t="n">
        <v>0.0759</v>
      </c>
    </row>
    <row r="4625" customFormat="false" ht="15" hidden="false" customHeight="false" outlineLevel="0" collapsed="false">
      <c r="A4625" s="1" t="s">
        <v>4660</v>
      </c>
      <c r="B4625" s="1" t="s">
        <v>62</v>
      </c>
      <c r="C4625" s="1" t="n">
        <v>607000</v>
      </c>
      <c r="D4625" s="1" t="n">
        <v>9770</v>
      </c>
      <c r="E4625" s="1" t="n">
        <v>0.0339</v>
      </c>
      <c r="F4625" s="1" t="n">
        <v>0.0432</v>
      </c>
    </row>
    <row r="4626" customFormat="false" ht="15" hidden="false" customHeight="false" outlineLevel="0" collapsed="false">
      <c r="A4626" s="1" t="s">
        <v>4661</v>
      </c>
      <c r="B4626" s="1" t="s">
        <v>88</v>
      </c>
      <c r="C4626" s="1" t="n">
        <v>514000</v>
      </c>
      <c r="D4626" s="1" t="n">
        <v>1396.7</v>
      </c>
      <c r="E4626" s="1" t="n">
        <v>0.054</v>
      </c>
      <c r="F4626" s="1" t="n">
        <v>0.117</v>
      </c>
    </row>
    <row r="4627" customFormat="false" ht="15" hidden="false" customHeight="false" outlineLevel="0" collapsed="false">
      <c r="A4627" s="1" t="s">
        <v>4662</v>
      </c>
      <c r="B4627" s="1" t="s">
        <v>41</v>
      </c>
      <c r="C4627" s="1" t="n">
        <v>1350000</v>
      </c>
      <c r="D4627" s="1" t="n">
        <v>1567.6</v>
      </c>
      <c r="E4627" s="1" t="n">
        <v>0.0295</v>
      </c>
      <c r="F4627" s="1" t="n">
        <v>0.051</v>
      </c>
    </row>
    <row r="4628" customFormat="false" ht="15" hidden="false" customHeight="false" outlineLevel="0" collapsed="false">
      <c r="A4628" s="1" t="s">
        <v>4663</v>
      </c>
      <c r="B4628" s="1" t="s">
        <v>195</v>
      </c>
      <c r="C4628" s="1" t="n">
        <v>627000</v>
      </c>
      <c r="D4628" s="1" t="n">
        <v>14257.4</v>
      </c>
      <c r="E4628" s="1" t="n">
        <v>0.0112</v>
      </c>
      <c r="F4628" s="1" t="n">
        <v>0.0657</v>
      </c>
    </row>
    <row r="4629" customFormat="false" ht="15" hidden="false" customHeight="false" outlineLevel="0" collapsed="false">
      <c r="A4629" s="1" t="s">
        <v>4664</v>
      </c>
      <c r="B4629" s="1" t="s">
        <v>88</v>
      </c>
      <c r="C4629" s="1" t="n">
        <v>724000</v>
      </c>
      <c r="D4629" s="1" t="n">
        <v>2564.2</v>
      </c>
      <c r="E4629" s="1" t="n">
        <v>0.0339</v>
      </c>
      <c r="F4629" s="1" t="n">
        <v>0.0938</v>
      </c>
    </row>
    <row r="4630" customFormat="false" ht="15" hidden="false" customHeight="false" outlineLevel="0" collapsed="false">
      <c r="A4630" s="1" t="s">
        <v>4665</v>
      </c>
      <c r="B4630" s="1" t="s">
        <v>26</v>
      </c>
      <c r="C4630" s="1" t="n">
        <v>531000</v>
      </c>
      <c r="D4630" s="1" t="n">
        <v>1203.6</v>
      </c>
      <c r="E4630" s="1" t="n">
        <v>0.0199</v>
      </c>
      <c r="F4630" s="1" t="n">
        <v>0.0951</v>
      </c>
    </row>
    <row r="4631" customFormat="false" ht="15" hidden="false" customHeight="false" outlineLevel="0" collapsed="false">
      <c r="A4631" s="1" t="s">
        <v>4666</v>
      </c>
      <c r="B4631" s="1" t="s">
        <v>195</v>
      </c>
      <c r="C4631" s="1" t="n">
        <v>533000</v>
      </c>
      <c r="D4631" s="1" t="n">
        <v>233.4</v>
      </c>
      <c r="E4631" s="1" t="n">
        <v>0.0519</v>
      </c>
      <c r="F4631" s="1" t="n">
        <v>0.0759</v>
      </c>
    </row>
    <row r="4632" customFormat="false" ht="15" hidden="false" customHeight="false" outlineLevel="0" collapsed="false">
      <c r="A4632" s="1" t="s">
        <v>4667</v>
      </c>
      <c r="B4632" s="1" t="s">
        <v>81</v>
      </c>
      <c r="C4632" s="1" t="n">
        <v>546000</v>
      </c>
      <c r="D4632" s="1" t="n">
        <v>8723.8</v>
      </c>
      <c r="E4632" s="1" t="n">
        <v>0.0219</v>
      </c>
      <c r="F4632" s="1" t="n">
        <v>0.1067</v>
      </c>
    </row>
    <row r="4633" customFormat="false" ht="15" hidden="false" customHeight="false" outlineLevel="0" collapsed="false">
      <c r="A4633" s="1" t="s">
        <v>4668</v>
      </c>
      <c r="B4633" s="1" t="s">
        <v>88</v>
      </c>
      <c r="C4633" s="1" t="n">
        <v>564000</v>
      </c>
      <c r="D4633" s="1" t="n">
        <v>214.1</v>
      </c>
      <c r="E4633" s="1" t="n">
        <v>0.0405</v>
      </c>
      <c r="F4633" s="1" t="n">
        <v>0.0938</v>
      </c>
    </row>
    <row r="4634" customFormat="false" ht="15" hidden="false" customHeight="false" outlineLevel="0" collapsed="false">
      <c r="A4634" s="1" t="s">
        <v>4669</v>
      </c>
      <c r="B4634" s="1" t="s">
        <v>26</v>
      </c>
      <c r="C4634" s="1" t="n">
        <v>783000</v>
      </c>
      <c r="D4634" s="1" t="n">
        <v>70753.9</v>
      </c>
      <c r="E4634" s="1" t="n">
        <v>0.05</v>
      </c>
      <c r="F4634" s="1" t="n">
        <v>0.0759</v>
      </c>
    </row>
    <row r="4635" customFormat="false" ht="15" hidden="false" customHeight="false" outlineLevel="0" collapsed="false">
      <c r="A4635" s="1" t="s">
        <v>4670</v>
      </c>
      <c r="B4635" s="1" t="s">
        <v>81</v>
      </c>
      <c r="C4635" s="1" t="n">
        <v>702000</v>
      </c>
      <c r="D4635" s="1" t="n">
        <v>545187.3</v>
      </c>
      <c r="E4635" s="1" t="n">
        <v>0.0218</v>
      </c>
      <c r="F4635" s="1" t="n">
        <v>0.0518</v>
      </c>
    </row>
    <row r="4636" customFormat="false" ht="15" hidden="false" customHeight="false" outlineLevel="0" collapsed="false">
      <c r="A4636" s="1" t="s">
        <v>4671</v>
      </c>
      <c r="B4636" s="1" t="s">
        <v>74</v>
      </c>
      <c r="C4636" s="1" t="n">
        <v>765000</v>
      </c>
      <c r="D4636" s="1" t="n">
        <v>19774.5</v>
      </c>
      <c r="E4636" s="1" t="n">
        <v>0.0311</v>
      </c>
      <c r="F4636" s="1" t="n">
        <v>0.0672</v>
      </c>
    </row>
    <row r="4637" customFormat="false" ht="15" hidden="false" customHeight="false" outlineLevel="0" collapsed="false">
      <c r="A4637" s="1" t="s">
        <v>4672</v>
      </c>
      <c r="B4637" s="1" t="s">
        <v>53</v>
      </c>
      <c r="C4637" s="1" t="n">
        <v>861000</v>
      </c>
      <c r="D4637" s="1" t="n">
        <v>1202558.8</v>
      </c>
      <c r="E4637" s="1" t="n">
        <v>0.0324</v>
      </c>
      <c r="F4637" s="1" t="n">
        <v>0.0432</v>
      </c>
    </row>
    <row r="4638" customFormat="false" ht="15" hidden="false" customHeight="false" outlineLevel="0" collapsed="false">
      <c r="A4638" s="1" t="s">
        <v>4673</v>
      </c>
      <c r="B4638" s="1" t="s">
        <v>62</v>
      </c>
      <c r="C4638" s="1" t="n">
        <v>966000</v>
      </c>
      <c r="D4638" s="1" t="n">
        <v>8472.3</v>
      </c>
      <c r="E4638" s="1" t="n">
        <v>0.0262</v>
      </c>
      <c r="F4638" s="1" t="n">
        <v>0.0546</v>
      </c>
    </row>
    <row r="4639" customFormat="false" ht="15" hidden="false" customHeight="false" outlineLevel="0" collapsed="false">
      <c r="A4639" s="1" t="s">
        <v>4674</v>
      </c>
      <c r="B4639" s="1" t="s">
        <v>92</v>
      </c>
      <c r="C4639" s="1" t="n">
        <v>745000</v>
      </c>
      <c r="D4639" s="1" t="n">
        <v>9787.6</v>
      </c>
      <c r="E4639" s="1" t="n">
        <v>0.0129</v>
      </c>
      <c r="F4639" s="1" t="n">
        <v>0.0726</v>
      </c>
    </row>
    <row r="4640" customFormat="false" ht="15" hidden="false" customHeight="false" outlineLevel="0" collapsed="false">
      <c r="A4640" s="1" t="s">
        <v>4675</v>
      </c>
      <c r="B4640" s="1" t="s">
        <v>92</v>
      </c>
      <c r="C4640" s="1" t="n">
        <v>531000</v>
      </c>
      <c r="D4640" s="1" t="n">
        <v>1863.3</v>
      </c>
      <c r="E4640" s="1" t="n">
        <v>0.036</v>
      </c>
      <c r="F4640" s="1" t="n">
        <v>0.0951</v>
      </c>
    </row>
    <row r="4641" customFormat="false" ht="15" hidden="false" customHeight="false" outlineLevel="0" collapsed="false">
      <c r="A4641" s="1" t="s">
        <v>4676</v>
      </c>
      <c r="B4641" s="1" t="s">
        <v>26</v>
      </c>
      <c r="C4641" s="1" t="n">
        <v>916000</v>
      </c>
      <c r="D4641" s="1" t="n">
        <v>2931.9</v>
      </c>
      <c r="E4641" s="1" t="n">
        <v>0.0111</v>
      </c>
      <c r="F4641" s="1" t="n">
        <v>0.0689</v>
      </c>
    </row>
    <row r="4642" customFormat="false" ht="15" hidden="false" customHeight="false" outlineLevel="0" collapsed="false">
      <c r="A4642" s="1" t="s">
        <v>4677</v>
      </c>
      <c r="B4642" s="1" t="s">
        <v>88</v>
      </c>
      <c r="C4642" s="1" t="n">
        <v>528000</v>
      </c>
      <c r="D4642" s="1" t="n">
        <v>877.8</v>
      </c>
      <c r="E4642" s="1" t="n">
        <v>0.0167</v>
      </c>
      <c r="F4642" s="1" t="n">
        <v>0.131</v>
      </c>
    </row>
    <row r="4643" customFormat="false" ht="15" hidden="false" customHeight="false" outlineLevel="0" collapsed="false">
      <c r="A4643" s="1" t="s">
        <v>4678</v>
      </c>
      <c r="B4643" s="1" t="s">
        <v>26</v>
      </c>
      <c r="C4643" s="1" t="n">
        <v>534000</v>
      </c>
      <c r="D4643" s="1" t="n">
        <v>31869.8</v>
      </c>
      <c r="F4643" s="1" t="n">
        <v>0.0518</v>
      </c>
    </row>
    <row r="4644" customFormat="false" ht="15" hidden="false" customHeight="false" outlineLevel="0" collapsed="false">
      <c r="A4644" s="1" t="s">
        <v>4679</v>
      </c>
      <c r="B4644" s="1" t="s">
        <v>26</v>
      </c>
      <c r="C4644" s="1" t="n">
        <v>685000</v>
      </c>
      <c r="D4644" s="1" t="n">
        <v>29010.3</v>
      </c>
      <c r="E4644" s="1" t="n">
        <v>0.041</v>
      </c>
      <c r="F4644" s="1" t="n">
        <v>0.0938</v>
      </c>
    </row>
    <row r="4645" customFormat="false" ht="15" hidden="false" customHeight="false" outlineLevel="0" collapsed="false">
      <c r="A4645" s="1" t="s">
        <v>4680</v>
      </c>
      <c r="B4645" s="1" t="s">
        <v>214</v>
      </c>
      <c r="C4645" s="1" t="n">
        <v>669000</v>
      </c>
      <c r="D4645" s="1" t="n">
        <v>8032.9</v>
      </c>
      <c r="E4645" s="1" t="n">
        <v>0.0287</v>
      </c>
      <c r="F4645" s="1" t="n">
        <v>0.0951</v>
      </c>
    </row>
    <row r="4646" customFormat="false" ht="15" hidden="false" customHeight="false" outlineLevel="0" collapsed="false">
      <c r="A4646" s="1" t="s">
        <v>4681</v>
      </c>
      <c r="B4646" s="1" t="s">
        <v>62</v>
      </c>
      <c r="C4646" s="1" t="n">
        <v>639000</v>
      </c>
      <c r="D4646" s="1" t="n">
        <v>37143.6</v>
      </c>
      <c r="E4646" s="1" t="n">
        <v>0.0244</v>
      </c>
      <c r="F4646" s="1" t="n">
        <v>0.0759</v>
      </c>
    </row>
    <row r="4647" customFormat="false" ht="15" hidden="false" customHeight="false" outlineLevel="0" collapsed="false">
      <c r="A4647" s="1" t="s">
        <v>4682</v>
      </c>
      <c r="B4647" s="1" t="s">
        <v>24</v>
      </c>
      <c r="C4647" s="1" t="n">
        <v>960000</v>
      </c>
      <c r="D4647" s="1" t="n">
        <v>24893.7</v>
      </c>
      <c r="E4647" s="1" t="n">
        <v>0.0556</v>
      </c>
      <c r="F4647" s="1" t="n">
        <v>0.0938</v>
      </c>
    </row>
    <row r="4648" customFormat="false" ht="15" hidden="false" customHeight="false" outlineLevel="0" collapsed="false">
      <c r="A4648" s="1" t="s">
        <v>4683</v>
      </c>
      <c r="B4648" s="1" t="s">
        <v>50</v>
      </c>
      <c r="C4648" s="1" t="n">
        <v>951000</v>
      </c>
      <c r="D4648" s="1" t="n">
        <v>6297.8</v>
      </c>
      <c r="E4648" s="1" t="n">
        <v>0.0036</v>
      </c>
      <c r="F4648" s="1" t="n">
        <v>0.0811</v>
      </c>
    </row>
    <row r="4649" customFormat="false" ht="15" hidden="false" customHeight="false" outlineLevel="0" collapsed="false">
      <c r="A4649" s="1" t="s">
        <v>4684</v>
      </c>
      <c r="B4649" s="1" t="s">
        <v>71</v>
      </c>
      <c r="C4649" s="1" t="n">
        <v>857000</v>
      </c>
      <c r="D4649" s="1" t="n">
        <v>68343.3</v>
      </c>
      <c r="E4649" s="1" t="n">
        <v>0.0465</v>
      </c>
      <c r="F4649" s="1" t="n">
        <v>0.0759</v>
      </c>
    </row>
    <row r="4650" customFormat="false" ht="15" hidden="false" customHeight="false" outlineLevel="0" collapsed="false">
      <c r="A4650" s="1" t="s">
        <v>4685</v>
      </c>
      <c r="B4650" s="1" t="s">
        <v>88</v>
      </c>
      <c r="C4650" s="1" t="n">
        <v>494000</v>
      </c>
      <c r="D4650" s="1" t="n">
        <v>1870.7</v>
      </c>
      <c r="E4650" s="1" t="n">
        <v>0.0337</v>
      </c>
      <c r="F4650" s="1" t="n">
        <v>0.0951</v>
      </c>
    </row>
    <row r="4651" customFormat="false" ht="15" hidden="false" customHeight="false" outlineLevel="0" collapsed="false">
      <c r="A4651" s="1" t="s">
        <v>4686</v>
      </c>
      <c r="B4651" s="1" t="s">
        <v>81</v>
      </c>
      <c r="C4651" s="1" t="n">
        <v>622000</v>
      </c>
      <c r="D4651" s="1" t="n">
        <v>257933.3</v>
      </c>
      <c r="E4651" s="1" t="n">
        <v>0.0424</v>
      </c>
      <c r="F4651" s="1" t="n">
        <v>0.0938</v>
      </c>
    </row>
    <row r="4652" customFormat="false" ht="15" hidden="false" customHeight="false" outlineLevel="0" collapsed="false">
      <c r="A4652" s="1" t="s">
        <v>4687</v>
      </c>
      <c r="B4652" s="1" t="s">
        <v>88</v>
      </c>
      <c r="C4652" s="1" t="n">
        <v>516000</v>
      </c>
      <c r="D4652" s="1" t="n">
        <v>445.2</v>
      </c>
      <c r="E4652" s="1" t="n">
        <v>0.0184</v>
      </c>
      <c r="F4652" s="1" t="n">
        <v>0.1067</v>
      </c>
    </row>
    <row r="4653" customFormat="false" ht="15" hidden="false" customHeight="false" outlineLevel="0" collapsed="false">
      <c r="A4653" s="1" t="s">
        <v>4688</v>
      </c>
      <c r="B4653" s="1" t="s">
        <v>21</v>
      </c>
      <c r="C4653" s="1" t="n">
        <v>232000</v>
      </c>
      <c r="D4653" s="1" t="n">
        <v>1389.2</v>
      </c>
      <c r="E4653" s="1" t="n">
        <v>0.0443</v>
      </c>
      <c r="F4653" s="1" t="n">
        <v>0.0759</v>
      </c>
    </row>
    <row r="4654" customFormat="false" ht="15" hidden="false" customHeight="false" outlineLevel="0" collapsed="false">
      <c r="A4654" s="1" t="s">
        <v>4689</v>
      </c>
      <c r="B4654" s="1" t="s">
        <v>32</v>
      </c>
      <c r="C4654" s="1" t="n">
        <v>881000</v>
      </c>
      <c r="D4654" s="1" t="n">
        <v>1246367.5</v>
      </c>
      <c r="E4654" s="1" t="n">
        <v>0.0095</v>
      </c>
      <c r="F4654" s="1" t="n">
        <v>0.0822</v>
      </c>
    </row>
    <row r="4655" customFormat="false" ht="15" hidden="false" customHeight="false" outlineLevel="0" collapsed="false">
      <c r="A4655" s="1" t="s">
        <v>4690</v>
      </c>
      <c r="B4655" s="1" t="s">
        <v>62</v>
      </c>
      <c r="C4655" s="1" t="n">
        <v>530000</v>
      </c>
      <c r="D4655" s="1" t="n">
        <v>9441.1</v>
      </c>
      <c r="E4655" s="1" t="n">
        <v>0.0446</v>
      </c>
      <c r="F4655" s="1" t="n">
        <v>0.0759</v>
      </c>
    </row>
    <row r="4656" customFormat="false" ht="15" hidden="false" customHeight="false" outlineLevel="0" collapsed="false">
      <c r="A4656" s="1" t="s">
        <v>4691</v>
      </c>
      <c r="B4656" s="1" t="s">
        <v>24</v>
      </c>
      <c r="C4656" s="1" t="n">
        <v>701000</v>
      </c>
      <c r="D4656" s="1" t="n">
        <v>1953.6</v>
      </c>
      <c r="E4656" s="1" t="n">
        <v>0.0193</v>
      </c>
      <c r="F4656" s="1" t="n">
        <v>0.0514</v>
      </c>
    </row>
    <row r="4657" customFormat="false" ht="15" hidden="false" customHeight="false" outlineLevel="0" collapsed="false">
      <c r="A4657" s="1" t="s">
        <v>4692</v>
      </c>
      <c r="B4657" s="1" t="s">
        <v>287</v>
      </c>
      <c r="C4657" s="1" t="n">
        <v>635000</v>
      </c>
      <c r="D4657" s="1" t="n">
        <v>32451.6</v>
      </c>
      <c r="E4657" s="1" t="n">
        <v>0.039</v>
      </c>
      <c r="F4657" s="1" t="n">
        <v>0.0759</v>
      </c>
    </row>
    <row r="4658" customFormat="false" ht="15" hidden="false" customHeight="false" outlineLevel="0" collapsed="false">
      <c r="A4658" s="1" t="s">
        <v>4693</v>
      </c>
      <c r="B4658" s="1" t="s">
        <v>26</v>
      </c>
      <c r="C4658" s="1" t="n">
        <v>937000</v>
      </c>
      <c r="D4658" s="1" t="n">
        <v>3350.5</v>
      </c>
      <c r="E4658" s="1" t="n">
        <v>0.0273</v>
      </c>
      <c r="F4658" s="1" t="n">
        <v>0.0759</v>
      </c>
    </row>
    <row r="4659" customFormat="false" ht="15" hidden="false" customHeight="false" outlineLevel="0" collapsed="false">
      <c r="A4659" s="1" t="s">
        <v>4694</v>
      </c>
      <c r="B4659" s="1" t="s">
        <v>53</v>
      </c>
      <c r="C4659" s="1" t="n">
        <v>624000</v>
      </c>
      <c r="D4659" s="1" t="n">
        <v>1014.5</v>
      </c>
      <c r="E4659" s="1" t="n">
        <v>0.0487</v>
      </c>
      <c r="F4659" s="1" t="n">
        <v>0.0938</v>
      </c>
    </row>
    <row r="4660" customFormat="false" ht="15" hidden="false" customHeight="false" outlineLevel="0" collapsed="false">
      <c r="A4660" s="1" t="s">
        <v>4695</v>
      </c>
      <c r="B4660" s="1" t="s">
        <v>26</v>
      </c>
      <c r="C4660" s="1" t="n">
        <v>769000</v>
      </c>
      <c r="D4660" s="1" t="n">
        <v>275442.7</v>
      </c>
      <c r="E4660" s="1" t="n">
        <v>0.0244</v>
      </c>
      <c r="F4660" s="1" t="n">
        <v>0.0409</v>
      </c>
    </row>
    <row r="4661" customFormat="false" ht="15" hidden="false" customHeight="false" outlineLevel="0" collapsed="false">
      <c r="A4661" s="1" t="s">
        <v>4696</v>
      </c>
      <c r="B4661" s="1" t="s">
        <v>32</v>
      </c>
      <c r="C4661" s="1" t="n">
        <v>561000</v>
      </c>
      <c r="D4661" s="1" t="n">
        <v>18170.1</v>
      </c>
      <c r="E4661" s="1" t="n">
        <v>0.016</v>
      </c>
      <c r="F4661" s="1" t="n">
        <v>0.0585</v>
      </c>
    </row>
    <row r="4662" customFormat="false" ht="15" hidden="false" customHeight="false" outlineLevel="0" collapsed="false">
      <c r="A4662" s="1" t="s">
        <v>4697</v>
      </c>
      <c r="B4662" s="1" t="s">
        <v>24</v>
      </c>
      <c r="C4662" s="1" t="n">
        <v>640000</v>
      </c>
      <c r="D4662" s="1" t="n">
        <v>23260.2</v>
      </c>
      <c r="E4662" s="1" t="n">
        <v>0.0195</v>
      </c>
      <c r="F4662" s="1" t="n">
        <v>0.0759</v>
      </c>
    </row>
    <row r="4663" customFormat="false" ht="15" hidden="false" customHeight="false" outlineLevel="0" collapsed="false">
      <c r="A4663" s="1" t="s">
        <v>4698</v>
      </c>
      <c r="B4663" s="1" t="s">
        <v>71</v>
      </c>
      <c r="C4663" s="1" t="n">
        <v>187000</v>
      </c>
      <c r="D4663" s="1" t="n">
        <v>43913.1</v>
      </c>
      <c r="E4663" s="1" t="n">
        <v>0.0568</v>
      </c>
      <c r="F4663" s="1" t="n">
        <v>0.0951</v>
      </c>
    </row>
    <row r="4664" customFormat="false" ht="15" hidden="false" customHeight="false" outlineLevel="0" collapsed="false">
      <c r="A4664" s="1" t="s">
        <v>4699</v>
      </c>
      <c r="B4664" s="1" t="s">
        <v>62</v>
      </c>
      <c r="C4664" s="1" t="n">
        <v>823000</v>
      </c>
      <c r="D4664" s="1" t="n">
        <v>6087.2</v>
      </c>
      <c r="E4664" s="1" t="n">
        <v>0.0189</v>
      </c>
      <c r="F4664" s="1" t="n">
        <v>0.0488</v>
      </c>
    </row>
    <row r="4665" customFormat="false" ht="15" hidden="false" customHeight="false" outlineLevel="0" collapsed="false">
      <c r="A4665" s="1" t="s">
        <v>4700</v>
      </c>
      <c r="B4665" s="1" t="s">
        <v>214</v>
      </c>
      <c r="C4665" s="1" t="n">
        <v>623000</v>
      </c>
      <c r="D4665" s="1" t="n">
        <v>49551.6</v>
      </c>
      <c r="E4665" s="1" t="n">
        <v>0.0526</v>
      </c>
      <c r="F4665" s="1" t="n">
        <v>0.0951</v>
      </c>
    </row>
    <row r="4666" customFormat="false" ht="15" hidden="false" customHeight="false" outlineLevel="0" collapsed="false">
      <c r="A4666" s="1" t="s">
        <v>4701</v>
      </c>
      <c r="B4666" s="1" t="s">
        <v>26</v>
      </c>
      <c r="C4666" s="1" t="n">
        <v>3080000</v>
      </c>
      <c r="D4666" s="1" t="n">
        <v>2306438.7</v>
      </c>
      <c r="E4666" s="1" t="n">
        <v>0.0504</v>
      </c>
      <c r="F4666" s="1" t="n">
        <v>0.0432</v>
      </c>
    </row>
    <row r="4667" customFormat="false" ht="15" hidden="false" customHeight="false" outlineLevel="0" collapsed="false">
      <c r="A4667" s="1" t="s">
        <v>4702</v>
      </c>
      <c r="B4667" s="1" t="s">
        <v>26</v>
      </c>
      <c r="C4667" s="1" t="n">
        <v>1290000</v>
      </c>
      <c r="D4667" s="1" t="n">
        <v>95879.4</v>
      </c>
      <c r="E4667" s="1" t="n">
        <v>0.0191</v>
      </c>
      <c r="F4667" s="1" t="n">
        <v>0.0576</v>
      </c>
    </row>
    <row r="4668" customFormat="false" ht="15" hidden="false" customHeight="false" outlineLevel="0" collapsed="false">
      <c r="A4668" s="1" t="s">
        <v>4703</v>
      </c>
      <c r="B4668" s="1" t="s">
        <v>26</v>
      </c>
      <c r="C4668" s="1" t="n">
        <v>556000</v>
      </c>
      <c r="D4668" s="1" t="n">
        <v>5819.6</v>
      </c>
      <c r="E4668" s="1" t="n">
        <v>0.0412</v>
      </c>
      <c r="F4668" s="1" t="n">
        <v>0.0951</v>
      </c>
    </row>
    <row r="4669" customFormat="false" ht="15" hidden="false" customHeight="false" outlineLevel="0" collapsed="false">
      <c r="A4669" s="1" t="s">
        <v>4704</v>
      </c>
      <c r="B4669" s="1" t="s">
        <v>35</v>
      </c>
      <c r="C4669" s="1" t="n">
        <v>613000</v>
      </c>
      <c r="D4669" s="1" t="n">
        <v>611.1</v>
      </c>
      <c r="E4669" s="1" t="n">
        <v>0.0086</v>
      </c>
      <c r="F4669" s="1" t="n">
        <v>0.0822</v>
      </c>
    </row>
    <row r="4670" customFormat="false" ht="15" hidden="false" customHeight="false" outlineLevel="0" collapsed="false">
      <c r="A4670" s="1" t="s">
        <v>4705</v>
      </c>
      <c r="B4670" s="1" t="s">
        <v>62</v>
      </c>
      <c r="C4670" s="1" t="n">
        <v>527000</v>
      </c>
      <c r="D4670" s="1" t="n">
        <v>398</v>
      </c>
      <c r="E4670" s="1" t="n">
        <v>0.0251</v>
      </c>
      <c r="F4670" s="1" t="n">
        <v>0.0951</v>
      </c>
    </row>
    <row r="4671" customFormat="false" ht="15" hidden="false" customHeight="false" outlineLevel="0" collapsed="false">
      <c r="A4671" s="1" t="s">
        <v>4706</v>
      </c>
      <c r="B4671" s="1" t="s">
        <v>88</v>
      </c>
      <c r="C4671" s="1" t="n">
        <v>703000</v>
      </c>
      <c r="D4671" s="1" t="n">
        <v>4353.7</v>
      </c>
      <c r="E4671" s="1" t="n">
        <v>0.0296</v>
      </c>
      <c r="F4671" s="1" t="n">
        <v>0.0938</v>
      </c>
    </row>
    <row r="4672" customFormat="false" ht="15" hidden="false" customHeight="false" outlineLevel="0" collapsed="false">
      <c r="A4672" s="1" t="s">
        <v>4707</v>
      </c>
      <c r="B4672" s="1" t="s">
        <v>26</v>
      </c>
      <c r="C4672" s="1" t="n">
        <v>956000</v>
      </c>
      <c r="D4672" s="1" t="n">
        <v>10025.4</v>
      </c>
      <c r="E4672" s="1" t="n">
        <v>0.0078</v>
      </c>
      <c r="F4672" s="1" t="n">
        <v>0.0811</v>
      </c>
    </row>
    <row r="4673" customFormat="false" ht="15" hidden="false" customHeight="false" outlineLevel="0" collapsed="false">
      <c r="A4673" s="1" t="s">
        <v>4708</v>
      </c>
      <c r="B4673" s="1" t="s">
        <v>214</v>
      </c>
      <c r="C4673" s="1" t="n">
        <v>521000</v>
      </c>
      <c r="D4673" s="1" t="n">
        <v>462.4</v>
      </c>
      <c r="E4673" s="1" t="n">
        <v>0.0371</v>
      </c>
      <c r="F4673" s="1" t="n">
        <v>0.0518</v>
      </c>
    </row>
    <row r="4674" customFormat="false" ht="15" hidden="false" customHeight="false" outlineLevel="0" collapsed="false">
      <c r="A4674" s="1" t="s">
        <v>4709</v>
      </c>
      <c r="B4674" s="1" t="s">
        <v>26</v>
      </c>
      <c r="C4674" s="1" t="n">
        <v>642000</v>
      </c>
      <c r="D4674" s="1" t="n">
        <v>35037.1</v>
      </c>
      <c r="E4674" s="1" t="n">
        <v>0.0535</v>
      </c>
      <c r="F4674" s="1" t="n">
        <v>0.0759</v>
      </c>
    </row>
    <row r="4675" customFormat="false" ht="15" hidden="false" customHeight="false" outlineLevel="0" collapsed="false">
      <c r="A4675" s="1" t="s">
        <v>4710</v>
      </c>
      <c r="B4675" s="1" t="s">
        <v>26</v>
      </c>
      <c r="C4675" s="1" t="n">
        <v>148000</v>
      </c>
      <c r="D4675" s="1" t="n">
        <v>4054.5</v>
      </c>
      <c r="E4675" s="1" t="n">
        <v>0.0154</v>
      </c>
      <c r="F4675" s="1" t="n">
        <v>0.095</v>
      </c>
    </row>
    <row r="4676" customFormat="false" ht="15" hidden="false" customHeight="false" outlineLevel="0" collapsed="false">
      <c r="A4676" s="1" t="s">
        <v>4711</v>
      </c>
      <c r="B4676" s="1" t="s">
        <v>26</v>
      </c>
      <c r="C4676" s="1" t="n">
        <v>591000</v>
      </c>
      <c r="D4676" s="1" t="n">
        <v>2476819.4</v>
      </c>
      <c r="E4676" s="1" t="n">
        <v>0.0155</v>
      </c>
      <c r="F4676" s="1" t="n">
        <v>0.1027</v>
      </c>
    </row>
    <row r="4677" customFormat="false" ht="15" hidden="false" customHeight="false" outlineLevel="0" collapsed="false">
      <c r="A4677" s="1" t="s">
        <v>4712</v>
      </c>
      <c r="B4677" s="1" t="s">
        <v>53</v>
      </c>
      <c r="C4677" s="1" t="n">
        <v>539000</v>
      </c>
      <c r="D4677" s="1" t="n">
        <v>2860.7</v>
      </c>
      <c r="E4677" s="1" t="n">
        <v>0.0575</v>
      </c>
      <c r="F4677" s="1" t="n">
        <v>0.0951</v>
      </c>
    </row>
    <row r="4678" customFormat="false" ht="15" hidden="false" customHeight="false" outlineLevel="0" collapsed="false">
      <c r="A4678" s="1" t="s">
        <v>4713</v>
      </c>
      <c r="B4678" s="1" t="s">
        <v>26</v>
      </c>
      <c r="C4678" s="1" t="n">
        <v>695000</v>
      </c>
      <c r="D4678" s="1" t="n">
        <v>578833</v>
      </c>
      <c r="E4678" s="1" t="n">
        <v>0.0317</v>
      </c>
      <c r="F4678" s="1" t="n">
        <v>0.0518</v>
      </c>
    </row>
    <row r="4679" customFormat="false" ht="15" hidden="false" customHeight="false" outlineLevel="0" collapsed="false">
      <c r="A4679" s="1" t="s">
        <v>4714</v>
      </c>
      <c r="B4679" s="1" t="s">
        <v>88</v>
      </c>
      <c r="C4679" s="1" t="n">
        <v>518000</v>
      </c>
      <c r="D4679" s="1" t="n">
        <v>153</v>
      </c>
      <c r="E4679" s="1" t="n">
        <v>0.0246</v>
      </c>
      <c r="F4679" s="1" t="n">
        <v>0.1308</v>
      </c>
    </row>
    <row r="4680" customFormat="false" ht="15" hidden="false" customHeight="false" outlineLevel="0" collapsed="false">
      <c r="A4680" s="1" t="s">
        <v>4715</v>
      </c>
      <c r="B4680" s="1" t="s">
        <v>214</v>
      </c>
      <c r="C4680" s="1" t="n">
        <v>532000</v>
      </c>
      <c r="D4680" s="1" t="n">
        <v>5571.2</v>
      </c>
      <c r="E4680" s="1" t="n">
        <v>0.0293</v>
      </c>
      <c r="F4680" s="1" t="n">
        <v>0.0951</v>
      </c>
    </row>
    <row r="4681" customFormat="false" ht="15" hidden="false" customHeight="false" outlineLevel="0" collapsed="false">
      <c r="A4681" s="1" t="s">
        <v>4716</v>
      </c>
      <c r="B4681" s="1" t="s">
        <v>41</v>
      </c>
      <c r="C4681" s="1" t="n">
        <v>764000</v>
      </c>
      <c r="D4681" s="1" t="n">
        <v>5515.2</v>
      </c>
      <c r="E4681" s="1" t="n">
        <v>0.0438</v>
      </c>
      <c r="F4681" s="1" t="n">
        <v>0.0938</v>
      </c>
    </row>
    <row r="4682" customFormat="false" ht="15" hidden="false" customHeight="false" outlineLevel="0" collapsed="false">
      <c r="A4682" s="1" t="s">
        <v>4717</v>
      </c>
      <c r="B4682" s="1" t="s">
        <v>88</v>
      </c>
      <c r="C4682" s="1" t="n">
        <v>542000</v>
      </c>
      <c r="D4682" s="1" t="n">
        <v>393.5</v>
      </c>
      <c r="E4682" s="1" t="n">
        <v>0.0666</v>
      </c>
      <c r="F4682" s="1" t="n">
        <v>0.117</v>
      </c>
    </row>
    <row r="4683" customFormat="false" ht="15" hidden="false" customHeight="false" outlineLevel="0" collapsed="false">
      <c r="A4683" s="1" t="s">
        <v>4718</v>
      </c>
      <c r="B4683" s="1" t="s">
        <v>88</v>
      </c>
      <c r="C4683" s="1" t="n">
        <v>520000</v>
      </c>
      <c r="D4683" s="1" t="n">
        <v>608.9</v>
      </c>
      <c r="E4683" s="1" t="n">
        <v>0.0193</v>
      </c>
      <c r="F4683" s="1" t="n">
        <v>0.131</v>
      </c>
    </row>
    <row r="4684" customFormat="false" ht="15" hidden="false" customHeight="false" outlineLevel="0" collapsed="false">
      <c r="A4684" s="1" t="s">
        <v>4719</v>
      </c>
      <c r="B4684" s="1" t="s">
        <v>26</v>
      </c>
      <c r="C4684" s="1" t="n">
        <v>799000</v>
      </c>
      <c r="D4684" s="1" t="n">
        <v>11252.9</v>
      </c>
      <c r="E4684" s="1" t="n">
        <v>0.0198</v>
      </c>
      <c r="F4684" s="1" t="n">
        <v>0.0488</v>
      </c>
    </row>
    <row r="4685" customFormat="false" ht="15" hidden="false" customHeight="false" outlineLevel="0" collapsed="false">
      <c r="A4685" s="1" t="s">
        <v>4720</v>
      </c>
      <c r="B4685" s="1" t="s">
        <v>26</v>
      </c>
      <c r="C4685" s="1" t="n">
        <v>498000</v>
      </c>
      <c r="D4685" s="1" t="n">
        <v>377</v>
      </c>
      <c r="E4685" s="1" t="n">
        <v>0.0394</v>
      </c>
      <c r="F4685" s="1" t="n">
        <v>0.0951</v>
      </c>
    </row>
    <row r="4686" customFormat="false" ht="15" hidden="false" customHeight="false" outlineLevel="0" collapsed="false">
      <c r="A4686" s="1" t="s">
        <v>4721</v>
      </c>
      <c r="B4686" s="1" t="s">
        <v>26</v>
      </c>
      <c r="C4686" s="1" t="n">
        <v>877000</v>
      </c>
      <c r="D4686" s="1" t="n">
        <v>255395.4</v>
      </c>
      <c r="E4686" s="1" t="n">
        <v>0.0207</v>
      </c>
      <c r="F4686" s="1" t="n">
        <v>0.0488</v>
      </c>
    </row>
    <row r="4687" customFormat="false" ht="15" hidden="false" customHeight="false" outlineLevel="0" collapsed="false">
      <c r="A4687" s="1" t="s">
        <v>4722</v>
      </c>
      <c r="B4687" s="1" t="s">
        <v>41</v>
      </c>
      <c r="C4687" s="1" t="n">
        <v>515000</v>
      </c>
      <c r="D4687" s="1" t="n">
        <v>14626.9</v>
      </c>
      <c r="E4687" s="1" t="n">
        <v>0.0551</v>
      </c>
      <c r="F4687" s="1" t="n">
        <v>0.0951</v>
      </c>
    </row>
    <row r="4688" customFormat="false" ht="15" hidden="false" customHeight="false" outlineLevel="0" collapsed="false">
      <c r="A4688" s="1" t="s">
        <v>4723</v>
      </c>
      <c r="B4688" s="1" t="s">
        <v>74</v>
      </c>
      <c r="C4688" s="1" t="n">
        <v>918000</v>
      </c>
      <c r="D4688" s="1" t="n">
        <v>124332.6</v>
      </c>
      <c r="E4688" s="1" t="n">
        <v>0.0673</v>
      </c>
      <c r="F4688" s="1" t="n">
        <v>0.0759</v>
      </c>
    </row>
    <row r="4689" customFormat="false" ht="15" hidden="false" customHeight="false" outlineLevel="0" collapsed="false">
      <c r="A4689" s="1" t="s">
        <v>4724</v>
      </c>
      <c r="B4689" s="1" t="s">
        <v>62</v>
      </c>
      <c r="C4689" s="1" t="n">
        <v>637000</v>
      </c>
      <c r="D4689" s="1" t="n">
        <v>41040.5</v>
      </c>
      <c r="E4689" s="1" t="n">
        <v>0.0396</v>
      </c>
      <c r="F4689" s="1" t="n">
        <v>0.0759</v>
      </c>
    </row>
    <row r="4690" customFormat="false" ht="15" hidden="false" customHeight="false" outlineLevel="0" collapsed="false">
      <c r="A4690" s="1" t="s">
        <v>4725</v>
      </c>
      <c r="B4690" s="1" t="s">
        <v>88</v>
      </c>
      <c r="C4690" s="1" t="n">
        <v>556000</v>
      </c>
      <c r="D4690" s="1" t="n">
        <v>8512</v>
      </c>
      <c r="E4690" s="1" t="n">
        <v>0.011</v>
      </c>
      <c r="F4690" s="1" t="n">
        <v>0.0654</v>
      </c>
    </row>
    <row r="4691" customFormat="false" ht="15" hidden="false" customHeight="false" outlineLevel="0" collapsed="false">
      <c r="A4691" s="1" t="s">
        <v>4726</v>
      </c>
      <c r="B4691" s="1" t="s">
        <v>21</v>
      </c>
      <c r="C4691" s="1" t="n">
        <v>3880000</v>
      </c>
      <c r="D4691" s="1" t="n">
        <v>3947.8</v>
      </c>
      <c r="E4691" s="1" t="n">
        <v>0.02</v>
      </c>
      <c r="F4691" s="1" t="n">
        <v>0.051</v>
      </c>
    </row>
    <row r="4692" customFormat="false" ht="15" hidden="false" customHeight="false" outlineLevel="0" collapsed="false">
      <c r="A4692" s="1" t="s">
        <v>4727</v>
      </c>
      <c r="B4692" s="1" t="s">
        <v>92</v>
      </c>
      <c r="C4692" s="1" t="n">
        <v>524000</v>
      </c>
      <c r="D4692" s="1" t="n">
        <v>1568.9</v>
      </c>
      <c r="E4692" s="1" t="n">
        <v>0.0109</v>
      </c>
      <c r="F4692" s="1" t="n">
        <v>0.0736</v>
      </c>
    </row>
    <row r="4693" customFormat="false" ht="15" hidden="false" customHeight="false" outlineLevel="0" collapsed="false">
      <c r="A4693" s="1" t="s">
        <v>4728</v>
      </c>
      <c r="B4693" s="1" t="s">
        <v>26</v>
      </c>
      <c r="C4693" s="1" t="n">
        <v>751000</v>
      </c>
      <c r="D4693" s="1" t="n">
        <v>4355.6</v>
      </c>
      <c r="E4693" s="1" t="n">
        <v>0.0216</v>
      </c>
      <c r="F4693" s="1" t="n">
        <v>0.6271</v>
      </c>
    </row>
    <row r="4694" customFormat="false" ht="15" hidden="false" customHeight="false" outlineLevel="0" collapsed="false">
      <c r="A4694" s="1" t="s">
        <v>4729</v>
      </c>
      <c r="B4694" s="1" t="s">
        <v>71</v>
      </c>
      <c r="C4694" s="1" t="n">
        <v>800000</v>
      </c>
      <c r="D4694" s="1" t="n">
        <v>30765.4</v>
      </c>
      <c r="E4694" s="1" t="n">
        <v>0.0727</v>
      </c>
      <c r="F4694" s="1" t="n">
        <v>0.0938</v>
      </c>
    </row>
    <row r="4695" customFormat="false" ht="15" hidden="false" customHeight="false" outlineLevel="0" collapsed="false">
      <c r="A4695" s="1" t="s">
        <v>4730</v>
      </c>
      <c r="B4695" s="1" t="s">
        <v>50</v>
      </c>
      <c r="C4695" s="1" t="n">
        <v>957000</v>
      </c>
      <c r="D4695" s="1" t="n">
        <v>41132.9</v>
      </c>
      <c r="E4695" s="1" t="n">
        <v>0.081</v>
      </c>
      <c r="F4695" s="1" t="n">
        <v>0.0759</v>
      </c>
    </row>
    <row r="4696" customFormat="false" ht="15" hidden="false" customHeight="false" outlineLevel="0" collapsed="false">
      <c r="A4696" s="1" t="s">
        <v>4731</v>
      </c>
      <c r="B4696" s="1" t="s">
        <v>26</v>
      </c>
      <c r="C4696" s="1" t="n">
        <v>770000</v>
      </c>
      <c r="D4696" s="1" t="n">
        <v>3156.5</v>
      </c>
      <c r="E4696" s="1" t="n">
        <v>0.0542</v>
      </c>
      <c r="F4696" s="1" t="n">
        <v>0.0938</v>
      </c>
    </row>
    <row r="4697" customFormat="false" ht="15" hidden="false" customHeight="false" outlineLevel="0" collapsed="false">
      <c r="A4697" s="1" t="s">
        <v>4732</v>
      </c>
      <c r="B4697" s="1" t="s">
        <v>24</v>
      </c>
      <c r="C4697" s="1" t="n">
        <v>570000</v>
      </c>
      <c r="D4697" s="1" t="n">
        <v>32466</v>
      </c>
      <c r="E4697" s="1" t="n">
        <v>0.0288</v>
      </c>
      <c r="F4697" s="1" t="n">
        <v>0.0759</v>
      </c>
    </row>
    <row r="4698" customFormat="false" ht="15" hidden="false" customHeight="false" outlineLevel="0" collapsed="false">
      <c r="A4698" s="1" t="s">
        <v>4733</v>
      </c>
      <c r="B4698" s="1" t="s">
        <v>81</v>
      </c>
      <c r="C4698" s="1" t="n">
        <v>785000</v>
      </c>
      <c r="D4698" s="1" t="n">
        <v>1056143.3</v>
      </c>
      <c r="E4698" s="1" t="n">
        <v>0.0102</v>
      </c>
      <c r="F4698" s="1" t="n">
        <v>0.0822</v>
      </c>
    </row>
    <row r="4699" customFormat="false" ht="15" hidden="false" customHeight="false" outlineLevel="0" collapsed="false">
      <c r="A4699" s="1" t="s">
        <v>4734</v>
      </c>
      <c r="B4699" s="1" t="s">
        <v>26</v>
      </c>
      <c r="C4699" s="1" t="n">
        <v>1190000</v>
      </c>
      <c r="D4699" s="1" t="n">
        <v>882161.3</v>
      </c>
      <c r="E4699" s="1" t="n">
        <v>0.0295</v>
      </c>
      <c r="F4699" s="1" t="n">
        <v>0.0409</v>
      </c>
    </row>
    <row r="4700" customFormat="false" ht="15" hidden="false" customHeight="false" outlineLevel="0" collapsed="false">
      <c r="A4700" s="1" t="s">
        <v>4735</v>
      </c>
      <c r="B4700" s="1" t="s">
        <v>41</v>
      </c>
      <c r="C4700" s="1" t="n">
        <v>882000</v>
      </c>
      <c r="D4700" s="1" t="n">
        <v>1665.5</v>
      </c>
      <c r="E4700" s="1" t="n">
        <v>0.0181</v>
      </c>
      <c r="F4700" s="1" t="n">
        <v>0.1372</v>
      </c>
    </row>
    <row r="4701" customFormat="false" ht="15" hidden="false" customHeight="false" outlineLevel="0" collapsed="false">
      <c r="A4701" s="1" t="s">
        <v>4736</v>
      </c>
      <c r="B4701" s="1" t="s">
        <v>214</v>
      </c>
      <c r="C4701" s="1" t="n">
        <v>846000</v>
      </c>
      <c r="D4701" s="1" t="n">
        <v>4067.4</v>
      </c>
      <c r="E4701" s="1" t="n">
        <v>0.042</v>
      </c>
      <c r="F4701" s="1" t="n">
        <v>0.0759</v>
      </c>
    </row>
    <row r="4702" customFormat="false" ht="15" hidden="false" customHeight="false" outlineLevel="0" collapsed="false">
      <c r="A4702" s="1" t="s">
        <v>4737</v>
      </c>
      <c r="B4702" s="1" t="s">
        <v>41</v>
      </c>
      <c r="C4702" s="1" t="n">
        <v>1840000</v>
      </c>
      <c r="D4702" s="1" t="n">
        <v>2672.6</v>
      </c>
      <c r="E4702" s="1" t="n">
        <v>0.0195</v>
      </c>
      <c r="F4702" s="1" t="n">
        <v>0.0576</v>
      </c>
    </row>
    <row r="4703" customFormat="false" ht="15" hidden="false" customHeight="false" outlineLevel="0" collapsed="false">
      <c r="A4703" s="1" t="s">
        <v>4738</v>
      </c>
      <c r="B4703" s="1" t="s">
        <v>92</v>
      </c>
      <c r="C4703" s="1" t="n">
        <v>532000</v>
      </c>
      <c r="D4703" s="1" t="n">
        <v>709.6</v>
      </c>
      <c r="E4703" s="1" t="n">
        <v>0.0209</v>
      </c>
      <c r="F4703" s="1" t="n">
        <v>0.1066</v>
      </c>
    </row>
    <row r="4704" customFormat="false" ht="15" hidden="false" customHeight="false" outlineLevel="0" collapsed="false">
      <c r="A4704" s="1" t="s">
        <v>4739</v>
      </c>
      <c r="B4704" s="1" t="s">
        <v>41</v>
      </c>
      <c r="C4704" s="1" t="n">
        <v>512000</v>
      </c>
      <c r="D4704" s="1" t="n">
        <v>309.2</v>
      </c>
      <c r="E4704" s="1" t="n">
        <v>0.0092</v>
      </c>
      <c r="F4704" s="1" t="n">
        <v>0.0822</v>
      </c>
    </row>
    <row r="4705" customFormat="false" ht="15" hidden="false" customHeight="false" outlineLevel="0" collapsed="false">
      <c r="A4705" s="1" t="s">
        <v>4740</v>
      </c>
      <c r="B4705" s="1" t="s">
        <v>26</v>
      </c>
      <c r="C4705" s="1" t="n">
        <v>1050000</v>
      </c>
      <c r="D4705" s="1" t="n">
        <v>95580</v>
      </c>
      <c r="E4705" s="1" t="n">
        <v>0.0272</v>
      </c>
      <c r="F4705" s="1" t="n">
        <v>0.0759</v>
      </c>
    </row>
    <row r="4706" customFormat="false" ht="15" hidden="false" customHeight="false" outlineLevel="0" collapsed="false">
      <c r="A4706" s="1" t="s">
        <v>4741</v>
      </c>
      <c r="B4706" s="1" t="s">
        <v>30</v>
      </c>
      <c r="C4706" s="1" t="n">
        <v>1110000</v>
      </c>
      <c r="D4706" s="1" t="n">
        <v>1464017.8</v>
      </c>
      <c r="E4706" s="1" t="n">
        <v>0.0072</v>
      </c>
      <c r="F4706" s="1" t="n">
        <v>0.0654</v>
      </c>
    </row>
    <row r="4707" customFormat="false" ht="15" hidden="false" customHeight="false" outlineLevel="0" collapsed="false">
      <c r="A4707" s="1" t="s">
        <v>4742</v>
      </c>
      <c r="B4707" s="1" t="s">
        <v>214</v>
      </c>
      <c r="C4707" s="1" t="n">
        <v>520000</v>
      </c>
      <c r="D4707" s="1" t="n">
        <v>8079.2</v>
      </c>
      <c r="E4707" s="1" t="n">
        <v>0.0169</v>
      </c>
      <c r="F4707" s="1" t="n">
        <v>0.0585</v>
      </c>
    </row>
    <row r="4708" customFormat="false" ht="15" hidden="false" customHeight="false" outlineLevel="0" collapsed="false">
      <c r="A4708" s="1" t="s">
        <v>4743</v>
      </c>
      <c r="B4708" s="1" t="s">
        <v>28</v>
      </c>
      <c r="C4708" s="1" t="n">
        <v>3420000</v>
      </c>
      <c r="D4708" s="1" t="n">
        <v>63522.9</v>
      </c>
      <c r="E4708" s="1" t="n">
        <v>0.0052</v>
      </c>
      <c r="F4708" s="1" t="n">
        <v>0.0654</v>
      </c>
    </row>
    <row r="4709" customFormat="false" ht="15" hidden="false" customHeight="false" outlineLevel="0" collapsed="false">
      <c r="A4709" s="1" t="s">
        <v>4744</v>
      </c>
      <c r="B4709" s="1" t="s">
        <v>21</v>
      </c>
      <c r="C4709" s="1" t="n">
        <v>532000</v>
      </c>
      <c r="D4709" s="1" t="n">
        <v>9687.3</v>
      </c>
      <c r="E4709" s="1" t="n">
        <v>0.0274</v>
      </c>
      <c r="F4709" s="1" t="n">
        <v>0.0518</v>
      </c>
    </row>
    <row r="4710" customFormat="false" ht="15" hidden="false" customHeight="false" outlineLevel="0" collapsed="false">
      <c r="A4710" s="1" t="s">
        <v>4745</v>
      </c>
      <c r="B4710" s="1" t="s">
        <v>26</v>
      </c>
      <c r="C4710" s="1" t="n">
        <v>686000</v>
      </c>
      <c r="D4710" s="1" t="n">
        <v>6357</v>
      </c>
      <c r="E4710" s="1" t="n">
        <v>0.0067</v>
      </c>
      <c r="F4710" s="1" t="n">
        <v>0.0654</v>
      </c>
    </row>
    <row r="4711" customFormat="false" ht="15" hidden="false" customHeight="false" outlineLevel="0" collapsed="false">
      <c r="A4711" s="1" t="s">
        <v>4746</v>
      </c>
      <c r="B4711" s="1" t="s">
        <v>195</v>
      </c>
      <c r="C4711" s="1" t="n">
        <v>516000</v>
      </c>
      <c r="D4711" s="1" t="n">
        <v>2227.4</v>
      </c>
      <c r="E4711" s="1" t="n">
        <v>0.0118</v>
      </c>
      <c r="F4711" s="1" t="n">
        <v>0.1889</v>
      </c>
    </row>
    <row r="4712" customFormat="false" ht="15" hidden="false" customHeight="false" outlineLevel="0" collapsed="false">
      <c r="A4712" s="1" t="s">
        <v>4747</v>
      </c>
      <c r="B4712" s="1" t="s">
        <v>26</v>
      </c>
      <c r="C4712" s="1" t="n">
        <v>781000</v>
      </c>
      <c r="D4712" s="1" t="n">
        <v>13789.3</v>
      </c>
      <c r="E4712" s="1" t="n">
        <v>0.0127</v>
      </c>
      <c r="F4712" s="1" t="n">
        <v>0.1471</v>
      </c>
    </row>
    <row r="4713" customFormat="false" ht="15" hidden="false" customHeight="false" outlineLevel="0" collapsed="false">
      <c r="A4713" s="1" t="s">
        <v>4748</v>
      </c>
      <c r="B4713" s="1" t="s">
        <v>24</v>
      </c>
      <c r="C4713" s="1" t="n">
        <v>685000</v>
      </c>
      <c r="D4713" s="1" t="n">
        <v>18164.1</v>
      </c>
      <c r="E4713" s="1" t="n">
        <v>0.0378</v>
      </c>
      <c r="F4713" s="1" t="n">
        <v>0.0759</v>
      </c>
    </row>
    <row r="4714" customFormat="false" ht="15" hidden="false" customHeight="false" outlineLevel="0" collapsed="false">
      <c r="A4714" s="1" t="s">
        <v>4749</v>
      </c>
      <c r="B4714" s="1" t="s">
        <v>21</v>
      </c>
      <c r="C4714" s="1" t="n">
        <v>699000</v>
      </c>
      <c r="D4714" s="1" t="n">
        <v>334.5</v>
      </c>
      <c r="E4714" s="1" t="n">
        <v>0.0658</v>
      </c>
      <c r="F4714" s="1" t="n">
        <v>0.0938</v>
      </c>
    </row>
    <row r="4715" customFormat="false" ht="15" hidden="false" customHeight="false" outlineLevel="0" collapsed="false">
      <c r="A4715" s="1" t="s">
        <v>4750</v>
      </c>
      <c r="B4715" s="1" t="s">
        <v>88</v>
      </c>
      <c r="C4715" s="1" t="n">
        <v>660000</v>
      </c>
      <c r="D4715" s="1" t="n">
        <v>1667.5</v>
      </c>
      <c r="E4715" s="1" t="n">
        <v>0.0293</v>
      </c>
      <c r="F4715" s="1" t="n">
        <v>0.0951</v>
      </c>
    </row>
    <row r="4716" customFormat="false" ht="15" hidden="false" customHeight="false" outlineLevel="0" collapsed="false">
      <c r="A4716" s="1" t="s">
        <v>4751</v>
      </c>
      <c r="B4716" s="1" t="s">
        <v>53</v>
      </c>
      <c r="C4716" s="1" t="n">
        <v>1480000</v>
      </c>
      <c r="D4716" s="1" t="n">
        <v>475288.6</v>
      </c>
      <c r="E4716" s="1" t="n">
        <v>0.0091</v>
      </c>
      <c r="F4716" s="1" t="n">
        <v>0.0822</v>
      </c>
    </row>
    <row r="4717" customFormat="false" ht="15" hidden="false" customHeight="false" outlineLevel="0" collapsed="false">
      <c r="A4717" s="1" t="s">
        <v>4752</v>
      </c>
      <c r="B4717" s="1" t="s">
        <v>26</v>
      </c>
      <c r="C4717" s="1" t="n">
        <v>519000</v>
      </c>
      <c r="D4717" s="1" t="n">
        <v>723.7</v>
      </c>
      <c r="E4717" s="1" t="n">
        <v>0.0159</v>
      </c>
      <c r="F4717" s="1" t="n">
        <v>0.1067</v>
      </c>
    </row>
    <row r="4718" customFormat="false" ht="15" hidden="false" customHeight="false" outlineLevel="0" collapsed="false">
      <c r="A4718" s="1" t="s">
        <v>4753</v>
      </c>
      <c r="B4718" s="1" t="s">
        <v>71</v>
      </c>
      <c r="C4718" s="1" t="n">
        <v>744000</v>
      </c>
      <c r="D4718" s="1" t="n">
        <v>42990.5</v>
      </c>
      <c r="E4718" s="1" t="n">
        <v>0.0413</v>
      </c>
      <c r="F4718" s="1" t="n">
        <v>0.0759</v>
      </c>
    </row>
    <row r="4719" customFormat="false" ht="15" hidden="false" customHeight="false" outlineLevel="0" collapsed="false">
      <c r="A4719" s="1" t="s">
        <v>4754</v>
      </c>
      <c r="B4719" s="1" t="s">
        <v>88</v>
      </c>
      <c r="C4719" s="1" t="n">
        <v>553000</v>
      </c>
      <c r="D4719" s="1" t="n">
        <v>142.2</v>
      </c>
      <c r="E4719" s="1" t="n">
        <v>0.0039</v>
      </c>
      <c r="F4719" s="1" t="n">
        <v>0.1682</v>
      </c>
    </row>
    <row r="4720" customFormat="false" ht="15" hidden="false" customHeight="false" outlineLevel="0" collapsed="false">
      <c r="A4720" s="1" t="s">
        <v>4755</v>
      </c>
      <c r="B4720" s="1" t="s">
        <v>24</v>
      </c>
      <c r="C4720" s="1" t="n">
        <v>812000</v>
      </c>
      <c r="D4720" s="1" t="n">
        <v>10944.2</v>
      </c>
      <c r="E4720" s="1" t="n">
        <v>0.0115</v>
      </c>
      <c r="F4720" s="1" t="n">
        <v>0.1187</v>
      </c>
    </row>
    <row r="4721" customFormat="false" ht="15" hidden="false" customHeight="false" outlineLevel="0" collapsed="false">
      <c r="A4721" s="1" t="s">
        <v>4756</v>
      </c>
      <c r="B4721" s="1" t="s">
        <v>24</v>
      </c>
      <c r="C4721" s="1" t="n">
        <v>937000</v>
      </c>
      <c r="D4721" s="1" t="n">
        <v>442096.6</v>
      </c>
      <c r="E4721" s="1" t="n">
        <v>0.0249</v>
      </c>
      <c r="F4721" s="1" t="n">
        <v>0.0672</v>
      </c>
    </row>
    <row r="4722" customFormat="false" ht="15" hidden="false" customHeight="false" outlineLevel="0" collapsed="false">
      <c r="A4722" s="1" t="s">
        <v>4757</v>
      </c>
      <c r="B4722" s="1" t="s">
        <v>195</v>
      </c>
      <c r="C4722" s="1" t="n">
        <v>576000</v>
      </c>
      <c r="D4722" s="1" t="n">
        <v>31478.2</v>
      </c>
      <c r="E4722" s="1" t="n">
        <v>0.0442</v>
      </c>
      <c r="F4722" s="1" t="n">
        <v>0.0759</v>
      </c>
    </row>
    <row r="4723" customFormat="false" ht="15" hidden="false" customHeight="false" outlineLevel="0" collapsed="false">
      <c r="A4723" s="1" t="s">
        <v>4758</v>
      </c>
      <c r="B4723" s="1" t="s">
        <v>88</v>
      </c>
      <c r="C4723" s="1" t="n">
        <v>514000</v>
      </c>
      <c r="D4723" s="1" t="n">
        <v>4139.5</v>
      </c>
      <c r="E4723" s="1" t="n">
        <v>0.0194</v>
      </c>
      <c r="F4723" s="1" t="n">
        <v>0.0951</v>
      </c>
    </row>
    <row r="4724" customFormat="false" ht="15" hidden="false" customHeight="false" outlineLevel="0" collapsed="false">
      <c r="A4724" s="1" t="s">
        <v>4759</v>
      </c>
      <c r="B4724" s="1" t="s">
        <v>62</v>
      </c>
      <c r="C4724" s="1" t="n">
        <v>567000</v>
      </c>
      <c r="D4724" s="1" t="n">
        <v>6669.9</v>
      </c>
      <c r="E4724" s="1" t="n">
        <v>0.0503</v>
      </c>
      <c r="F4724" s="1" t="n">
        <v>0.0759</v>
      </c>
    </row>
    <row r="4725" customFormat="false" ht="15" hidden="false" customHeight="false" outlineLevel="0" collapsed="false">
      <c r="A4725" s="1" t="s">
        <v>4760</v>
      </c>
      <c r="B4725" s="1" t="s">
        <v>26</v>
      </c>
      <c r="C4725" s="1" t="n">
        <v>545000</v>
      </c>
      <c r="D4725" s="1" t="n">
        <v>5275.5</v>
      </c>
      <c r="E4725" s="1" t="n">
        <v>0.0384</v>
      </c>
      <c r="F4725" s="1" t="n">
        <v>0.0759</v>
      </c>
    </row>
    <row r="4726" customFormat="false" ht="15" hidden="false" customHeight="false" outlineLevel="0" collapsed="false">
      <c r="A4726" s="1" t="s">
        <v>4761</v>
      </c>
      <c r="B4726" s="1" t="s">
        <v>41</v>
      </c>
      <c r="C4726" s="1" t="n">
        <v>627000</v>
      </c>
      <c r="D4726" s="1" t="n">
        <v>23420.4</v>
      </c>
      <c r="E4726" s="1" t="n">
        <v>0.0332</v>
      </c>
      <c r="F4726" s="1" t="n">
        <v>0.0759</v>
      </c>
    </row>
    <row r="4727" customFormat="false" ht="15" hidden="false" customHeight="false" outlineLevel="0" collapsed="false">
      <c r="A4727" s="1" t="s">
        <v>4762</v>
      </c>
      <c r="B4727" s="1" t="s">
        <v>50</v>
      </c>
      <c r="C4727" s="1" t="n">
        <v>1120000</v>
      </c>
      <c r="D4727" s="1" t="n">
        <v>9520497.9</v>
      </c>
      <c r="E4727" s="1" t="n">
        <v>0.0053</v>
      </c>
      <c r="F4727" s="1" t="n">
        <v>0.0822</v>
      </c>
    </row>
    <row r="4728" customFormat="false" ht="15" hidden="false" customHeight="false" outlineLevel="0" collapsed="false">
      <c r="A4728" s="1" t="s">
        <v>4763</v>
      </c>
      <c r="B4728" s="1" t="s">
        <v>32</v>
      </c>
      <c r="C4728" s="1" t="n">
        <v>815000</v>
      </c>
      <c r="D4728" s="1" t="n">
        <v>294714.8</v>
      </c>
      <c r="E4728" s="1" t="n">
        <v>0.0056</v>
      </c>
      <c r="F4728" s="1" t="n">
        <v>0.0822</v>
      </c>
    </row>
    <row r="4729" customFormat="false" ht="15" hidden="false" customHeight="false" outlineLevel="0" collapsed="false">
      <c r="A4729" s="1" t="s">
        <v>4764</v>
      </c>
      <c r="B4729" s="1" t="s">
        <v>26</v>
      </c>
      <c r="C4729" s="1" t="n">
        <v>719000</v>
      </c>
      <c r="D4729" s="1" t="n">
        <v>2278248.3</v>
      </c>
      <c r="E4729" s="1" t="n">
        <v>0.0293</v>
      </c>
      <c r="F4729" s="1" t="n">
        <v>0.0518</v>
      </c>
    </row>
    <row r="4730" customFormat="false" ht="15" hidden="false" customHeight="false" outlineLevel="0" collapsed="false">
      <c r="A4730" s="1" t="s">
        <v>4765</v>
      </c>
      <c r="B4730" s="1" t="s">
        <v>74</v>
      </c>
      <c r="C4730" s="1" t="n">
        <v>627000</v>
      </c>
      <c r="D4730" s="1" t="n">
        <v>68308.9</v>
      </c>
      <c r="E4730" s="1" t="n">
        <v>0.0606</v>
      </c>
      <c r="F4730" s="1" t="n">
        <v>0.0951</v>
      </c>
    </row>
    <row r="4731" customFormat="false" ht="15" hidden="false" customHeight="false" outlineLevel="0" collapsed="false">
      <c r="A4731" s="1" t="s">
        <v>4766</v>
      </c>
      <c r="B4731" s="1" t="s">
        <v>41</v>
      </c>
      <c r="C4731" s="1" t="n">
        <v>518000</v>
      </c>
      <c r="D4731" s="1" t="n">
        <v>3063.9</v>
      </c>
      <c r="E4731" s="1" t="n">
        <v>0.0113</v>
      </c>
      <c r="F4731" s="1" t="n">
        <v>0.2479</v>
      </c>
    </row>
    <row r="4732" customFormat="false" ht="15" hidden="false" customHeight="false" outlineLevel="0" collapsed="false">
      <c r="A4732" s="1" t="s">
        <v>4767</v>
      </c>
      <c r="B4732" s="1" t="s">
        <v>53</v>
      </c>
      <c r="C4732" s="1" t="n">
        <v>887000</v>
      </c>
      <c r="D4732" s="1" t="n">
        <v>33689.7</v>
      </c>
      <c r="E4732" s="1" t="n">
        <v>0.0499</v>
      </c>
      <c r="F4732" s="1" t="n">
        <v>0.0998</v>
      </c>
    </row>
    <row r="4733" customFormat="false" ht="15" hidden="false" customHeight="false" outlineLevel="0" collapsed="false">
      <c r="A4733" s="1" t="s">
        <v>4768</v>
      </c>
      <c r="B4733" s="1" t="s">
        <v>26</v>
      </c>
      <c r="C4733" s="1" t="n">
        <v>737000</v>
      </c>
      <c r="D4733" s="1" t="n">
        <v>63360.1</v>
      </c>
      <c r="E4733" s="1" t="n">
        <v>0.0323</v>
      </c>
      <c r="F4733" s="1" t="n">
        <v>0.0672</v>
      </c>
    </row>
    <row r="4734" customFormat="false" ht="15" hidden="false" customHeight="false" outlineLevel="0" collapsed="false">
      <c r="A4734" s="1" t="s">
        <v>4769</v>
      </c>
      <c r="B4734" s="1" t="s">
        <v>21</v>
      </c>
      <c r="C4734" s="1" t="n">
        <v>561000</v>
      </c>
      <c r="D4734" s="1" t="n">
        <v>4581.7</v>
      </c>
      <c r="E4734" s="1" t="n">
        <v>0.0584</v>
      </c>
      <c r="F4734" s="1" t="n">
        <v>0.0951</v>
      </c>
    </row>
    <row r="4735" customFormat="false" ht="15" hidden="false" customHeight="false" outlineLevel="0" collapsed="false">
      <c r="A4735" s="1" t="s">
        <v>4770</v>
      </c>
      <c r="B4735" s="1" t="s">
        <v>214</v>
      </c>
      <c r="C4735" s="1" t="n">
        <v>1690000</v>
      </c>
      <c r="D4735" s="1" t="n">
        <v>71163.6</v>
      </c>
      <c r="E4735" s="1" t="n">
        <v>0.0088</v>
      </c>
      <c r="F4735" s="1" t="n">
        <v>0.0654</v>
      </c>
    </row>
    <row r="4736" customFormat="false" ht="15" hidden="false" customHeight="false" outlineLevel="0" collapsed="false">
      <c r="A4736" s="1" t="s">
        <v>4771</v>
      </c>
      <c r="B4736" s="1" t="s">
        <v>41</v>
      </c>
      <c r="C4736" s="1" t="n">
        <v>527000</v>
      </c>
      <c r="D4736" s="1" t="n">
        <v>14574.1</v>
      </c>
      <c r="E4736" s="1" t="n">
        <v>0.0432</v>
      </c>
      <c r="F4736" s="1" t="n">
        <v>0.0759</v>
      </c>
    </row>
    <row r="4737" customFormat="false" ht="15" hidden="false" customHeight="false" outlineLevel="0" collapsed="false">
      <c r="A4737" s="1" t="s">
        <v>4772</v>
      </c>
      <c r="B4737" s="1" t="s">
        <v>26</v>
      </c>
      <c r="C4737" s="1" t="n">
        <v>519000</v>
      </c>
      <c r="D4737" s="1" t="n">
        <v>66277.3</v>
      </c>
      <c r="E4737" s="1" t="n">
        <v>0.0357</v>
      </c>
      <c r="F4737" s="1" t="n">
        <v>0.0759</v>
      </c>
    </row>
    <row r="4738" customFormat="false" ht="15" hidden="false" customHeight="false" outlineLevel="0" collapsed="false">
      <c r="A4738" s="1" t="s">
        <v>4773</v>
      </c>
      <c r="B4738" s="1" t="s">
        <v>53</v>
      </c>
      <c r="C4738" s="1" t="n">
        <v>621000</v>
      </c>
      <c r="D4738" s="1" t="n">
        <v>41595</v>
      </c>
      <c r="E4738" s="1" t="n">
        <v>0.043</v>
      </c>
      <c r="F4738" s="1" t="n">
        <v>0.0951</v>
      </c>
    </row>
    <row r="4739" customFormat="false" ht="15" hidden="false" customHeight="false" outlineLevel="0" collapsed="false">
      <c r="A4739" s="1" t="s">
        <v>4774</v>
      </c>
      <c r="B4739" s="1" t="s">
        <v>92</v>
      </c>
      <c r="C4739" s="1" t="n">
        <v>608000</v>
      </c>
      <c r="D4739" s="1" t="n">
        <v>10130.2</v>
      </c>
      <c r="E4739" s="1" t="n">
        <v>0.017</v>
      </c>
      <c r="F4739" s="1" t="n">
        <v>0.0854</v>
      </c>
    </row>
    <row r="4740" customFormat="false" ht="15" hidden="false" customHeight="false" outlineLevel="0" collapsed="false">
      <c r="A4740" s="1" t="s">
        <v>4775</v>
      </c>
      <c r="B4740" s="1" t="s">
        <v>53</v>
      </c>
      <c r="C4740" s="1" t="n">
        <v>3190000</v>
      </c>
      <c r="D4740" s="1" t="n">
        <v>303444.5</v>
      </c>
      <c r="E4740" s="1" t="n">
        <v>0.048</v>
      </c>
      <c r="F4740" s="1" t="n">
        <v>0.0759</v>
      </c>
    </row>
    <row r="4741" customFormat="false" ht="15" hidden="false" customHeight="false" outlineLevel="0" collapsed="false">
      <c r="A4741" s="1" t="s">
        <v>4776</v>
      </c>
      <c r="B4741" s="1" t="s">
        <v>62</v>
      </c>
      <c r="C4741" s="1" t="n">
        <v>540000</v>
      </c>
      <c r="D4741" s="1" t="n">
        <v>4582.4</v>
      </c>
      <c r="E4741" s="1" t="n">
        <v>0.0746</v>
      </c>
      <c r="F4741" s="1" t="n">
        <v>0.0759</v>
      </c>
    </row>
    <row r="4742" customFormat="false" ht="15" hidden="false" customHeight="false" outlineLevel="0" collapsed="false">
      <c r="A4742" s="1" t="s">
        <v>4777</v>
      </c>
      <c r="B4742" s="1" t="s">
        <v>41</v>
      </c>
      <c r="C4742" s="1" t="n">
        <v>704000</v>
      </c>
      <c r="D4742" s="1" t="n">
        <v>197.7</v>
      </c>
      <c r="E4742" s="1" t="n">
        <v>0.1323</v>
      </c>
      <c r="F4742" s="1" t="n">
        <v>0.0538</v>
      </c>
    </row>
    <row r="4743" customFormat="false" ht="15" hidden="false" customHeight="false" outlineLevel="0" collapsed="false">
      <c r="A4743" s="1" t="s">
        <v>4778</v>
      </c>
      <c r="B4743" s="1" t="s">
        <v>26</v>
      </c>
      <c r="C4743" s="1" t="n">
        <v>777000</v>
      </c>
      <c r="D4743" s="1" t="n">
        <v>21</v>
      </c>
      <c r="E4743" s="1" t="n">
        <v>0.01</v>
      </c>
      <c r="F4743" s="1" t="n">
        <v>0.3024</v>
      </c>
    </row>
    <row r="4744" customFormat="false" ht="15" hidden="false" customHeight="false" outlineLevel="0" collapsed="false">
      <c r="A4744" s="1" t="s">
        <v>4779</v>
      </c>
      <c r="B4744" s="1" t="s">
        <v>92</v>
      </c>
      <c r="C4744" s="1" t="n">
        <v>523000</v>
      </c>
      <c r="D4744" s="1" t="n">
        <v>57221.6</v>
      </c>
      <c r="E4744" s="1" t="n">
        <v>0.0205</v>
      </c>
      <c r="F4744" s="1" t="n">
        <v>0.0951</v>
      </c>
    </row>
    <row r="4745" customFormat="false" ht="15" hidden="false" customHeight="false" outlineLevel="0" collapsed="false">
      <c r="A4745" s="1" t="s">
        <v>4780</v>
      </c>
      <c r="B4745" s="1" t="s">
        <v>74</v>
      </c>
      <c r="C4745" s="1" t="n">
        <v>517000</v>
      </c>
      <c r="D4745" s="1" t="n">
        <v>10747.4</v>
      </c>
      <c r="E4745" s="1" t="n">
        <v>0.0818</v>
      </c>
      <c r="F4745" s="1" t="n">
        <v>0.0951</v>
      </c>
    </row>
    <row r="4746" customFormat="false" ht="15" hidden="false" customHeight="false" outlineLevel="0" collapsed="false">
      <c r="A4746" s="1" t="s">
        <v>4781</v>
      </c>
      <c r="B4746" s="1" t="s">
        <v>71</v>
      </c>
      <c r="C4746" s="1" t="n">
        <v>531000</v>
      </c>
      <c r="D4746" s="1" t="n">
        <v>48003.9</v>
      </c>
      <c r="E4746" s="1" t="n">
        <v>0.0335</v>
      </c>
      <c r="F4746" s="1" t="n">
        <v>0.0759</v>
      </c>
    </row>
    <row r="4747" customFormat="false" ht="15" hidden="false" customHeight="false" outlineLevel="0" collapsed="false">
      <c r="A4747" s="1" t="s">
        <v>4782</v>
      </c>
      <c r="B4747" s="1" t="s">
        <v>35</v>
      </c>
      <c r="C4747" s="1" t="n">
        <v>646000</v>
      </c>
      <c r="D4747" s="1" t="n">
        <v>990982.2</v>
      </c>
      <c r="E4747" s="1" t="n">
        <v>0.0209</v>
      </c>
      <c r="F4747" s="1" t="n">
        <v>0.1067</v>
      </c>
    </row>
    <row r="4748" customFormat="false" ht="15" hidden="false" customHeight="false" outlineLevel="0" collapsed="false">
      <c r="A4748" s="1" t="s">
        <v>4783</v>
      </c>
      <c r="B4748" s="1" t="s">
        <v>26</v>
      </c>
      <c r="C4748" s="1" t="n">
        <v>619000</v>
      </c>
      <c r="D4748" s="1" t="n">
        <v>9669.6</v>
      </c>
      <c r="E4748" s="1" t="n">
        <v>0.0527</v>
      </c>
      <c r="F4748" s="1" t="n">
        <v>0.0759</v>
      </c>
    </row>
    <row r="4749" customFormat="false" ht="15" hidden="false" customHeight="false" outlineLevel="0" collapsed="false">
      <c r="A4749" s="1" t="s">
        <v>4784</v>
      </c>
      <c r="B4749" s="1" t="s">
        <v>88</v>
      </c>
      <c r="C4749" s="1" t="n">
        <v>773000</v>
      </c>
      <c r="D4749" s="1" t="n">
        <v>14862.4</v>
      </c>
      <c r="E4749" s="1" t="n">
        <v>0.0302</v>
      </c>
      <c r="F4749" s="1" t="n">
        <v>0.0938</v>
      </c>
    </row>
    <row r="4750" customFormat="false" ht="15" hidden="false" customHeight="false" outlineLevel="0" collapsed="false">
      <c r="A4750" s="1" t="s">
        <v>4785</v>
      </c>
      <c r="B4750" s="1" t="s">
        <v>92</v>
      </c>
      <c r="C4750" s="1" t="n">
        <v>687000</v>
      </c>
      <c r="D4750" s="1" t="n">
        <v>49665.3</v>
      </c>
      <c r="E4750" s="1" t="n">
        <v>0.0239</v>
      </c>
      <c r="F4750" s="1" t="n">
        <v>0.0409</v>
      </c>
    </row>
    <row r="4751" customFormat="false" ht="15" hidden="false" customHeight="false" outlineLevel="0" collapsed="false">
      <c r="A4751" s="1" t="s">
        <v>4786</v>
      </c>
      <c r="B4751" s="1" t="s">
        <v>92</v>
      </c>
      <c r="C4751" s="1" t="n">
        <v>658000</v>
      </c>
      <c r="D4751" s="1" t="n">
        <v>82941.3</v>
      </c>
      <c r="E4751" s="1" t="n">
        <v>0.0448</v>
      </c>
      <c r="F4751" s="1" t="n">
        <v>0.0518</v>
      </c>
    </row>
    <row r="4752" customFormat="false" ht="15" hidden="false" customHeight="false" outlineLevel="0" collapsed="false">
      <c r="A4752" s="1" t="s">
        <v>4787</v>
      </c>
      <c r="B4752" s="1" t="s">
        <v>53</v>
      </c>
      <c r="C4752" s="1" t="n">
        <v>693000</v>
      </c>
      <c r="D4752" s="1" t="n">
        <v>23329.2</v>
      </c>
      <c r="E4752" s="1" t="n">
        <v>0.0654</v>
      </c>
      <c r="F4752" s="1" t="n">
        <v>0.0759</v>
      </c>
    </row>
    <row r="4753" customFormat="false" ht="15" hidden="false" customHeight="false" outlineLevel="0" collapsed="false">
      <c r="A4753" s="1" t="s">
        <v>4788</v>
      </c>
      <c r="B4753" s="1" t="s">
        <v>214</v>
      </c>
      <c r="C4753" s="1" t="n">
        <v>765000</v>
      </c>
      <c r="D4753" s="1" t="n">
        <v>47132.1</v>
      </c>
      <c r="E4753" s="1" t="n">
        <v>0.0052</v>
      </c>
      <c r="F4753" s="1" t="n">
        <v>0.1027</v>
      </c>
    </row>
    <row r="4754" customFormat="false" ht="15" hidden="false" customHeight="false" outlineLevel="0" collapsed="false">
      <c r="A4754" s="1" t="s">
        <v>4789</v>
      </c>
      <c r="B4754" s="1" t="s">
        <v>26</v>
      </c>
      <c r="C4754" s="1" t="n">
        <v>700000</v>
      </c>
      <c r="D4754" s="1" t="n">
        <v>3708364.4</v>
      </c>
      <c r="E4754" s="1" t="n">
        <v>0.0235</v>
      </c>
      <c r="F4754" s="1" t="n">
        <v>0.0845</v>
      </c>
    </row>
    <row r="4755" customFormat="false" ht="15" hidden="false" customHeight="false" outlineLevel="0" collapsed="false">
      <c r="A4755" s="1" t="s">
        <v>4790</v>
      </c>
      <c r="B4755" s="1" t="s">
        <v>53</v>
      </c>
      <c r="C4755" s="1" t="n">
        <v>549000</v>
      </c>
      <c r="D4755" s="1" t="n">
        <v>1735.4</v>
      </c>
      <c r="E4755" s="1" t="n">
        <v>0.0266</v>
      </c>
      <c r="F4755" s="1" t="n">
        <v>0.051</v>
      </c>
    </row>
    <row r="4756" customFormat="false" ht="15" hidden="false" customHeight="false" outlineLevel="0" collapsed="false">
      <c r="A4756" s="1" t="s">
        <v>4791</v>
      </c>
      <c r="B4756" s="1" t="s">
        <v>53</v>
      </c>
      <c r="C4756" s="1" t="n">
        <v>1050000</v>
      </c>
      <c r="D4756" s="1" t="n">
        <v>184485.4</v>
      </c>
      <c r="E4756" s="1" t="n">
        <v>0.0386</v>
      </c>
      <c r="F4756" s="1" t="n">
        <v>0.0951</v>
      </c>
    </row>
    <row r="4757" customFormat="false" ht="15" hidden="false" customHeight="false" outlineLevel="0" collapsed="false">
      <c r="A4757" s="1" t="s">
        <v>4792</v>
      </c>
      <c r="B4757" s="1" t="s">
        <v>26</v>
      </c>
      <c r="C4757" s="1" t="n">
        <v>539000</v>
      </c>
      <c r="D4757" s="1" t="n">
        <v>53926.8</v>
      </c>
      <c r="E4757" s="1" t="n">
        <v>0.0309</v>
      </c>
      <c r="F4757" s="1" t="n">
        <v>0.0951</v>
      </c>
    </row>
    <row r="4758" customFormat="false" ht="15" hidden="false" customHeight="false" outlineLevel="0" collapsed="false">
      <c r="A4758" s="1" t="s">
        <v>4793</v>
      </c>
      <c r="B4758" s="1" t="s">
        <v>24</v>
      </c>
      <c r="C4758" s="1" t="n">
        <v>799000</v>
      </c>
      <c r="D4758" s="1" t="n">
        <v>60557.5</v>
      </c>
      <c r="E4758" s="1" t="n">
        <v>0.0195</v>
      </c>
      <c r="F4758" s="1" t="n">
        <v>0.0488</v>
      </c>
    </row>
    <row r="4759" customFormat="false" ht="15" hidden="false" customHeight="false" outlineLevel="0" collapsed="false">
      <c r="A4759" s="1" t="s">
        <v>4794</v>
      </c>
      <c r="B4759" s="1" t="s">
        <v>53</v>
      </c>
      <c r="C4759" s="1" t="n">
        <v>678000</v>
      </c>
      <c r="D4759" s="1" t="n">
        <v>78447.4</v>
      </c>
      <c r="E4759" s="1" t="n">
        <v>0.0419</v>
      </c>
      <c r="F4759" s="1" t="n">
        <v>0.0951</v>
      </c>
    </row>
    <row r="4760" customFormat="false" ht="15" hidden="false" customHeight="false" outlineLevel="0" collapsed="false">
      <c r="A4760" s="1" t="s">
        <v>4795</v>
      </c>
      <c r="B4760" s="1" t="s">
        <v>30</v>
      </c>
      <c r="C4760" s="1" t="n">
        <v>527000</v>
      </c>
      <c r="D4760" s="1" t="n">
        <v>21339</v>
      </c>
      <c r="E4760" s="1" t="n">
        <v>0.0295</v>
      </c>
      <c r="F4760" s="1" t="n">
        <v>0.0409</v>
      </c>
    </row>
    <row r="4761" customFormat="false" ht="15" hidden="false" customHeight="false" outlineLevel="0" collapsed="false">
      <c r="A4761" s="1" t="s">
        <v>4796</v>
      </c>
      <c r="B4761" s="1" t="s">
        <v>26</v>
      </c>
      <c r="C4761" s="1" t="n">
        <v>533000</v>
      </c>
      <c r="D4761" s="1" t="n">
        <v>630.7</v>
      </c>
      <c r="E4761" s="1" t="n">
        <v>0.016</v>
      </c>
      <c r="F4761" s="1" t="n">
        <v>0.139</v>
      </c>
    </row>
    <row r="4762" customFormat="false" ht="15" hidden="false" customHeight="false" outlineLevel="0" collapsed="false">
      <c r="A4762" s="1" t="s">
        <v>4797</v>
      </c>
      <c r="B4762" s="1" t="s">
        <v>21</v>
      </c>
      <c r="C4762" s="1" t="n">
        <v>594000</v>
      </c>
      <c r="D4762" s="1" t="n">
        <v>124.7</v>
      </c>
      <c r="E4762" s="1" t="n">
        <v>0.0378</v>
      </c>
      <c r="F4762" s="1" t="n">
        <v>0.0938</v>
      </c>
    </row>
    <row r="4763" customFormat="false" ht="15" hidden="false" customHeight="false" outlineLevel="0" collapsed="false">
      <c r="A4763" s="1" t="s">
        <v>4798</v>
      </c>
      <c r="B4763" s="1" t="s">
        <v>53</v>
      </c>
      <c r="C4763" s="1" t="n">
        <v>1290000</v>
      </c>
      <c r="D4763" s="1" t="n">
        <v>43592.8</v>
      </c>
      <c r="F4763" s="1" t="n">
        <v>0.0409</v>
      </c>
    </row>
    <row r="4764" customFormat="false" ht="15" hidden="false" customHeight="false" outlineLevel="0" collapsed="false">
      <c r="A4764" s="1" t="s">
        <v>4799</v>
      </c>
      <c r="B4764" s="1" t="s">
        <v>26</v>
      </c>
      <c r="C4764" s="1" t="n">
        <v>787000</v>
      </c>
      <c r="D4764" s="1" t="n">
        <v>137415.3</v>
      </c>
      <c r="E4764" s="1" t="n">
        <v>0.0412</v>
      </c>
      <c r="F4764" s="1" t="n">
        <v>0.0759</v>
      </c>
    </row>
    <row r="4765" customFormat="false" ht="15" hidden="false" customHeight="false" outlineLevel="0" collapsed="false">
      <c r="A4765" s="1" t="s">
        <v>4800</v>
      </c>
      <c r="B4765" s="1" t="s">
        <v>21</v>
      </c>
      <c r="C4765" s="1" t="n">
        <v>2090000</v>
      </c>
      <c r="D4765" s="1" t="n">
        <v>1807</v>
      </c>
      <c r="E4765" s="1" t="n">
        <v>0.0082</v>
      </c>
      <c r="F4765" s="1" t="n">
        <v>0.0811</v>
      </c>
    </row>
    <row r="4766" customFormat="false" ht="15" hidden="false" customHeight="false" outlineLevel="0" collapsed="false">
      <c r="A4766" s="1" t="s">
        <v>4801</v>
      </c>
      <c r="B4766" s="1" t="s">
        <v>26</v>
      </c>
      <c r="C4766" s="1" t="n">
        <v>955000</v>
      </c>
      <c r="D4766" s="1" t="n">
        <v>30826.5</v>
      </c>
      <c r="E4766" s="1" t="n">
        <v>0.0056</v>
      </c>
      <c r="F4766" s="1" t="n">
        <v>0.0654</v>
      </c>
    </row>
    <row r="4767" customFormat="false" ht="15" hidden="false" customHeight="false" outlineLevel="0" collapsed="false">
      <c r="A4767" s="1" t="s">
        <v>4802</v>
      </c>
      <c r="B4767" s="1" t="s">
        <v>195</v>
      </c>
      <c r="C4767" s="1" t="n">
        <v>558000</v>
      </c>
      <c r="D4767" s="1" t="n">
        <v>3512.5</v>
      </c>
      <c r="E4767" s="1" t="n">
        <v>0.0252</v>
      </c>
      <c r="F4767" s="1" t="n">
        <v>0.051</v>
      </c>
    </row>
    <row r="4768" customFormat="false" ht="15" hidden="false" customHeight="false" outlineLevel="0" collapsed="false">
      <c r="A4768" s="1" t="s">
        <v>4803</v>
      </c>
      <c r="B4768" s="1" t="s">
        <v>41</v>
      </c>
      <c r="C4768" s="1" t="n">
        <v>542000</v>
      </c>
      <c r="D4768" s="1" t="n">
        <v>2929.2</v>
      </c>
      <c r="E4768" s="1" t="n">
        <v>0.0192</v>
      </c>
      <c r="F4768" s="1" t="n">
        <v>0.0576</v>
      </c>
    </row>
    <row r="4769" customFormat="false" ht="15" hidden="false" customHeight="false" outlineLevel="0" collapsed="false">
      <c r="A4769" s="1" t="s">
        <v>4804</v>
      </c>
      <c r="B4769" s="1" t="s">
        <v>195</v>
      </c>
      <c r="C4769" s="1" t="n">
        <v>541000</v>
      </c>
      <c r="D4769" s="1" t="n">
        <v>1648.3</v>
      </c>
      <c r="E4769" s="1" t="n">
        <v>0.0166</v>
      </c>
      <c r="F4769" s="1" t="n">
        <v>0.0576</v>
      </c>
    </row>
    <row r="4770" customFormat="false" ht="15" hidden="false" customHeight="false" outlineLevel="0" collapsed="false">
      <c r="A4770" s="1" t="s">
        <v>4805</v>
      </c>
      <c r="B4770" s="1" t="s">
        <v>26</v>
      </c>
      <c r="C4770" s="1" t="n">
        <v>500000</v>
      </c>
      <c r="D4770" s="1" t="n">
        <v>57250.1</v>
      </c>
      <c r="E4770" s="1" t="n">
        <v>0.0712</v>
      </c>
      <c r="F4770" s="1" t="n">
        <v>0.0951</v>
      </c>
    </row>
    <row r="4771" customFormat="false" ht="15" hidden="false" customHeight="false" outlineLevel="0" collapsed="false">
      <c r="A4771" s="1" t="s">
        <v>4806</v>
      </c>
      <c r="B4771" s="1" t="s">
        <v>32</v>
      </c>
      <c r="C4771" s="1" t="n">
        <v>1740000</v>
      </c>
      <c r="D4771" s="1" t="n">
        <v>8104.9</v>
      </c>
      <c r="E4771" s="1" t="n">
        <v>0.0183</v>
      </c>
      <c r="F4771" s="1" t="n">
        <v>0.1053</v>
      </c>
    </row>
    <row r="4772" customFormat="false" ht="15" hidden="false" customHeight="false" outlineLevel="0" collapsed="false">
      <c r="A4772" s="1" t="s">
        <v>4807</v>
      </c>
      <c r="B4772" s="1" t="s">
        <v>81</v>
      </c>
      <c r="C4772" s="1" t="n">
        <v>550000</v>
      </c>
      <c r="D4772" s="1" t="n">
        <v>4578.1</v>
      </c>
      <c r="E4772" s="1" t="n">
        <v>0.0194</v>
      </c>
      <c r="F4772" s="1" t="n">
        <v>0.0854</v>
      </c>
    </row>
    <row r="4773" customFormat="false" ht="15" hidden="false" customHeight="false" outlineLevel="0" collapsed="false">
      <c r="A4773" s="1" t="s">
        <v>4808</v>
      </c>
      <c r="B4773" s="1" t="s">
        <v>21</v>
      </c>
      <c r="C4773" s="1" t="n">
        <v>816000</v>
      </c>
      <c r="D4773" s="1" t="n">
        <v>22713.8</v>
      </c>
      <c r="E4773" s="1" t="n">
        <v>0.0144</v>
      </c>
      <c r="F4773" s="1" t="n">
        <v>0.0462</v>
      </c>
    </row>
    <row r="4774" customFormat="false" ht="15" hidden="false" customHeight="false" outlineLevel="0" collapsed="false">
      <c r="A4774" s="1" t="s">
        <v>4809</v>
      </c>
      <c r="B4774" s="1" t="s">
        <v>53</v>
      </c>
      <c r="C4774" s="1" t="n">
        <v>502000</v>
      </c>
      <c r="D4774" s="1" t="n">
        <v>21931.5</v>
      </c>
      <c r="E4774" s="1" t="n">
        <v>0.0202</v>
      </c>
      <c r="F4774" s="1" t="n">
        <v>0.0951</v>
      </c>
    </row>
    <row r="4775" customFormat="false" ht="15" hidden="false" customHeight="false" outlineLevel="0" collapsed="false">
      <c r="A4775" s="1" t="s">
        <v>4810</v>
      </c>
      <c r="B4775" s="1" t="s">
        <v>26</v>
      </c>
      <c r="C4775" s="1" t="n">
        <v>598000</v>
      </c>
      <c r="D4775" s="1" t="n">
        <v>680561.4</v>
      </c>
      <c r="E4775" s="1" t="n">
        <v>0.0553</v>
      </c>
      <c r="F4775" s="1" t="n">
        <v>0.0759</v>
      </c>
    </row>
    <row r="4776" customFormat="false" ht="15" hidden="false" customHeight="false" outlineLevel="0" collapsed="false">
      <c r="A4776" s="1" t="s">
        <v>4811</v>
      </c>
      <c r="B4776" s="1" t="s">
        <v>26</v>
      </c>
      <c r="C4776" s="1" t="n">
        <v>539000</v>
      </c>
      <c r="D4776" s="1" t="n">
        <v>215415.2</v>
      </c>
      <c r="E4776" s="1" t="n">
        <v>0.0317</v>
      </c>
      <c r="F4776" s="1" t="n">
        <v>0.0951</v>
      </c>
    </row>
    <row r="4777" customFormat="false" ht="15" hidden="false" customHeight="false" outlineLevel="0" collapsed="false">
      <c r="A4777" s="1" t="s">
        <v>4812</v>
      </c>
      <c r="B4777" s="1" t="s">
        <v>214</v>
      </c>
      <c r="C4777" s="1" t="n">
        <v>567000</v>
      </c>
      <c r="D4777" s="1" t="n">
        <v>8023.3</v>
      </c>
      <c r="E4777" s="1" t="n">
        <v>0.0139</v>
      </c>
      <c r="F4777" s="1" t="n">
        <v>0.0585</v>
      </c>
    </row>
    <row r="4778" customFormat="false" ht="15" hidden="false" customHeight="false" outlineLevel="0" collapsed="false">
      <c r="A4778" s="1" t="s">
        <v>4813</v>
      </c>
      <c r="B4778" s="1" t="s">
        <v>41</v>
      </c>
      <c r="C4778" s="1" t="n">
        <v>928000</v>
      </c>
      <c r="D4778" s="1" t="n">
        <v>6046.3</v>
      </c>
      <c r="E4778" s="1" t="n">
        <v>0.007</v>
      </c>
      <c r="F4778" s="1" t="n">
        <v>0.073</v>
      </c>
    </row>
    <row r="4779" customFormat="false" ht="15" hidden="false" customHeight="false" outlineLevel="0" collapsed="false">
      <c r="A4779" s="1" t="s">
        <v>4814</v>
      </c>
      <c r="B4779" s="1" t="s">
        <v>21</v>
      </c>
      <c r="C4779" s="1" t="n">
        <v>586000</v>
      </c>
      <c r="D4779" s="1" t="n">
        <v>3538</v>
      </c>
      <c r="E4779" s="1" t="n">
        <v>0.0141</v>
      </c>
      <c r="F4779" s="1" t="n">
        <v>0.0576</v>
      </c>
    </row>
    <row r="4780" customFormat="false" ht="15" hidden="false" customHeight="false" outlineLevel="0" collapsed="false">
      <c r="A4780" s="1" t="s">
        <v>4815</v>
      </c>
      <c r="B4780" s="1" t="s">
        <v>26</v>
      </c>
      <c r="C4780" s="1" t="n">
        <v>513000</v>
      </c>
      <c r="D4780" s="1" t="n">
        <v>251094.7</v>
      </c>
      <c r="E4780" s="1" t="n">
        <v>0.0522</v>
      </c>
      <c r="F4780" s="1" t="n">
        <v>0.0951</v>
      </c>
    </row>
    <row r="4781" customFormat="false" ht="15" hidden="false" customHeight="false" outlineLevel="0" collapsed="false">
      <c r="A4781" s="1" t="s">
        <v>4816</v>
      </c>
      <c r="B4781" s="1" t="s">
        <v>26</v>
      </c>
      <c r="C4781" s="1" t="n">
        <v>592000</v>
      </c>
      <c r="D4781" s="1" t="n">
        <v>89702.4</v>
      </c>
      <c r="E4781" s="1" t="n">
        <v>0.023</v>
      </c>
      <c r="F4781" s="1" t="n">
        <v>0.1953</v>
      </c>
    </row>
    <row r="4782" customFormat="false" ht="15" hidden="false" customHeight="false" outlineLevel="0" collapsed="false">
      <c r="A4782" s="1" t="s">
        <v>4817</v>
      </c>
      <c r="B4782" s="1" t="s">
        <v>71</v>
      </c>
      <c r="C4782" s="1" t="n">
        <v>510000</v>
      </c>
      <c r="D4782" s="1" t="n">
        <v>642.9</v>
      </c>
      <c r="E4782" s="1" t="n">
        <v>0.0152</v>
      </c>
      <c r="F4782" s="1" t="n">
        <v>0.1067</v>
      </c>
    </row>
    <row r="4783" customFormat="false" ht="15" hidden="false" customHeight="false" outlineLevel="0" collapsed="false">
      <c r="A4783" s="1" t="s">
        <v>4818</v>
      </c>
      <c r="B4783" s="1" t="s">
        <v>24</v>
      </c>
      <c r="C4783" s="1" t="n">
        <v>569000</v>
      </c>
      <c r="D4783" s="1" t="n">
        <v>589653.7</v>
      </c>
      <c r="E4783" s="1" t="n">
        <v>0.0485</v>
      </c>
      <c r="F4783" s="1" t="n">
        <v>0.0951</v>
      </c>
    </row>
    <row r="4784" customFormat="false" ht="15" hidden="false" customHeight="false" outlineLevel="0" collapsed="false">
      <c r="A4784" s="1" t="s">
        <v>4819</v>
      </c>
      <c r="B4784" s="1" t="s">
        <v>50</v>
      </c>
      <c r="C4784" s="1" t="n">
        <v>517000</v>
      </c>
      <c r="D4784" s="1" t="n">
        <v>111941.2</v>
      </c>
      <c r="E4784" s="1" t="n">
        <v>0.0515</v>
      </c>
      <c r="F4784" s="1" t="n">
        <v>0.0759</v>
      </c>
    </row>
    <row r="4785" customFormat="false" ht="15" hidden="false" customHeight="false" outlineLevel="0" collapsed="false">
      <c r="A4785" s="1" t="s">
        <v>4820</v>
      </c>
      <c r="B4785" s="1" t="s">
        <v>92</v>
      </c>
      <c r="C4785" s="1" t="n">
        <v>579000</v>
      </c>
      <c r="D4785" s="1" t="n">
        <v>682351.7</v>
      </c>
      <c r="E4785" s="1" t="n">
        <v>0.0162</v>
      </c>
      <c r="F4785" s="1" t="n">
        <v>0.1119</v>
      </c>
    </row>
    <row r="4786" customFormat="false" ht="15" hidden="false" customHeight="false" outlineLevel="0" collapsed="false">
      <c r="A4786" s="1" t="s">
        <v>4821</v>
      </c>
      <c r="B4786" s="1" t="s">
        <v>26</v>
      </c>
      <c r="C4786" s="1" t="n">
        <v>540000</v>
      </c>
      <c r="D4786" s="1" t="n">
        <v>126862.2</v>
      </c>
      <c r="E4786" s="1" t="n">
        <v>0.057</v>
      </c>
      <c r="F4786" s="1" t="n">
        <v>0.0951</v>
      </c>
    </row>
    <row r="4787" customFormat="false" ht="15" hidden="false" customHeight="false" outlineLevel="0" collapsed="false">
      <c r="A4787" s="1" t="s">
        <v>4822</v>
      </c>
      <c r="B4787" s="1" t="s">
        <v>214</v>
      </c>
      <c r="C4787" s="1" t="n">
        <v>498000</v>
      </c>
      <c r="D4787" s="1" t="n">
        <v>1243.7</v>
      </c>
      <c r="E4787" s="1" t="n">
        <v>0.0341</v>
      </c>
      <c r="F4787" s="1" t="n">
        <v>0.0951</v>
      </c>
    </row>
    <row r="4788" customFormat="false" ht="15" hidden="false" customHeight="false" outlineLevel="0" collapsed="false">
      <c r="A4788" s="1" t="s">
        <v>4823</v>
      </c>
      <c r="B4788" s="1" t="s">
        <v>92</v>
      </c>
      <c r="C4788" s="1" t="n">
        <v>502000</v>
      </c>
      <c r="D4788" s="1" t="n">
        <v>792.2</v>
      </c>
      <c r="E4788" s="1" t="n">
        <v>0.0176</v>
      </c>
      <c r="F4788" s="1" t="n">
        <v>0.2294</v>
      </c>
    </row>
    <row r="4789" customFormat="false" ht="15" hidden="false" customHeight="false" outlineLevel="0" collapsed="false">
      <c r="A4789" s="1" t="s">
        <v>4824</v>
      </c>
      <c r="B4789" s="1" t="s">
        <v>62</v>
      </c>
      <c r="C4789" s="1" t="n">
        <v>504000</v>
      </c>
      <c r="D4789" s="1" t="n">
        <v>168.7</v>
      </c>
      <c r="E4789" s="1" t="n">
        <v>0.0078</v>
      </c>
      <c r="F4789" s="1" t="n">
        <v>0.181</v>
      </c>
    </row>
    <row r="4790" customFormat="false" ht="15" hidden="false" customHeight="false" outlineLevel="0" collapsed="false">
      <c r="A4790" s="1" t="s">
        <v>4825</v>
      </c>
      <c r="B4790" s="1" t="s">
        <v>30</v>
      </c>
      <c r="C4790" s="1" t="n">
        <v>694000</v>
      </c>
      <c r="D4790" s="1" t="n">
        <v>516222</v>
      </c>
      <c r="E4790" s="1" t="n">
        <v>0.0159</v>
      </c>
      <c r="F4790" s="1" t="n">
        <v>0.0585</v>
      </c>
    </row>
    <row r="4791" customFormat="false" ht="15" hidden="false" customHeight="false" outlineLevel="0" collapsed="false">
      <c r="A4791" s="1" t="s">
        <v>4826</v>
      </c>
      <c r="B4791" s="1" t="s">
        <v>24</v>
      </c>
      <c r="C4791" s="1" t="n">
        <v>897000</v>
      </c>
      <c r="D4791" s="1" t="n">
        <v>366398.7</v>
      </c>
      <c r="E4791" s="1" t="n">
        <v>0.0294</v>
      </c>
      <c r="F4791" s="1" t="n">
        <v>0.0759</v>
      </c>
    </row>
    <row r="4792" customFormat="false" ht="15" hidden="false" customHeight="false" outlineLevel="0" collapsed="false">
      <c r="A4792" s="1" t="s">
        <v>4827</v>
      </c>
      <c r="B4792" s="1" t="s">
        <v>26</v>
      </c>
      <c r="C4792" s="1" t="n">
        <v>516000</v>
      </c>
      <c r="D4792" s="1" t="n">
        <v>53206.8</v>
      </c>
      <c r="E4792" s="1" t="n">
        <v>0.024</v>
      </c>
      <c r="F4792" s="1" t="n">
        <v>0.0585</v>
      </c>
    </row>
    <row r="4793" customFormat="false" ht="15" hidden="false" customHeight="false" outlineLevel="0" collapsed="false">
      <c r="A4793" s="1" t="s">
        <v>4828</v>
      </c>
      <c r="B4793" s="1" t="s">
        <v>26</v>
      </c>
      <c r="C4793" s="1" t="n">
        <v>620000</v>
      </c>
      <c r="D4793" s="1" t="n">
        <v>76873.3</v>
      </c>
      <c r="E4793" s="1" t="n">
        <v>0.0234</v>
      </c>
      <c r="F4793" s="1" t="n">
        <v>0.0854</v>
      </c>
    </row>
    <row r="4794" customFormat="false" ht="15" hidden="false" customHeight="false" outlineLevel="0" collapsed="false">
      <c r="A4794" s="1" t="s">
        <v>4829</v>
      </c>
      <c r="B4794" s="1" t="s">
        <v>24</v>
      </c>
      <c r="C4794" s="1" t="n">
        <v>916000</v>
      </c>
      <c r="D4794" s="1" t="n">
        <v>195188.3</v>
      </c>
      <c r="E4794" s="1" t="n">
        <v>0.0152</v>
      </c>
      <c r="F4794" s="1" t="n">
        <v>0.0726</v>
      </c>
    </row>
    <row r="4795" customFormat="false" ht="15" hidden="false" customHeight="false" outlineLevel="0" collapsed="false">
      <c r="A4795" s="1" t="s">
        <v>4830</v>
      </c>
      <c r="B4795" s="1" t="s">
        <v>490</v>
      </c>
      <c r="C4795" s="1" t="n">
        <v>601000</v>
      </c>
      <c r="D4795" s="1" t="n">
        <v>1695.2</v>
      </c>
      <c r="E4795" s="1" t="n">
        <v>0.0135</v>
      </c>
      <c r="F4795" s="1" t="n">
        <v>0.0584</v>
      </c>
    </row>
    <row r="4796" customFormat="false" ht="15" hidden="false" customHeight="false" outlineLevel="0" collapsed="false">
      <c r="A4796" s="1" t="s">
        <v>4831</v>
      </c>
      <c r="B4796" s="1" t="s">
        <v>214</v>
      </c>
      <c r="C4796" s="1" t="n">
        <v>647000</v>
      </c>
      <c r="D4796" s="1" t="n">
        <v>1338.1</v>
      </c>
      <c r="E4796" s="1" t="n">
        <v>0.016</v>
      </c>
      <c r="F4796" s="1" t="n">
        <v>0.0576</v>
      </c>
    </row>
    <row r="4797" customFormat="false" ht="15" hidden="false" customHeight="false" outlineLevel="0" collapsed="false">
      <c r="A4797" s="1" t="s">
        <v>4832</v>
      </c>
      <c r="B4797" s="1" t="s">
        <v>41</v>
      </c>
      <c r="C4797" s="1" t="n">
        <v>1470000</v>
      </c>
      <c r="D4797" s="1" t="n">
        <v>3288</v>
      </c>
      <c r="E4797" s="1" t="n">
        <v>0.1333</v>
      </c>
      <c r="F4797" s="1" t="n">
        <v>0.1516</v>
      </c>
    </row>
    <row r="4798" customFormat="false" ht="15" hidden="false" customHeight="false" outlineLevel="0" collapsed="false">
      <c r="A4798" s="1" t="s">
        <v>4833</v>
      </c>
      <c r="B4798" s="1" t="s">
        <v>287</v>
      </c>
      <c r="C4798" s="1" t="n">
        <v>706000</v>
      </c>
      <c r="D4798" s="1" t="n">
        <v>17710.4</v>
      </c>
      <c r="E4798" s="1" t="n">
        <v>0.0418</v>
      </c>
      <c r="F4798" s="1" t="n">
        <v>0.0759</v>
      </c>
    </row>
    <row r="4799" customFormat="false" ht="15" hidden="false" customHeight="false" outlineLevel="0" collapsed="false">
      <c r="A4799" s="1" t="s">
        <v>4834</v>
      </c>
      <c r="B4799" s="1" t="s">
        <v>490</v>
      </c>
      <c r="C4799" s="1" t="n">
        <v>609000</v>
      </c>
      <c r="D4799" s="1" t="n">
        <v>9502.5</v>
      </c>
      <c r="E4799" s="1" t="n">
        <v>0.0126</v>
      </c>
      <c r="F4799" s="1" t="n">
        <v>0.1168</v>
      </c>
    </row>
    <row r="4800" customFormat="false" ht="15" hidden="false" customHeight="false" outlineLevel="0" collapsed="false">
      <c r="A4800" s="1" t="s">
        <v>4835</v>
      </c>
      <c r="B4800" s="1" t="s">
        <v>214</v>
      </c>
      <c r="C4800" s="1" t="n">
        <v>663000</v>
      </c>
      <c r="D4800" s="1" t="n">
        <v>2160.9</v>
      </c>
      <c r="E4800" s="1" t="n">
        <v>0.0216</v>
      </c>
      <c r="F4800" s="1" t="n">
        <v>0.0759</v>
      </c>
    </row>
    <row r="4801" customFormat="false" ht="15" hidden="false" customHeight="false" outlineLevel="0" collapsed="false">
      <c r="A4801" s="1" t="s">
        <v>4836</v>
      </c>
      <c r="B4801" s="1" t="s">
        <v>53</v>
      </c>
      <c r="C4801" s="1" t="n">
        <v>585000</v>
      </c>
      <c r="D4801" s="1" t="n">
        <v>724.2</v>
      </c>
      <c r="F4801" s="1" t="n">
        <v>0.117</v>
      </c>
    </row>
    <row r="4802" customFormat="false" ht="15" hidden="false" customHeight="false" outlineLevel="0" collapsed="false">
      <c r="A4802" s="1" t="s">
        <v>4837</v>
      </c>
      <c r="B4802" s="1" t="s">
        <v>74</v>
      </c>
      <c r="C4802" s="1" t="n">
        <v>581000</v>
      </c>
      <c r="D4802" s="1" t="n">
        <v>70300.4</v>
      </c>
      <c r="E4802" s="1" t="n">
        <v>0.0355</v>
      </c>
      <c r="F4802" s="1" t="n">
        <v>0.0409</v>
      </c>
    </row>
    <row r="4803" customFormat="false" ht="15" hidden="false" customHeight="false" outlineLevel="0" collapsed="false">
      <c r="A4803" s="1" t="s">
        <v>4838</v>
      </c>
      <c r="B4803" s="1" t="s">
        <v>24</v>
      </c>
      <c r="C4803" s="1" t="n">
        <v>547000</v>
      </c>
      <c r="D4803" s="1" t="n">
        <v>1874.7</v>
      </c>
      <c r="E4803" s="1" t="n">
        <v>0.0737</v>
      </c>
      <c r="F4803" s="1" t="n">
        <v>0.0759</v>
      </c>
    </row>
    <row r="4804" customFormat="false" ht="15" hidden="false" customHeight="false" outlineLevel="0" collapsed="false">
      <c r="A4804" s="1" t="s">
        <v>4839</v>
      </c>
      <c r="B4804" s="1" t="s">
        <v>26</v>
      </c>
      <c r="C4804" s="1" t="n">
        <v>486000</v>
      </c>
      <c r="D4804" s="1" t="n">
        <v>4948.2</v>
      </c>
      <c r="E4804" s="1" t="n">
        <v>0.0681</v>
      </c>
      <c r="F4804" s="1" t="n">
        <v>0.0951</v>
      </c>
    </row>
    <row r="4805" customFormat="false" ht="15" hidden="false" customHeight="false" outlineLevel="0" collapsed="false">
      <c r="A4805" s="1" t="s">
        <v>4840</v>
      </c>
      <c r="B4805" s="1" t="s">
        <v>50</v>
      </c>
      <c r="C4805" s="1" t="n">
        <v>580000</v>
      </c>
      <c r="D4805" s="1" t="n">
        <v>77686.9</v>
      </c>
      <c r="E4805" s="1" t="n">
        <v>0.032</v>
      </c>
      <c r="F4805" s="1" t="n">
        <v>0.0951</v>
      </c>
    </row>
    <row r="4806" customFormat="false" ht="15" hidden="false" customHeight="false" outlineLevel="0" collapsed="false">
      <c r="A4806" s="1" t="s">
        <v>4841</v>
      </c>
      <c r="B4806" s="1" t="s">
        <v>26</v>
      </c>
      <c r="C4806" s="1" t="n">
        <v>166000</v>
      </c>
      <c r="D4806" s="1" t="n">
        <v>5155.1</v>
      </c>
      <c r="E4806" s="1" t="n">
        <v>0.095</v>
      </c>
      <c r="F4806" s="1" t="n">
        <v>0.0951</v>
      </c>
    </row>
    <row r="4807" customFormat="false" ht="15" hidden="false" customHeight="false" outlineLevel="0" collapsed="false">
      <c r="A4807" s="1" t="s">
        <v>4842</v>
      </c>
      <c r="B4807" s="1" t="s">
        <v>24</v>
      </c>
      <c r="C4807" s="1" t="n">
        <v>756000</v>
      </c>
      <c r="D4807" s="1" t="n">
        <v>52051.8</v>
      </c>
      <c r="E4807" s="1" t="n">
        <v>0.0288</v>
      </c>
      <c r="F4807" s="1" t="n">
        <v>0.0409</v>
      </c>
    </row>
    <row r="4808" customFormat="false" ht="15" hidden="false" customHeight="false" outlineLevel="0" collapsed="false">
      <c r="A4808" s="1" t="s">
        <v>4843</v>
      </c>
      <c r="B4808" s="1" t="s">
        <v>214</v>
      </c>
      <c r="C4808" s="1" t="n">
        <v>582000</v>
      </c>
      <c r="D4808" s="1" t="n">
        <v>3605.1</v>
      </c>
      <c r="E4808" s="1" t="n">
        <v>0.0403</v>
      </c>
      <c r="F4808" s="1" t="n">
        <v>0.0759</v>
      </c>
    </row>
    <row r="4809" customFormat="false" ht="15" hidden="false" customHeight="false" outlineLevel="0" collapsed="false">
      <c r="A4809" s="1" t="s">
        <v>4844</v>
      </c>
      <c r="B4809" s="1" t="s">
        <v>214</v>
      </c>
      <c r="C4809" s="1" t="n">
        <v>546000</v>
      </c>
      <c r="D4809" s="1" t="n">
        <v>14147.2</v>
      </c>
      <c r="E4809" s="1" t="n">
        <v>0.0167</v>
      </c>
      <c r="F4809" s="1" t="n">
        <v>0.0854</v>
      </c>
    </row>
    <row r="4810" customFormat="false" ht="15" hidden="false" customHeight="false" outlineLevel="0" collapsed="false">
      <c r="A4810" s="1" t="s">
        <v>4845</v>
      </c>
      <c r="B4810" s="1" t="s">
        <v>26</v>
      </c>
      <c r="C4810" s="1" t="n">
        <v>530000</v>
      </c>
      <c r="D4810" s="1" t="n">
        <v>45579</v>
      </c>
      <c r="E4810" s="1" t="n">
        <v>0.02</v>
      </c>
      <c r="F4810" s="1" t="n">
        <v>0.0938</v>
      </c>
    </row>
    <row r="4811" customFormat="false" ht="15" hidden="false" customHeight="false" outlineLevel="0" collapsed="false">
      <c r="A4811" s="1" t="s">
        <v>4846</v>
      </c>
      <c r="B4811" s="1" t="s">
        <v>24</v>
      </c>
      <c r="C4811" s="1" t="n">
        <v>678000</v>
      </c>
      <c r="D4811" s="1" t="n">
        <v>47870.1</v>
      </c>
      <c r="E4811" s="1" t="n">
        <v>0.0569</v>
      </c>
      <c r="F4811" s="1" t="n">
        <v>0.0759</v>
      </c>
    </row>
    <row r="4812" customFormat="false" ht="15" hidden="false" customHeight="false" outlineLevel="0" collapsed="false">
      <c r="A4812" s="1" t="s">
        <v>4847</v>
      </c>
      <c r="B4812" s="1" t="s">
        <v>41</v>
      </c>
      <c r="C4812" s="1" t="n">
        <v>578000</v>
      </c>
      <c r="D4812" s="1" t="n">
        <v>4668.1</v>
      </c>
      <c r="E4812" s="1" t="n">
        <v>0.042</v>
      </c>
      <c r="F4812" s="1" t="n">
        <v>0.0938</v>
      </c>
    </row>
    <row r="4813" customFormat="false" ht="15" hidden="false" customHeight="false" outlineLevel="0" collapsed="false">
      <c r="A4813" s="1" t="s">
        <v>4848</v>
      </c>
      <c r="B4813" s="1" t="s">
        <v>81</v>
      </c>
      <c r="C4813" s="1" t="n">
        <v>589000</v>
      </c>
      <c r="D4813" s="1" t="n">
        <v>17215.1</v>
      </c>
      <c r="E4813" s="1" t="n">
        <v>0.0548</v>
      </c>
      <c r="F4813" s="1" t="n">
        <v>0.0759</v>
      </c>
    </row>
    <row r="4814" customFormat="false" ht="15" hidden="false" customHeight="false" outlineLevel="0" collapsed="false">
      <c r="A4814" s="1" t="s">
        <v>4849</v>
      </c>
      <c r="B4814" s="1" t="s">
        <v>32</v>
      </c>
      <c r="C4814" s="1" t="n">
        <v>791000</v>
      </c>
      <c r="D4814" s="1" t="n">
        <v>15627.1</v>
      </c>
      <c r="E4814" s="1" t="n">
        <v>0.0393</v>
      </c>
      <c r="F4814" s="1" t="n">
        <v>0.0938</v>
      </c>
    </row>
    <row r="4815" customFormat="false" ht="15" hidden="false" customHeight="false" outlineLevel="0" collapsed="false">
      <c r="A4815" s="1" t="s">
        <v>4850</v>
      </c>
      <c r="B4815" s="1" t="s">
        <v>26</v>
      </c>
      <c r="C4815" s="1" t="n">
        <v>493000</v>
      </c>
      <c r="D4815" s="1" t="n">
        <v>86430.2</v>
      </c>
      <c r="E4815" s="1" t="n">
        <v>0.0538</v>
      </c>
      <c r="F4815" s="1" t="n">
        <v>0.0951</v>
      </c>
    </row>
    <row r="4816" customFormat="false" ht="15" hidden="false" customHeight="false" outlineLevel="0" collapsed="false">
      <c r="A4816" s="1" t="s">
        <v>4851</v>
      </c>
      <c r="B4816" s="1" t="s">
        <v>24</v>
      </c>
      <c r="C4816" s="1" t="n">
        <v>511000</v>
      </c>
      <c r="D4816" s="1" t="n">
        <v>1861</v>
      </c>
      <c r="E4816" s="1" t="n">
        <v>0.0263</v>
      </c>
      <c r="F4816" s="1" t="n">
        <v>0.0759</v>
      </c>
    </row>
    <row r="4817" customFormat="false" ht="15" hidden="false" customHeight="false" outlineLevel="0" collapsed="false">
      <c r="A4817" s="1" t="s">
        <v>4852</v>
      </c>
      <c r="B4817" s="1" t="s">
        <v>41</v>
      </c>
      <c r="C4817" s="1" t="n">
        <v>778000</v>
      </c>
      <c r="D4817" s="1" t="n">
        <v>776</v>
      </c>
      <c r="E4817" s="1" t="n">
        <v>0.0137</v>
      </c>
      <c r="F4817" s="1" t="n">
        <v>0.0647</v>
      </c>
    </row>
    <row r="4818" customFormat="false" ht="15" hidden="false" customHeight="false" outlineLevel="0" collapsed="false">
      <c r="A4818" s="1" t="s">
        <v>4853</v>
      </c>
      <c r="B4818" s="1" t="s">
        <v>26</v>
      </c>
      <c r="C4818" s="1" t="n">
        <v>860000</v>
      </c>
      <c r="D4818" s="1" t="n">
        <v>10587.5</v>
      </c>
      <c r="E4818" s="1" t="n">
        <v>0.05</v>
      </c>
      <c r="F4818" s="1" t="n">
        <v>0.0759</v>
      </c>
    </row>
    <row r="4819" customFormat="false" ht="15" hidden="false" customHeight="false" outlineLevel="0" collapsed="false">
      <c r="A4819" s="1" t="s">
        <v>4854</v>
      </c>
      <c r="B4819" s="1" t="s">
        <v>26</v>
      </c>
      <c r="C4819" s="1" t="n">
        <v>534000</v>
      </c>
      <c r="D4819" s="1" t="n">
        <v>3597</v>
      </c>
      <c r="E4819" s="1" t="n">
        <v>0.0293</v>
      </c>
      <c r="F4819" s="1" t="n">
        <v>0.0759</v>
      </c>
    </row>
    <row r="4820" customFormat="false" ht="15" hidden="false" customHeight="false" outlineLevel="0" collapsed="false">
      <c r="A4820" s="1" t="s">
        <v>4855</v>
      </c>
      <c r="B4820" s="1" t="s">
        <v>53</v>
      </c>
      <c r="C4820" s="1" t="n">
        <v>529000</v>
      </c>
      <c r="D4820" s="1" t="n">
        <v>20609.5</v>
      </c>
      <c r="E4820" s="1" t="n">
        <v>0.092</v>
      </c>
      <c r="F4820" s="1" t="n">
        <v>0.0938</v>
      </c>
    </row>
    <row r="4821" customFormat="false" ht="15" hidden="false" customHeight="false" outlineLevel="0" collapsed="false">
      <c r="A4821" s="1" t="s">
        <v>4856</v>
      </c>
      <c r="B4821" s="1" t="s">
        <v>88</v>
      </c>
      <c r="C4821" s="1" t="n">
        <v>549000</v>
      </c>
      <c r="D4821" s="1" t="n">
        <v>482.1</v>
      </c>
      <c r="E4821" s="1" t="n">
        <v>0.0278</v>
      </c>
      <c r="F4821" s="1" t="n">
        <v>0.051</v>
      </c>
    </row>
    <row r="4822" customFormat="false" ht="15" hidden="false" customHeight="false" outlineLevel="0" collapsed="false">
      <c r="A4822" s="1" t="s">
        <v>4857</v>
      </c>
      <c r="B4822" s="1" t="s">
        <v>88</v>
      </c>
      <c r="C4822" s="1" t="n">
        <v>547000</v>
      </c>
      <c r="D4822" s="1" t="n">
        <v>5671</v>
      </c>
      <c r="E4822" s="1" t="n">
        <v>0.0201</v>
      </c>
      <c r="F4822" s="1" t="n">
        <v>0.131</v>
      </c>
    </row>
    <row r="4823" customFormat="false" ht="15" hidden="false" customHeight="false" outlineLevel="0" collapsed="false">
      <c r="A4823" s="1" t="s">
        <v>4858</v>
      </c>
      <c r="B4823" s="1" t="s">
        <v>26</v>
      </c>
      <c r="C4823" s="1" t="n">
        <v>857000</v>
      </c>
      <c r="D4823" s="1" t="n">
        <v>83047</v>
      </c>
      <c r="E4823" s="1" t="n">
        <v>0.0204</v>
      </c>
      <c r="F4823" s="1" t="n">
        <v>0.0584</v>
      </c>
    </row>
    <row r="4824" customFormat="false" ht="15" hidden="false" customHeight="false" outlineLevel="0" collapsed="false">
      <c r="A4824" s="1" t="s">
        <v>4859</v>
      </c>
      <c r="B4824" s="1" t="s">
        <v>26</v>
      </c>
      <c r="C4824" s="1" t="n">
        <v>664000</v>
      </c>
      <c r="D4824" s="1" t="n">
        <v>21031.1</v>
      </c>
      <c r="E4824" s="1" t="n">
        <v>0.0569</v>
      </c>
      <c r="F4824" s="1" t="n">
        <v>0.0938</v>
      </c>
    </row>
    <row r="4825" customFormat="false" ht="15" hidden="false" customHeight="false" outlineLevel="0" collapsed="false">
      <c r="A4825" s="1" t="s">
        <v>4860</v>
      </c>
      <c r="B4825" s="1" t="s">
        <v>71</v>
      </c>
      <c r="C4825" s="1" t="n">
        <v>540000</v>
      </c>
      <c r="D4825" s="1" t="n">
        <v>1868.4</v>
      </c>
      <c r="E4825" s="1" t="n">
        <v>0.0127</v>
      </c>
      <c r="F4825" s="1" t="n">
        <v>0.0584</v>
      </c>
    </row>
    <row r="4826" customFormat="false" ht="15" hidden="false" customHeight="false" outlineLevel="0" collapsed="false">
      <c r="A4826" s="1" t="s">
        <v>4861</v>
      </c>
      <c r="B4826" s="1" t="s">
        <v>88</v>
      </c>
      <c r="C4826" s="1" t="n">
        <v>1290000</v>
      </c>
      <c r="D4826" s="1" t="n">
        <v>10577.2</v>
      </c>
      <c r="E4826" s="1" t="n">
        <v>0.0804</v>
      </c>
      <c r="F4826" s="1" t="n">
        <v>0.0938</v>
      </c>
    </row>
    <row r="4827" customFormat="false" ht="15" hidden="false" customHeight="false" outlineLevel="0" collapsed="false">
      <c r="A4827" s="1" t="s">
        <v>4862</v>
      </c>
      <c r="B4827" s="1" t="s">
        <v>88</v>
      </c>
      <c r="C4827" s="1" t="n">
        <v>648000</v>
      </c>
      <c r="D4827" s="1" t="n">
        <v>5847.3</v>
      </c>
      <c r="E4827" s="1" t="n">
        <v>0.0204</v>
      </c>
      <c r="F4827" s="1" t="n">
        <v>0.1053</v>
      </c>
    </row>
    <row r="4828" customFormat="false" ht="15" hidden="false" customHeight="false" outlineLevel="0" collapsed="false">
      <c r="A4828" s="1" t="s">
        <v>4863</v>
      </c>
      <c r="B4828" s="1" t="s">
        <v>88</v>
      </c>
      <c r="C4828" s="1" t="n">
        <v>546000</v>
      </c>
      <c r="D4828" s="1" t="n">
        <v>1617.6</v>
      </c>
      <c r="E4828" s="1" t="n">
        <v>0.0736</v>
      </c>
      <c r="F4828" s="1" t="n">
        <v>0.117</v>
      </c>
    </row>
    <row r="4829" customFormat="false" ht="15" hidden="false" customHeight="false" outlineLevel="0" collapsed="false">
      <c r="A4829" s="1" t="s">
        <v>4864</v>
      </c>
      <c r="B4829" s="1" t="s">
        <v>53</v>
      </c>
      <c r="C4829" s="1" t="n">
        <v>606000</v>
      </c>
      <c r="D4829" s="1" t="n">
        <v>20159.2</v>
      </c>
      <c r="E4829" s="1" t="n">
        <v>0.0563</v>
      </c>
      <c r="F4829" s="1" t="n">
        <v>0.0938</v>
      </c>
    </row>
    <row r="4830" customFormat="false" ht="15" hidden="false" customHeight="false" outlineLevel="0" collapsed="false">
      <c r="A4830" s="1" t="s">
        <v>4865</v>
      </c>
      <c r="B4830" s="1" t="s">
        <v>88</v>
      </c>
      <c r="C4830" s="1" t="n">
        <v>773000</v>
      </c>
      <c r="D4830" s="1" t="n">
        <v>6685.1</v>
      </c>
      <c r="E4830" s="1" t="n">
        <v>0.0505</v>
      </c>
      <c r="F4830" s="1" t="n">
        <v>0.0938</v>
      </c>
    </row>
    <row r="4831" customFormat="false" ht="15" hidden="false" customHeight="false" outlineLevel="0" collapsed="false">
      <c r="A4831" s="1" t="s">
        <v>4866</v>
      </c>
      <c r="B4831" s="1" t="s">
        <v>214</v>
      </c>
      <c r="C4831" s="1" t="n">
        <v>593000</v>
      </c>
      <c r="D4831" s="1" t="n">
        <v>271.3</v>
      </c>
      <c r="E4831" s="1" t="n">
        <v>0.0082</v>
      </c>
      <c r="F4831" s="1" t="n">
        <v>0.1013</v>
      </c>
    </row>
    <row r="4832" customFormat="false" ht="15" hidden="false" customHeight="false" outlineLevel="0" collapsed="false">
      <c r="A4832" s="1" t="s">
        <v>4867</v>
      </c>
      <c r="B4832" s="1" t="s">
        <v>26</v>
      </c>
      <c r="C4832" s="1" t="n">
        <v>749000</v>
      </c>
      <c r="D4832" s="1" t="n">
        <v>7813.3</v>
      </c>
      <c r="E4832" s="1" t="n">
        <v>0.024</v>
      </c>
      <c r="F4832" s="1" t="n">
        <v>0.0938</v>
      </c>
    </row>
    <row r="4833" customFormat="false" ht="15" hidden="false" customHeight="false" outlineLevel="0" collapsed="false">
      <c r="A4833" s="1" t="s">
        <v>4868</v>
      </c>
      <c r="B4833" s="1" t="s">
        <v>88</v>
      </c>
      <c r="C4833" s="1" t="n">
        <v>591000</v>
      </c>
      <c r="D4833" s="1" t="n">
        <v>462.8</v>
      </c>
      <c r="E4833" s="1" t="n">
        <v>0.0291</v>
      </c>
      <c r="F4833" s="1" t="n">
        <v>0.0938</v>
      </c>
    </row>
    <row r="4834" customFormat="false" ht="15" hidden="false" customHeight="false" outlineLevel="0" collapsed="false">
      <c r="A4834" s="1" t="s">
        <v>4869</v>
      </c>
      <c r="B4834" s="1" t="s">
        <v>26</v>
      </c>
      <c r="C4834" s="1" t="n">
        <v>698000</v>
      </c>
      <c r="D4834" s="1" t="n">
        <v>125796.8</v>
      </c>
      <c r="E4834" s="1" t="n">
        <v>0.0512</v>
      </c>
      <c r="F4834" s="1" t="n">
        <v>0.0951</v>
      </c>
    </row>
    <row r="4835" customFormat="false" ht="15" hidden="false" customHeight="false" outlineLevel="0" collapsed="false">
      <c r="A4835" s="1" t="s">
        <v>4870</v>
      </c>
      <c r="B4835" s="1" t="s">
        <v>214</v>
      </c>
      <c r="C4835" s="1" t="n">
        <v>662000</v>
      </c>
      <c r="D4835" s="1" t="n">
        <v>15479.9</v>
      </c>
      <c r="E4835" s="1" t="n">
        <v>0.039</v>
      </c>
      <c r="F4835" s="1" t="n">
        <v>0.0951</v>
      </c>
    </row>
    <row r="4836" customFormat="false" ht="15" hidden="false" customHeight="false" outlineLevel="0" collapsed="false">
      <c r="A4836" s="1" t="s">
        <v>4871</v>
      </c>
      <c r="B4836" s="1" t="s">
        <v>26</v>
      </c>
      <c r="C4836" s="1" t="n">
        <v>700000</v>
      </c>
      <c r="D4836" s="1" t="n">
        <v>7513.7</v>
      </c>
      <c r="E4836" s="1" t="n">
        <v>0.0236</v>
      </c>
      <c r="F4836" s="1" t="n">
        <v>0.0833</v>
      </c>
    </row>
    <row r="4837" customFormat="false" ht="15" hidden="false" customHeight="false" outlineLevel="0" collapsed="false">
      <c r="A4837" s="1" t="s">
        <v>4872</v>
      </c>
      <c r="B4837" s="1" t="s">
        <v>88</v>
      </c>
      <c r="C4837" s="1" t="n">
        <v>572000</v>
      </c>
      <c r="D4837" s="1" t="n">
        <v>5899.7</v>
      </c>
      <c r="E4837" s="1" t="n">
        <v>0.0348</v>
      </c>
      <c r="F4837" s="1" t="n">
        <v>0.0938</v>
      </c>
    </row>
    <row r="4838" customFormat="false" ht="15" hidden="false" customHeight="false" outlineLevel="0" collapsed="false">
      <c r="A4838" s="1" t="s">
        <v>4873</v>
      </c>
      <c r="B4838" s="1" t="s">
        <v>74</v>
      </c>
      <c r="C4838" s="1" t="n">
        <v>916000</v>
      </c>
      <c r="D4838" s="1" t="n">
        <v>6144.2</v>
      </c>
      <c r="E4838" s="1" t="n">
        <v>0.0248</v>
      </c>
      <c r="F4838" s="1" t="n">
        <v>0.1387</v>
      </c>
    </row>
    <row r="4839" customFormat="false" ht="15" hidden="false" customHeight="false" outlineLevel="0" collapsed="false">
      <c r="A4839" s="1" t="s">
        <v>4874</v>
      </c>
      <c r="B4839" s="1" t="s">
        <v>26</v>
      </c>
      <c r="C4839" s="1" t="n">
        <v>549000</v>
      </c>
      <c r="D4839" s="1" t="n">
        <v>64695.9</v>
      </c>
      <c r="E4839" s="1" t="n">
        <v>0.0502</v>
      </c>
      <c r="F4839" s="1" t="n">
        <v>0.0409</v>
      </c>
    </row>
    <row r="4840" customFormat="false" ht="15" hidden="false" customHeight="false" outlineLevel="0" collapsed="false">
      <c r="A4840" s="1" t="s">
        <v>4875</v>
      </c>
      <c r="B4840" s="1" t="s">
        <v>26</v>
      </c>
      <c r="C4840" s="1" t="n">
        <v>1160000</v>
      </c>
      <c r="D4840" s="1" t="n">
        <v>6463.9</v>
      </c>
      <c r="E4840" s="1" t="n">
        <v>0.0253</v>
      </c>
      <c r="F4840" s="1" t="n">
        <v>0.0759</v>
      </c>
    </row>
    <row r="4841" customFormat="false" ht="15" hidden="false" customHeight="false" outlineLevel="0" collapsed="false">
      <c r="A4841" s="1" t="s">
        <v>4876</v>
      </c>
      <c r="B4841" s="1" t="s">
        <v>62</v>
      </c>
      <c r="C4841" s="1" t="n">
        <v>651000</v>
      </c>
      <c r="D4841" s="1" t="n">
        <v>7796</v>
      </c>
      <c r="E4841" s="1" t="n">
        <v>0.0195</v>
      </c>
      <c r="F4841" s="1" t="n">
        <v>0.0854</v>
      </c>
    </row>
    <row r="4842" customFormat="false" ht="15" hidden="false" customHeight="false" outlineLevel="0" collapsed="false">
      <c r="A4842" s="1" t="s">
        <v>4877</v>
      </c>
      <c r="B4842" s="1" t="s">
        <v>26</v>
      </c>
      <c r="C4842" s="1" t="n">
        <v>943000</v>
      </c>
      <c r="D4842" s="1" t="n">
        <v>401979.9</v>
      </c>
      <c r="E4842" s="1" t="n">
        <v>0.0189</v>
      </c>
      <c r="F4842" s="1" t="n">
        <v>0.0462</v>
      </c>
    </row>
    <row r="4843" customFormat="false" ht="15" hidden="false" customHeight="false" outlineLevel="0" collapsed="false">
      <c r="A4843" s="1" t="s">
        <v>4878</v>
      </c>
      <c r="B4843" s="1" t="s">
        <v>92</v>
      </c>
      <c r="C4843" s="1" t="n">
        <v>580000</v>
      </c>
      <c r="D4843" s="1" t="n">
        <v>10951.6</v>
      </c>
      <c r="E4843" s="1" t="n">
        <v>0.0269</v>
      </c>
      <c r="F4843" s="1" t="n">
        <v>0.0951</v>
      </c>
    </row>
    <row r="4844" customFormat="false" ht="15" hidden="false" customHeight="false" outlineLevel="0" collapsed="false">
      <c r="A4844" s="1" t="s">
        <v>4879</v>
      </c>
      <c r="B4844" s="1" t="s">
        <v>26</v>
      </c>
      <c r="C4844" s="1" t="n">
        <v>1130000</v>
      </c>
      <c r="D4844" s="1" t="n">
        <v>18754.5</v>
      </c>
      <c r="E4844" s="1" t="n">
        <v>0.0421</v>
      </c>
      <c r="F4844" s="1" t="n">
        <v>0.0759</v>
      </c>
    </row>
    <row r="4845" customFormat="false" ht="15" hidden="false" customHeight="false" outlineLevel="0" collapsed="false">
      <c r="A4845" s="1" t="s">
        <v>4880</v>
      </c>
      <c r="B4845" s="1" t="s">
        <v>26</v>
      </c>
      <c r="C4845" s="1" t="n">
        <v>571000</v>
      </c>
      <c r="D4845" s="1" t="n">
        <v>18353.9</v>
      </c>
      <c r="E4845" s="1" t="n">
        <v>0.0397</v>
      </c>
      <c r="F4845" s="1" t="n">
        <v>0.0951</v>
      </c>
    </row>
    <row r="4846" customFormat="false" ht="15" hidden="false" customHeight="false" outlineLevel="0" collapsed="false">
      <c r="A4846" s="1" t="s">
        <v>4881</v>
      </c>
      <c r="B4846" s="1" t="s">
        <v>50</v>
      </c>
      <c r="C4846" s="1" t="n">
        <v>624000</v>
      </c>
      <c r="D4846" s="1" t="n">
        <v>2010.1</v>
      </c>
      <c r="E4846" s="1" t="n">
        <v>0.046</v>
      </c>
      <c r="F4846" s="1" t="n">
        <v>0.0759</v>
      </c>
    </row>
    <row r="4847" customFormat="false" ht="15" hidden="false" customHeight="false" outlineLevel="0" collapsed="false">
      <c r="A4847" s="1" t="s">
        <v>4882</v>
      </c>
      <c r="B4847" s="1" t="s">
        <v>26</v>
      </c>
      <c r="C4847" s="1" t="n">
        <v>496000</v>
      </c>
      <c r="D4847" s="1" t="n">
        <v>710.9</v>
      </c>
      <c r="E4847" s="1" t="n">
        <v>0.0274</v>
      </c>
      <c r="F4847" s="1" t="n">
        <v>0.0951</v>
      </c>
    </row>
    <row r="4848" customFormat="false" ht="15" hidden="false" customHeight="false" outlineLevel="0" collapsed="false">
      <c r="A4848" s="1" t="s">
        <v>4883</v>
      </c>
      <c r="B4848" s="1" t="s">
        <v>26</v>
      </c>
      <c r="C4848" s="1" t="n">
        <v>628000</v>
      </c>
      <c r="D4848" s="1" t="n">
        <v>46869.2</v>
      </c>
      <c r="E4848" s="1" t="n">
        <v>0.0277</v>
      </c>
      <c r="F4848" s="1" t="n">
        <v>0.0938</v>
      </c>
    </row>
    <row r="4849" customFormat="false" ht="15" hidden="false" customHeight="false" outlineLevel="0" collapsed="false">
      <c r="A4849" s="1" t="s">
        <v>4884</v>
      </c>
      <c r="B4849" s="1" t="s">
        <v>62</v>
      </c>
      <c r="C4849" s="1" t="n">
        <v>1640000</v>
      </c>
      <c r="D4849" s="1" t="n">
        <v>6939.3</v>
      </c>
      <c r="E4849" s="1" t="n">
        <v>0.0411</v>
      </c>
      <c r="F4849" s="1" t="n">
        <v>0.0938</v>
      </c>
    </row>
    <row r="4850" customFormat="false" ht="15" hidden="false" customHeight="false" outlineLevel="0" collapsed="false">
      <c r="A4850" s="1" t="s">
        <v>4885</v>
      </c>
      <c r="B4850" s="1" t="s">
        <v>26</v>
      </c>
      <c r="C4850" s="1" t="n">
        <v>1050000</v>
      </c>
      <c r="D4850" s="1" t="n">
        <v>29160</v>
      </c>
      <c r="E4850" s="1" t="n">
        <v>0.031</v>
      </c>
      <c r="F4850" s="1" t="n">
        <v>0.0759</v>
      </c>
    </row>
    <row r="4851" customFormat="false" ht="15" hidden="false" customHeight="false" outlineLevel="0" collapsed="false">
      <c r="A4851" s="1" t="s">
        <v>4886</v>
      </c>
      <c r="B4851" s="1" t="s">
        <v>41</v>
      </c>
      <c r="C4851" s="1" t="n">
        <v>599000</v>
      </c>
      <c r="D4851" s="1" t="n">
        <v>622</v>
      </c>
      <c r="E4851" s="1" t="n">
        <v>0.0124</v>
      </c>
      <c r="F4851" s="1" t="n">
        <v>0.0765</v>
      </c>
    </row>
    <row r="4852" customFormat="false" ht="15" hidden="false" customHeight="false" outlineLevel="0" collapsed="false">
      <c r="A4852" s="1" t="s">
        <v>4887</v>
      </c>
      <c r="B4852" s="1" t="s">
        <v>26</v>
      </c>
      <c r="C4852" s="1" t="n">
        <v>1140000</v>
      </c>
      <c r="D4852" s="1" t="n">
        <v>129802.5</v>
      </c>
      <c r="E4852" s="1" t="n">
        <v>0.031</v>
      </c>
      <c r="F4852" s="1" t="n">
        <v>0.0409</v>
      </c>
    </row>
    <row r="4853" customFormat="false" ht="15" hidden="false" customHeight="false" outlineLevel="0" collapsed="false">
      <c r="A4853" s="1" t="s">
        <v>4888</v>
      </c>
      <c r="B4853" s="1" t="s">
        <v>92</v>
      </c>
      <c r="C4853" s="1" t="n">
        <v>641000</v>
      </c>
      <c r="D4853" s="1" t="n">
        <v>31531.8</v>
      </c>
      <c r="E4853" s="1" t="n">
        <v>0.0089</v>
      </c>
      <c r="F4853" s="1" t="n">
        <v>0.1452</v>
      </c>
    </row>
    <row r="4854" customFormat="false" ht="15" hidden="false" customHeight="false" outlineLevel="0" collapsed="false">
      <c r="A4854" s="1" t="s">
        <v>4889</v>
      </c>
      <c r="B4854" s="1" t="s">
        <v>32</v>
      </c>
      <c r="C4854" s="1" t="n">
        <v>643000</v>
      </c>
      <c r="D4854" s="1" t="n">
        <v>3968.2</v>
      </c>
      <c r="E4854" s="1" t="n">
        <v>0.0113</v>
      </c>
      <c r="F4854" s="1" t="n">
        <v>0.0584</v>
      </c>
    </row>
    <row r="4855" customFormat="false" ht="15" hidden="false" customHeight="false" outlineLevel="0" collapsed="false">
      <c r="A4855" s="1" t="s">
        <v>4890</v>
      </c>
      <c r="B4855" s="1" t="s">
        <v>26</v>
      </c>
      <c r="C4855" s="1" t="n">
        <v>545000</v>
      </c>
      <c r="D4855" s="1" t="n">
        <v>33181.2</v>
      </c>
      <c r="E4855" s="1" t="n">
        <v>0.0576</v>
      </c>
      <c r="F4855" s="1" t="n">
        <v>0.0672</v>
      </c>
    </row>
    <row r="4856" customFormat="false" ht="15" hidden="false" customHeight="false" outlineLevel="0" collapsed="false">
      <c r="A4856" s="1" t="s">
        <v>4891</v>
      </c>
      <c r="B4856" s="1" t="s">
        <v>50</v>
      </c>
      <c r="C4856" s="1" t="n">
        <v>523000</v>
      </c>
      <c r="D4856" s="1" t="n">
        <v>1985.3</v>
      </c>
      <c r="E4856" s="1" t="n">
        <v>0.0067</v>
      </c>
      <c r="F4856" s="1" t="n">
        <v>0.1015</v>
      </c>
    </row>
    <row r="4857" customFormat="false" ht="15" hidden="false" customHeight="false" outlineLevel="0" collapsed="false">
      <c r="A4857" s="1" t="s">
        <v>4892</v>
      </c>
      <c r="B4857" s="1" t="s">
        <v>26</v>
      </c>
      <c r="C4857" s="1" t="n">
        <v>613000</v>
      </c>
      <c r="D4857" s="1" t="n">
        <v>9828.4</v>
      </c>
      <c r="E4857" s="1" t="n">
        <v>0.0485</v>
      </c>
      <c r="F4857" s="1" t="n">
        <v>0.0951</v>
      </c>
    </row>
    <row r="4858" customFormat="false" ht="15" hidden="false" customHeight="false" outlineLevel="0" collapsed="false">
      <c r="A4858" s="1" t="s">
        <v>4893</v>
      </c>
      <c r="B4858" s="1" t="s">
        <v>214</v>
      </c>
      <c r="C4858" s="1" t="n">
        <v>774000</v>
      </c>
      <c r="D4858" s="1" t="n">
        <v>34656.6</v>
      </c>
      <c r="E4858" s="1" t="n">
        <v>0.021</v>
      </c>
      <c r="F4858" s="1" t="n">
        <v>0.0488</v>
      </c>
    </row>
    <row r="4859" customFormat="false" ht="15" hidden="false" customHeight="false" outlineLevel="0" collapsed="false">
      <c r="A4859" s="1" t="s">
        <v>4894</v>
      </c>
      <c r="B4859" s="1" t="s">
        <v>41</v>
      </c>
      <c r="C4859" s="1" t="n">
        <v>501000</v>
      </c>
      <c r="D4859" s="1" t="n">
        <v>2945.4</v>
      </c>
      <c r="E4859" s="1" t="n">
        <v>0.04</v>
      </c>
      <c r="F4859" s="1" t="n">
        <v>0.117</v>
      </c>
    </row>
    <row r="4860" customFormat="false" ht="15" hidden="false" customHeight="false" outlineLevel="0" collapsed="false">
      <c r="A4860" s="1" t="s">
        <v>4895</v>
      </c>
      <c r="B4860" s="1" t="s">
        <v>287</v>
      </c>
      <c r="C4860" s="1" t="n">
        <v>520000</v>
      </c>
      <c r="D4860" s="1" t="n">
        <v>1232.2</v>
      </c>
      <c r="E4860" s="1" t="n">
        <v>0.0454</v>
      </c>
      <c r="F4860" s="1" t="n">
        <v>0.1226</v>
      </c>
    </row>
    <row r="4861" customFormat="false" ht="15" hidden="false" customHeight="false" outlineLevel="0" collapsed="false">
      <c r="A4861" s="1" t="s">
        <v>4896</v>
      </c>
      <c r="B4861" s="1" t="s">
        <v>62</v>
      </c>
      <c r="C4861" s="1" t="n">
        <v>496000</v>
      </c>
      <c r="D4861" s="1" t="n">
        <v>1540.7</v>
      </c>
      <c r="E4861" s="1" t="n">
        <v>0.0264</v>
      </c>
      <c r="F4861" s="1" t="n">
        <v>0.0951</v>
      </c>
    </row>
    <row r="4862" customFormat="false" ht="15" hidden="false" customHeight="false" outlineLevel="0" collapsed="false">
      <c r="A4862" s="1" t="s">
        <v>4897</v>
      </c>
      <c r="B4862" s="1" t="s">
        <v>26</v>
      </c>
      <c r="C4862" s="1" t="n">
        <v>533000</v>
      </c>
      <c r="D4862" s="1" t="n">
        <v>11189.8</v>
      </c>
      <c r="E4862" s="1" t="n">
        <v>0.0267</v>
      </c>
      <c r="F4862" s="1" t="n">
        <v>0.0759</v>
      </c>
    </row>
    <row r="4863" customFormat="false" ht="15" hidden="false" customHeight="false" outlineLevel="0" collapsed="false">
      <c r="A4863" s="1" t="s">
        <v>4898</v>
      </c>
      <c r="B4863" s="1" t="s">
        <v>26</v>
      </c>
      <c r="C4863" s="1" t="n">
        <v>525000</v>
      </c>
      <c r="D4863" s="1" t="n">
        <v>1945.2</v>
      </c>
      <c r="E4863" s="1" t="n">
        <v>0.0105</v>
      </c>
      <c r="F4863" s="1" t="n">
        <v>0.1015</v>
      </c>
    </row>
    <row r="4864" customFormat="false" ht="15" hidden="false" customHeight="false" outlineLevel="0" collapsed="false">
      <c r="A4864" s="1" t="s">
        <v>4899</v>
      </c>
      <c r="B4864" s="1" t="s">
        <v>50</v>
      </c>
      <c r="C4864" s="1" t="n">
        <v>600000</v>
      </c>
      <c r="D4864" s="1" t="n">
        <v>6987.5</v>
      </c>
      <c r="E4864" s="1" t="n">
        <v>0.0011</v>
      </c>
      <c r="F4864" s="1" t="n">
        <v>0.0654</v>
      </c>
    </row>
    <row r="4865" customFormat="false" ht="15" hidden="false" customHeight="false" outlineLevel="0" collapsed="false">
      <c r="A4865" s="1" t="s">
        <v>4900</v>
      </c>
      <c r="B4865" s="1" t="s">
        <v>41</v>
      </c>
      <c r="C4865" s="1" t="n">
        <v>554000</v>
      </c>
      <c r="D4865" s="1" t="n">
        <v>1513.7</v>
      </c>
      <c r="E4865" s="1" t="n">
        <v>0.1732</v>
      </c>
      <c r="F4865" s="1" t="n">
        <v>0.0759</v>
      </c>
    </row>
    <row r="4866" customFormat="false" ht="15" hidden="false" customHeight="false" outlineLevel="0" collapsed="false">
      <c r="A4866" s="1" t="s">
        <v>4901</v>
      </c>
      <c r="B4866" s="1" t="s">
        <v>26</v>
      </c>
      <c r="C4866" s="1" t="n">
        <v>510000</v>
      </c>
      <c r="D4866" s="1" t="n">
        <v>3602.8</v>
      </c>
      <c r="E4866" s="1" t="n">
        <v>0.0379</v>
      </c>
      <c r="F4866" s="1" t="n">
        <v>0.0938</v>
      </c>
    </row>
    <row r="4867" customFormat="false" ht="15" hidden="false" customHeight="false" outlineLevel="0" collapsed="false">
      <c r="A4867" s="1" t="s">
        <v>4902</v>
      </c>
      <c r="B4867" s="1" t="s">
        <v>92</v>
      </c>
      <c r="C4867" s="1" t="n">
        <v>499000</v>
      </c>
      <c r="D4867" s="1" t="n">
        <v>9468.5</v>
      </c>
      <c r="E4867" s="1" t="n">
        <v>0.0127</v>
      </c>
      <c r="F4867" s="1" t="n">
        <v>0.1192</v>
      </c>
    </row>
    <row r="4868" customFormat="false" ht="15" hidden="false" customHeight="false" outlineLevel="0" collapsed="false">
      <c r="A4868" s="1" t="s">
        <v>4903</v>
      </c>
      <c r="B4868" s="1" t="s">
        <v>41</v>
      </c>
      <c r="C4868" s="1" t="n">
        <v>567000</v>
      </c>
      <c r="F4868" s="1" t="n">
        <v>0.0759</v>
      </c>
    </row>
    <row r="4869" customFormat="false" ht="15" hidden="false" customHeight="false" outlineLevel="0" collapsed="false">
      <c r="A4869" s="1" t="s">
        <v>4904</v>
      </c>
      <c r="B4869" s="1" t="s">
        <v>214</v>
      </c>
      <c r="C4869" s="1" t="n">
        <v>542000</v>
      </c>
      <c r="D4869" s="1" t="n">
        <v>6897.2</v>
      </c>
      <c r="E4869" s="1" t="n">
        <v>0.0193</v>
      </c>
      <c r="F4869" s="1" t="n">
        <v>0.1067</v>
      </c>
    </row>
    <row r="4870" customFormat="false" ht="15" hidden="false" customHeight="false" outlineLevel="0" collapsed="false">
      <c r="A4870" s="1" t="s">
        <v>4905</v>
      </c>
      <c r="B4870" s="1" t="s">
        <v>88</v>
      </c>
      <c r="C4870" s="1" t="n">
        <v>497000</v>
      </c>
      <c r="D4870" s="1" t="n">
        <v>418.5</v>
      </c>
      <c r="E4870" s="1" t="n">
        <v>0.0255</v>
      </c>
      <c r="F4870" s="1" t="n">
        <v>0.1042</v>
      </c>
    </row>
    <row r="4871" customFormat="false" ht="15" hidden="false" customHeight="false" outlineLevel="0" collapsed="false">
      <c r="A4871" s="1" t="s">
        <v>4906</v>
      </c>
      <c r="B4871" s="1" t="s">
        <v>41</v>
      </c>
      <c r="C4871" s="1" t="n">
        <v>568000</v>
      </c>
      <c r="D4871" s="1" t="n">
        <v>346443.5</v>
      </c>
      <c r="E4871" s="1" t="n">
        <v>0.0342</v>
      </c>
      <c r="F4871" s="1" t="n">
        <v>0.0518</v>
      </c>
    </row>
    <row r="4872" customFormat="false" ht="15" hidden="false" customHeight="false" outlineLevel="0" collapsed="false">
      <c r="A4872" s="1" t="s">
        <v>4907</v>
      </c>
      <c r="B4872" s="1" t="s">
        <v>71</v>
      </c>
      <c r="C4872" s="1" t="n">
        <v>499000</v>
      </c>
      <c r="D4872" s="1" t="n">
        <v>1494.3</v>
      </c>
      <c r="E4872" s="1" t="n">
        <v>0.024</v>
      </c>
      <c r="F4872" s="1" t="n">
        <v>0.0951</v>
      </c>
    </row>
    <row r="4873" customFormat="false" ht="15" hidden="false" customHeight="false" outlineLevel="0" collapsed="false">
      <c r="A4873" s="1" t="s">
        <v>4908</v>
      </c>
      <c r="B4873" s="1" t="s">
        <v>88</v>
      </c>
      <c r="C4873" s="1" t="n">
        <v>683000</v>
      </c>
      <c r="D4873" s="1" t="n">
        <v>4480.3</v>
      </c>
      <c r="E4873" s="1" t="n">
        <v>0.0347</v>
      </c>
      <c r="F4873" s="1" t="n">
        <v>0.0759</v>
      </c>
    </row>
    <row r="4874" customFormat="false" ht="15" hidden="false" customHeight="false" outlineLevel="0" collapsed="false">
      <c r="A4874" s="1" t="s">
        <v>4909</v>
      </c>
      <c r="B4874" s="1" t="s">
        <v>53</v>
      </c>
      <c r="C4874" s="1" t="n">
        <v>634000</v>
      </c>
      <c r="D4874" s="1" t="n">
        <v>41271.6</v>
      </c>
      <c r="E4874" s="1" t="n">
        <v>0.0436</v>
      </c>
      <c r="F4874" s="1" t="n">
        <v>0.0759</v>
      </c>
    </row>
    <row r="4875" customFormat="false" ht="15" hidden="false" customHeight="false" outlineLevel="0" collapsed="false">
      <c r="A4875" s="1" t="s">
        <v>4910</v>
      </c>
      <c r="B4875" s="1" t="s">
        <v>24</v>
      </c>
      <c r="C4875" s="1" t="n">
        <v>732000</v>
      </c>
      <c r="D4875" s="1" t="n">
        <v>1352.1</v>
      </c>
      <c r="E4875" s="1" t="n">
        <v>0.019</v>
      </c>
      <c r="F4875" s="1" t="n">
        <v>0.0462</v>
      </c>
    </row>
    <row r="4876" customFormat="false" ht="15" hidden="false" customHeight="false" outlineLevel="0" collapsed="false">
      <c r="A4876" s="1" t="s">
        <v>4911</v>
      </c>
      <c r="B4876" s="1" t="s">
        <v>88</v>
      </c>
      <c r="C4876" s="1" t="n">
        <v>537000</v>
      </c>
      <c r="D4876" s="1" t="n">
        <v>3984.9</v>
      </c>
      <c r="E4876" s="1" t="n">
        <v>0.0151</v>
      </c>
      <c r="F4876" s="1" t="n">
        <v>0.052</v>
      </c>
    </row>
    <row r="4877" customFormat="false" ht="15" hidden="false" customHeight="false" outlineLevel="0" collapsed="false">
      <c r="A4877" s="1" t="s">
        <v>4912</v>
      </c>
      <c r="B4877" s="1" t="s">
        <v>214</v>
      </c>
      <c r="C4877" s="1" t="n">
        <v>640000</v>
      </c>
      <c r="D4877" s="1" t="n">
        <v>450617.1</v>
      </c>
      <c r="E4877" s="1" t="n">
        <v>0.0355</v>
      </c>
      <c r="F4877" s="1" t="n">
        <v>0.0759</v>
      </c>
    </row>
    <row r="4878" customFormat="false" ht="15" hidden="false" customHeight="false" outlineLevel="0" collapsed="false">
      <c r="A4878" s="1" t="s">
        <v>4913</v>
      </c>
      <c r="B4878" s="1" t="s">
        <v>53</v>
      </c>
      <c r="C4878" s="1" t="n">
        <v>515000</v>
      </c>
      <c r="D4878" s="1" t="n">
        <v>407.6</v>
      </c>
      <c r="E4878" s="1" t="n">
        <v>0.0699</v>
      </c>
      <c r="F4878" s="1" t="n">
        <v>0.0938</v>
      </c>
    </row>
    <row r="4879" customFormat="false" ht="15" hidden="false" customHeight="false" outlineLevel="0" collapsed="false">
      <c r="A4879" s="1" t="s">
        <v>4914</v>
      </c>
      <c r="B4879" s="1" t="s">
        <v>214</v>
      </c>
      <c r="C4879" s="1" t="n">
        <v>585000</v>
      </c>
      <c r="D4879" s="1" t="n">
        <v>2213.4</v>
      </c>
      <c r="E4879" s="1" t="n">
        <v>0.0288</v>
      </c>
      <c r="F4879" s="1" t="n">
        <v>0.0759</v>
      </c>
    </row>
    <row r="4880" customFormat="false" ht="15" hidden="false" customHeight="false" outlineLevel="0" collapsed="false">
      <c r="A4880" s="1" t="s">
        <v>4915</v>
      </c>
      <c r="B4880" s="1" t="s">
        <v>62</v>
      </c>
      <c r="C4880" s="1" t="n">
        <v>1270000</v>
      </c>
      <c r="D4880" s="1" t="n">
        <v>9746.4</v>
      </c>
      <c r="E4880" s="1" t="n">
        <v>0.0258</v>
      </c>
      <c r="F4880" s="1" t="n">
        <v>0.0833</v>
      </c>
    </row>
    <row r="4881" customFormat="false" ht="15" hidden="false" customHeight="false" outlineLevel="0" collapsed="false">
      <c r="A4881" s="1" t="s">
        <v>4916</v>
      </c>
      <c r="B4881" s="1" t="s">
        <v>88</v>
      </c>
      <c r="C4881" s="1" t="n">
        <v>654000</v>
      </c>
      <c r="D4881" s="1" t="n">
        <v>174.4</v>
      </c>
      <c r="E4881" s="1" t="n">
        <v>0.019</v>
      </c>
      <c r="F4881" s="1" t="n">
        <v>0.0938</v>
      </c>
    </row>
    <row r="4882" customFormat="false" ht="15" hidden="false" customHeight="false" outlineLevel="0" collapsed="false">
      <c r="A4882" s="1" t="s">
        <v>4917</v>
      </c>
      <c r="B4882" s="1" t="s">
        <v>53</v>
      </c>
      <c r="C4882" s="1" t="n">
        <v>1100000</v>
      </c>
      <c r="D4882" s="1" t="n">
        <v>356.1</v>
      </c>
      <c r="E4882" s="1" t="n">
        <v>0.0174</v>
      </c>
      <c r="F4882" s="1" t="n">
        <v>0.09</v>
      </c>
    </row>
    <row r="4883" customFormat="false" ht="15" hidden="false" customHeight="false" outlineLevel="0" collapsed="false">
      <c r="A4883" s="1" t="s">
        <v>4918</v>
      </c>
      <c r="B4883" s="1" t="s">
        <v>88</v>
      </c>
      <c r="C4883" s="1" t="n">
        <v>666000</v>
      </c>
      <c r="D4883" s="1" t="n">
        <v>18489.7</v>
      </c>
      <c r="E4883" s="1" t="n">
        <v>0.0994</v>
      </c>
      <c r="F4883" s="1" t="n">
        <v>0.0938</v>
      </c>
    </row>
    <row r="4884" customFormat="false" ht="15" hidden="false" customHeight="false" outlineLevel="0" collapsed="false">
      <c r="A4884" s="1" t="s">
        <v>4919</v>
      </c>
      <c r="B4884" s="1" t="s">
        <v>41</v>
      </c>
      <c r="C4884" s="1" t="n">
        <v>701000</v>
      </c>
      <c r="D4884" s="1" t="n">
        <v>375.7</v>
      </c>
      <c r="E4884" s="1" t="n">
        <v>0.0214</v>
      </c>
      <c r="F4884" s="1" t="n">
        <v>0.1372</v>
      </c>
    </row>
    <row r="4885" customFormat="false" ht="15" hidden="false" customHeight="false" outlineLevel="0" collapsed="false">
      <c r="A4885" s="1" t="s">
        <v>4920</v>
      </c>
      <c r="B4885" s="1" t="s">
        <v>71</v>
      </c>
      <c r="C4885" s="1" t="n">
        <v>775000</v>
      </c>
      <c r="D4885" s="1" t="n">
        <v>5.7</v>
      </c>
      <c r="E4885" s="1" t="n">
        <v>0.0325</v>
      </c>
      <c r="F4885" s="1" t="n">
        <v>0.241</v>
      </c>
    </row>
    <row r="4886" customFormat="false" ht="15" hidden="false" customHeight="false" outlineLevel="0" collapsed="false">
      <c r="A4886" s="1" t="s">
        <v>4921</v>
      </c>
      <c r="B4886" s="1" t="s">
        <v>214</v>
      </c>
      <c r="C4886" s="1" t="n">
        <v>756000</v>
      </c>
      <c r="D4886" s="1" t="n">
        <v>153034.5</v>
      </c>
      <c r="E4886" s="1" t="n">
        <v>0.0335</v>
      </c>
      <c r="F4886" s="1" t="n">
        <v>0.1688</v>
      </c>
    </row>
    <row r="4887" customFormat="false" ht="15" hidden="false" customHeight="false" outlineLevel="0" collapsed="false">
      <c r="A4887" s="1" t="s">
        <v>4922</v>
      </c>
      <c r="B4887" s="1" t="s">
        <v>88</v>
      </c>
      <c r="C4887" s="1" t="n">
        <v>476000</v>
      </c>
      <c r="D4887" s="1" t="n">
        <v>948</v>
      </c>
      <c r="E4887" s="1" t="n">
        <v>0.0176</v>
      </c>
      <c r="F4887" s="1" t="n">
        <v>0.131</v>
      </c>
    </row>
    <row r="4888" customFormat="false" ht="15" hidden="false" customHeight="false" outlineLevel="0" collapsed="false">
      <c r="A4888" s="1" t="s">
        <v>4923</v>
      </c>
      <c r="B4888" s="1" t="s">
        <v>74</v>
      </c>
      <c r="C4888" s="1" t="n">
        <v>488000</v>
      </c>
      <c r="D4888" s="1" t="n">
        <v>1895.8</v>
      </c>
      <c r="E4888" s="1" t="n">
        <v>0.0297</v>
      </c>
      <c r="F4888" s="1" t="n">
        <v>0.0951</v>
      </c>
    </row>
    <row r="4889" customFormat="false" ht="15" hidden="false" customHeight="false" outlineLevel="0" collapsed="false">
      <c r="A4889" s="1" t="s">
        <v>4924</v>
      </c>
      <c r="B4889" s="1" t="s">
        <v>287</v>
      </c>
      <c r="C4889" s="1" t="n">
        <v>520000</v>
      </c>
      <c r="D4889" s="1" t="n">
        <v>21149.6</v>
      </c>
      <c r="E4889" s="1" t="n">
        <v>0.0624</v>
      </c>
      <c r="F4889" s="1" t="n">
        <v>0.0938</v>
      </c>
    </row>
    <row r="4890" customFormat="false" ht="15" hidden="false" customHeight="false" outlineLevel="0" collapsed="false">
      <c r="A4890" s="1" t="s">
        <v>4925</v>
      </c>
      <c r="B4890" s="1" t="s">
        <v>26</v>
      </c>
      <c r="C4890" s="1" t="n">
        <v>553000</v>
      </c>
      <c r="D4890" s="1" t="n">
        <v>50181.5</v>
      </c>
      <c r="E4890" s="1" t="n">
        <v>0.0141</v>
      </c>
      <c r="F4890" s="1" t="n">
        <v>0.0608</v>
      </c>
    </row>
    <row r="4891" customFormat="false" ht="15" hidden="false" customHeight="false" outlineLevel="0" collapsed="false">
      <c r="A4891" s="1" t="s">
        <v>4926</v>
      </c>
      <c r="B4891" s="1" t="s">
        <v>62</v>
      </c>
      <c r="C4891" s="1" t="n">
        <v>613000</v>
      </c>
      <c r="D4891" s="1" t="n">
        <v>289322.6</v>
      </c>
      <c r="E4891" s="1" t="n">
        <v>0.034</v>
      </c>
      <c r="F4891" s="1" t="n">
        <v>0.0409</v>
      </c>
    </row>
    <row r="4892" customFormat="false" ht="15" hidden="false" customHeight="false" outlineLevel="0" collapsed="false">
      <c r="A4892" s="1" t="s">
        <v>4927</v>
      </c>
      <c r="B4892" s="1" t="s">
        <v>50</v>
      </c>
      <c r="C4892" s="1" t="n">
        <v>599000</v>
      </c>
      <c r="D4892" s="1" t="n">
        <v>5013.9</v>
      </c>
      <c r="E4892" s="1" t="n">
        <v>0.0274</v>
      </c>
      <c r="F4892" s="1" t="n">
        <v>0.0759</v>
      </c>
    </row>
    <row r="4893" customFormat="false" ht="15" hidden="false" customHeight="false" outlineLevel="0" collapsed="false">
      <c r="A4893" s="1" t="s">
        <v>4928</v>
      </c>
      <c r="B4893" s="1" t="s">
        <v>88</v>
      </c>
      <c r="C4893" s="1" t="n">
        <v>1290000</v>
      </c>
      <c r="D4893" s="1" t="n">
        <v>53544</v>
      </c>
      <c r="E4893" s="1" t="n">
        <v>0.0492</v>
      </c>
      <c r="F4893" s="1" t="n">
        <v>0.117</v>
      </c>
    </row>
    <row r="4894" customFormat="false" ht="15" hidden="false" customHeight="false" outlineLevel="0" collapsed="false">
      <c r="A4894" s="1" t="s">
        <v>4929</v>
      </c>
      <c r="B4894" s="1" t="s">
        <v>62</v>
      </c>
      <c r="C4894" s="1" t="n">
        <v>752000</v>
      </c>
      <c r="D4894" s="1" t="n">
        <v>15983.1</v>
      </c>
      <c r="E4894" s="1" t="n">
        <v>0.0225</v>
      </c>
      <c r="F4894" s="1" t="n">
        <v>0.0409</v>
      </c>
    </row>
    <row r="4895" customFormat="false" ht="15" hidden="false" customHeight="false" outlineLevel="0" collapsed="false">
      <c r="A4895" s="1" t="s">
        <v>4930</v>
      </c>
      <c r="B4895" s="1" t="s">
        <v>287</v>
      </c>
      <c r="C4895" s="1" t="n">
        <v>496000</v>
      </c>
      <c r="D4895" s="1" t="n">
        <v>981.9</v>
      </c>
      <c r="E4895" s="1" t="n">
        <v>0.0252</v>
      </c>
      <c r="F4895" s="1" t="n">
        <v>0.0759</v>
      </c>
    </row>
    <row r="4896" customFormat="false" ht="15" hidden="false" customHeight="false" outlineLevel="0" collapsed="false">
      <c r="A4896" s="1" t="s">
        <v>4931</v>
      </c>
      <c r="B4896" s="1" t="s">
        <v>81</v>
      </c>
      <c r="C4896" s="1" t="n">
        <v>514000</v>
      </c>
      <c r="D4896" s="1" t="n">
        <v>51953.2</v>
      </c>
      <c r="E4896" s="1" t="n">
        <v>0.0232</v>
      </c>
      <c r="F4896" s="1" t="n">
        <v>0.1067</v>
      </c>
    </row>
    <row r="4897" customFormat="false" ht="15" hidden="false" customHeight="false" outlineLevel="0" collapsed="false">
      <c r="A4897" s="1" t="s">
        <v>4932</v>
      </c>
      <c r="B4897" s="1" t="s">
        <v>41</v>
      </c>
      <c r="C4897" s="1" t="n">
        <v>507000</v>
      </c>
      <c r="D4897" s="1" t="n">
        <v>1070</v>
      </c>
      <c r="E4897" s="1" t="n">
        <v>0.0832</v>
      </c>
      <c r="F4897" s="1" t="n">
        <v>0.0951</v>
      </c>
    </row>
    <row r="4898" customFormat="false" ht="15" hidden="false" customHeight="false" outlineLevel="0" collapsed="false">
      <c r="A4898" s="1" t="s">
        <v>4933</v>
      </c>
      <c r="B4898" s="1" t="s">
        <v>53</v>
      </c>
      <c r="C4898" s="1" t="n">
        <v>506000</v>
      </c>
      <c r="D4898" s="1" t="n">
        <v>43336.5</v>
      </c>
      <c r="E4898" s="1" t="n">
        <v>0.0705</v>
      </c>
      <c r="F4898" s="1" t="n">
        <v>0.0409</v>
      </c>
    </row>
    <row r="4899" customFormat="false" ht="15" hidden="false" customHeight="false" outlineLevel="0" collapsed="false">
      <c r="A4899" s="1" t="s">
        <v>4934</v>
      </c>
      <c r="B4899" s="1" t="s">
        <v>21</v>
      </c>
      <c r="C4899" s="1" t="n">
        <v>625000</v>
      </c>
      <c r="D4899" s="1" t="n">
        <v>112682.9</v>
      </c>
      <c r="E4899" s="1" t="n">
        <v>0.0796</v>
      </c>
      <c r="F4899" s="1" t="n">
        <v>0.0938</v>
      </c>
    </row>
    <row r="4900" customFormat="false" ht="15" hidden="false" customHeight="false" outlineLevel="0" collapsed="false">
      <c r="A4900" s="1" t="s">
        <v>4935</v>
      </c>
      <c r="B4900" s="1" t="s">
        <v>53</v>
      </c>
      <c r="C4900" s="1" t="n">
        <v>935000</v>
      </c>
      <c r="D4900" s="1" t="n">
        <v>2840.7</v>
      </c>
      <c r="E4900" s="1" t="n">
        <v>0.0052</v>
      </c>
      <c r="F4900" s="1" t="n">
        <v>0.0654</v>
      </c>
    </row>
    <row r="4901" customFormat="false" ht="15" hidden="false" customHeight="false" outlineLevel="0" collapsed="false">
      <c r="A4901" s="1" t="s">
        <v>4936</v>
      </c>
      <c r="B4901" s="1" t="s">
        <v>26</v>
      </c>
      <c r="C4901" s="1" t="n">
        <v>1780000</v>
      </c>
      <c r="D4901" s="1" t="n">
        <v>833797.6</v>
      </c>
      <c r="E4901" s="1" t="n">
        <v>0.0274</v>
      </c>
      <c r="F4901" s="1" t="n">
        <v>0.0759</v>
      </c>
    </row>
    <row r="4902" customFormat="false" ht="15" hidden="false" customHeight="false" outlineLevel="0" collapsed="false">
      <c r="A4902" s="1" t="s">
        <v>4937</v>
      </c>
      <c r="B4902" s="1" t="s">
        <v>28</v>
      </c>
      <c r="C4902" s="1" t="n">
        <v>805000</v>
      </c>
      <c r="D4902" s="1" t="n">
        <v>47209.8</v>
      </c>
      <c r="E4902" s="1" t="n">
        <v>0.0072</v>
      </c>
      <c r="F4902" s="1" t="n">
        <v>0.1015</v>
      </c>
    </row>
    <row r="4903" customFormat="false" ht="15" hidden="false" customHeight="false" outlineLevel="0" collapsed="false">
      <c r="A4903" s="1" t="s">
        <v>4938</v>
      </c>
      <c r="B4903" s="1" t="s">
        <v>32</v>
      </c>
      <c r="C4903" s="1" t="n">
        <v>537000</v>
      </c>
      <c r="D4903" s="1" t="n">
        <v>13074.6</v>
      </c>
      <c r="E4903" s="1" t="n">
        <v>0.0409</v>
      </c>
      <c r="F4903" s="1" t="n">
        <v>0.0951</v>
      </c>
    </row>
    <row r="4904" customFormat="false" ht="15" hidden="false" customHeight="false" outlineLevel="0" collapsed="false">
      <c r="A4904" s="1" t="s">
        <v>4939</v>
      </c>
      <c r="B4904" s="1" t="s">
        <v>74</v>
      </c>
      <c r="C4904" s="1" t="n">
        <v>512000</v>
      </c>
      <c r="D4904" s="1" t="n">
        <v>119.9</v>
      </c>
      <c r="E4904" s="1" t="n">
        <v>0.0235</v>
      </c>
      <c r="F4904" s="1" t="n">
        <v>0.0409</v>
      </c>
    </row>
    <row r="4905" customFormat="false" ht="15" hidden="false" customHeight="false" outlineLevel="0" collapsed="false">
      <c r="A4905" s="1" t="s">
        <v>4940</v>
      </c>
      <c r="B4905" s="1" t="s">
        <v>92</v>
      </c>
      <c r="C4905" s="1" t="n">
        <v>736000</v>
      </c>
      <c r="D4905" s="1" t="n">
        <v>49426.8</v>
      </c>
      <c r="E4905" s="1" t="n">
        <v>0.0176</v>
      </c>
      <c r="F4905" s="1" t="n">
        <v>0.0462</v>
      </c>
    </row>
    <row r="4906" customFormat="false" ht="15" hidden="false" customHeight="false" outlineLevel="0" collapsed="false">
      <c r="A4906" s="1" t="s">
        <v>4941</v>
      </c>
      <c r="B4906" s="1" t="s">
        <v>195</v>
      </c>
      <c r="C4906" s="1" t="n">
        <v>581000</v>
      </c>
      <c r="D4906" s="1" t="n">
        <v>1649.1</v>
      </c>
      <c r="E4906" s="1" t="n">
        <v>0.0094</v>
      </c>
      <c r="F4906" s="1" t="n">
        <v>0.0822</v>
      </c>
    </row>
    <row r="4907" customFormat="false" ht="15" hidden="false" customHeight="false" outlineLevel="0" collapsed="false">
      <c r="A4907" s="1" t="s">
        <v>4942</v>
      </c>
      <c r="B4907" s="1" t="s">
        <v>62</v>
      </c>
      <c r="C4907" s="1" t="n">
        <v>786000</v>
      </c>
      <c r="D4907" s="1" t="n">
        <v>11564.3</v>
      </c>
      <c r="E4907" s="1" t="n">
        <v>0.041</v>
      </c>
      <c r="F4907" s="1" t="n">
        <v>0.0833</v>
      </c>
    </row>
    <row r="4908" customFormat="false" ht="15" hidden="false" customHeight="false" outlineLevel="0" collapsed="false">
      <c r="A4908" s="1" t="s">
        <v>4943</v>
      </c>
      <c r="B4908" s="1" t="s">
        <v>88</v>
      </c>
      <c r="C4908" s="1" t="n">
        <v>517000</v>
      </c>
      <c r="D4908" s="1" t="n">
        <v>485</v>
      </c>
      <c r="E4908" s="1" t="n">
        <v>0.022</v>
      </c>
      <c r="F4908" s="1" t="n">
        <v>0.0938</v>
      </c>
    </row>
    <row r="4909" customFormat="false" ht="15" hidden="false" customHeight="false" outlineLevel="0" collapsed="false">
      <c r="A4909" s="1" t="s">
        <v>4944</v>
      </c>
      <c r="B4909" s="1" t="s">
        <v>287</v>
      </c>
      <c r="C4909" s="1" t="n">
        <v>525000</v>
      </c>
      <c r="D4909" s="1" t="n">
        <v>1959.6</v>
      </c>
      <c r="E4909" s="1" t="n">
        <v>0.0064</v>
      </c>
      <c r="F4909" s="1" t="n">
        <v>0.1015</v>
      </c>
    </row>
    <row r="4910" customFormat="false" ht="15" hidden="false" customHeight="false" outlineLevel="0" collapsed="false">
      <c r="A4910" s="1" t="s">
        <v>4945</v>
      </c>
      <c r="B4910" s="1" t="s">
        <v>214</v>
      </c>
      <c r="C4910" s="1" t="n">
        <v>1170000</v>
      </c>
      <c r="D4910" s="1" t="n">
        <v>7567.3</v>
      </c>
      <c r="E4910" s="1" t="n">
        <v>0.0183</v>
      </c>
      <c r="F4910" s="1" t="n">
        <v>0.0462</v>
      </c>
    </row>
    <row r="4911" customFormat="false" ht="15" hidden="false" customHeight="false" outlineLevel="0" collapsed="false">
      <c r="A4911" s="1" t="s">
        <v>4946</v>
      </c>
      <c r="B4911" s="1" t="s">
        <v>88</v>
      </c>
      <c r="C4911" s="1" t="n">
        <v>749000</v>
      </c>
      <c r="D4911" s="1" t="n">
        <v>12348.3</v>
      </c>
      <c r="E4911" s="1" t="n">
        <v>0.0504</v>
      </c>
      <c r="F4911" s="1" t="n">
        <v>0.0759</v>
      </c>
    </row>
    <row r="4912" customFormat="false" ht="15" hidden="false" customHeight="false" outlineLevel="0" collapsed="false">
      <c r="A4912" s="1" t="s">
        <v>4947</v>
      </c>
      <c r="B4912" s="1" t="s">
        <v>24</v>
      </c>
      <c r="C4912" s="1" t="n">
        <v>507000</v>
      </c>
      <c r="D4912" s="1" t="n">
        <v>341.6</v>
      </c>
      <c r="E4912" s="1" t="n">
        <v>0.0189</v>
      </c>
      <c r="F4912" s="1" t="n">
        <v>0.0854</v>
      </c>
    </row>
    <row r="4913" customFormat="false" ht="15" hidden="false" customHeight="false" outlineLevel="0" collapsed="false">
      <c r="A4913" s="1" t="s">
        <v>4948</v>
      </c>
      <c r="B4913" s="1" t="s">
        <v>26</v>
      </c>
      <c r="C4913" s="1" t="n">
        <v>722000</v>
      </c>
      <c r="D4913" s="1" t="n">
        <v>261690.6</v>
      </c>
      <c r="E4913" s="1" t="n">
        <v>0.0209</v>
      </c>
      <c r="F4913" s="1" t="n">
        <v>0.0462</v>
      </c>
    </row>
    <row r="4914" customFormat="false" ht="15" hidden="false" customHeight="false" outlineLevel="0" collapsed="false">
      <c r="A4914" s="1" t="s">
        <v>4949</v>
      </c>
      <c r="B4914" s="1" t="s">
        <v>62</v>
      </c>
      <c r="C4914" s="1" t="n">
        <v>573000</v>
      </c>
      <c r="D4914" s="1" t="n">
        <v>766142.6</v>
      </c>
      <c r="E4914" s="1" t="n">
        <v>0.0238</v>
      </c>
      <c r="F4914" s="1" t="n">
        <v>0.0518</v>
      </c>
    </row>
    <row r="4915" customFormat="false" ht="15" hidden="false" customHeight="false" outlineLevel="0" collapsed="false">
      <c r="A4915" s="1" t="s">
        <v>4950</v>
      </c>
      <c r="B4915" s="1" t="s">
        <v>26</v>
      </c>
      <c r="C4915" s="1" t="n">
        <v>714000</v>
      </c>
      <c r="D4915" s="1" t="n">
        <v>233191.3</v>
      </c>
      <c r="E4915" s="1" t="n">
        <v>0.0247</v>
      </c>
      <c r="F4915" s="1" t="n">
        <v>0.0462</v>
      </c>
    </row>
    <row r="4916" customFormat="false" ht="15" hidden="false" customHeight="false" outlineLevel="0" collapsed="false">
      <c r="A4916" s="1" t="s">
        <v>4951</v>
      </c>
      <c r="B4916" s="1" t="s">
        <v>26</v>
      </c>
      <c r="C4916" s="1" t="n">
        <v>611000</v>
      </c>
      <c r="D4916" s="1" t="n">
        <v>111549</v>
      </c>
      <c r="E4916" s="1" t="n">
        <v>0.0265</v>
      </c>
      <c r="F4916" s="1" t="n">
        <v>0.0409</v>
      </c>
    </row>
    <row r="4917" customFormat="false" ht="15" hidden="false" customHeight="false" outlineLevel="0" collapsed="false">
      <c r="A4917" s="1" t="s">
        <v>4952</v>
      </c>
      <c r="B4917" s="1" t="s">
        <v>88</v>
      </c>
      <c r="C4917" s="1" t="n">
        <v>924000</v>
      </c>
      <c r="D4917" s="1" t="n">
        <v>722.9</v>
      </c>
      <c r="E4917" s="1" t="n">
        <v>0.0313</v>
      </c>
      <c r="F4917" s="1" t="n">
        <v>0.0759</v>
      </c>
    </row>
    <row r="4918" customFormat="false" ht="15" hidden="false" customHeight="false" outlineLevel="0" collapsed="false">
      <c r="A4918" s="1" t="s">
        <v>4953</v>
      </c>
      <c r="B4918" s="1" t="s">
        <v>50</v>
      </c>
      <c r="C4918" s="1" t="n">
        <v>521000</v>
      </c>
      <c r="D4918" s="1" t="n">
        <v>33135.2</v>
      </c>
      <c r="E4918" s="1" t="n">
        <v>0.0694</v>
      </c>
      <c r="F4918" s="1" t="n">
        <v>0.0644</v>
      </c>
    </row>
    <row r="4919" customFormat="false" ht="15" hidden="false" customHeight="false" outlineLevel="0" collapsed="false">
      <c r="A4919" s="1" t="s">
        <v>4954</v>
      </c>
      <c r="B4919" s="1" t="s">
        <v>287</v>
      </c>
      <c r="C4919" s="1" t="n">
        <v>603000</v>
      </c>
      <c r="D4919" s="1" t="n">
        <v>163299.2</v>
      </c>
      <c r="E4919" s="1" t="n">
        <v>0.0335</v>
      </c>
      <c r="F4919" s="1" t="n">
        <v>0.0409</v>
      </c>
    </row>
    <row r="4920" customFormat="false" ht="15" hidden="false" customHeight="false" outlineLevel="0" collapsed="false">
      <c r="A4920" s="1" t="s">
        <v>4955</v>
      </c>
      <c r="B4920" s="1" t="s">
        <v>88</v>
      </c>
      <c r="C4920" s="1" t="n">
        <v>817000</v>
      </c>
      <c r="D4920" s="1" t="n">
        <v>9592.6</v>
      </c>
      <c r="E4920" s="1" t="n">
        <v>0.0067</v>
      </c>
      <c r="F4920" s="1" t="n">
        <v>0.1471</v>
      </c>
    </row>
    <row r="4921" customFormat="false" ht="15" hidden="false" customHeight="false" outlineLevel="0" collapsed="false">
      <c r="A4921" s="1" t="s">
        <v>4956</v>
      </c>
      <c r="B4921" s="1" t="s">
        <v>214</v>
      </c>
      <c r="C4921" s="1" t="n">
        <v>500000</v>
      </c>
      <c r="D4921" s="1" t="n">
        <v>1423.3</v>
      </c>
      <c r="E4921" s="1" t="n">
        <v>0.0635</v>
      </c>
      <c r="F4921" s="1" t="n">
        <v>0.0759</v>
      </c>
    </row>
    <row r="4922" customFormat="false" ht="15" hidden="false" customHeight="false" outlineLevel="0" collapsed="false">
      <c r="A4922" s="1" t="s">
        <v>4957</v>
      </c>
      <c r="B4922" s="1" t="s">
        <v>88</v>
      </c>
      <c r="C4922" s="1" t="n">
        <v>609000</v>
      </c>
      <c r="D4922" s="1" t="n">
        <v>1704</v>
      </c>
      <c r="F4922" s="1" t="n">
        <v>0.0938</v>
      </c>
    </row>
    <row r="4923" customFormat="false" ht="15" hidden="false" customHeight="false" outlineLevel="0" collapsed="false">
      <c r="A4923" s="1" t="s">
        <v>4958</v>
      </c>
      <c r="B4923" s="1" t="s">
        <v>71</v>
      </c>
      <c r="C4923" s="1" t="n">
        <v>632000</v>
      </c>
      <c r="D4923" s="1" t="n">
        <v>2144.7</v>
      </c>
      <c r="E4923" s="1" t="n">
        <v>0.0105</v>
      </c>
      <c r="F4923" s="1" t="n">
        <v>0.0654</v>
      </c>
    </row>
    <row r="4924" customFormat="false" ht="15" hidden="false" customHeight="false" outlineLevel="0" collapsed="false">
      <c r="A4924" s="1" t="s">
        <v>4959</v>
      </c>
      <c r="B4924" s="1" t="s">
        <v>24</v>
      </c>
      <c r="C4924" s="1" t="n">
        <v>509000</v>
      </c>
      <c r="D4924" s="1" t="n">
        <v>3393.9</v>
      </c>
      <c r="E4924" s="1" t="n">
        <v>0.0121</v>
      </c>
      <c r="F4924" s="1" t="n">
        <v>0.0654</v>
      </c>
    </row>
    <row r="4925" customFormat="false" ht="15" hidden="false" customHeight="false" outlineLevel="0" collapsed="false">
      <c r="A4925" s="1" t="s">
        <v>4960</v>
      </c>
      <c r="B4925" s="1" t="s">
        <v>53</v>
      </c>
      <c r="C4925" s="1" t="n">
        <v>819000</v>
      </c>
      <c r="D4925" s="1" t="n">
        <v>5241.2</v>
      </c>
      <c r="E4925" s="1" t="n">
        <v>0.0088</v>
      </c>
      <c r="F4925" s="1" t="n">
        <v>0.0654</v>
      </c>
    </row>
    <row r="4926" customFormat="false" ht="15" hidden="false" customHeight="false" outlineLevel="0" collapsed="false">
      <c r="A4926" s="1" t="s">
        <v>4961</v>
      </c>
      <c r="B4926" s="1" t="s">
        <v>62</v>
      </c>
      <c r="C4926" s="1" t="n">
        <v>620000</v>
      </c>
      <c r="D4926" s="1" t="n">
        <v>5403.2</v>
      </c>
      <c r="E4926" s="1" t="n">
        <v>0.0423</v>
      </c>
      <c r="F4926" s="1" t="n">
        <v>0.0759</v>
      </c>
    </row>
    <row r="4927" customFormat="false" ht="15" hidden="false" customHeight="false" outlineLevel="0" collapsed="false">
      <c r="A4927" s="1" t="s">
        <v>4962</v>
      </c>
      <c r="B4927" s="1" t="s">
        <v>53</v>
      </c>
      <c r="C4927" s="1" t="n">
        <v>522000</v>
      </c>
      <c r="D4927" s="1" t="n">
        <v>4746.3</v>
      </c>
      <c r="F4927" s="1" t="n">
        <v>0.0409</v>
      </c>
    </row>
    <row r="4928" customFormat="false" ht="15" hidden="false" customHeight="false" outlineLevel="0" collapsed="false">
      <c r="A4928" s="1" t="s">
        <v>4963</v>
      </c>
      <c r="B4928" s="1" t="s">
        <v>490</v>
      </c>
      <c r="C4928" s="1" t="n">
        <v>768000</v>
      </c>
      <c r="D4928" s="1" t="n">
        <v>28844.8</v>
      </c>
      <c r="E4928" s="1" t="n">
        <v>0.0279</v>
      </c>
      <c r="F4928" s="1" t="n">
        <v>0.0938</v>
      </c>
    </row>
    <row r="4929" customFormat="false" ht="15" hidden="false" customHeight="false" outlineLevel="0" collapsed="false">
      <c r="A4929" s="1" t="s">
        <v>4964</v>
      </c>
      <c r="B4929" s="1" t="s">
        <v>81</v>
      </c>
      <c r="C4929" s="1" t="n">
        <v>653000</v>
      </c>
      <c r="D4929" s="1" t="n">
        <v>20379.8</v>
      </c>
      <c r="E4929" s="1" t="n">
        <v>0.0239</v>
      </c>
      <c r="F4929" s="1" t="n">
        <v>0.0938</v>
      </c>
    </row>
    <row r="4930" customFormat="false" ht="15" hidden="false" customHeight="false" outlineLevel="0" collapsed="false">
      <c r="A4930" s="1" t="s">
        <v>4965</v>
      </c>
      <c r="B4930" s="1" t="s">
        <v>92</v>
      </c>
      <c r="C4930" s="1" t="n">
        <v>556000</v>
      </c>
      <c r="D4930" s="1" t="n">
        <v>22716.6</v>
      </c>
      <c r="E4930" s="1" t="n">
        <v>0.0229</v>
      </c>
      <c r="F4930" s="1" t="n">
        <v>0.0409</v>
      </c>
    </row>
    <row r="4931" customFormat="false" ht="15" hidden="false" customHeight="false" outlineLevel="0" collapsed="false">
      <c r="A4931" s="1" t="s">
        <v>4966</v>
      </c>
      <c r="B4931" s="1" t="s">
        <v>26</v>
      </c>
      <c r="C4931" s="1" t="n">
        <v>596000</v>
      </c>
      <c r="D4931" s="1" t="n">
        <v>106.8</v>
      </c>
      <c r="E4931" s="1" t="n">
        <v>0.0263</v>
      </c>
      <c r="F4931" s="1" t="n">
        <v>0.0951</v>
      </c>
    </row>
    <row r="4932" customFormat="false" ht="15" hidden="false" customHeight="false" outlineLevel="0" collapsed="false">
      <c r="A4932" s="1" t="s">
        <v>4967</v>
      </c>
      <c r="B4932" s="1" t="s">
        <v>35</v>
      </c>
      <c r="C4932" s="1" t="n">
        <v>688000</v>
      </c>
      <c r="D4932" s="1" t="n">
        <v>1085148.5</v>
      </c>
      <c r="E4932" s="1" t="n">
        <v>0.0037</v>
      </c>
      <c r="F4932" s="1" t="n">
        <v>0.0822</v>
      </c>
    </row>
    <row r="4933" customFormat="false" ht="15" hidden="false" customHeight="false" outlineLevel="0" collapsed="false">
      <c r="A4933" s="1" t="s">
        <v>4968</v>
      </c>
      <c r="B4933" s="1" t="s">
        <v>88</v>
      </c>
      <c r="C4933" s="1" t="n">
        <v>806000</v>
      </c>
      <c r="D4933" s="1" t="n">
        <v>1705.4</v>
      </c>
      <c r="E4933" s="1" t="n">
        <v>0.0613</v>
      </c>
      <c r="F4933" s="1" t="n">
        <v>0.0938</v>
      </c>
    </row>
    <row r="4934" customFormat="false" ht="15" hidden="false" customHeight="false" outlineLevel="0" collapsed="false">
      <c r="A4934" s="1" t="s">
        <v>4969</v>
      </c>
      <c r="B4934" s="1" t="s">
        <v>214</v>
      </c>
      <c r="C4934" s="1" t="n">
        <v>680000</v>
      </c>
      <c r="D4934" s="1" t="n">
        <v>54804.8</v>
      </c>
      <c r="E4934" s="1" t="n">
        <v>0.0107</v>
      </c>
      <c r="F4934" s="1" t="n">
        <v>0.0654</v>
      </c>
    </row>
    <row r="4935" customFormat="false" ht="15" hidden="false" customHeight="false" outlineLevel="0" collapsed="false">
      <c r="A4935" s="1" t="s">
        <v>4970</v>
      </c>
      <c r="B4935" s="1" t="s">
        <v>53</v>
      </c>
      <c r="C4935" s="1" t="n">
        <v>493000</v>
      </c>
      <c r="D4935" s="1" t="n">
        <v>7028.3</v>
      </c>
      <c r="E4935" s="1" t="n">
        <v>0.0372</v>
      </c>
      <c r="F4935" s="1" t="n">
        <v>0.0951</v>
      </c>
    </row>
    <row r="4936" customFormat="false" ht="15" hidden="false" customHeight="false" outlineLevel="0" collapsed="false">
      <c r="A4936" s="1" t="s">
        <v>4971</v>
      </c>
      <c r="B4936" s="1" t="s">
        <v>26</v>
      </c>
      <c r="C4936" s="1" t="n">
        <v>1540000</v>
      </c>
      <c r="D4936" s="1" t="n">
        <v>3079235</v>
      </c>
      <c r="E4936" s="1" t="n">
        <v>0.0088</v>
      </c>
      <c r="F4936" s="1" t="n">
        <v>0.0654</v>
      </c>
    </row>
    <row r="4937" customFormat="false" ht="15" hidden="false" customHeight="false" outlineLevel="0" collapsed="false">
      <c r="A4937" s="1" t="s">
        <v>4972</v>
      </c>
      <c r="B4937" s="1" t="s">
        <v>287</v>
      </c>
      <c r="C4937" s="1" t="n">
        <v>507000</v>
      </c>
      <c r="D4937" s="1" t="n">
        <v>1878705.1</v>
      </c>
      <c r="E4937" s="1" t="n">
        <v>0.0271</v>
      </c>
      <c r="F4937" s="1" t="n">
        <v>0.0518</v>
      </c>
    </row>
    <row r="4938" customFormat="false" ht="15" hidden="false" customHeight="false" outlineLevel="0" collapsed="false">
      <c r="A4938" s="1" t="s">
        <v>4973</v>
      </c>
      <c r="B4938" s="1" t="s">
        <v>490</v>
      </c>
      <c r="C4938" s="1" t="n">
        <v>564000</v>
      </c>
      <c r="D4938" s="1" t="n">
        <v>1116.1</v>
      </c>
      <c r="E4938" s="1" t="n">
        <v>0.0343</v>
      </c>
      <c r="F4938" s="1" t="n">
        <v>0.0938</v>
      </c>
    </row>
    <row r="4939" customFormat="false" ht="15" hidden="false" customHeight="false" outlineLevel="0" collapsed="false">
      <c r="A4939" s="1" t="s">
        <v>4974</v>
      </c>
      <c r="B4939" s="1" t="s">
        <v>24</v>
      </c>
      <c r="C4939" s="1" t="n">
        <v>1800000</v>
      </c>
      <c r="D4939" s="1" t="n">
        <v>68226.8</v>
      </c>
      <c r="E4939" s="1" t="n">
        <v>0.0229</v>
      </c>
      <c r="F4939" s="1" t="n">
        <v>0.0951</v>
      </c>
    </row>
    <row r="4940" customFormat="false" ht="15" hidden="false" customHeight="false" outlineLevel="0" collapsed="false">
      <c r="A4940" s="1" t="s">
        <v>4975</v>
      </c>
      <c r="B4940" s="1" t="s">
        <v>41</v>
      </c>
      <c r="C4940" s="1" t="n">
        <v>1340000</v>
      </c>
      <c r="D4940" s="1" t="n">
        <v>1497.1</v>
      </c>
      <c r="E4940" s="1" t="n">
        <v>0.0085</v>
      </c>
      <c r="F4940" s="1" t="n">
        <v>0.0854</v>
      </c>
    </row>
    <row r="4941" customFormat="false" ht="15" hidden="false" customHeight="false" outlineLevel="0" collapsed="false">
      <c r="A4941" s="1" t="s">
        <v>4976</v>
      </c>
      <c r="B4941" s="1" t="s">
        <v>26</v>
      </c>
      <c r="C4941" s="1" t="n">
        <v>1460000</v>
      </c>
      <c r="D4941" s="1" t="n">
        <v>420.6</v>
      </c>
      <c r="E4941" s="1" t="n">
        <v>1.0451</v>
      </c>
      <c r="F4941" s="1" t="n">
        <v>0.0951</v>
      </c>
    </row>
    <row r="4942" customFormat="false" ht="15" hidden="false" customHeight="false" outlineLevel="0" collapsed="false">
      <c r="A4942" s="1" t="s">
        <v>4977</v>
      </c>
      <c r="B4942" s="1" t="s">
        <v>53</v>
      </c>
      <c r="C4942" s="1" t="n">
        <v>480000</v>
      </c>
      <c r="D4942" s="1" t="n">
        <v>10164.4</v>
      </c>
      <c r="E4942" s="1" t="n">
        <v>0.0746</v>
      </c>
      <c r="F4942" s="1" t="n">
        <v>0.0951</v>
      </c>
    </row>
    <row r="4943" customFormat="false" ht="15" hidden="false" customHeight="false" outlineLevel="0" collapsed="false">
      <c r="A4943" s="1" t="s">
        <v>4978</v>
      </c>
      <c r="B4943" s="1" t="s">
        <v>92</v>
      </c>
      <c r="C4943" s="1" t="n">
        <v>500000</v>
      </c>
      <c r="D4943" s="1" t="n">
        <v>1775.1</v>
      </c>
      <c r="E4943" s="1" t="n">
        <v>0.0429</v>
      </c>
      <c r="F4943" s="1" t="n">
        <v>0.1241</v>
      </c>
    </row>
    <row r="4944" customFormat="false" ht="15" hidden="false" customHeight="false" outlineLevel="0" collapsed="false">
      <c r="A4944" s="1" t="s">
        <v>4979</v>
      </c>
      <c r="B4944" s="1" t="s">
        <v>32</v>
      </c>
      <c r="C4944" s="1" t="n">
        <v>530000</v>
      </c>
      <c r="D4944" s="1" t="n">
        <v>6369.3</v>
      </c>
      <c r="E4944" s="1" t="n">
        <v>0.0044</v>
      </c>
      <c r="F4944" s="1" t="n">
        <v>0.1015</v>
      </c>
    </row>
    <row r="4945" customFormat="false" ht="15" hidden="false" customHeight="false" outlineLevel="0" collapsed="false">
      <c r="A4945" s="1" t="s">
        <v>4980</v>
      </c>
      <c r="B4945" s="1" t="s">
        <v>88</v>
      </c>
      <c r="C4945" s="1" t="n">
        <v>618000</v>
      </c>
      <c r="D4945" s="1" t="n">
        <v>18248.5</v>
      </c>
      <c r="E4945" s="1" t="n">
        <v>0.0456</v>
      </c>
      <c r="F4945" s="1" t="n">
        <v>0.117</v>
      </c>
    </row>
    <row r="4946" customFormat="false" ht="15" hidden="false" customHeight="false" outlineLevel="0" collapsed="false">
      <c r="A4946" s="1" t="s">
        <v>4981</v>
      </c>
      <c r="B4946" s="1" t="s">
        <v>92</v>
      </c>
      <c r="C4946" s="1" t="n">
        <v>3360000</v>
      </c>
      <c r="D4946" s="1" t="n">
        <v>381043.3</v>
      </c>
      <c r="E4946" s="1" t="n">
        <v>0.0236</v>
      </c>
      <c r="F4946" s="1" t="n">
        <v>0.0576</v>
      </c>
    </row>
    <row r="4947" customFormat="false" ht="15" hidden="false" customHeight="false" outlineLevel="0" collapsed="false">
      <c r="A4947" s="1" t="s">
        <v>4982</v>
      </c>
      <c r="B4947" s="1" t="s">
        <v>92</v>
      </c>
      <c r="C4947" s="1" t="n">
        <v>495000</v>
      </c>
      <c r="D4947" s="1" t="n">
        <v>1330</v>
      </c>
      <c r="F4947" s="1" t="n">
        <v>0.0546</v>
      </c>
    </row>
    <row r="4948" customFormat="false" ht="15" hidden="false" customHeight="false" outlineLevel="0" collapsed="false">
      <c r="A4948" s="1" t="s">
        <v>4983</v>
      </c>
      <c r="B4948" s="1" t="s">
        <v>88</v>
      </c>
      <c r="C4948" s="1" t="n">
        <v>1340000</v>
      </c>
      <c r="D4948" s="1" t="n">
        <v>12044.7</v>
      </c>
      <c r="E4948" s="1" t="n">
        <v>0.045</v>
      </c>
      <c r="F4948" s="1" t="n">
        <v>0.0938</v>
      </c>
    </row>
    <row r="4949" customFormat="false" ht="15" hidden="false" customHeight="false" outlineLevel="0" collapsed="false">
      <c r="A4949" s="1" t="s">
        <v>4984</v>
      </c>
      <c r="B4949" s="1" t="s">
        <v>26</v>
      </c>
      <c r="C4949" s="1" t="n">
        <v>497000</v>
      </c>
      <c r="D4949" s="1" t="n">
        <v>5687.2</v>
      </c>
      <c r="E4949" s="1" t="n">
        <v>0.0167</v>
      </c>
      <c r="F4949" s="1" t="n">
        <v>0.1119</v>
      </c>
    </row>
    <row r="4950" customFormat="false" ht="15" hidden="false" customHeight="false" outlineLevel="0" collapsed="false">
      <c r="A4950" s="1" t="s">
        <v>4985</v>
      </c>
      <c r="B4950" s="1" t="s">
        <v>26</v>
      </c>
      <c r="C4950" s="1" t="n">
        <v>561000</v>
      </c>
      <c r="D4950" s="1" t="n">
        <v>53107.4</v>
      </c>
      <c r="E4950" s="1" t="n">
        <v>0.0863</v>
      </c>
      <c r="F4950" s="1" t="n">
        <v>0.051</v>
      </c>
    </row>
    <row r="4951" customFormat="false" ht="15" hidden="false" customHeight="false" outlineLevel="0" collapsed="false">
      <c r="A4951" s="1" t="s">
        <v>4986</v>
      </c>
      <c r="B4951" s="1" t="s">
        <v>26</v>
      </c>
      <c r="C4951" s="1" t="n">
        <v>565000</v>
      </c>
      <c r="D4951" s="1" t="n">
        <v>769102.8</v>
      </c>
      <c r="E4951" s="1" t="n">
        <v>0.0301</v>
      </c>
      <c r="F4951" s="1" t="n">
        <v>0.0518</v>
      </c>
    </row>
    <row r="4952" customFormat="false" ht="15" hidden="false" customHeight="false" outlineLevel="0" collapsed="false">
      <c r="A4952" s="1" t="s">
        <v>4987</v>
      </c>
      <c r="B4952" s="1" t="s">
        <v>26</v>
      </c>
      <c r="C4952" s="1" t="n">
        <v>862000</v>
      </c>
      <c r="D4952" s="1" t="n">
        <v>24325.7</v>
      </c>
      <c r="E4952" s="1" t="n">
        <v>0.0617</v>
      </c>
      <c r="F4952" s="1" t="n">
        <v>0.0938</v>
      </c>
    </row>
    <row r="4953" customFormat="false" ht="15" hidden="false" customHeight="false" outlineLevel="0" collapsed="false">
      <c r="A4953" s="1" t="s">
        <v>4988</v>
      </c>
      <c r="B4953" s="1" t="s">
        <v>26</v>
      </c>
      <c r="C4953" s="1" t="n">
        <v>467000</v>
      </c>
      <c r="D4953" s="1" t="n">
        <v>39180.6</v>
      </c>
      <c r="E4953" s="1" t="n">
        <v>0.0293</v>
      </c>
      <c r="F4953" s="1" t="n">
        <v>0.0845</v>
      </c>
    </row>
    <row r="4954" customFormat="false" ht="15" hidden="false" customHeight="false" outlineLevel="0" collapsed="false">
      <c r="A4954" s="1" t="s">
        <v>4989</v>
      </c>
      <c r="B4954" s="1" t="s">
        <v>53</v>
      </c>
      <c r="C4954" s="1" t="n">
        <v>722000</v>
      </c>
      <c r="D4954" s="1" t="n">
        <v>49616.9</v>
      </c>
      <c r="E4954" s="1" t="n">
        <v>0.0078</v>
      </c>
      <c r="F4954" s="1" t="n">
        <v>0.0811</v>
      </c>
    </row>
    <row r="4955" customFormat="false" ht="15" hidden="false" customHeight="false" outlineLevel="0" collapsed="false">
      <c r="A4955" s="1" t="s">
        <v>4990</v>
      </c>
      <c r="B4955" s="1" t="s">
        <v>92</v>
      </c>
      <c r="C4955" s="1" t="n">
        <v>545000</v>
      </c>
      <c r="D4955" s="1" t="n">
        <v>5182.7</v>
      </c>
      <c r="E4955" s="1" t="n">
        <v>0.0233</v>
      </c>
      <c r="F4955" s="1" t="n">
        <v>0.0951</v>
      </c>
    </row>
    <row r="4956" customFormat="false" ht="15" hidden="false" customHeight="false" outlineLevel="0" collapsed="false">
      <c r="A4956" s="1" t="s">
        <v>4991</v>
      </c>
      <c r="B4956" s="1" t="s">
        <v>62</v>
      </c>
      <c r="C4956" s="1" t="n">
        <v>986000</v>
      </c>
      <c r="D4956" s="1" t="n">
        <v>11107.5</v>
      </c>
      <c r="E4956" s="1" t="n">
        <v>0.0306</v>
      </c>
      <c r="F4956" s="1" t="n">
        <v>0.0759</v>
      </c>
    </row>
    <row r="4957" customFormat="false" ht="15" hidden="false" customHeight="false" outlineLevel="0" collapsed="false">
      <c r="A4957" s="1" t="s">
        <v>4992</v>
      </c>
      <c r="B4957" s="1" t="s">
        <v>26</v>
      </c>
      <c r="C4957" s="1" t="n">
        <v>639000</v>
      </c>
      <c r="D4957" s="1" t="n">
        <v>5208.5</v>
      </c>
      <c r="E4957" s="1" t="n">
        <v>0.1096</v>
      </c>
      <c r="F4957" s="1" t="n">
        <v>0.0938</v>
      </c>
    </row>
    <row r="4958" customFormat="false" ht="15" hidden="false" customHeight="false" outlineLevel="0" collapsed="false">
      <c r="A4958" s="1" t="s">
        <v>4993</v>
      </c>
      <c r="B4958" s="1" t="s">
        <v>24</v>
      </c>
      <c r="C4958" s="1" t="n">
        <v>659000</v>
      </c>
      <c r="D4958" s="1" t="n">
        <v>14835.5</v>
      </c>
      <c r="E4958" s="1" t="n">
        <v>0.0327</v>
      </c>
      <c r="F4958" s="1" t="n">
        <v>0.0951</v>
      </c>
    </row>
    <row r="4959" customFormat="false" ht="15" hidden="false" customHeight="false" outlineLevel="0" collapsed="false">
      <c r="A4959" s="1" t="s">
        <v>4994</v>
      </c>
      <c r="B4959" s="1" t="s">
        <v>88</v>
      </c>
      <c r="C4959" s="1" t="n">
        <v>687000</v>
      </c>
      <c r="D4959" s="1" t="n">
        <v>1139.1</v>
      </c>
      <c r="E4959" s="1" t="n">
        <v>0.0209</v>
      </c>
      <c r="F4959" s="1" t="n">
        <v>0.0759</v>
      </c>
    </row>
    <row r="4960" customFormat="false" ht="15" hidden="false" customHeight="false" outlineLevel="0" collapsed="false">
      <c r="A4960" s="1" t="s">
        <v>4995</v>
      </c>
      <c r="B4960" s="1" t="s">
        <v>214</v>
      </c>
      <c r="C4960" s="1" t="n">
        <v>1950000</v>
      </c>
      <c r="D4960" s="1" t="n">
        <v>28065.5</v>
      </c>
      <c r="E4960" s="1" t="n">
        <v>0.0121</v>
      </c>
      <c r="F4960" s="1" t="n">
        <v>0.0657</v>
      </c>
    </row>
    <row r="4961" customFormat="false" ht="15" hidden="false" customHeight="false" outlineLevel="0" collapsed="false">
      <c r="A4961" s="1" t="s">
        <v>4996</v>
      </c>
      <c r="B4961" s="1" t="s">
        <v>92</v>
      </c>
      <c r="C4961" s="1" t="n">
        <v>496000</v>
      </c>
      <c r="D4961" s="1" t="n">
        <v>336.6</v>
      </c>
      <c r="E4961" s="1" t="n">
        <v>0.0262</v>
      </c>
      <c r="F4961" s="1" t="n">
        <v>0.0951</v>
      </c>
    </row>
    <row r="4962" customFormat="false" ht="15" hidden="false" customHeight="false" outlineLevel="0" collapsed="false">
      <c r="A4962" s="1" t="s">
        <v>4997</v>
      </c>
      <c r="B4962" s="1" t="s">
        <v>92</v>
      </c>
      <c r="C4962" s="1" t="n">
        <v>827000</v>
      </c>
      <c r="D4962" s="1" t="n">
        <v>23352.6</v>
      </c>
      <c r="E4962" s="1" t="n">
        <v>0.0228</v>
      </c>
      <c r="F4962" s="1" t="n">
        <v>0.0409</v>
      </c>
    </row>
    <row r="4963" customFormat="false" ht="15" hidden="false" customHeight="false" outlineLevel="0" collapsed="false">
      <c r="A4963" s="1" t="s">
        <v>4998</v>
      </c>
      <c r="B4963" s="1" t="s">
        <v>71</v>
      </c>
      <c r="C4963" s="1" t="n">
        <v>586000</v>
      </c>
      <c r="D4963" s="1" t="n">
        <v>84673.4</v>
      </c>
      <c r="E4963" s="1" t="n">
        <v>0.021</v>
      </c>
      <c r="F4963" s="1" t="n">
        <v>0.1067</v>
      </c>
    </row>
    <row r="4964" customFormat="false" ht="15" hidden="false" customHeight="false" outlineLevel="0" collapsed="false">
      <c r="A4964" s="1" t="s">
        <v>4999</v>
      </c>
      <c r="B4964" s="1" t="s">
        <v>26</v>
      </c>
      <c r="C4964" s="1" t="n">
        <v>998000</v>
      </c>
      <c r="D4964" s="1" t="n">
        <v>978.8</v>
      </c>
      <c r="E4964" s="1" t="n">
        <v>0.0288</v>
      </c>
      <c r="F4964" s="1" t="n">
        <v>0.051</v>
      </c>
    </row>
    <row r="4965" customFormat="false" ht="15" hidden="false" customHeight="false" outlineLevel="0" collapsed="false">
      <c r="A4965" s="1" t="s">
        <v>5000</v>
      </c>
      <c r="B4965" s="1" t="s">
        <v>71</v>
      </c>
      <c r="C4965" s="1" t="n">
        <v>923000</v>
      </c>
      <c r="D4965" s="1" t="n">
        <v>192580.3</v>
      </c>
      <c r="E4965" s="1" t="n">
        <v>0.069</v>
      </c>
      <c r="F4965" s="1" t="n">
        <v>0.0759</v>
      </c>
    </row>
    <row r="4966" customFormat="false" ht="15" hidden="false" customHeight="false" outlineLevel="0" collapsed="false">
      <c r="A4966" s="1" t="s">
        <v>5001</v>
      </c>
      <c r="B4966" s="1" t="s">
        <v>88</v>
      </c>
      <c r="C4966" s="1" t="n">
        <v>524000</v>
      </c>
      <c r="D4966" s="1" t="n">
        <v>1387.8</v>
      </c>
      <c r="E4966" s="1" t="n">
        <v>0.047</v>
      </c>
      <c r="F4966" s="1" t="n">
        <v>0.0951</v>
      </c>
    </row>
    <row r="4967" customFormat="false" ht="15" hidden="false" customHeight="false" outlineLevel="0" collapsed="false">
      <c r="A4967" s="1" t="s">
        <v>5002</v>
      </c>
      <c r="B4967" s="1" t="s">
        <v>74</v>
      </c>
      <c r="C4967" s="1" t="n">
        <v>1090000</v>
      </c>
      <c r="D4967" s="1" t="n">
        <v>3503.3</v>
      </c>
      <c r="E4967" s="1" t="n">
        <v>0.0158</v>
      </c>
      <c r="F4967" s="1" t="n">
        <v>0.0854</v>
      </c>
    </row>
    <row r="4968" customFormat="false" ht="15" hidden="false" customHeight="false" outlineLevel="0" collapsed="false">
      <c r="A4968" s="1" t="s">
        <v>5003</v>
      </c>
      <c r="B4968" s="1" t="s">
        <v>214</v>
      </c>
      <c r="C4968" s="1" t="n">
        <v>698000</v>
      </c>
      <c r="D4968" s="1" t="n">
        <v>31786.4</v>
      </c>
      <c r="E4968" s="1" t="n">
        <v>0.0188</v>
      </c>
      <c r="F4968" s="1" t="n">
        <v>0.0854</v>
      </c>
    </row>
    <row r="4969" customFormat="false" ht="15" hidden="false" customHeight="false" outlineLevel="0" collapsed="false">
      <c r="A4969" s="1" t="s">
        <v>5004</v>
      </c>
      <c r="B4969" s="1" t="s">
        <v>92</v>
      </c>
      <c r="C4969" s="1" t="n">
        <v>734000</v>
      </c>
      <c r="D4969" s="1" t="n">
        <v>29813.3</v>
      </c>
      <c r="E4969" s="1" t="n">
        <v>0.0078</v>
      </c>
      <c r="F4969" s="1" t="n">
        <v>0.0654</v>
      </c>
    </row>
    <row r="4970" customFormat="false" ht="15" hidden="false" customHeight="false" outlineLevel="0" collapsed="false">
      <c r="A4970" s="1" t="s">
        <v>5005</v>
      </c>
      <c r="B4970" s="1" t="s">
        <v>26</v>
      </c>
      <c r="C4970" s="1" t="n">
        <v>710000</v>
      </c>
      <c r="D4970" s="1" t="n">
        <v>1592.8</v>
      </c>
      <c r="E4970" s="1" t="n">
        <v>0.0509</v>
      </c>
      <c r="F4970" s="1" t="n">
        <v>0.0759</v>
      </c>
    </row>
    <row r="4971" customFormat="false" ht="15" hidden="false" customHeight="false" outlineLevel="0" collapsed="false">
      <c r="A4971" s="1" t="s">
        <v>5006</v>
      </c>
      <c r="B4971" s="1" t="s">
        <v>214</v>
      </c>
      <c r="C4971" s="1" t="n">
        <v>467000</v>
      </c>
      <c r="D4971" s="1" t="n">
        <v>19839.1</v>
      </c>
      <c r="E4971" s="1" t="n">
        <v>0.0448</v>
      </c>
      <c r="F4971" s="1" t="n">
        <v>0.0951</v>
      </c>
    </row>
    <row r="4972" customFormat="false" ht="15" hidden="false" customHeight="false" outlineLevel="0" collapsed="false">
      <c r="A4972" s="1" t="s">
        <v>5007</v>
      </c>
      <c r="B4972" s="1" t="s">
        <v>24</v>
      </c>
      <c r="C4972" s="1" t="n">
        <v>731000</v>
      </c>
      <c r="D4972" s="1" t="n">
        <v>91203</v>
      </c>
      <c r="E4972" s="1" t="n">
        <v>0.0585</v>
      </c>
      <c r="F4972" s="1" t="n">
        <v>0.0951</v>
      </c>
    </row>
    <row r="4973" customFormat="false" ht="15" hidden="false" customHeight="false" outlineLevel="0" collapsed="false">
      <c r="A4973" s="1" t="s">
        <v>5008</v>
      </c>
      <c r="B4973" s="1" t="s">
        <v>24</v>
      </c>
      <c r="C4973" s="1" t="n">
        <v>593000</v>
      </c>
      <c r="D4973" s="1" t="n">
        <v>16828.4</v>
      </c>
      <c r="E4973" s="1" t="n">
        <v>0.0141</v>
      </c>
      <c r="F4973" s="1" t="n">
        <v>0.0576</v>
      </c>
    </row>
    <row r="4974" customFormat="false" ht="15" hidden="false" customHeight="false" outlineLevel="0" collapsed="false">
      <c r="A4974" s="1" t="s">
        <v>5009</v>
      </c>
      <c r="B4974" s="1" t="s">
        <v>26</v>
      </c>
      <c r="C4974" s="1" t="n">
        <v>613000</v>
      </c>
      <c r="D4974" s="1" t="n">
        <v>414919.2</v>
      </c>
      <c r="E4974" s="1" t="n">
        <v>0.0351</v>
      </c>
      <c r="F4974" s="1" t="n">
        <v>0.0672</v>
      </c>
    </row>
    <row r="4975" customFormat="false" ht="15" hidden="false" customHeight="false" outlineLevel="0" collapsed="false">
      <c r="A4975" s="1" t="s">
        <v>5010</v>
      </c>
      <c r="B4975" s="1" t="s">
        <v>26</v>
      </c>
      <c r="C4975" s="1" t="n">
        <v>506000</v>
      </c>
      <c r="D4975" s="1" t="n">
        <v>22311.4</v>
      </c>
      <c r="E4975" s="1" t="n">
        <v>0.0471</v>
      </c>
      <c r="F4975" s="1" t="n">
        <v>0.0951</v>
      </c>
    </row>
    <row r="4976" customFormat="false" ht="15" hidden="false" customHeight="false" outlineLevel="0" collapsed="false">
      <c r="A4976" s="1" t="s">
        <v>5011</v>
      </c>
      <c r="B4976" s="1" t="s">
        <v>26</v>
      </c>
      <c r="C4976" s="1" t="n">
        <v>490000</v>
      </c>
      <c r="D4976" s="1" t="n">
        <v>43644.7</v>
      </c>
      <c r="E4976" s="1" t="n">
        <v>0.0345</v>
      </c>
      <c r="F4976" s="1" t="n">
        <v>0.0938</v>
      </c>
    </row>
    <row r="4977" customFormat="false" ht="15" hidden="false" customHeight="false" outlineLevel="0" collapsed="false">
      <c r="A4977" s="1" t="s">
        <v>5012</v>
      </c>
      <c r="B4977" s="1" t="s">
        <v>26</v>
      </c>
      <c r="C4977" s="1" t="n">
        <v>955000</v>
      </c>
      <c r="D4977" s="1" t="n">
        <v>36746.5</v>
      </c>
      <c r="E4977" s="1" t="n">
        <v>0.0141</v>
      </c>
      <c r="F4977" s="1" t="n">
        <v>0.0726</v>
      </c>
    </row>
    <row r="4978" customFormat="false" ht="15" hidden="false" customHeight="false" outlineLevel="0" collapsed="false">
      <c r="A4978" s="1" t="s">
        <v>5013</v>
      </c>
      <c r="B4978" s="1" t="s">
        <v>41</v>
      </c>
      <c r="C4978" s="1" t="n">
        <v>666000</v>
      </c>
      <c r="D4978" s="1" t="n">
        <v>32987.9</v>
      </c>
      <c r="E4978" s="1" t="n">
        <v>0.0318</v>
      </c>
      <c r="F4978" s="1" t="n">
        <v>0.0759</v>
      </c>
    </row>
    <row r="4979" customFormat="false" ht="15" hidden="false" customHeight="false" outlineLevel="0" collapsed="false">
      <c r="A4979" s="1" t="s">
        <v>5014</v>
      </c>
      <c r="B4979" s="1" t="s">
        <v>21</v>
      </c>
      <c r="C4979" s="1" t="n">
        <v>594000</v>
      </c>
      <c r="D4979" s="1" t="n">
        <v>10755.4</v>
      </c>
      <c r="F4979" s="1" t="n">
        <v>0.051</v>
      </c>
    </row>
    <row r="4980" customFormat="false" ht="15" hidden="false" customHeight="false" outlineLevel="0" collapsed="false">
      <c r="A4980" s="1" t="s">
        <v>5015</v>
      </c>
      <c r="B4980" s="1" t="s">
        <v>62</v>
      </c>
      <c r="C4980" s="1" t="n">
        <v>492000</v>
      </c>
      <c r="D4980" s="1" t="n">
        <v>12551.7</v>
      </c>
      <c r="E4980" s="1" t="n">
        <v>0.0198</v>
      </c>
      <c r="F4980" s="1" t="n">
        <v>0.0759</v>
      </c>
    </row>
    <row r="4981" customFormat="false" ht="15" hidden="false" customHeight="false" outlineLevel="0" collapsed="false">
      <c r="A4981" s="1" t="s">
        <v>5016</v>
      </c>
      <c r="B4981" s="1" t="s">
        <v>26</v>
      </c>
      <c r="C4981" s="1" t="n">
        <v>616000</v>
      </c>
      <c r="D4981" s="1" t="n">
        <v>118647.8</v>
      </c>
      <c r="E4981" s="1" t="n">
        <v>0.0256</v>
      </c>
      <c r="F4981" s="1" t="n">
        <v>0.0951</v>
      </c>
    </row>
    <row r="4982" customFormat="false" ht="15" hidden="false" customHeight="false" outlineLevel="0" collapsed="false">
      <c r="A4982" s="1" t="s">
        <v>5017</v>
      </c>
      <c r="B4982" s="1" t="s">
        <v>26</v>
      </c>
      <c r="C4982" s="1" t="n">
        <v>655000</v>
      </c>
      <c r="D4982" s="1" t="n">
        <v>4679.4</v>
      </c>
      <c r="E4982" s="1" t="n">
        <v>0.0167</v>
      </c>
      <c r="F4982" s="1" t="n">
        <v>0.1053</v>
      </c>
    </row>
    <row r="4983" customFormat="false" ht="15" hidden="false" customHeight="false" outlineLevel="0" collapsed="false">
      <c r="A4983" s="1" t="s">
        <v>5018</v>
      </c>
      <c r="B4983" s="1" t="s">
        <v>26</v>
      </c>
      <c r="C4983" s="1" t="n">
        <v>705000</v>
      </c>
      <c r="D4983" s="1" t="n">
        <v>741245.8</v>
      </c>
      <c r="E4983" s="1" t="n">
        <v>0.0149</v>
      </c>
      <c r="F4983" s="1" t="n">
        <v>0.0585</v>
      </c>
    </row>
    <row r="4984" customFormat="false" ht="15" hidden="false" customHeight="false" outlineLevel="0" collapsed="false">
      <c r="A4984" s="1" t="s">
        <v>5019</v>
      </c>
      <c r="B4984" s="1" t="s">
        <v>74</v>
      </c>
      <c r="C4984" s="1" t="n">
        <v>525000</v>
      </c>
      <c r="D4984" s="1" t="n">
        <v>188.8</v>
      </c>
      <c r="E4984" s="1" t="n">
        <v>0.0372</v>
      </c>
      <c r="F4984" s="1" t="n">
        <v>0.0409</v>
      </c>
    </row>
    <row r="4985" customFormat="false" ht="15" hidden="false" customHeight="false" outlineLevel="0" collapsed="false">
      <c r="A4985" s="1" t="s">
        <v>5020</v>
      </c>
      <c r="B4985" s="1" t="s">
        <v>92</v>
      </c>
      <c r="C4985" s="1" t="n">
        <v>771000</v>
      </c>
      <c r="D4985" s="1" t="n">
        <v>26889.1</v>
      </c>
      <c r="E4985" s="1" t="n">
        <v>0.0153</v>
      </c>
      <c r="F4985" s="1" t="n">
        <v>0.0462</v>
      </c>
    </row>
    <row r="4986" customFormat="false" ht="15" hidden="false" customHeight="false" outlineLevel="0" collapsed="false">
      <c r="A4986" s="1" t="s">
        <v>5021</v>
      </c>
      <c r="B4986" s="1" t="s">
        <v>88</v>
      </c>
      <c r="C4986" s="1" t="n">
        <v>487000</v>
      </c>
      <c r="D4986" s="1" t="n">
        <v>7035.3</v>
      </c>
      <c r="E4986" s="1" t="n">
        <v>0.0312</v>
      </c>
      <c r="F4986" s="1" t="n">
        <v>0.0938</v>
      </c>
    </row>
    <row r="4987" customFormat="false" ht="15" hidden="false" customHeight="false" outlineLevel="0" collapsed="false">
      <c r="A4987" s="1" t="s">
        <v>5022</v>
      </c>
      <c r="B4987" s="1" t="s">
        <v>88</v>
      </c>
      <c r="C4987" s="1" t="n">
        <v>637000</v>
      </c>
      <c r="D4987" s="1" t="n">
        <v>317.5</v>
      </c>
      <c r="E4987" s="1" t="n">
        <v>0.0325</v>
      </c>
      <c r="F4987" s="1" t="n">
        <v>0.0759</v>
      </c>
    </row>
    <row r="4988" customFormat="false" ht="15" hidden="false" customHeight="false" outlineLevel="0" collapsed="false">
      <c r="A4988" s="1" t="s">
        <v>5023</v>
      </c>
      <c r="B4988" s="1" t="s">
        <v>32</v>
      </c>
      <c r="C4988" s="1" t="n">
        <v>490000</v>
      </c>
      <c r="D4988" s="1" t="n">
        <v>252670.8</v>
      </c>
      <c r="E4988" s="1" t="n">
        <v>0.0162</v>
      </c>
      <c r="F4988" s="1" t="n">
        <v>0.0736</v>
      </c>
    </row>
    <row r="4989" customFormat="false" ht="15" hidden="false" customHeight="false" outlineLevel="0" collapsed="false">
      <c r="A4989" s="1" t="s">
        <v>5024</v>
      </c>
      <c r="B4989" s="1" t="s">
        <v>26</v>
      </c>
      <c r="C4989" s="1" t="n">
        <v>953000</v>
      </c>
      <c r="D4989" s="1" t="n">
        <v>103565.5</v>
      </c>
      <c r="E4989" s="1" t="n">
        <v>0.0187</v>
      </c>
      <c r="F4989" s="1" t="n">
        <v>0.0462</v>
      </c>
    </row>
    <row r="4990" customFormat="false" ht="15" hidden="false" customHeight="false" outlineLevel="0" collapsed="false">
      <c r="A4990" s="1" t="s">
        <v>5025</v>
      </c>
      <c r="B4990" s="1" t="s">
        <v>62</v>
      </c>
      <c r="C4990" s="1" t="n">
        <v>723000</v>
      </c>
      <c r="D4990" s="1" t="n">
        <v>33027.2</v>
      </c>
      <c r="E4990" s="1" t="n">
        <v>0.0374</v>
      </c>
      <c r="F4990" s="1" t="n">
        <v>0.0759</v>
      </c>
    </row>
    <row r="4991" customFormat="false" ht="15" hidden="false" customHeight="false" outlineLevel="0" collapsed="false">
      <c r="A4991" s="1" t="s">
        <v>5026</v>
      </c>
      <c r="B4991" s="1" t="s">
        <v>41</v>
      </c>
      <c r="C4991" s="1" t="n">
        <v>503000</v>
      </c>
      <c r="D4991" s="1" t="n">
        <v>214.4</v>
      </c>
      <c r="E4991" s="1" t="n">
        <v>0.0281</v>
      </c>
      <c r="F4991" s="1" t="n">
        <v>0.3035</v>
      </c>
    </row>
    <row r="4992" customFormat="false" ht="15" hidden="false" customHeight="false" outlineLevel="0" collapsed="false">
      <c r="A4992" s="1" t="s">
        <v>5027</v>
      </c>
      <c r="B4992" s="1" t="s">
        <v>74</v>
      </c>
      <c r="C4992" s="1" t="n">
        <v>515000</v>
      </c>
      <c r="D4992" s="1" t="n">
        <v>636.7</v>
      </c>
      <c r="E4992" s="1" t="n">
        <v>0.0252</v>
      </c>
      <c r="F4992" s="1" t="n">
        <v>0.095</v>
      </c>
    </row>
    <row r="4993" customFormat="false" ht="15" hidden="false" customHeight="false" outlineLevel="0" collapsed="false">
      <c r="A4993" s="1" t="s">
        <v>5028</v>
      </c>
      <c r="B4993" s="1" t="s">
        <v>287</v>
      </c>
      <c r="C4993" s="1" t="n">
        <v>714000</v>
      </c>
      <c r="D4993" s="1" t="n">
        <v>8247.1</v>
      </c>
      <c r="E4993" s="1" t="n">
        <v>0.0377</v>
      </c>
      <c r="F4993" s="1" t="n">
        <v>0.0409</v>
      </c>
    </row>
    <row r="4994" customFormat="false" ht="15" hidden="false" customHeight="false" outlineLevel="0" collapsed="false">
      <c r="A4994" s="1" t="s">
        <v>5029</v>
      </c>
      <c r="B4994" s="1" t="s">
        <v>28</v>
      </c>
      <c r="C4994" s="1" t="n">
        <v>2240000</v>
      </c>
      <c r="D4994" s="1" t="n">
        <v>973377.1</v>
      </c>
      <c r="E4994" s="1" t="n">
        <v>0.0104</v>
      </c>
      <c r="F4994" s="1" t="n">
        <v>0.0654</v>
      </c>
    </row>
    <row r="4995" customFormat="false" ht="15" hidden="false" customHeight="false" outlineLevel="0" collapsed="false">
      <c r="A4995" s="1" t="s">
        <v>5030</v>
      </c>
      <c r="B4995" s="1" t="s">
        <v>50</v>
      </c>
      <c r="C4995" s="1" t="n">
        <v>961000</v>
      </c>
      <c r="D4995" s="1" t="n">
        <v>255900.8</v>
      </c>
      <c r="E4995" s="1" t="n">
        <v>0.067</v>
      </c>
      <c r="F4995" s="1" t="n">
        <v>0.0759</v>
      </c>
    </row>
    <row r="4996" customFormat="false" ht="15" hidden="false" customHeight="false" outlineLevel="0" collapsed="false">
      <c r="A4996" s="1" t="s">
        <v>5031</v>
      </c>
      <c r="B4996" s="1" t="s">
        <v>88</v>
      </c>
      <c r="C4996" s="1" t="n">
        <v>573000</v>
      </c>
      <c r="D4996" s="1" t="n">
        <v>12204</v>
      </c>
      <c r="E4996" s="1" t="n">
        <v>0.0468</v>
      </c>
      <c r="F4996" s="1" t="n">
        <v>0.051</v>
      </c>
    </row>
    <row r="4997" customFormat="false" ht="15" hidden="false" customHeight="false" outlineLevel="0" collapsed="false">
      <c r="A4997" s="1" t="s">
        <v>5032</v>
      </c>
      <c r="B4997" s="1" t="s">
        <v>50</v>
      </c>
      <c r="C4997" s="1" t="n">
        <v>472000</v>
      </c>
      <c r="D4997" s="1" t="n">
        <v>176722.6</v>
      </c>
      <c r="E4997" s="1" t="n">
        <v>0.0451</v>
      </c>
      <c r="F4997" s="1" t="n">
        <v>0.0951</v>
      </c>
    </row>
    <row r="4998" customFormat="false" ht="15" hidden="false" customHeight="false" outlineLevel="0" collapsed="false">
      <c r="A4998" s="1" t="s">
        <v>5033</v>
      </c>
      <c r="B4998" s="1" t="s">
        <v>88</v>
      </c>
      <c r="C4998" s="1" t="n">
        <v>498000</v>
      </c>
      <c r="D4998" s="1" t="n">
        <v>617.9</v>
      </c>
      <c r="E4998" s="1" t="n">
        <v>0.0227</v>
      </c>
      <c r="F4998" s="1" t="n">
        <v>0.0409</v>
      </c>
    </row>
    <row r="4999" customFormat="false" ht="15" hidden="false" customHeight="false" outlineLevel="0" collapsed="false">
      <c r="A4999" s="1" t="s">
        <v>5034</v>
      </c>
      <c r="B4999" s="1" t="s">
        <v>26</v>
      </c>
      <c r="C4999" s="1" t="n">
        <v>525000</v>
      </c>
      <c r="D4999" s="1" t="n">
        <v>549.9</v>
      </c>
      <c r="E4999" s="1" t="n">
        <v>0.0073</v>
      </c>
      <c r="F4999" s="1" t="n">
        <v>0.354</v>
      </c>
    </row>
    <row r="5000" customFormat="false" ht="15" hidden="false" customHeight="false" outlineLevel="0" collapsed="false">
      <c r="A5000" s="1" t="s">
        <v>5035</v>
      </c>
      <c r="B5000" s="1" t="s">
        <v>287</v>
      </c>
      <c r="C5000" s="1" t="n">
        <v>509000</v>
      </c>
      <c r="D5000" s="1" t="n">
        <v>1654.7</v>
      </c>
      <c r="E5000" s="1" t="n">
        <v>0.0905</v>
      </c>
      <c r="F5000" s="1" t="n">
        <v>0.0759</v>
      </c>
    </row>
    <row r="5001" customFormat="false" ht="15" hidden="false" customHeight="false" outlineLevel="0" collapsed="false">
      <c r="A5001" s="1" t="s">
        <v>5036</v>
      </c>
      <c r="B5001" s="1" t="s">
        <v>88</v>
      </c>
      <c r="C5001" s="1" t="n">
        <v>546000</v>
      </c>
      <c r="D5001" s="1" t="n">
        <v>23482.6</v>
      </c>
      <c r="E5001" s="1" t="n">
        <v>0.0376</v>
      </c>
      <c r="F5001" s="1" t="n">
        <v>0.0938</v>
      </c>
    </row>
    <row r="5002" customFormat="false" ht="15" hidden="false" customHeight="false" outlineLevel="0" collapsed="false">
      <c r="A5002" s="1" t="s">
        <v>5037</v>
      </c>
      <c r="B5002" s="1" t="s">
        <v>74</v>
      </c>
      <c r="C5002" s="1" t="n">
        <v>459000</v>
      </c>
      <c r="D5002" s="1" t="n">
        <v>1414.5</v>
      </c>
      <c r="E5002" s="1" t="n">
        <v>0.0442</v>
      </c>
      <c r="F5002" s="1" t="n">
        <v>0.0951</v>
      </c>
    </row>
    <row r="5003" customFormat="false" ht="15" hidden="false" customHeight="false" outlineLevel="0" collapsed="false">
      <c r="A5003" s="1" t="s">
        <v>5038</v>
      </c>
      <c r="B5003" s="1" t="s">
        <v>50</v>
      </c>
      <c r="C5003" s="1" t="n">
        <v>495000</v>
      </c>
      <c r="D5003" s="1" t="n">
        <v>10225.5</v>
      </c>
      <c r="E5003" s="1" t="n">
        <v>0.0922</v>
      </c>
      <c r="F5003" s="1" t="n">
        <v>0.0938</v>
      </c>
    </row>
    <row r="5004" customFormat="false" ht="15" hidden="false" customHeight="false" outlineLevel="0" collapsed="false">
      <c r="A5004" s="1" t="s">
        <v>5039</v>
      </c>
      <c r="B5004" s="1" t="s">
        <v>214</v>
      </c>
      <c r="C5004" s="1" t="n">
        <v>2530000</v>
      </c>
      <c r="D5004" s="1" t="n">
        <v>76004</v>
      </c>
      <c r="E5004" s="1" t="n">
        <v>0.0143</v>
      </c>
      <c r="F5004" s="1" t="n">
        <v>0.0726</v>
      </c>
    </row>
    <row r="5005" customFormat="false" ht="15" hidden="false" customHeight="false" outlineLevel="0" collapsed="false">
      <c r="A5005" s="1" t="s">
        <v>5040</v>
      </c>
      <c r="B5005" s="1" t="s">
        <v>24</v>
      </c>
      <c r="C5005" s="1" t="n">
        <v>330000</v>
      </c>
      <c r="D5005" s="1" t="n">
        <v>6829.9</v>
      </c>
      <c r="E5005" s="1" t="n">
        <v>0.0133</v>
      </c>
      <c r="F5005" s="1" t="n">
        <v>0.0462</v>
      </c>
    </row>
    <row r="5006" customFormat="false" ht="15" hidden="false" customHeight="false" outlineLevel="0" collapsed="false">
      <c r="A5006" s="1" t="s">
        <v>5041</v>
      </c>
      <c r="B5006" s="1" t="s">
        <v>195</v>
      </c>
      <c r="C5006" s="1" t="n">
        <v>611000</v>
      </c>
      <c r="D5006" s="1" t="n">
        <v>5738.5</v>
      </c>
      <c r="E5006" s="1" t="n">
        <v>0.045</v>
      </c>
      <c r="F5006" s="1" t="n">
        <v>0.0938</v>
      </c>
    </row>
    <row r="5007" customFormat="false" ht="15" hidden="false" customHeight="false" outlineLevel="0" collapsed="false">
      <c r="A5007" s="1" t="s">
        <v>5042</v>
      </c>
      <c r="B5007" s="1" t="s">
        <v>88</v>
      </c>
      <c r="C5007" s="1" t="n">
        <v>678000</v>
      </c>
      <c r="D5007" s="1" t="n">
        <v>533.2</v>
      </c>
      <c r="E5007" s="1" t="n">
        <v>0.0438</v>
      </c>
      <c r="F5007" s="1" t="n">
        <v>0.095</v>
      </c>
    </row>
    <row r="5008" customFormat="false" ht="15" hidden="false" customHeight="false" outlineLevel="0" collapsed="false">
      <c r="A5008" s="1" t="s">
        <v>5043</v>
      </c>
      <c r="B5008" s="1" t="s">
        <v>74</v>
      </c>
      <c r="C5008" s="1" t="n">
        <v>579000</v>
      </c>
      <c r="D5008" s="1" t="n">
        <v>20618.1</v>
      </c>
      <c r="E5008" s="1" t="n">
        <v>0.0265</v>
      </c>
      <c r="F5008" s="1" t="n">
        <v>0.0759</v>
      </c>
    </row>
    <row r="5009" customFormat="false" ht="15" hidden="false" customHeight="false" outlineLevel="0" collapsed="false">
      <c r="A5009" s="1" t="s">
        <v>5044</v>
      </c>
      <c r="B5009" s="1" t="s">
        <v>26</v>
      </c>
      <c r="C5009" s="1" t="n">
        <v>783000</v>
      </c>
      <c r="D5009" s="1" t="n">
        <v>241331.5</v>
      </c>
      <c r="E5009" s="1" t="n">
        <v>0.0291</v>
      </c>
      <c r="F5009" s="1" t="n">
        <v>0.0951</v>
      </c>
    </row>
    <row r="5010" customFormat="false" ht="15" hidden="false" customHeight="false" outlineLevel="0" collapsed="false">
      <c r="A5010" s="1" t="s">
        <v>5045</v>
      </c>
      <c r="B5010" s="1" t="s">
        <v>62</v>
      </c>
      <c r="C5010" s="1" t="n">
        <v>491000</v>
      </c>
      <c r="D5010" s="1" t="n">
        <v>1006.5</v>
      </c>
      <c r="E5010" s="1" t="n">
        <v>0.0273</v>
      </c>
      <c r="F5010" s="1" t="n">
        <v>0.1688</v>
      </c>
    </row>
    <row r="5011" customFormat="false" ht="15" hidden="false" customHeight="false" outlineLevel="0" collapsed="false">
      <c r="A5011" s="1" t="s">
        <v>5046</v>
      </c>
      <c r="B5011" s="1" t="s">
        <v>50</v>
      </c>
      <c r="C5011" s="1" t="n">
        <v>542000</v>
      </c>
      <c r="D5011" s="1" t="n">
        <v>501716.8</v>
      </c>
      <c r="E5011" s="1" t="n">
        <v>0.0446</v>
      </c>
      <c r="F5011" s="1" t="n">
        <v>0.0518</v>
      </c>
    </row>
    <row r="5012" customFormat="false" ht="15" hidden="false" customHeight="false" outlineLevel="0" collapsed="false">
      <c r="A5012" s="1" t="s">
        <v>5047</v>
      </c>
      <c r="B5012" s="1" t="s">
        <v>214</v>
      </c>
      <c r="C5012" s="1" t="n">
        <v>481000</v>
      </c>
      <c r="D5012" s="1" t="n">
        <v>756.6</v>
      </c>
      <c r="E5012" s="1" t="n">
        <v>0.0132</v>
      </c>
      <c r="F5012" s="1" t="n">
        <v>0.1067</v>
      </c>
    </row>
    <row r="5013" customFormat="false" ht="15" hidden="false" customHeight="false" outlineLevel="0" collapsed="false">
      <c r="A5013" s="1" t="s">
        <v>5048</v>
      </c>
      <c r="B5013" s="1" t="s">
        <v>92</v>
      </c>
      <c r="C5013" s="1" t="n">
        <v>485000</v>
      </c>
      <c r="D5013" s="1" t="n">
        <v>995.1</v>
      </c>
      <c r="F5013" s="1" t="n">
        <v>0.0951</v>
      </c>
    </row>
    <row r="5014" customFormat="false" ht="15" hidden="false" customHeight="false" outlineLevel="0" collapsed="false">
      <c r="A5014" s="1" t="s">
        <v>5049</v>
      </c>
      <c r="B5014" s="1" t="s">
        <v>24</v>
      </c>
      <c r="C5014" s="1" t="n">
        <v>652000</v>
      </c>
      <c r="D5014" s="1" t="n">
        <v>2258.8</v>
      </c>
      <c r="E5014" s="1" t="n">
        <v>0.0376</v>
      </c>
      <c r="F5014" s="1" t="n">
        <v>0.0938</v>
      </c>
    </row>
    <row r="5015" customFormat="false" ht="15" hidden="false" customHeight="false" outlineLevel="0" collapsed="false">
      <c r="A5015" s="1" t="s">
        <v>5050</v>
      </c>
      <c r="B5015" s="1" t="s">
        <v>26</v>
      </c>
      <c r="C5015" s="1" t="n">
        <v>559000</v>
      </c>
      <c r="D5015" s="1" t="n">
        <v>12582</v>
      </c>
      <c r="E5015" s="1" t="n">
        <v>0.0499</v>
      </c>
      <c r="F5015" s="1" t="n">
        <v>0.0759</v>
      </c>
    </row>
    <row r="5016" customFormat="false" ht="15" hidden="false" customHeight="false" outlineLevel="0" collapsed="false">
      <c r="A5016" s="1" t="s">
        <v>5051</v>
      </c>
      <c r="B5016" s="1" t="s">
        <v>26</v>
      </c>
      <c r="C5016" s="1" t="n">
        <v>521000</v>
      </c>
      <c r="D5016" s="1" t="n">
        <v>11318.7</v>
      </c>
      <c r="E5016" s="1" t="n">
        <v>0.0155</v>
      </c>
      <c r="F5016" s="1" t="n">
        <v>0.0462</v>
      </c>
    </row>
    <row r="5017" customFormat="false" ht="15" hidden="false" customHeight="false" outlineLevel="0" collapsed="false">
      <c r="A5017" s="1" t="s">
        <v>5052</v>
      </c>
      <c r="B5017" s="1" t="s">
        <v>24</v>
      </c>
      <c r="C5017" s="1" t="n">
        <v>527000</v>
      </c>
      <c r="D5017" s="1" t="n">
        <v>28199.1</v>
      </c>
      <c r="E5017" s="1" t="n">
        <v>0.0179</v>
      </c>
      <c r="F5017" s="1" t="n">
        <v>0.1067</v>
      </c>
    </row>
    <row r="5018" customFormat="false" ht="15" hidden="false" customHeight="false" outlineLevel="0" collapsed="false">
      <c r="A5018" s="1" t="s">
        <v>5053</v>
      </c>
      <c r="B5018" s="1" t="s">
        <v>21</v>
      </c>
      <c r="C5018" s="1" t="n">
        <v>638000</v>
      </c>
      <c r="D5018" s="1" t="n">
        <v>11329.1</v>
      </c>
      <c r="E5018" s="1" t="n">
        <v>0.0114</v>
      </c>
      <c r="F5018" s="1" t="n">
        <v>0.0585</v>
      </c>
    </row>
    <row r="5019" customFormat="false" ht="15" hidden="false" customHeight="false" outlineLevel="0" collapsed="false">
      <c r="A5019" s="1" t="s">
        <v>5054</v>
      </c>
      <c r="B5019" s="1" t="s">
        <v>26</v>
      </c>
      <c r="C5019" s="1" t="n">
        <v>928000</v>
      </c>
      <c r="D5019" s="1" t="n">
        <v>465040.6</v>
      </c>
      <c r="E5019" s="1" t="n">
        <v>0.0278</v>
      </c>
      <c r="F5019" s="1" t="n">
        <v>0.0409</v>
      </c>
    </row>
    <row r="5020" customFormat="false" ht="15" hidden="false" customHeight="false" outlineLevel="0" collapsed="false">
      <c r="A5020" s="1" t="s">
        <v>5055</v>
      </c>
      <c r="B5020" s="1" t="s">
        <v>53</v>
      </c>
      <c r="C5020" s="1" t="n">
        <v>464000</v>
      </c>
      <c r="D5020" s="1" t="n">
        <v>73747.6</v>
      </c>
      <c r="E5020" s="1" t="n">
        <v>0.0411</v>
      </c>
      <c r="F5020" s="1" t="n">
        <v>0.0951</v>
      </c>
    </row>
    <row r="5021" customFormat="false" ht="15" hidden="false" customHeight="false" outlineLevel="0" collapsed="false">
      <c r="A5021" s="1" t="s">
        <v>5056</v>
      </c>
      <c r="B5021" s="1" t="s">
        <v>81</v>
      </c>
      <c r="C5021" s="1" t="n">
        <v>743000</v>
      </c>
      <c r="D5021" s="1" t="n">
        <v>52092.5</v>
      </c>
      <c r="F5021" s="1" t="n">
        <v>0.0432</v>
      </c>
    </row>
    <row r="5022" customFormat="false" ht="15" hidden="false" customHeight="false" outlineLevel="0" collapsed="false">
      <c r="A5022" s="1" t="s">
        <v>5057</v>
      </c>
      <c r="B5022" s="1" t="s">
        <v>62</v>
      </c>
      <c r="C5022" s="1" t="n">
        <v>475000</v>
      </c>
      <c r="D5022" s="1" t="n">
        <v>499.4</v>
      </c>
      <c r="E5022" s="1" t="n">
        <v>0.0386</v>
      </c>
      <c r="F5022" s="1" t="n">
        <v>0.0409</v>
      </c>
    </row>
    <row r="5023" customFormat="false" ht="15" hidden="false" customHeight="false" outlineLevel="0" collapsed="false">
      <c r="A5023" s="1" t="s">
        <v>5058</v>
      </c>
      <c r="B5023" s="1" t="s">
        <v>24</v>
      </c>
      <c r="C5023" s="1" t="n">
        <v>610000</v>
      </c>
      <c r="D5023" s="1" t="n">
        <v>1724215.8</v>
      </c>
      <c r="E5023" s="1" t="n">
        <v>0.0214</v>
      </c>
      <c r="F5023" s="1" t="n">
        <v>0.0518</v>
      </c>
    </row>
    <row r="5024" customFormat="false" ht="15" hidden="false" customHeight="false" outlineLevel="0" collapsed="false">
      <c r="A5024" s="1" t="s">
        <v>5059</v>
      </c>
      <c r="B5024" s="1" t="s">
        <v>74</v>
      </c>
      <c r="C5024" s="1" t="n">
        <v>759000</v>
      </c>
      <c r="D5024" s="1" t="n">
        <v>23718.1</v>
      </c>
      <c r="E5024" s="1" t="n">
        <v>0.0204</v>
      </c>
      <c r="F5024" s="1" t="n">
        <v>0.0854</v>
      </c>
    </row>
    <row r="5025" customFormat="false" ht="15" hidden="false" customHeight="false" outlineLevel="0" collapsed="false">
      <c r="A5025" s="1" t="s">
        <v>5060</v>
      </c>
      <c r="B5025" s="1" t="s">
        <v>26</v>
      </c>
      <c r="C5025" s="1" t="n">
        <v>480000</v>
      </c>
      <c r="D5025" s="1" t="n">
        <v>454.2</v>
      </c>
      <c r="E5025" s="1" t="n">
        <v>0.0189</v>
      </c>
      <c r="F5025" s="1" t="n">
        <v>0.2064</v>
      </c>
    </row>
    <row r="5026" customFormat="false" ht="15" hidden="false" customHeight="false" outlineLevel="0" collapsed="false">
      <c r="A5026" s="1" t="s">
        <v>5061</v>
      </c>
      <c r="B5026" s="1" t="s">
        <v>81</v>
      </c>
      <c r="C5026" s="1" t="n">
        <v>592000</v>
      </c>
      <c r="D5026" s="1" t="n">
        <v>18202.2</v>
      </c>
      <c r="E5026" s="1" t="n">
        <v>0.0213</v>
      </c>
      <c r="F5026" s="1" t="n">
        <v>0.2064</v>
      </c>
    </row>
    <row r="5027" customFormat="false" ht="15" hidden="false" customHeight="false" outlineLevel="0" collapsed="false">
      <c r="A5027" s="1" t="s">
        <v>5062</v>
      </c>
      <c r="B5027" s="1" t="s">
        <v>62</v>
      </c>
      <c r="C5027" s="1" t="n">
        <v>487000</v>
      </c>
      <c r="D5027" s="1" t="n">
        <v>4816.5</v>
      </c>
      <c r="E5027" s="1" t="n">
        <v>0.0126</v>
      </c>
      <c r="F5027" s="1" t="n">
        <v>0.0736</v>
      </c>
    </row>
    <row r="5028" customFormat="false" ht="15" hidden="false" customHeight="false" outlineLevel="0" collapsed="false">
      <c r="A5028" s="1" t="s">
        <v>5063</v>
      </c>
      <c r="B5028" s="1" t="s">
        <v>214</v>
      </c>
      <c r="C5028" s="1" t="n">
        <v>461000</v>
      </c>
      <c r="D5028" s="1" t="n">
        <v>8774</v>
      </c>
      <c r="E5028" s="1" t="n">
        <v>0.0462</v>
      </c>
      <c r="F5028" s="1" t="n">
        <v>0.0951</v>
      </c>
    </row>
    <row r="5029" customFormat="false" ht="15" hidden="false" customHeight="false" outlineLevel="0" collapsed="false">
      <c r="A5029" s="1" t="s">
        <v>5064</v>
      </c>
      <c r="B5029" s="1" t="s">
        <v>74</v>
      </c>
      <c r="C5029" s="1" t="n">
        <v>641000</v>
      </c>
      <c r="D5029" s="1" t="n">
        <v>265392.1</v>
      </c>
      <c r="E5029" s="1" t="n">
        <v>0.0102</v>
      </c>
      <c r="F5029" s="1" t="n">
        <v>0.1471</v>
      </c>
    </row>
    <row r="5030" customFormat="false" ht="15" hidden="false" customHeight="false" outlineLevel="0" collapsed="false">
      <c r="A5030" s="1" t="s">
        <v>5065</v>
      </c>
      <c r="B5030" s="1" t="s">
        <v>74</v>
      </c>
      <c r="C5030" s="1" t="n">
        <v>1130000</v>
      </c>
      <c r="D5030" s="1" t="n">
        <v>241682.1</v>
      </c>
      <c r="E5030" s="1" t="n">
        <v>0.0333</v>
      </c>
      <c r="F5030" s="1" t="n">
        <v>0.0432</v>
      </c>
    </row>
    <row r="5031" customFormat="false" ht="15" hidden="false" customHeight="false" outlineLevel="0" collapsed="false">
      <c r="A5031" s="1" t="s">
        <v>5066</v>
      </c>
      <c r="B5031" s="1" t="s">
        <v>88</v>
      </c>
      <c r="C5031" s="1" t="n">
        <v>540000</v>
      </c>
      <c r="D5031" s="1" t="n">
        <v>82819.2</v>
      </c>
      <c r="E5031" s="1" t="n">
        <v>0.0552</v>
      </c>
      <c r="F5031" s="1" t="n">
        <v>0.0409</v>
      </c>
    </row>
    <row r="5032" customFormat="false" ht="15" hidden="false" customHeight="false" outlineLevel="0" collapsed="false">
      <c r="A5032" s="1" t="s">
        <v>5067</v>
      </c>
      <c r="B5032" s="1" t="s">
        <v>88</v>
      </c>
      <c r="C5032" s="1" t="n">
        <v>537000</v>
      </c>
      <c r="D5032" s="1" t="n">
        <v>618.9</v>
      </c>
      <c r="E5032" s="1" t="n">
        <v>0.0527</v>
      </c>
      <c r="F5032" s="1" t="n">
        <v>0.1168</v>
      </c>
    </row>
    <row r="5033" customFormat="false" ht="15" hidden="false" customHeight="false" outlineLevel="0" collapsed="false">
      <c r="A5033" s="1" t="s">
        <v>5068</v>
      </c>
      <c r="B5033" s="1" t="s">
        <v>41</v>
      </c>
      <c r="C5033" s="1" t="n">
        <v>475000</v>
      </c>
      <c r="D5033" s="1" t="n">
        <v>1220.5</v>
      </c>
      <c r="E5033" s="1" t="n">
        <v>0.0167</v>
      </c>
      <c r="F5033" s="1" t="n">
        <v>0.2479</v>
      </c>
    </row>
    <row r="5034" customFormat="false" ht="15" hidden="false" customHeight="false" outlineLevel="0" collapsed="false">
      <c r="A5034" s="1" t="s">
        <v>5069</v>
      </c>
      <c r="B5034" s="1" t="s">
        <v>26</v>
      </c>
      <c r="C5034" s="1" t="n">
        <v>1600000</v>
      </c>
      <c r="D5034" s="1" t="n">
        <v>2205612.5</v>
      </c>
      <c r="E5034" s="1" t="n">
        <v>0.0346</v>
      </c>
      <c r="F5034" s="1" t="n">
        <v>0.0409</v>
      </c>
    </row>
    <row r="5035" customFormat="false" ht="15" hidden="false" customHeight="false" outlineLevel="0" collapsed="false">
      <c r="A5035" s="1" t="s">
        <v>5070</v>
      </c>
      <c r="B5035" s="1" t="s">
        <v>26</v>
      </c>
      <c r="C5035" s="1" t="n">
        <v>564000</v>
      </c>
      <c r="D5035" s="1" t="n">
        <v>43573.7</v>
      </c>
      <c r="E5035" s="1" t="n">
        <v>0.0366</v>
      </c>
      <c r="F5035" s="1" t="n">
        <v>0.0951</v>
      </c>
    </row>
    <row r="5036" customFormat="false" ht="15" hidden="false" customHeight="false" outlineLevel="0" collapsed="false">
      <c r="A5036" s="1" t="s">
        <v>5071</v>
      </c>
      <c r="B5036" s="1" t="s">
        <v>214</v>
      </c>
      <c r="C5036" s="1" t="n">
        <v>667000</v>
      </c>
      <c r="D5036" s="1" t="n">
        <v>33538.9</v>
      </c>
      <c r="E5036" s="1" t="n">
        <v>0.018</v>
      </c>
      <c r="F5036" s="1" t="n">
        <v>0.0576</v>
      </c>
    </row>
    <row r="5037" customFormat="false" ht="15" hidden="false" customHeight="false" outlineLevel="0" collapsed="false">
      <c r="A5037" s="1" t="s">
        <v>5072</v>
      </c>
      <c r="B5037" s="1" t="s">
        <v>30</v>
      </c>
      <c r="C5037" s="1" t="n">
        <v>661000</v>
      </c>
      <c r="D5037" s="1" t="n">
        <v>8832.6</v>
      </c>
      <c r="E5037" s="1" t="n">
        <v>0.007</v>
      </c>
      <c r="F5037" s="1" t="n">
        <v>0.0811</v>
      </c>
    </row>
    <row r="5038" customFormat="false" ht="15" hidden="false" customHeight="false" outlineLevel="0" collapsed="false">
      <c r="A5038" s="1" t="s">
        <v>5073</v>
      </c>
      <c r="B5038" s="1" t="s">
        <v>53</v>
      </c>
      <c r="C5038" s="1" t="n">
        <v>529000</v>
      </c>
      <c r="D5038" s="1" t="n">
        <v>1875.4</v>
      </c>
      <c r="E5038" s="1" t="n">
        <v>0.0747</v>
      </c>
      <c r="F5038" s="1" t="n">
        <v>0.0951</v>
      </c>
    </row>
    <row r="5039" customFormat="false" ht="15" hidden="false" customHeight="false" outlineLevel="0" collapsed="false">
      <c r="A5039" s="1" t="s">
        <v>5074</v>
      </c>
      <c r="B5039" s="1" t="s">
        <v>26</v>
      </c>
      <c r="C5039" s="1" t="n">
        <v>500000</v>
      </c>
      <c r="D5039" s="1" t="n">
        <v>9077.6</v>
      </c>
      <c r="E5039" s="1" t="n">
        <v>0.0335</v>
      </c>
      <c r="F5039" s="1" t="n">
        <v>0.0514</v>
      </c>
    </row>
    <row r="5040" customFormat="false" ht="15" hidden="false" customHeight="false" outlineLevel="0" collapsed="false">
      <c r="A5040" s="1" t="s">
        <v>5075</v>
      </c>
      <c r="B5040" s="1" t="s">
        <v>74</v>
      </c>
      <c r="C5040" s="1" t="n">
        <v>468000</v>
      </c>
      <c r="D5040" s="1" t="n">
        <v>22004.2</v>
      </c>
      <c r="E5040" s="1" t="n">
        <v>0.0392</v>
      </c>
      <c r="F5040" s="1" t="n">
        <v>0.0951</v>
      </c>
    </row>
    <row r="5041" customFormat="false" ht="15" hidden="false" customHeight="false" outlineLevel="0" collapsed="false">
      <c r="A5041" s="1" t="s">
        <v>5076</v>
      </c>
      <c r="B5041" s="1" t="s">
        <v>88</v>
      </c>
      <c r="C5041" s="1" t="n">
        <v>2600000</v>
      </c>
      <c r="D5041" s="1" t="n">
        <v>750261.9</v>
      </c>
      <c r="E5041" s="1" t="n">
        <v>0.0659</v>
      </c>
      <c r="F5041" s="1" t="n">
        <v>0.0951</v>
      </c>
    </row>
    <row r="5042" customFormat="false" ht="15" hidden="false" customHeight="false" outlineLevel="0" collapsed="false">
      <c r="A5042" s="1" t="s">
        <v>5077</v>
      </c>
      <c r="B5042" s="1" t="s">
        <v>26</v>
      </c>
      <c r="C5042" s="1" t="n">
        <v>547000</v>
      </c>
      <c r="D5042" s="1" t="n">
        <v>9402.5</v>
      </c>
      <c r="E5042" s="1" t="n">
        <v>0.0164</v>
      </c>
      <c r="F5042" s="1" t="n">
        <v>0.0462</v>
      </c>
    </row>
    <row r="5043" customFormat="false" ht="15" hidden="false" customHeight="false" outlineLevel="0" collapsed="false">
      <c r="A5043" s="1" t="s">
        <v>5078</v>
      </c>
      <c r="B5043" s="1" t="s">
        <v>32</v>
      </c>
      <c r="C5043" s="1" t="n">
        <v>605000</v>
      </c>
      <c r="D5043" s="1" t="n">
        <v>814.1</v>
      </c>
      <c r="E5043" s="1" t="n">
        <v>0.0145</v>
      </c>
      <c r="F5043" s="1" t="n">
        <v>0.0854</v>
      </c>
    </row>
    <row r="5044" customFormat="false" ht="15" hidden="false" customHeight="false" outlineLevel="0" collapsed="false">
      <c r="A5044" s="1" t="s">
        <v>5079</v>
      </c>
      <c r="B5044" s="1" t="s">
        <v>92</v>
      </c>
      <c r="C5044" s="1" t="n">
        <v>525000</v>
      </c>
      <c r="D5044" s="1" t="n">
        <v>197513</v>
      </c>
      <c r="E5044" s="1" t="n">
        <v>0.0728</v>
      </c>
      <c r="F5044" s="1" t="n">
        <v>0.0546</v>
      </c>
    </row>
    <row r="5045" customFormat="false" ht="15" hidden="false" customHeight="false" outlineLevel="0" collapsed="false">
      <c r="A5045" s="1" t="s">
        <v>5080</v>
      </c>
      <c r="B5045" s="1" t="s">
        <v>26</v>
      </c>
      <c r="C5045" s="1" t="n">
        <v>498000</v>
      </c>
      <c r="D5045" s="1" t="n">
        <v>704.7</v>
      </c>
      <c r="E5045" s="1" t="n">
        <v>0.041</v>
      </c>
      <c r="F5045" s="1" t="n">
        <v>0.0759</v>
      </c>
    </row>
    <row r="5046" customFormat="false" ht="15" hidden="false" customHeight="false" outlineLevel="0" collapsed="false">
      <c r="A5046" s="1" t="s">
        <v>5081</v>
      </c>
      <c r="B5046" s="1" t="s">
        <v>26</v>
      </c>
      <c r="C5046" s="1" t="n">
        <v>471000</v>
      </c>
      <c r="D5046" s="1" t="n">
        <v>36981.7</v>
      </c>
      <c r="E5046" s="1" t="n">
        <v>0.0641</v>
      </c>
      <c r="F5046" s="1" t="n">
        <v>0.0951</v>
      </c>
    </row>
    <row r="5047" customFormat="false" ht="15" hidden="false" customHeight="false" outlineLevel="0" collapsed="false">
      <c r="A5047" s="1" t="s">
        <v>5082</v>
      </c>
      <c r="B5047" s="1" t="s">
        <v>41</v>
      </c>
      <c r="C5047" s="1" t="n">
        <v>778000</v>
      </c>
      <c r="D5047" s="1" t="n">
        <v>17384.9</v>
      </c>
      <c r="E5047" s="1" t="n">
        <v>0.01</v>
      </c>
      <c r="F5047" s="1" t="n">
        <v>0.1015</v>
      </c>
    </row>
    <row r="5048" customFormat="false" ht="15" hidden="false" customHeight="false" outlineLevel="0" collapsed="false">
      <c r="A5048" s="1" t="s">
        <v>5083</v>
      </c>
      <c r="B5048" s="1" t="s">
        <v>74</v>
      </c>
      <c r="C5048" s="1" t="n">
        <v>501000</v>
      </c>
      <c r="D5048" s="1" t="n">
        <v>889.3</v>
      </c>
      <c r="E5048" s="1" t="n">
        <v>0.0293</v>
      </c>
      <c r="F5048" s="1" t="n">
        <v>0.0759</v>
      </c>
    </row>
    <row r="5049" customFormat="false" ht="15" hidden="false" customHeight="false" outlineLevel="0" collapsed="false">
      <c r="A5049" s="1" t="s">
        <v>5084</v>
      </c>
      <c r="B5049" s="1" t="s">
        <v>26</v>
      </c>
      <c r="C5049" s="1" t="n">
        <v>467000</v>
      </c>
      <c r="D5049" s="1" t="n">
        <v>204.4</v>
      </c>
      <c r="E5049" s="1" t="n">
        <v>0.0185</v>
      </c>
      <c r="F5049" s="1" t="n">
        <v>0.1067</v>
      </c>
    </row>
    <row r="5050" customFormat="false" ht="15" hidden="false" customHeight="false" outlineLevel="0" collapsed="false">
      <c r="A5050" s="1" t="s">
        <v>5085</v>
      </c>
      <c r="B5050" s="1" t="s">
        <v>41</v>
      </c>
      <c r="C5050" s="1" t="n">
        <v>505000</v>
      </c>
      <c r="D5050" s="1" t="n">
        <v>2388.7</v>
      </c>
      <c r="E5050" s="1" t="n">
        <v>0.0271</v>
      </c>
      <c r="F5050" s="1" t="n">
        <v>0.0938</v>
      </c>
    </row>
    <row r="5051" customFormat="false" ht="15" hidden="false" customHeight="false" outlineLevel="0" collapsed="false">
      <c r="A5051" s="1" t="s">
        <v>5086</v>
      </c>
      <c r="B5051" s="1" t="s">
        <v>24</v>
      </c>
      <c r="C5051" s="1" t="n">
        <v>525000</v>
      </c>
      <c r="D5051" s="1" t="n">
        <v>229.5</v>
      </c>
      <c r="E5051" s="1" t="n">
        <v>0.0338</v>
      </c>
      <c r="F5051" s="1" t="n">
        <v>0.0409</v>
      </c>
    </row>
    <row r="5052" customFormat="false" ht="15" hidden="false" customHeight="false" outlineLevel="0" collapsed="false">
      <c r="A5052" s="1" t="s">
        <v>5087</v>
      </c>
      <c r="B5052" s="1" t="s">
        <v>26</v>
      </c>
      <c r="C5052" s="1" t="n">
        <v>704000</v>
      </c>
      <c r="D5052" s="1" t="n">
        <v>49282.5</v>
      </c>
      <c r="E5052" s="1" t="n">
        <v>0.0588</v>
      </c>
      <c r="F5052" s="1" t="n">
        <v>0.0759</v>
      </c>
    </row>
    <row r="5053" customFormat="false" ht="15" hidden="false" customHeight="false" outlineLevel="0" collapsed="false">
      <c r="A5053" s="1" t="s">
        <v>5088</v>
      </c>
      <c r="B5053" s="1" t="s">
        <v>41</v>
      </c>
      <c r="C5053" s="1" t="n">
        <v>801000</v>
      </c>
      <c r="D5053" s="1" t="n">
        <v>66298.5</v>
      </c>
      <c r="E5053" s="1" t="n">
        <v>0.0367</v>
      </c>
      <c r="F5053" s="1" t="n">
        <v>0.0951</v>
      </c>
    </row>
    <row r="5054" customFormat="false" ht="15" hidden="false" customHeight="false" outlineLevel="0" collapsed="false">
      <c r="A5054" s="1" t="s">
        <v>5089</v>
      </c>
      <c r="B5054" s="1" t="s">
        <v>195</v>
      </c>
      <c r="C5054" s="1" t="n">
        <v>541000</v>
      </c>
      <c r="D5054" s="1" t="n">
        <v>5144.6</v>
      </c>
      <c r="E5054" s="1" t="n">
        <v>0.0208</v>
      </c>
      <c r="F5054" s="1" t="n">
        <v>0.1067</v>
      </c>
    </row>
    <row r="5055" customFormat="false" ht="15" hidden="false" customHeight="false" outlineLevel="0" collapsed="false">
      <c r="A5055" s="1" t="s">
        <v>5090</v>
      </c>
      <c r="B5055" s="1" t="s">
        <v>41</v>
      </c>
      <c r="C5055" s="1" t="n">
        <v>598000</v>
      </c>
      <c r="D5055" s="1" t="n">
        <v>253.1</v>
      </c>
      <c r="F5055" s="1" t="n">
        <v>0.0938</v>
      </c>
    </row>
    <row r="5056" customFormat="false" ht="15" hidden="false" customHeight="false" outlineLevel="0" collapsed="false">
      <c r="A5056" s="1" t="s">
        <v>5091</v>
      </c>
      <c r="B5056" s="1" t="s">
        <v>26</v>
      </c>
      <c r="C5056" s="1" t="n">
        <v>799000</v>
      </c>
      <c r="D5056" s="1" t="n">
        <v>1015.9</v>
      </c>
      <c r="E5056" s="1" t="n">
        <v>0.0262</v>
      </c>
      <c r="F5056" s="1" t="n">
        <v>0.0725</v>
      </c>
    </row>
    <row r="5057" customFormat="false" ht="15" hidden="false" customHeight="false" outlineLevel="0" collapsed="false">
      <c r="A5057" s="1" t="s">
        <v>5092</v>
      </c>
      <c r="B5057" s="1" t="s">
        <v>41</v>
      </c>
      <c r="C5057" s="1" t="n">
        <v>471000</v>
      </c>
      <c r="D5057" s="1" t="n">
        <v>51251.2</v>
      </c>
      <c r="E5057" s="1" t="n">
        <v>0.035</v>
      </c>
      <c r="F5057" s="1" t="n">
        <v>0.0951</v>
      </c>
    </row>
    <row r="5058" customFormat="false" ht="15" hidden="false" customHeight="false" outlineLevel="0" collapsed="false">
      <c r="A5058" s="1" t="s">
        <v>5093</v>
      </c>
      <c r="B5058" s="1" t="s">
        <v>88</v>
      </c>
      <c r="C5058" s="1" t="n">
        <v>1360000</v>
      </c>
      <c r="D5058" s="1" t="n">
        <v>2113.2</v>
      </c>
      <c r="E5058" s="1" t="n">
        <v>0.1018</v>
      </c>
      <c r="F5058" s="1" t="n">
        <v>0.0938</v>
      </c>
    </row>
    <row r="5059" customFormat="false" ht="15" hidden="false" customHeight="false" outlineLevel="0" collapsed="false">
      <c r="A5059" s="1" t="s">
        <v>5094</v>
      </c>
      <c r="B5059" s="1" t="s">
        <v>53</v>
      </c>
      <c r="C5059" s="1" t="n">
        <v>564000</v>
      </c>
      <c r="D5059" s="1" t="n">
        <v>29759.3</v>
      </c>
      <c r="E5059" s="1" t="n">
        <v>0.0969</v>
      </c>
      <c r="F5059" s="1" t="n">
        <v>0.0938</v>
      </c>
    </row>
    <row r="5060" customFormat="false" ht="15" hidden="false" customHeight="false" outlineLevel="0" collapsed="false">
      <c r="A5060" s="1" t="s">
        <v>5095</v>
      </c>
      <c r="B5060" s="1" t="s">
        <v>32</v>
      </c>
      <c r="C5060" s="1" t="n">
        <v>498000</v>
      </c>
      <c r="D5060" s="1" t="n">
        <v>15203.4</v>
      </c>
      <c r="E5060" s="1" t="n">
        <v>0.0038</v>
      </c>
      <c r="F5060" s="1" t="n">
        <v>0.0822</v>
      </c>
    </row>
    <row r="5061" customFormat="false" ht="15" hidden="false" customHeight="false" outlineLevel="0" collapsed="false">
      <c r="A5061" s="1" t="s">
        <v>5096</v>
      </c>
      <c r="B5061" s="1" t="s">
        <v>26</v>
      </c>
      <c r="C5061" s="1" t="n">
        <v>471000</v>
      </c>
      <c r="D5061" s="1" t="n">
        <v>13758.5</v>
      </c>
      <c r="E5061" s="1" t="n">
        <v>0.0724</v>
      </c>
      <c r="F5061" s="1" t="n">
        <v>0.0951</v>
      </c>
    </row>
    <row r="5062" customFormat="false" ht="15" hidden="false" customHeight="false" outlineLevel="0" collapsed="false">
      <c r="A5062" s="1" t="s">
        <v>5097</v>
      </c>
      <c r="B5062" s="1" t="s">
        <v>26</v>
      </c>
      <c r="C5062" s="1" t="n">
        <v>547000</v>
      </c>
      <c r="D5062" s="1" t="n">
        <v>13243.6</v>
      </c>
      <c r="E5062" s="1" t="n">
        <v>0.06</v>
      </c>
      <c r="F5062" s="1" t="n">
        <v>0.0409</v>
      </c>
    </row>
    <row r="5063" customFormat="false" ht="15" hidden="false" customHeight="false" outlineLevel="0" collapsed="false">
      <c r="A5063" s="1" t="s">
        <v>5098</v>
      </c>
      <c r="B5063" s="1" t="s">
        <v>26</v>
      </c>
      <c r="C5063" s="1" t="n">
        <v>571000</v>
      </c>
      <c r="D5063" s="1" t="n">
        <v>37503.4</v>
      </c>
      <c r="E5063" s="1" t="n">
        <v>0.0175</v>
      </c>
      <c r="F5063" s="1" t="n">
        <v>0.0585</v>
      </c>
    </row>
    <row r="5064" customFormat="false" ht="15" hidden="false" customHeight="false" outlineLevel="0" collapsed="false">
      <c r="A5064" s="1" t="s">
        <v>5099</v>
      </c>
      <c r="B5064" s="1" t="s">
        <v>26</v>
      </c>
      <c r="C5064" s="1" t="n">
        <v>771000</v>
      </c>
      <c r="D5064" s="1" t="n">
        <v>11427.2</v>
      </c>
      <c r="E5064" s="1" t="n">
        <v>0.0232</v>
      </c>
      <c r="F5064" s="1" t="n">
        <v>0.0854</v>
      </c>
    </row>
    <row r="5065" customFormat="false" ht="15" hidden="false" customHeight="false" outlineLevel="0" collapsed="false">
      <c r="A5065" s="1" t="s">
        <v>5100</v>
      </c>
      <c r="B5065" s="1" t="s">
        <v>74</v>
      </c>
      <c r="C5065" s="1" t="n">
        <v>662000</v>
      </c>
      <c r="D5065" s="1" t="n">
        <v>18107.1</v>
      </c>
      <c r="F5065" s="1" t="n">
        <v>0.0759</v>
      </c>
    </row>
    <row r="5066" customFormat="false" ht="15" hidden="false" customHeight="false" outlineLevel="0" collapsed="false">
      <c r="A5066" s="1" t="s">
        <v>5101</v>
      </c>
      <c r="B5066" s="1" t="s">
        <v>26</v>
      </c>
      <c r="C5066" s="1" t="n">
        <v>455000</v>
      </c>
      <c r="D5066" s="1" t="n">
        <v>310.6</v>
      </c>
      <c r="E5066" s="1" t="n">
        <v>0.0272</v>
      </c>
      <c r="F5066" s="1" t="n">
        <v>0.0518</v>
      </c>
    </row>
    <row r="5067" customFormat="false" ht="15" hidden="false" customHeight="false" outlineLevel="0" collapsed="false">
      <c r="A5067" s="1" t="s">
        <v>5102</v>
      </c>
      <c r="B5067" s="1" t="s">
        <v>26</v>
      </c>
      <c r="C5067" s="1" t="n">
        <v>449000</v>
      </c>
      <c r="D5067" s="1" t="n">
        <v>1713.2</v>
      </c>
      <c r="E5067" s="1" t="n">
        <v>0.0395</v>
      </c>
      <c r="F5067" s="1" t="n">
        <v>0.0644</v>
      </c>
    </row>
    <row r="5068" customFormat="false" ht="15" hidden="false" customHeight="false" outlineLevel="0" collapsed="false">
      <c r="A5068" s="1" t="s">
        <v>5103</v>
      </c>
      <c r="B5068" s="1" t="s">
        <v>88</v>
      </c>
      <c r="C5068" s="1" t="n">
        <v>552000</v>
      </c>
      <c r="D5068" s="1" t="n">
        <v>415.8</v>
      </c>
      <c r="E5068" s="1" t="n">
        <v>0.0219</v>
      </c>
      <c r="F5068" s="1" t="n">
        <v>0.0757</v>
      </c>
    </row>
    <row r="5069" customFormat="false" ht="15" hidden="false" customHeight="false" outlineLevel="0" collapsed="false">
      <c r="A5069" s="1" t="s">
        <v>5104</v>
      </c>
      <c r="B5069" s="1" t="s">
        <v>214</v>
      </c>
      <c r="C5069" s="1" t="n">
        <v>521000</v>
      </c>
      <c r="D5069" s="1" t="n">
        <v>1450</v>
      </c>
      <c r="E5069" s="1" t="n">
        <v>0.0691</v>
      </c>
      <c r="F5069" s="1" t="n">
        <v>0.0759</v>
      </c>
    </row>
    <row r="5070" customFormat="false" ht="15" hidden="false" customHeight="false" outlineLevel="0" collapsed="false">
      <c r="A5070" s="1" t="s">
        <v>5105</v>
      </c>
      <c r="B5070" s="1" t="s">
        <v>74</v>
      </c>
      <c r="C5070" s="1" t="n">
        <v>453000</v>
      </c>
      <c r="F5070" s="1" t="n">
        <v>0.0759</v>
      </c>
    </row>
    <row r="5071" customFormat="false" ht="15" hidden="false" customHeight="false" outlineLevel="0" collapsed="false">
      <c r="A5071" s="1" t="s">
        <v>5106</v>
      </c>
      <c r="B5071" s="1" t="s">
        <v>92</v>
      </c>
      <c r="C5071" s="1" t="n">
        <v>511000</v>
      </c>
      <c r="D5071" s="1" t="n">
        <v>793.6</v>
      </c>
      <c r="E5071" s="1" t="n">
        <v>0.0491</v>
      </c>
      <c r="F5071" s="1" t="n">
        <v>0.0759</v>
      </c>
    </row>
    <row r="5072" customFormat="false" ht="15" hidden="false" customHeight="false" outlineLevel="0" collapsed="false">
      <c r="A5072" s="1" t="s">
        <v>5107</v>
      </c>
      <c r="B5072" s="1" t="s">
        <v>195</v>
      </c>
      <c r="C5072" s="1" t="n">
        <v>547000</v>
      </c>
      <c r="D5072" s="1" t="n">
        <v>143447.8</v>
      </c>
      <c r="E5072" s="1" t="n">
        <v>0.0105</v>
      </c>
      <c r="F5072" s="1" t="n">
        <v>0.1406</v>
      </c>
    </row>
    <row r="5073" customFormat="false" ht="15" hidden="false" customHeight="false" outlineLevel="0" collapsed="false">
      <c r="A5073" s="1" t="s">
        <v>5108</v>
      </c>
      <c r="B5073" s="1" t="s">
        <v>26</v>
      </c>
      <c r="C5073" s="1" t="n">
        <v>536000</v>
      </c>
      <c r="D5073" s="1" t="n">
        <v>58390.5</v>
      </c>
      <c r="E5073" s="1" t="n">
        <v>0.0571</v>
      </c>
      <c r="F5073" s="1" t="n">
        <v>0.0759</v>
      </c>
    </row>
    <row r="5074" customFormat="false" ht="15" hidden="false" customHeight="false" outlineLevel="0" collapsed="false">
      <c r="A5074" s="1" t="s">
        <v>5109</v>
      </c>
      <c r="B5074" s="1" t="s">
        <v>26</v>
      </c>
      <c r="C5074" s="1" t="n">
        <v>461000</v>
      </c>
      <c r="D5074" s="1" t="n">
        <v>4605.8</v>
      </c>
      <c r="E5074" s="1" t="n">
        <v>0.0083</v>
      </c>
      <c r="F5074" s="1" t="n">
        <v>0.1471</v>
      </c>
    </row>
    <row r="5075" customFormat="false" ht="15" hidden="false" customHeight="false" outlineLevel="0" collapsed="false">
      <c r="A5075" s="1" t="s">
        <v>5110</v>
      </c>
      <c r="B5075" s="1" t="s">
        <v>74</v>
      </c>
      <c r="C5075" s="1" t="n">
        <v>517000</v>
      </c>
      <c r="D5075" s="1" t="n">
        <v>10638</v>
      </c>
      <c r="E5075" s="1" t="n">
        <v>0.0341</v>
      </c>
      <c r="F5075" s="1" t="n">
        <v>0.0951</v>
      </c>
    </row>
    <row r="5076" customFormat="false" ht="15" hidden="false" customHeight="false" outlineLevel="0" collapsed="false">
      <c r="A5076" s="1" t="s">
        <v>5111</v>
      </c>
      <c r="B5076" s="1" t="s">
        <v>30</v>
      </c>
      <c r="C5076" s="1" t="n">
        <v>572000</v>
      </c>
      <c r="D5076" s="1" t="n">
        <v>2436.5</v>
      </c>
      <c r="E5076" s="1" t="n">
        <v>0.01</v>
      </c>
      <c r="F5076" s="1" t="n">
        <v>0.0811</v>
      </c>
    </row>
    <row r="5077" customFormat="false" ht="15" hidden="false" customHeight="false" outlineLevel="0" collapsed="false">
      <c r="A5077" s="1" t="s">
        <v>5112</v>
      </c>
      <c r="B5077" s="1" t="s">
        <v>88</v>
      </c>
      <c r="C5077" s="1" t="n">
        <v>493000</v>
      </c>
      <c r="D5077" s="1" t="n">
        <v>4169</v>
      </c>
      <c r="E5077" s="1" t="n">
        <v>0.0333</v>
      </c>
      <c r="F5077" s="1" t="n">
        <v>0.117</v>
      </c>
    </row>
    <row r="5078" customFormat="false" ht="15" hidden="false" customHeight="false" outlineLevel="0" collapsed="false">
      <c r="A5078" s="1" t="s">
        <v>5113</v>
      </c>
      <c r="B5078" s="1" t="s">
        <v>92</v>
      </c>
      <c r="C5078" s="1" t="n">
        <v>566000</v>
      </c>
      <c r="D5078" s="1" t="n">
        <v>12710.8</v>
      </c>
      <c r="E5078" s="1" t="n">
        <v>0.0159</v>
      </c>
      <c r="F5078" s="1" t="n">
        <v>0.0462</v>
      </c>
    </row>
    <row r="5079" customFormat="false" ht="15" hidden="false" customHeight="false" outlineLevel="0" collapsed="false">
      <c r="A5079" s="1" t="s">
        <v>5114</v>
      </c>
      <c r="B5079" s="1" t="s">
        <v>88</v>
      </c>
      <c r="C5079" s="1" t="n">
        <v>1300000</v>
      </c>
      <c r="D5079" s="1" t="n">
        <v>2655.8</v>
      </c>
      <c r="E5079" s="1" t="n">
        <v>0.0232</v>
      </c>
      <c r="F5079" s="1" t="n">
        <v>0.0608</v>
      </c>
    </row>
    <row r="5080" customFormat="false" ht="15" hidden="false" customHeight="false" outlineLevel="0" collapsed="false">
      <c r="A5080" s="1" t="s">
        <v>5115</v>
      </c>
      <c r="B5080" s="1" t="s">
        <v>92</v>
      </c>
      <c r="C5080" s="1" t="n">
        <v>544000</v>
      </c>
      <c r="D5080" s="1" t="n">
        <v>21404.9</v>
      </c>
      <c r="E5080" s="1" t="n">
        <v>0.01</v>
      </c>
      <c r="F5080" s="1" t="n">
        <v>0.0822</v>
      </c>
    </row>
    <row r="5081" customFormat="false" ht="15" hidden="false" customHeight="false" outlineLevel="0" collapsed="false">
      <c r="A5081" s="1" t="s">
        <v>5116</v>
      </c>
      <c r="B5081" s="1" t="s">
        <v>26</v>
      </c>
      <c r="C5081" s="1" t="n">
        <v>698000</v>
      </c>
      <c r="D5081" s="1" t="n">
        <v>36213.8</v>
      </c>
      <c r="E5081" s="1" t="n">
        <v>0.0432</v>
      </c>
      <c r="F5081" s="1" t="n">
        <v>0.0518</v>
      </c>
    </row>
    <row r="5082" customFormat="false" ht="15" hidden="false" customHeight="false" outlineLevel="0" collapsed="false">
      <c r="A5082" s="1" t="s">
        <v>5117</v>
      </c>
      <c r="B5082" s="1" t="s">
        <v>26</v>
      </c>
      <c r="C5082" s="1" t="n">
        <v>478000</v>
      </c>
      <c r="D5082" s="1" t="n">
        <v>593.5</v>
      </c>
      <c r="E5082" s="1" t="n">
        <v>0.0743</v>
      </c>
      <c r="F5082" s="1" t="n">
        <v>0.0759</v>
      </c>
    </row>
    <row r="5083" customFormat="false" ht="15" hidden="false" customHeight="false" outlineLevel="0" collapsed="false">
      <c r="A5083" s="1" t="s">
        <v>5118</v>
      </c>
      <c r="B5083" s="1" t="s">
        <v>92</v>
      </c>
      <c r="C5083" s="1" t="n">
        <v>474000</v>
      </c>
      <c r="D5083" s="1" t="n">
        <v>245.9</v>
      </c>
      <c r="E5083" s="1" t="n">
        <v>0.0375</v>
      </c>
      <c r="F5083" s="1" t="n">
        <v>0.0938</v>
      </c>
    </row>
    <row r="5084" customFormat="false" ht="15" hidden="false" customHeight="false" outlineLevel="0" collapsed="false">
      <c r="A5084" s="1" t="s">
        <v>5119</v>
      </c>
      <c r="B5084" s="1" t="s">
        <v>24</v>
      </c>
      <c r="C5084" s="1" t="n">
        <v>687000</v>
      </c>
      <c r="D5084" s="1" t="n">
        <v>25106.2</v>
      </c>
      <c r="E5084" s="1" t="n">
        <v>0.0122</v>
      </c>
      <c r="F5084" s="1" t="n">
        <v>0.0647</v>
      </c>
    </row>
    <row r="5085" customFormat="false" ht="15" hidden="false" customHeight="false" outlineLevel="0" collapsed="false">
      <c r="A5085" s="1" t="s">
        <v>5120</v>
      </c>
      <c r="B5085" s="1" t="s">
        <v>26</v>
      </c>
      <c r="C5085" s="1" t="n">
        <v>700000</v>
      </c>
      <c r="D5085" s="1" t="n">
        <v>2971070.7</v>
      </c>
      <c r="E5085" s="1" t="n">
        <v>0.0294</v>
      </c>
      <c r="F5085" s="1" t="n">
        <v>0.0518</v>
      </c>
    </row>
    <row r="5086" customFormat="false" ht="15" hidden="false" customHeight="false" outlineLevel="0" collapsed="false">
      <c r="A5086" s="1" t="s">
        <v>5121</v>
      </c>
      <c r="B5086" s="1" t="s">
        <v>81</v>
      </c>
      <c r="C5086" s="1" t="n">
        <v>600000</v>
      </c>
      <c r="D5086" s="1" t="n">
        <v>4811.3</v>
      </c>
      <c r="E5086" s="1" t="n">
        <v>0.0236</v>
      </c>
      <c r="F5086" s="1" t="n">
        <v>0.051</v>
      </c>
    </row>
    <row r="5087" customFormat="false" ht="15" hidden="false" customHeight="false" outlineLevel="0" collapsed="false">
      <c r="A5087" s="1" t="s">
        <v>5122</v>
      </c>
      <c r="B5087" s="1" t="s">
        <v>24</v>
      </c>
      <c r="C5087" s="1" t="n">
        <v>718000</v>
      </c>
      <c r="D5087" s="1" t="n">
        <v>108110.2</v>
      </c>
      <c r="E5087" s="1" t="n">
        <v>0.0203</v>
      </c>
      <c r="F5087" s="1" t="n">
        <v>0.0462</v>
      </c>
    </row>
    <row r="5088" customFormat="false" ht="15" hidden="false" customHeight="false" outlineLevel="0" collapsed="false">
      <c r="A5088" s="1" t="s">
        <v>5123</v>
      </c>
      <c r="B5088" s="1" t="s">
        <v>214</v>
      </c>
      <c r="C5088" s="1" t="n">
        <v>531000</v>
      </c>
      <c r="D5088" s="1" t="n">
        <v>35491.5</v>
      </c>
      <c r="E5088" s="1" t="n">
        <v>0.0417</v>
      </c>
      <c r="F5088" s="1" t="n">
        <v>0.0951</v>
      </c>
    </row>
    <row r="5089" customFormat="false" ht="15" hidden="false" customHeight="false" outlineLevel="0" collapsed="false">
      <c r="A5089" s="1" t="s">
        <v>5124</v>
      </c>
      <c r="B5089" s="1" t="s">
        <v>32</v>
      </c>
      <c r="C5089" s="1" t="n">
        <v>632000</v>
      </c>
      <c r="D5089" s="1" t="n">
        <v>444265.1</v>
      </c>
      <c r="E5089" s="1" t="n">
        <v>0.039</v>
      </c>
      <c r="F5089" s="1" t="n">
        <v>0.0951</v>
      </c>
    </row>
    <row r="5090" customFormat="false" ht="15" hidden="false" customHeight="false" outlineLevel="0" collapsed="false">
      <c r="A5090" s="1" t="s">
        <v>5125</v>
      </c>
      <c r="B5090" s="1" t="s">
        <v>26</v>
      </c>
      <c r="C5090" s="1" t="n">
        <v>533000</v>
      </c>
      <c r="D5090" s="1" t="n">
        <v>6689.9</v>
      </c>
      <c r="E5090" s="1" t="n">
        <v>0.0155</v>
      </c>
      <c r="F5090" s="1" t="n">
        <v>0.0576</v>
      </c>
    </row>
    <row r="5091" customFormat="false" ht="15" hidden="false" customHeight="false" outlineLevel="0" collapsed="false">
      <c r="A5091" s="1" t="s">
        <v>5126</v>
      </c>
      <c r="B5091" s="1" t="s">
        <v>74</v>
      </c>
      <c r="C5091" s="1" t="n">
        <v>506000</v>
      </c>
      <c r="D5091" s="1" t="n">
        <v>21693.1</v>
      </c>
      <c r="F5091" s="1" t="n">
        <v>0.0951</v>
      </c>
    </row>
    <row r="5092" customFormat="false" ht="15" hidden="false" customHeight="false" outlineLevel="0" collapsed="false">
      <c r="A5092" s="1" t="s">
        <v>5127</v>
      </c>
      <c r="B5092" s="1" t="s">
        <v>26</v>
      </c>
      <c r="C5092" s="1" t="n">
        <v>526000</v>
      </c>
      <c r="D5092" s="1" t="n">
        <v>321709.4</v>
      </c>
      <c r="E5092" s="1" t="n">
        <v>0.0578</v>
      </c>
      <c r="F5092" s="1" t="n">
        <v>0.0951</v>
      </c>
    </row>
    <row r="5093" customFormat="false" ht="15" hidden="false" customHeight="false" outlineLevel="0" collapsed="false">
      <c r="A5093" s="1" t="s">
        <v>5128</v>
      </c>
      <c r="B5093" s="1" t="s">
        <v>74</v>
      </c>
      <c r="C5093" s="1" t="n">
        <v>1160000</v>
      </c>
      <c r="D5093" s="1" t="n">
        <v>3376.6</v>
      </c>
      <c r="E5093" s="1" t="n">
        <v>0.0458</v>
      </c>
      <c r="F5093" s="1" t="n">
        <v>0.0938</v>
      </c>
    </row>
    <row r="5094" customFormat="false" ht="15" hidden="false" customHeight="false" outlineLevel="0" collapsed="false">
      <c r="A5094" s="1" t="s">
        <v>5129</v>
      </c>
      <c r="B5094" s="1" t="s">
        <v>71</v>
      </c>
      <c r="C5094" s="1" t="n">
        <v>576000</v>
      </c>
      <c r="D5094" s="1" t="n">
        <v>748</v>
      </c>
      <c r="E5094" s="1" t="n">
        <v>0.0164</v>
      </c>
      <c r="F5094" s="1" t="n">
        <v>0.1053</v>
      </c>
    </row>
    <row r="5095" customFormat="false" ht="15" hidden="false" customHeight="false" outlineLevel="0" collapsed="false">
      <c r="A5095" s="1" t="s">
        <v>5130</v>
      </c>
      <c r="B5095" s="1" t="s">
        <v>24</v>
      </c>
      <c r="C5095" s="1" t="n">
        <v>473000</v>
      </c>
      <c r="D5095" s="1" t="n">
        <v>2994012.6</v>
      </c>
      <c r="E5095" s="1" t="n">
        <v>0.0193</v>
      </c>
      <c r="F5095" s="1" t="n">
        <v>0.0585</v>
      </c>
    </row>
    <row r="5096" customFormat="false" ht="15" hidden="false" customHeight="false" outlineLevel="0" collapsed="false">
      <c r="A5096" s="1" t="s">
        <v>5131</v>
      </c>
      <c r="B5096" s="1" t="s">
        <v>26</v>
      </c>
      <c r="C5096" s="1" t="n">
        <v>463000</v>
      </c>
      <c r="F5096" s="1" t="n">
        <v>0.0759</v>
      </c>
    </row>
    <row r="5097" customFormat="false" ht="15" hidden="false" customHeight="false" outlineLevel="0" collapsed="false">
      <c r="A5097" s="1" t="s">
        <v>5132</v>
      </c>
      <c r="B5097" s="1" t="s">
        <v>26</v>
      </c>
      <c r="C5097" s="1" t="n">
        <v>460000</v>
      </c>
      <c r="D5097" s="1" t="n">
        <v>27100.9</v>
      </c>
      <c r="E5097" s="1" t="n">
        <v>0.0376</v>
      </c>
      <c r="F5097" s="1" t="n">
        <v>0.0951</v>
      </c>
    </row>
    <row r="5098" customFormat="false" ht="15" hidden="false" customHeight="false" outlineLevel="0" collapsed="false">
      <c r="A5098" s="1" t="s">
        <v>5133</v>
      </c>
      <c r="B5098" s="1" t="s">
        <v>26</v>
      </c>
      <c r="C5098" s="1" t="n">
        <v>469000</v>
      </c>
      <c r="D5098" s="1" t="n">
        <v>2492.7</v>
      </c>
      <c r="E5098" s="1" t="n">
        <v>0.0202</v>
      </c>
      <c r="F5098" s="1" t="n">
        <v>0.193</v>
      </c>
    </row>
    <row r="5099" customFormat="false" ht="15" hidden="false" customHeight="false" outlineLevel="0" collapsed="false">
      <c r="A5099" s="1" t="s">
        <v>5134</v>
      </c>
      <c r="B5099" s="1" t="s">
        <v>32</v>
      </c>
      <c r="C5099" s="1" t="n">
        <v>1070000</v>
      </c>
      <c r="D5099" s="1" t="n">
        <v>106469.2</v>
      </c>
      <c r="E5099" s="1" t="n">
        <v>0.0477</v>
      </c>
      <c r="F5099" s="1" t="n">
        <v>0.0759</v>
      </c>
    </row>
    <row r="5100" customFormat="false" ht="15" hidden="false" customHeight="false" outlineLevel="0" collapsed="false">
      <c r="A5100" s="1" t="s">
        <v>5135</v>
      </c>
      <c r="B5100" s="1" t="s">
        <v>74</v>
      </c>
      <c r="C5100" s="1" t="n">
        <v>650000</v>
      </c>
      <c r="D5100" s="1" t="n">
        <v>18205.4</v>
      </c>
      <c r="E5100" s="1" t="n">
        <v>0.0633</v>
      </c>
      <c r="F5100" s="1" t="n">
        <v>0.0409</v>
      </c>
    </row>
    <row r="5101" customFormat="false" ht="15" hidden="false" customHeight="false" outlineLevel="0" collapsed="false">
      <c r="A5101" s="1" t="s">
        <v>5136</v>
      </c>
      <c r="B5101" s="1" t="s">
        <v>41</v>
      </c>
      <c r="C5101" s="1" t="n">
        <v>513000</v>
      </c>
      <c r="D5101" s="1" t="n">
        <v>6441.5</v>
      </c>
      <c r="E5101" s="1" t="n">
        <v>0.0196</v>
      </c>
      <c r="F5101" s="1" t="n">
        <v>0.1053</v>
      </c>
    </row>
    <row r="5102" customFormat="false" ht="15" hidden="false" customHeight="false" outlineLevel="0" collapsed="false">
      <c r="A5102" s="1" t="s">
        <v>5137</v>
      </c>
      <c r="B5102" s="1" t="s">
        <v>26</v>
      </c>
      <c r="C5102" s="1" t="n">
        <v>498000</v>
      </c>
      <c r="D5102" s="1" t="n">
        <v>638963.2</v>
      </c>
      <c r="E5102" s="1" t="n">
        <v>0.0136</v>
      </c>
      <c r="F5102" s="1" t="n">
        <v>0.1192</v>
      </c>
    </row>
    <row r="5103" customFormat="false" ht="15" hidden="false" customHeight="false" outlineLevel="0" collapsed="false">
      <c r="A5103" s="1" t="s">
        <v>5138</v>
      </c>
      <c r="B5103" s="1" t="s">
        <v>26</v>
      </c>
      <c r="C5103" s="1" t="n">
        <v>503000</v>
      </c>
      <c r="D5103" s="1" t="n">
        <v>191781.9</v>
      </c>
      <c r="E5103" s="1" t="n">
        <v>0.0308</v>
      </c>
      <c r="F5103" s="1" t="n">
        <v>0.0951</v>
      </c>
    </row>
    <row r="5104" customFormat="false" ht="15" hidden="false" customHeight="false" outlineLevel="0" collapsed="false">
      <c r="A5104" s="1" t="s">
        <v>5139</v>
      </c>
      <c r="B5104" s="1" t="s">
        <v>26</v>
      </c>
      <c r="C5104" s="1" t="n">
        <v>544000</v>
      </c>
      <c r="D5104" s="1" t="n">
        <v>6830.1</v>
      </c>
      <c r="E5104" s="1" t="n">
        <v>0.0366</v>
      </c>
      <c r="F5104" s="1" t="n">
        <v>0.0759</v>
      </c>
    </row>
    <row r="5105" customFormat="false" ht="15" hidden="false" customHeight="false" outlineLevel="0" collapsed="false">
      <c r="A5105" s="1" t="s">
        <v>5140</v>
      </c>
      <c r="B5105" s="1" t="s">
        <v>88</v>
      </c>
      <c r="C5105" s="1" t="n">
        <v>795000</v>
      </c>
      <c r="D5105" s="1" t="n">
        <v>31580.1</v>
      </c>
      <c r="E5105" s="1" t="n">
        <v>0.0871</v>
      </c>
      <c r="F5105" s="1" t="n">
        <v>0.0759</v>
      </c>
    </row>
    <row r="5106" customFormat="false" ht="15" hidden="false" customHeight="false" outlineLevel="0" collapsed="false">
      <c r="A5106" s="1" t="s">
        <v>5141</v>
      </c>
      <c r="B5106" s="1" t="s">
        <v>490</v>
      </c>
      <c r="C5106" s="1" t="n">
        <v>581000</v>
      </c>
      <c r="D5106" s="1" t="n">
        <v>3345</v>
      </c>
      <c r="E5106" s="1" t="n">
        <v>0.0287</v>
      </c>
      <c r="F5106" s="1" t="n">
        <v>0.0759</v>
      </c>
    </row>
    <row r="5107" customFormat="false" ht="15" hidden="false" customHeight="false" outlineLevel="0" collapsed="false">
      <c r="A5107" s="1" t="s">
        <v>5142</v>
      </c>
      <c r="B5107" s="1" t="s">
        <v>62</v>
      </c>
      <c r="C5107" s="1" t="n">
        <v>797000</v>
      </c>
      <c r="D5107" s="1" t="n">
        <v>30436.7</v>
      </c>
      <c r="E5107" s="1" t="n">
        <v>0.0166</v>
      </c>
      <c r="F5107" s="1" t="n">
        <v>0.0849</v>
      </c>
    </row>
    <row r="5108" customFormat="false" ht="15" hidden="false" customHeight="false" outlineLevel="0" collapsed="false">
      <c r="A5108" s="1" t="s">
        <v>5143</v>
      </c>
      <c r="B5108" s="1" t="s">
        <v>41</v>
      </c>
      <c r="C5108" s="1" t="n">
        <v>506000</v>
      </c>
      <c r="D5108" s="1" t="n">
        <v>326.9</v>
      </c>
      <c r="E5108" s="1" t="n">
        <v>0.0121</v>
      </c>
      <c r="F5108" s="1" t="n">
        <v>0.0821</v>
      </c>
    </row>
    <row r="5109" customFormat="false" ht="15" hidden="false" customHeight="false" outlineLevel="0" collapsed="false">
      <c r="A5109" s="1" t="s">
        <v>5144</v>
      </c>
      <c r="B5109" s="1" t="s">
        <v>24</v>
      </c>
      <c r="C5109" s="1" t="n">
        <v>451000</v>
      </c>
      <c r="D5109" s="1" t="n">
        <v>77.8</v>
      </c>
      <c r="E5109" s="1" t="n">
        <v>0.0209</v>
      </c>
      <c r="F5109" s="1" t="n">
        <v>0.0938</v>
      </c>
    </row>
    <row r="5110" customFormat="false" ht="15" hidden="false" customHeight="false" outlineLevel="0" collapsed="false">
      <c r="A5110" s="1" t="s">
        <v>5145</v>
      </c>
      <c r="B5110" s="1" t="s">
        <v>26</v>
      </c>
      <c r="C5110" s="1" t="n">
        <v>527000</v>
      </c>
      <c r="D5110" s="1" t="n">
        <v>2052.5</v>
      </c>
      <c r="E5110" s="1" t="n">
        <v>0.0152</v>
      </c>
      <c r="F5110" s="1" t="n">
        <v>0.0937</v>
      </c>
    </row>
    <row r="5111" customFormat="false" ht="15" hidden="false" customHeight="false" outlineLevel="0" collapsed="false">
      <c r="A5111" s="1" t="s">
        <v>5146</v>
      </c>
      <c r="B5111" s="1" t="s">
        <v>88</v>
      </c>
      <c r="C5111" s="1" t="n">
        <v>585000</v>
      </c>
      <c r="D5111" s="1" t="n">
        <v>41095.9</v>
      </c>
      <c r="E5111" s="1" t="n">
        <v>0.0296</v>
      </c>
      <c r="F5111" s="1" t="n">
        <v>0.0759</v>
      </c>
    </row>
    <row r="5112" customFormat="false" ht="15" hidden="false" customHeight="false" outlineLevel="0" collapsed="false">
      <c r="A5112" s="1" t="s">
        <v>5147</v>
      </c>
      <c r="B5112" s="1" t="s">
        <v>26</v>
      </c>
      <c r="C5112" s="1" t="n">
        <v>515000</v>
      </c>
      <c r="D5112" s="1" t="n">
        <v>195493.6</v>
      </c>
      <c r="E5112" s="1" t="n">
        <v>0.0204</v>
      </c>
      <c r="F5112" s="1" t="n">
        <v>0.0518</v>
      </c>
    </row>
    <row r="5113" customFormat="false" ht="15" hidden="false" customHeight="false" outlineLevel="0" collapsed="false">
      <c r="A5113" s="1" t="s">
        <v>5148</v>
      </c>
      <c r="B5113" s="1" t="s">
        <v>92</v>
      </c>
      <c r="C5113" s="1" t="n">
        <v>590000</v>
      </c>
      <c r="D5113" s="1" t="n">
        <v>9807.1</v>
      </c>
      <c r="E5113" s="1" t="n">
        <v>0.0528</v>
      </c>
      <c r="F5113" s="1" t="n">
        <v>0.0759</v>
      </c>
    </row>
    <row r="5114" customFormat="false" ht="15" hidden="false" customHeight="false" outlineLevel="0" collapsed="false">
      <c r="A5114" s="1" t="s">
        <v>5149</v>
      </c>
      <c r="B5114" s="1" t="s">
        <v>26</v>
      </c>
      <c r="C5114" s="1" t="n">
        <v>1560000</v>
      </c>
      <c r="D5114" s="1" t="n">
        <v>1352513.7</v>
      </c>
      <c r="E5114" s="1" t="n">
        <v>0.0253</v>
      </c>
      <c r="F5114" s="1" t="n">
        <v>0.0409</v>
      </c>
    </row>
    <row r="5115" customFormat="false" ht="15" hidden="false" customHeight="false" outlineLevel="0" collapsed="false">
      <c r="A5115" s="1" t="s">
        <v>5150</v>
      </c>
      <c r="B5115" s="1" t="s">
        <v>26</v>
      </c>
      <c r="C5115" s="1" t="n">
        <v>531000</v>
      </c>
      <c r="D5115" s="1" t="n">
        <v>129319.7</v>
      </c>
      <c r="E5115" s="1" t="n">
        <v>0.0334</v>
      </c>
      <c r="F5115" s="1" t="n">
        <v>0.0409</v>
      </c>
    </row>
    <row r="5116" customFormat="false" ht="15" hidden="false" customHeight="false" outlineLevel="0" collapsed="false">
      <c r="A5116" s="1" t="s">
        <v>5151</v>
      </c>
      <c r="B5116" s="1" t="s">
        <v>88</v>
      </c>
      <c r="C5116" s="1" t="n">
        <v>590000</v>
      </c>
      <c r="D5116" s="1" t="n">
        <v>5817</v>
      </c>
      <c r="E5116" s="1" t="n">
        <v>0.0947</v>
      </c>
      <c r="F5116" s="1" t="n">
        <v>0.0938</v>
      </c>
    </row>
    <row r="5117" customFormat="false" ht="15" hidden="false" customHeight="false" outlineLevel="0" collapsed="false">
      <c r="A5117" s="1" t="s">
        <v>5152</v>
      </c>
      <c r="B5117" s="1" t="s">
        <v>74</v>
      </c>
      <c r="C5117" s="1" t="n">
        <v>517000</v>
      </c>
      <c r="D5117" s="1" t="n">
        <v>2331.3</v>
      </c>
      <c r="E5117" s="1" t="n">
        <v>0.0228</v>
      </c>
      <c r="F5117" s="1" t="n">
        <v>0.0462</v>
      </c>
    </row>
    <row r="5118" customFormat="false" ht="15" hidden="false" customHeight="false" outlineLevel="0" collapsed="false">
      <c r="A5118" s="1" t="s">
        <v>5153</v>
      </c>
      <c r="B5118" s="1" t="s">
        <v>41</v>
      </c>
      <c r="C5118" s="1" t="n">
        <v>475000</v>
      </c>
      <c r="D5118" s="1" t="n">
        <v>175.7</v>
      </c>
      <c r="E5118" s="1" t="n">
        <v>0.0122</v>
      </c>
      <c r="F5118" s="1" t="n">
        <v>0.5714</v>
      </c>
    </row>
    <row r="5119" customFormat="false" ht="15" hidden="false" customHeight="false" outlineLevel="0" collapsed="false">
      <c r="A5119" s="1" t="s">
        <v>5154</v>
      </c>
      <c r="B5119" s="1" t="s">
        <v>88</v>
      </c>
      <c r="C5119" s="1" t="n">
        <v>666000</v>
      </c>
      <c r="D5119" s="1" t="n">
        <v>18720.8</v>
      </c>
      <c r="E5119" s="1" t="n">
        <v>0.0716</v>
      </c>
      <c r="F5119" s="1" t="n">
        <v>0.0938</v>
      </c>
    </row>
    <row r="5120" customFormat="false" ht="15" hidden="false" customHeight="false" outlineLevel="0" collapsed="false">
      <c r="A5120" s="1" t="s">
        <v>5155</v>
      </c>
      <c r="B5120" s="1" t="s">
        <v>50</v>
      </c>
      <c r="C5120" s="1" t="n">
        <v>519000</v>
      </c>
      <c r="D5120" s="1" t="n">
        <v>6267.6</v>
      </c>
      <c r="E5120" s="1" t="n">
        <v>0.0464</v>
      </c>
      <c r="F5120" s="1" t="n">
        <v>0.0938</v>
      </c>
    </row>
    <row r="5121" customFormat="false" ht="15" hidden="false" customHeight="false" outlineLevel="0" collapsed="false">
      <c r="A5121" s="1" t="s">
        <v>5156</v>
      </c>
      <c r="B5121" s="1" t="s">
        <v>32</v>
      </c>
      <c r="C5121" s="1" t="n">
        <v>549000</v>
      </c>
      <c r="D5121" s="1" t="n">
        <v>25018.1</v>
      </c>
      <c r="E5121" s="1" t="n">
        <v>0.0135</v>
      </c>
      <c r="F5121" s="1" t="n">
        <v>0.0657</v>
      </c>
    </row>
    <row r="5122" customFormat="false" ht="15" hidden="false" customHeight="false" outlineLevel="0" collapsed="false">
      <c r="A5122" s="1" t="s">
        <v>5157</v>
      </c>
      <c r="B5122" s="1" t="s">
        <v>88</v>
      </c>
      <c r="C5122" s="1" t="n">
        <v>820000</v>
      </c>
      <c r="D5122" s="1" t="n">
        <v>15083.4</v>
      </c>
      <c r="E5122" s="1" t="n">
        <v>0.0437</v>
      </c>
      <c r="F5122" s="1" t="n">
        <v>0.051</v>
      </c>
    </row>
    <row r="5123" customFormat="false" ht="15" hidden="false" customHeight="false" outlineLevel="0" collapsed="false">
      <c r="A5123" s="1" t="s">
        <v>5158</v>
      </c>
      <c r="B5123" s="1" t="s">
        <v>214</v>
      </c>
      <c r="C5123" s="1" t="n">
        <v>493000</v>
      </c>
      <c r="D5123" s="1" t="n">
        <v>2112.9</v>
      </c>
      <c r="E5123" s="1" t="n">
        <v>0.0068</v>
      </c>
      <c r="F5123" s="1" t="n">
        <v>0.0822</v>
      </c>
    </row>
    <row r="5124" customFormat="false" ht="15" hidden="false" customHeight="false" outlineLevel="0" collapsed="false">
      <c r="A5124" s="1" t="s">
        <v>5159</v>
      </c>
      <c r="B5124" s="1" t="s">
        <v>21</v>
      </c>
      <c r="C5124" s="1" t="n">
        <v>564000</v>
      </c>
      <c r="D5124" s="1" t="n">
        <v>76686.5</v>
      </c>
      <c r="E5124" s="1" t="n">
        <v>0.0122</v>
      </c>
      <c r="F5124" s="1" t="n">
        <v>0.0822</v>
      </c>
    </row>
    <row r="5125" customFormat="false" ht="15" hidden="false" customHeight="false" outlineLevel="0" collapsed="false">
      <c r="A5125" s="1" t="s">
        <v>5160</v>
      </c>
      <c r="B5125" s="1" t="s">
        <v>195</v>
      </c>
      <c r="C5125" s="1" t="n">
        <v>477000</v>
      </c>
      <c r="D5125" s="1" t="n">
        <v>549833.4</v>
      </c>
      <c r="E5125" s="1" t="n">
        <v>0.0046</v>
      </c>
      <c r="F5125" s="1" t="n">
        <v>0.1013</v>
      </c>
    </row>
    <row r="5126" customFormat="false" ht="15" hidden="false" customHeight="false" outlineLevel="0" collapsed="false">
      <c r="A5126" s="1" t="s">
        <v>5161</v>
      </c>
      <c r="B5126" s="1" t="s">
        <v>81</v>
      </c>
      <c r="C5126" s="1" t="n">
        <v>505000</v>
      </c>
      <c r="D5126" s="1" t="n">
        <v>42376.6</v>
      </c>
      <c r="E5126" s="1" t="n">
        <v>0.0211</v>
      </c>
      <c r="F5126" s="1" t="n">
        <v>0.0854</v>
      </c>
    </row>
    <row r="5127" customFormat="false" ht="15" hidden="false" customHeight="false" outlineLevel="0" collapsed="false">
      <c r="A5127" s="1" t="s">
        <v>5162</v>
      </c>
      <c r="B5127" s="1" t="s">
        <v>88</v>
      </c>
      <c r="C5127" s="1" t="n">
        <v>469000</v>
      </c>
      <c r="D5127" s="1" t="n">
        <v>1899.9</v>
      </c>
      <c r="F5127" s="1" t="n">
        <v>0.0649</v>
      </c>
    </row>
    <row r="5128" customFormat="false" ht="15" hidden="false" customHeight="false" outlineLevel="0" collapsed="false">
      <c r="A5128" s="1" t="s">
        <v>5163</v>
      </c>
      <c r="B5128" s="1" t="s">
        <v>92</v>
      </c>
      <c r="C5128" s="1" t="n">
        <v>543000</v>
      </c>
      <c r="D5128" s="1" t="n">
        <v>107289.8</v>
      </c>
      <c r="E5128" s="1" t="n">
        <v>0.0809</v>
      </c>
      <c r="F5128" s="1" t="n">
        <v>0.0409</v>
      </c>
    </row>
    <row r="5129" customFormat="false" ht="15" hidden="false" customHeight="false" outlineLevel="0" collapsed="false">
      <c r="A5129" s="1" t="s">
        <v>5164</v>
      </c>
      <c r="B5129" s="1" t="s">
        <v>41</v>
      </c>
      <c r="C5129" s="1" t="n">
        <v>586000</v>
      </c>
      <c r="D5129" s="1" t="n">
        <v>65326.9</v>
      </c>
      <c r="E5129" s="1" t="n">
        <v>0.04</v>
      </c>
      <c r="F5129" s="1" t="n">
        <v>0.0759</v>
      </c>
    </row>
    <row r="5130" customFormat="false" ht="15" hidden="false" customHeight="false" outlineLevel="0" collapsed="false">
      <c r="A5130" s="1" t="s">
        <v>5165</v>
      </c>
      <c r="B5130" s="1" t="s">
        <v>26</v>
      </c>
      <c r="C5130" s="1" t="n">
        <v>463000</v>
      </c>
      <c r="D5130" s="1" t="n">
        <v>6711</v>
      </c>
      <c r="E5130" s="1" t="n">
        <v>0.0339</v>
      </c>
      <c r="F5130" s="1" t="n">
        <v>0.0409</v>
      </c>
    </row>
    <row r="5131" customFormat="false" ht="15" hidden="false" customHeight="false" outlineLevel="0" collapsed="false">
      <c r="A5131" s="1" t="s">
        <v>5166</v>
      </c>
      <c r="B5131" s="1" t="s">
        <v>26</v>
      </c>
      <c r="C5131" s="1" t="n">
        <v>759000</v>
      </c>
      <c r="D5131" s="1" t="n">
        <v>703419.2</v>
      </c>
      <c r="E5131" s="1" t="n">
        <v>0.0307</v>
      </c>
      <c r="F5131" s="1" t="n">
        <v>0.0409</v>
      </c>
    </row>
    <row r="5132" customFormat="false" ht="15" hidden="false" customHeight="false" outlineLevel="0" collapsed="false">
      <c r="A5132" s="1" t="s">
        <v>5167</v>
      </c>
      <c r="B5132" s="1" t="s">
        <v>53</v>
      </c>
      <c r="C5132" s="1" t="n">
        <v>965000</v>
      </c>
      <c r="D5132" s="1" t="n">
        <v>30373.1</v>
      </c>
      <c r="E5132" s="1" t="n">
        <v>0.0204</v>
      </c>
      <c r="F5132" s="1" t="n">
        <v>0.0759</v>
      </c>
    </row>
    <row r="5133" customFormat="false" ht="15" hidden="false" customHeight="false" outlineLevel="0" collapsed="false">
      <c r="A5133" s="1" t="s">
        <v>5168</v>
      </c>
      <c r="B5133" s="1" t="s">
        <v>41</v>
      </c>
      <c r="C5133" s="1" t="n">
        <v>476000</v>
      </c>
      <c r="D5133" s="1" t="n">
        <v>17059.8</v>
      </c>
      <c r="E5133" s="1" t="n">
        <v>0.0642</v>
      </c>
      <c r="F5133" s="1" t="n">
        <v>0.0938</v>
      </c>
    </row>
    <row r="5134" customFormat="false" ht="15" hidden="false" customHeight="false" outlineLevel="0" collapsed="false">
      <c r="A5134" s="1" t="s">
        <v>5169</v>
      </c>
      <c r="B5134" s="1" t="s">
        <v>92</v>
      </c>
      <c r="C5134" s="1" t="n">
        <v>461000</v>
      </c>
      <c r="D5134" s="1" t="n">
        <v>12770.4</v>
      </c>
      <c r="E5134" s="1" t="n">
        <v>0.0098</v>
      </c>
      <c r="F5134" s="1" t="n">
        <v>0.1187</v>
      </c>
    </row>
    <row r="5135" customFormat="false" ht="15" hidden="false" customHeight="false" outlineLevel="0" collapsed="false">
      <c r="A5135" s="1" t="s">
        <v>5170</v>
      </c>
      <c r="B5135" s="1" t="s">
        <v>26</v>
      </c>
      <c r="C5135" s="1" t="n">
        <v>567000</v>
      </c>
      <c r="D5135" s="1" t="n">
        <v>4352</v>
      </c>
      <c r="E5135" s="1" t="n">
        <v>0.0183</v>
      </c>
      <c r="F5135" s="1" t="n">
        <v>0.0854</v>
      </c>
    </row>
    <row r="5136" customFormat="false" ht="15" hidden="false" customHeight="false" outlineLevel="0" collapsed="false">
      <c r="A5136" s="1" t="s">
        <v>5171</v>
      </c>
      <c r="B5136" s="1" t="s">
        <v>30</v>
      </c>
      <c r="C5136" s="1" t="n">
        <v>523000</v>
      </c>
      <c r="D5136" s="1" t="n">
        <v>57296.9</v>
      </c>
      <c r="E5136" s="1" t="n">
        <v>0.0279</v>
      </c>
      <c r="F5136" s="1" t="n">
        <v>0.0672</v>
      </c>
    </row>
    <row r="5137" customFormat="false" ht="15" hidden="false" customHeight="false" outlineLevel="0" collapsed="false">
      <c r="A5137" s="1" t="s">
        <v>5172</v>
      </c>
      <c r="B5137" s="1" t="s">
        <v>53</v>
      </c>
      <c r="C5137" s="1" t="n">
        <v>586000</v>
      </c>
      <c r="D5137" s="1" t="n">
        <v>25743.1</v>
      </c>
      <c r="E5137" s="1" t="n">
        <v>0.0993</v>
      </c>
      <c r="F5137" s="1" t="n">
        <v>0.0938</v>
      </c>
    </row>
    <row r="5138" customFormat="false" ht="15" hidden="false" customHeight="false" outlineLevel="0" collapsed="false">
      <c r="A5138" s="1" t="s">
        <v>5173</v>
      </c>
      <c r="B5138" s="1" t="s">
        <v>26</v>
      </c>
      <c r="C5138" s="1" t="n">
        <v>669000</v>
      </c>
      <c r="D5138" s="1" t="n">
        <v>237229.9</v>
      </c>
      <c r="E5138" s="1" t="n">
        <v>0.037</v>
      </c>
      <c r="F5138" s="1" t="n">
        <v>0.0409</v>
      </c>
    </row>
    <row r="5139" customFormat="false" ht="15" hidden="false" customHeight="false" outlineLevel="0" collapsed="false">
      <c r="A5139" s="1" t="s">
        <v>5174</v>
      </c>
      <c r="B5139" s="1" t="s">
        <v>26</v>
      </c>
      <c r="C5139" s="1" t="n">
        <v>571000</v>
      </c>
      <c r="D5139" s="1" t="n">
        <v>1175622.4</v>
      </c>
      <c r="E5139" s="1" t="n">
        <v>0.0204</v>
      </c>
      <c r="F5139" s="1" t="n">
        <v>0.0585</v>
      </c>
    </row>
    <row r="5140" customFormat="false" ht="15" hidden="false" customHeight="false" outlineLevel="0" collapsed="false">
      <c r="A5140" s="1" t="s">
        <v>5175</v>
      </c>
      <c r="B5140" s="1" t="s">
        <v>26</v>
      </c>
      <c r="C5140" s="1" t="n">
        <v>701000</v>
      </c>
      <c r="D5140" s="1" t="n">
        <v>80135.6</v>
      </c>
      <c r="E5140" s="1" t="n">
        <v>0.0457</v>
      </c>
      <c r="F5140" s="1" t="n">
        <v>0.0759</v>
      </c>
    </row>
    <row r="5141" customFormat="false" ht="15" hidden="false" customHeight="false" outlineLevel="0" collapsed="false">
      <c r="A5141" s="1" t="s">
        <v>5176</v>
      </c>
      <c r="B5141" s="1" t="s">
        <v>88</v>
      </c>
      <c r="C5141" s="1" t="n">
        <v>617000</v>
      </c>
      <c r="D5141" s="1" t="n">
        <v>18516</v>
      </c>
      <c r="E5141" s="1" t="n">
        <v>0.0575</v>
      </c>
      <c r="F5141" s="1" t="n">
        <v>0.0938</v>
      </c>
    </row>
    <row r="5142" customFormat="false" ht="15" hidden="false" customHeight="false" outlineLevel="0" collapsed="false">
      <c r="A5142" s="1" t="s">
        <v>5177</v>
      </c>
      <c r="B5142" s="1" t="s">
        <v>24</v>
      </c>
      <c r="C5142" s="1" t="n">
        <v>1200000</v>
      </c>
      <c r="D5142" s="1" t="n">
        <v>22344108.9</v>
      </c>
      <c r="E5142" s="1" t="n">
        <v>0.0085</v>
      </c>
      <c r="F5142" s="1" t="n">
        <v>0.0822</v>
      </c>
    </row>
    <row r="5143" customFormat="false" ht="15" hidden="false" customHeight="false" outlineLevel="0" collapsed="false">
      <c r="A5143" s="1" t="s">
        <v>5178</v>
      </c>
      <c r="B5143" s="1" t="s">
        <v>81</v>
      </c>
      <c r="C5143" s="1" t="n">
        <v>483000</v>
      </c>
      <c r="D5143" s="1" t="n">
        <v>5209.2</v>
      </c>
      <c r="E5143" s="1" t="n">
        <v>0.0195</v>
      </c>
      <c r="F5143" s="1" t="n">
        <v>0.1067</v>
      </c>
    </row>
    <row r="5144" customFormat="false" ht="15" hidden="false" customHeight="false" outlineLevel="0" collapsed="false">
      <c r="A5144" s="1" t="s">
        <v>5179</v>
      </c>
      <c r="B5144" s="1" t="s">
        <v>92</v>
      </c>
      <c r="C5144" s="1" t="n">
        <v>515000</v>
      </c>
      <c r="D5144" s="1" t="n">
        <v>5385.1</v>
      </c>
      <c r="E5144" s="1" t="n">
        <v>0.0097</v>
      </c>
      <c r="F5144" s="1" t="n">
        <v>0.0654</v>
      </c>
    </row>
    <row r="5145" customFormat="false" ht="15" hidden="false" customHeight="false" outlineLevel="0" collapsed="false">
      <c r="A5145" s="1" t="s">
        <v>5180</v>
      </c>
      <c r="B5145" s="1" t="s">
        <v>50</v>
      </c>
      <c r="C5145" s="1" t="n">
        <v>611000</v>
      </c>
      <c r="D5145" s="1" t="n">
        <v>17682.4</v>
      </c>
      <c r="E5145" s="1" t="n">
        <v>0.0072</v>
      </c>
      <c r="F5145" s="1" t="n">
        <v>0.0654</v>
      </c>
    </row>
    <row r="5146" customFormat="false" ht="15" hidden="false" customHeight="false" outlineLevel="0" collapsed="false">
      <c r="A5146" s="1" t="s">
        <v>5181</v>
      </c>
      <c r="B5146" s="1" t="s">
        <v>26</v>
      </c>
      <c r="C5146" s="1" t="n">
        <v>550000</v>
      </c>
      <c r="D5146" s="1" t="n">
        <v>20702.1</v>
      </c>
      <c r="E5146" s="1" t="n">
        <v>0.0352</v>
      </c>
      <c r="F5146" s="1" t="n">
        <v>0.0938</v>
      </c>
    </row>
    <row r="5147" customFormat="false" ht="15" hidden="false" customHeight="false" outlineLevel="0" collapsed="false">
      <c r="A5147" s="1" t="s">
        <v>5182</v>
      </c>
      <c r="B5147" s="1" t="s">
        <v>62</v>
      </c>
      <c r="C5147" s="1" t="n">
        <v>547000</v>
      </c>
      <c r="D5147" s="1" t="n">
        <v>2761.4</v>
      </c>
      <c r="E5147" s="1" t="n">
        <v>0.0345</v>
      </c>
      <c r="F5147" s="1" t="n">
        <v>0.0951</v>
      </c>
    </row>
    <row r="5148" customFormat="false" ht="15" hidden="false" customHeight="false" outlineLevel="0" collapsed="false">
      <c r="A5148" s="1" t="s">
        <v>5183</v>
      </c>
      <c r="B5148" s="1" t="s">
        <v>26</v>
      </c>
      <c r="C5148" s="1" t="n">
        <v>482000</v>
      </c>
      <c r="D5148" s="1" t="n">
        <v>1891</v>
      </c>
      <c r="E5148" s="1" t="n">
        <v>0.0687</v>
      </c>
      <c r="F5148" s="1" t="n">
        <v>0.0759</v>
      </c>
    </row>
    <row r="5149" customFormat="false" ht="15" hidden="false" customHeight="false" outlineLevel="0" collapsed="false">
      <c r="A5149" s="1" t="s">
        <v>5184</v>
      </c>
      <c r="B5149" s="1" t="s">
        <v>88</v>
      </c>
      <c r="C5149" s="1" t="n">
        <v>514000</v>
      </c>
      <c r="D5149" s="1" t="n">
        <v>3716.7</v>
      </c>
      <c r="E5149" s="1" t="n">
        <v>0.0283</v>
      </c>
      <c r="F5149" s="1" t="n">
        <v>0.0951</v>
      </c>
    </row>
    <row r="5150" customFormat="false" ht="15" hidden="false" customHeight="false" outlineLevel="0" collapsed="false">
      <c r="A5150" s="1" t="s">
        <v>5185</v>
      </c>
      <c r="B5150" s="1" t="s">
        <v>26</v>
      </c>
      <c r="C5150" s="1" t="n">
        <v>596000</v>
      </c>
      <c r="D5150" s="1" t="n">
        <v>1104.3</v>
      </c>
      <c r="F5150" s="1" t="n">
        <v>0.0518</v>
      </c>
    </row>
    <row r="5151" customFormat="false" ht="15" hidden="false" customHeight="false" outlineLevel="0" collapsed="false">
      <c r="A5151" s="1" t="s">
        <v>5186</v>
      </c>
      <c r="B5151" s="1" t="s">
        <v>26</v>
      </c>
      <c r="C5151" s="1" t="n">
        <v>364000</v>
      </c>
      <c r="D5151" s="1" t="n">
        <v>7678.9</v>
      </c>
      <c r="E5151" s="1" t="n">
        <v>0.0728</v>
      </c>
      <c r="F5151" s="1" t="n">
        <v>0.0759</v>
      </c>
    </row>
    <row r="5152" customFormat="false" ht="15" hidden="false" customHeight="false" outlineLevel="0" collapsed="false">
      <c r="A5152" s="1" t="s">
        <v>5187</v>
      </c>
      <c r="B5152" s="1" t="s">
        <v>81</v>
      </c>
      <c r="C5152" s="1" t="n">
        <v>632000</v>
      </c>
      <c r="D5152" s="1" t="n">
        <v>9473.4</v>
      </c>
      <c r="E5152" s="1" t="n">
        <v>0.0246</v>
      </c>
      <c r="F5152" s="1" t="n">
        <v>0.0759</v>
      </c>
    </row>
    <row r="5153" customFormat="false" ht="15" hidden="false" customHeight="false" outlineLevel="0" collapsed="false">
      <c r="A5153" s="1" t="s">
        <v>5188</v>
      </c>
      <c r="B5153" s="1" t="s">
        <v>50</v>
      </c>
      <c r="C5153" s="1" t="n">
        <v>504000</v>
      </c>
      <c r="D5153" s="1" t="n">
        <v>17234.3</v>
      </c>
      <c r="E5153" s="1" t="n">
        <v>0.0459</v>
      </c>
      <c r="F5153" s="1" t="n">
        <v>0.0951</v>
      </c>
    </row>
    <row r="5154" customFormat="false" ht="15" hidden="false" customHeight="false" outlineLevel="0" collapsed="false">
      <c r="A5154" s="1" t="s">
        <v>5189</v>
      </c>
      <c r="B5154" s="1" t="s">
        <v>88</v>
      </c>
      <c r="C5154" s="1" t="n">
        <v>513000</v>
      </c>
      <c r="D5154" s="1" t="n">
        <v>7086.3</v>
      </c>
      <c r="E5154" s="1" t="n">
        <v>0.0281</v>
      </c>
      <c r="F5154" s="1" t="n">
        <v>0.0759</v>
      </c>
    </row>
    <row r="5155" customFormat="false" ht="15" hidden="false" customHeight="false" outlineLevel="0" collapsed="false">
      <c r="A5155" s="1" t="s">
        <v>5190</v>
      </c>
      <c r="B5155" s="1" t="s">
        <v>26</v>
      </c>
      <c r="C5155" s="1" t="n">
        <v>608000</v>
      </c>
      <c r="D5155" s="1" t="n">
        <v>592.1</v>
      </c>
      <c r="E5155" s="1" t="n">
        <v>0.0304</v>
      </c>
      <c r="F5155" s="1" t="n">
        <v>0.0725</v>
      </c>
    </row>
    <row r="5156" customFormat="false" ht="15" hidden="false" customHeight="false" outlineLevel="0" collapsed="false">
      <c r="A5156" s="1" t="s">
        <v>5191</v>
      </c>
      <c r="B5156" s="1" t="s">
        <v>62</v>
      </c>
      <c r="C5156" s="1" t="n">
        <v>997000</v>
      </c>
      <c r="D5156" s="1" t="n">
        <v>66684.2</v>
      </c>
      <c r="E5156" s="1" t="n">
        <v>0.0468</v>
      </c>
      <c r="F5156" s="1" t="n">
        <v>0.2747</v>
      </c>
    </row>
    <row r="5157" customFormat="false" ht="15" hidden="false" customHeight="false" outlineLevel="0" collapsed="false">
      <c r="A5157" s="1" t="s">
        <v>5192</v>
      </c>
      <c r="B5157" s="1" t="s">
        <v>41</v>
      </c>
      <c r="C5157" s="1" t="n">
        <v>555000</v>
      </c>
      <c r="D5157" s="1" t="n">
        <v>1757.9</v>
      </c>
      <c r="E5157" s="1" t="n">
        <v>0.0298</v>
      </c>
      <c r="F5157" s="1" t="n">
        <v>0.0951</v>
      </c>
    </row>
    <row r="5158" customFormat="false" ht="15" hidden="false" customHeight="false" outlineLevel="0" collapsed="false">
      <c r="A5158" s="1" t="s">
        <v>5193</v>
      </c>
      <c r="B5158" s="1" t="s">
        <v>81</v>
      </c>
      <c r="C5158" s="1" t="n">
        <v>479000</v>
      </c>
      <c r="D5158" s="1" t="n">
        <v>1846.2</v>
      </c>
      <c r="E5158" s="1" t="n">
        <v>0.0287</v>
      </c>
      <c r="F5158" s="1" t="n">
        <v>0.1226</v>
      </c>
    </row>
    <row r="5159" customFormat="false" ht="15" hidden="false" customHeight="false" outlineLevel="0" collapsed="false">
      <c r="A5159" s="1" t="s">
        <v>5194</v>
      </c>
      <c r="B5159" s="1" t="s">
        <v>30</v>
      </c>
      <c r="C5159" s="1" t="n">
        <v>607000</v>
      </c>
      <c r="D5159" s="1" t="n">
        <v>33484.1</v>
      </c>
      <c r="E5159" s="1" t="n">
        <v>0.0468</v>
      </c>
      <c r="F5159" s="1" t="n">
        <v>0.0759</v>
      </c>
    </row>
    <row r="5160" customFormat="false" ht="15" hidden="false" customHeight="false" outlineLevel="0" collapsed="false">
      <c r="A5160" s="1" t="s">
        <v>5195</v>
      </c>
      <c r="B5160" s="1" t="s">
        <v>26</v>
      </c>
      <c r="C5160" s="1" t="n">
        <v>531000</v>
      </c>
      <c r="D5160" s="1" t="n">
        <v>104580.1</v>
      </c>
      <c r="E5160" s="1" t="n">
        <v>0.0125</v>
      </c>
      <c r="F5160" s="1" t="n">
        <v>0.052</v>
      </c>
    </row>
    <row r="5161" customFormat="false" ht="15" hidden="false" customHeight="false" outlineLevel="0" collapsed="false">
      <c r="A5161" s="1" t="s">
        <v>5196</v>
      </c>
      <c r="B5161" s="1" t="s">
        <v>32</v>
      </c>
      <c r="C5161" s="1" t="n">
        <v>458000</v>
      </c>
      <c r="D5161" s="1" t="n">
        <v>196.6</v>
      </c>
      <c r="E5161" s="1" t="n">
        <v>0.0374</v>
      </c>
      <c r="F5161" s="1" t="n">
        <v>0.0951</v>
      </c>
    </row>
    <row r="5162" customFormat="false" ht="15" hidden="false" customHeight="false" outlineLevel="0" collapsed="false">
      <c r="A5162" s="1" t="s">
        <v>5197</v>
      </c>
      <c r="B5162" s="1" t="s">
        <v>26</v>
      </c>
      <c r="C5162" s="1" t="n">
        <v>482000</v>
      </c>
      <c r="D5162" s="1" t="n">
        <v>3237.3</v>
      </c>
      <c r="E5162" s="1" t="n">
        <v>0.0333</v>
      </c>
      <c r="F5162" s="1" t="n">
        <v>0.0759</v>
      </c>
    </row>
    <row r="5163" customFormat="false" ht="15" hidden="false" customHeight="false" outlineLevel="0" collapsed="false">
      <c r="A5163" s="1" t="s">
        <v>5198</v>
      </c>
      <c r="B5163" s="1" t="s">
        <v>26</v>
      </c>
      <c r="C5163" s="1" t="n">
        <v>707000</v>
      </c>
      <c r="D5163" s="1" t="n">
        <v>336687.2</v>
      </c>
      <c r="E5163" s="1" t="n">
        <v>0.0266</v>
      </c>
      <c r="F5163" s="1" t="n">
        <v>0.0759</v>
      </c>
    </row>
    <row r="5164" customFormat="false" ht="15" hidden="false" customHeight="false" outlineLevel="0" collapsed="false">
      <c r="A5164" s="1" t="s">
        <v>5199</v>
      </c>
      <c r="B5164" s="1" t="s">
        <v>88</v>
      </c>
      <c r="C5164" s="1" t="n">
        <v>540000</v>
      </c>
      <c r="D5164" s="1" t="n">
        <v>3292.5</v>
      </c>
      <c r="E5164" s="1" t="n">
        <v>0.0363</v>
      </c>
      <c r="F5164" s="1" t="n">
        <v>0.0938</v>
      </c>
    </row>
    <row r="5165" customFormat="false" ht="15" hidden="false" customHeight="false" outlineLevel="0" collapsed="false">
      <c r="A5165" s="1" t="s">
        <v>5200</v>
      </c>
      <c r="B5165" s="1" t="s">
        <v>92</v>
      </c>
      <c r="C5165" s="1" t="n">
        <v>554000</v>
      </c>
      <c r="D5165" s="1" t="n">
        <v>20119.3</v>
      </c>
      <c r="F5165" s="1" t="n">
        <v>0.0644</v>
      </c>
    </row>
    <row r="5166" customFormat="false" ht="15" hidden="false" customHeight="false" outlineLevel="0" collapsed="false">
      <c r="A5166" s="1" t="s">
        <v>5201</v>
      </c>
      <c r="B5166" s="1" t="s">
        <v>88</v>
      </c>
      <c r="C5166" s="1" t="n">
        <v>515000</v>
      </c>
      <c r="D5166" s="1" t="n">
        <v>133</v>
      </c>
      <c r="E5166" s="1" t="n">
        <v>0.0171</v>
      </c>
      <c r="F5166" s="1" t="n">
        <v>0.1691</v>
      </c>
    </row>
    <row r="5167" customFormat="false" ht="15" hidden="false" customHeight="false" outlineLevel="0" collapsed="false">
      <c r="A5167" s="1" t="s">
        <v>5202</v>
      </c>
      <c r="B5167" s="1" t="s">
        <v>53</v>
      </c>
      <c r="C5167" s="1" t="n">
        <v>1060000</v>
      </c>
      <c r="D5167" s="1" t="n">
        <v>49850.3</v>
      </c>
      <c r="E5167" s="1" t="n">
        <v>0.0036</v>
      </c>
      <c r="F5167" s="1" t="n">
        <v>0.1015</v>
      </c>
    </row>
    <row r="5168" customFormat="false" ht="15" hidden="false" customHeight="false" outlineLevel="0" collapsed="false">
      <c r="A5168" s="1" t="s">
        <v>5203</v>
      </c>
      <c r="B5168" s="1" t="s">
        <v>214</v>
      </c>
      <c r="C5168" s="1" t="n">
        <v>946000</v>
      </c>
      <c r="D5168" s="1" t="n">
        <v>60209.7</v>
      </c>
      <c r="E5168" s="1" t="n">
        <v>0.0073</v>
      </c>
      <c r="F5168" s="1" t="n">
        <v>0.0654</v>
      </c>
    </row>
    <row r="5169" customFormat="false" ht="15" hidden="false" customHeight="false" outlineLevel="0" collapsed="false">
      <c r="A5169" s="1" t="s">
        <v>5204</v>
      </c>
      <c r="B5169" s="1" t="s">
        <v>195</v>
      </c>
      <c r="C5169" s="1" t="n">
        <v>3210000</v>
      </c>
      <c r="D5169" s="1" t="n">
        <v>47745.4</v>
      </c>
      <c r="E5169" s="1" t="n">
        <v>0.0274</v>
      </c>
      <c r="F5169" s="1" t="n">
        <v>0.0759</v>
      </c>
    </row>
    <row r="5170" customFormat="false" ht="15" hidden="false" customHeight="false" outlineLevel="0" collapsed="false">
      <c r="A5170" s="1" t="s">
        <v>5205</v>
      </c>
      <c r="B5170" s="1" t="s">
        <v>41</v>
      </c>
      <c r="C5170" s="1" t="n">
        <v>483000</v>
      </c>
      <c r="D5170" s="1" t="n">
        <v>33400.2</v>
      </c>
      <c r="E5170" s="1" t="n">
        <v>0.0179</v>
      </c>
      <c r="F5170" s="1" t="n">
        <v>0.0585</v>
      </c>
    </row>
    <row r="5171" customFormat="false" ht="15" hidden="false" customHeight="false" outlineLevel="0" collapsed="false">
      <c r="A5171" s="1" t="s">
        <v>5206</v>
      </c>
      <c r="B5171" s="1" t="s">
        <v>26</v>
      </c>
      <c r="C5171" s="1" t="n">
        <v>4280000</v>
      </c>
      <c r="D5171" s="1" t="n">
        <v>137330.7</v>
      </c>
      <c r="E5171" s="1" t="n">
        <v>0.0226</v>
      </c>
      <c r="F5171" s="1" t="n">
        <v>0.0409</v>
      </c>
    </row>
    <row r="5172" customFormat="false" ht="15" hidden="false" customHeight="false" outlineLevel="0" collapsed="false">
      <c r="A5172" s="1" t="s">
        <v>5207</v>
      </c>
      <c r="B5172" s="1" t="s">
        <v>41</v>
      </c>
      <c r="C5172" s="1" t="n">
        <v>509000</v>
      </c>
      <c r="D5172" s="1" t="n">
        <v>4588.5</v>
      </c>
      <c r="E5172" s="1" t="n">
        <v>0.0141</v>
      </c>
      <c r="F5172" s="1" t="n">
        <v>0.0726</v>
      </c>
    </row>
    <row r="5173" customFormat="false" ht="15" hidden="false" customHeight="false" outlineLevel="0" collapsed="false">
      <c r="A5173" s="1" t="s">
        <v>5208</v>
      </c>
      <c r="B5173" s="1" t="s">
        <v>41</v>
      </c>
      <c r="C5173" s="1" t="n">
        <v>528000</v>
      </c>
      <c r="D5173" s="1" t="n">
        <v>189.3</v>
      </c>
      <c r="E5173" s="1" t="n">
        <v>0.0376</v>
      </c>
      <c r="F5173" s="1" t="n">
        <v>0.0938</v>
      </c>
    </row>
    <row r="5174" customFormat="false" ht="15" hidden="false" customHeight="false" outlineLevel="0" collapsed="false">
      <c r="A5174" s="1" t="s">
        <v>5209</v>
      </c>
      <c r="B5174" s="1" t="s">
        <v>24</v>
      </c>
      <c r="C5174" s="1" t="n">
        <v>492000</v>
      </c>
      <c r="D5174" s="1" t="n">
        <v>4229</v>
      </c>
      <c r="E5174" s="1" t="n">
        <v>0.0098</v>
      </c>
      <c r="F5174" s="1" t="n">
        <v>0.0654</v>
      </c>
    </row>
    <row r="5175" customFormat="false" ht="15" hidden="false" customHeight="false" outlineLevel="0" collapsed="false">
      <c r="A5175" s="1" t="s">
        <v>5210</v>
      </c>
      <c r="B5175" s="1" t="s">
        <v>26</v>
      </c>
      <c r="C5175" s="1" t="n">
        <v>653000</v>
      </c>
      <c r="D5175" s="1" t="n">
        <v>28656.8</v>
      </c>
      <c r="E5175" s="1" t="n">
        <v>0.0536</v>
      </c>
      <c r="F5175" s="1" t="n">
        <v>0.0951</v>
      </c>
    </row>
    <row r="5176" customFormat="false" ht="15" hidden="false" customHeight="false" outlineLevel="0" collapsed="false">
      <c r="A5176" s="1" t="s">
        <v>5211</v>
      </c>
      <c r="B5176" s="1" t="s">
        <v>26</v>
      </c>
      <c r="C5176" s="1" t="n">
        <v>732000</v>
      </c>
      <c r="D5176" s="1" t="n">
        <v>618467.5</v>
      </c>
      <c r="E5176" s="1" t="n">
        <v>0.0369</v>
      </c>
      <c r="F5176" s="1" t="n">
        <v>0.0409</v>
      </c>
    </row>
    <row r="5177" customFormat="false" ht="15" hidden="false" customHeight="false" outlineLevel="0" collapsed="false">
      <c r="A5177" s="1" t="s">
        <v>5212</v>
      </c>
      <c r="B5177" s="1" t="s">
        <v>26</v>
      </c>
      <c r="C5177" s="1" t="n">
        <v>516000</v>
      </c>
      <c r="D5177" s="1" t="n">
        <v>49299.2</v>
      </c>
      <c r="F5177" s="1" t="n">
        <v>0.0938</v>
      </c>
    </row>
    <row r="5178" customFormat="false" ht="15" hidden="false" customHeight="false" outlineLevel="0" collapsed="false">
      <c r="A5178" s="1" t="s">
        <v>5213</v>
      </c>
      <c r="B5178" s="1" t="s">
        <v>490</v>
      </c>
      <c r="C5178" s="1" t="n">
        <v>638000</v>
      </c>
      <c r="D5178" s="1" t="n">
        <v>14514.5</v>
      </c>
      <c r="F5178" s="1" t="n">
        <v>0.0759</v>
      </c>
    </row>
    <row r="5179" customFormat="false" ht="15" hidden="false" customHeight="false" outlineLevel="0" collapsed="false">
      <c r="A5179" s="1" t="s">
        <v>5214</v>
      </c>
      <c r="B5179" s="1" t="s">
        <v>26</v>
      </c>
      <c r="C5179" s="1" t="n">
        <v>146000</v>
      </c>
      <c r="D5179" s="1" t="n">
        <v>4509.3</v>
      </c>
      <c r="E5179" s="1" t="n">
        <v>0.0088</v>
      </c>
      <c r="F5179" s="1" t="n">
        <v>0.0654</v>
      </c>
    </row>
    <row r="5180" customFormat="false" ht="15" hidden="false" customHeight="false" outlineLevel="0" collapsed="false">
      <c r="A5180" s="1" t="s">
        <v>5215</v>
      </c>
      <c r="B5180" s="1" t="s">
        <v>88</v>
      </c>
      <c r="C5180" s="1" t="n">
        <v>575000</v>
      </c>
      <c r="D5180" s="1" t="n">
        <v>315.3</v>
      </c>
      <c r="E5180" s="1" t="n">
        <v>0.0388</v>
      </c>
      <c r="F5180" s="1" t="n">
        <v>0.0759</v>
      </c>
    </row>
    <row r="5181" customFormat="false" ht="15" hidden="false" customHeight="false" outlineLevel="0" collapsed="false">
      <c r="A5181" s="1" t="s">
        <v>5216</v>
      </c>
      <c r="B5181" s="1" t="s">
        <v>26</v>
      </c>
      <c r="C5181" s="1" t="n">
        <v>561000</v>
      </c>
      <c r="D5181" s="1" t="n">
        <v>25258.8</v>
      </c>
      <c r="F5181" s="1" t="n">
        <v>0.0518</v>
      </c>
    </row>
    <row r="5182" customFormat="false" ht="15" hidden="false" customHeight="false" outlineLevel="0" collapsed="false">
      <c r="A5182" s="1" t="s">
        <v>5217</v>
      </c>
      <c r="B5182" s="1" t="s">
        <v>26</v>
      </c>
      <c r="C5182" s="1" t="n">
        <v>584000</v>
      </c>
      <c r="D5182" s="1" t="n">
        <v>62074.3</v>
      </c>
      <c r="E5182" s="1" t="n">
        <v>0.0439</v>
      </c>
      <c r="F5182" s="1" t="n">
        <v>0.0759</v>
      </c>
    </row>
    <row r="5183" customFormat="false" ht="15" hidden="false" customHeight="false" outlineLevel="0" collapsed="false">
      <c r="A5183" s="1" t="s">
        <v>5218</v>
      </c>
      <c r="B5183" s="1" t="s">
        <v>24</v>
      </c>
      <c r="C5183" s="1" t="n">
        <v>905000</v>
      </c>
      <c r="D5183" s="1" t="n">
        <v>6386.8</v>
      </c>
      <c r="E5183" s="1" t="n">
        <v>0.0578</v>
      </c>
      <c r="F5183" s="1" t="n">
        <v>0.0759</v>
      </c>
    </row>
    <row r="5184" customFormat="false" ht="15" hidden="false" customHeight="false" outlineLevel="0" collapsed="false">
      <c r="A5184" s="1" t="s">
        <v>5219</v>
      </c>
      <c r="B5184" s="1" t="s">
        <v>490</v>
      </c>
      <c r="C5184" s="1" t="n">
        <v>887000</v>
      </c>
      <c r="D5184" s="1" t="n">
        <v>4219.3</v>
      </c>
      <c r="E5184" s="1" t="n">
        <v>0.0512</v>
      </c>
      <c r="F5184" s="1" t="n">
        <v>0.0938</v>
      </c>
    </row>
    <row r="5185" customFormat="false" ht="15" hidden="false" customHeight="false" outlineLevel="0" collapsed="false">
      <c r="A5185" s="1" t="s">
        <v>5220</v>
      </c>
      <c r="B5185" s="1" t="s">
        <v>26</v>
      </c>
      <c r="C5185" s="1" t="n">
        <v>533000</v>
      </c>
      <c r="D5185" s="1" t="n">
        <v>11372.5</v>
      </c>
      <c r="E5185" s="1" t="n">
        <v>0.0128</v>
      </c>
      <c r="F5185" s="1" t="n">
        <v>0.0647</v>
      </c>
    </row>
    <row r="5186" customFormat="false" ht="15" hidden="false" customHeight="false" outlineLevel="0" collapsed="false">
      <c r="A5186" s="1" t="s">
        <v>5221</v>
      </c>
      <c r="B5186" s="1" t="s">
        <v>26</v>
      </c>
      <c r="C5186" s="1" t="n">
        <v>581000</v>
      </c>
      <c r="D5186" s="1" t="n">
        <v>131775.1</v>
      </c>
      <c r="E5186" s="1" t="n">
        <v>0.0223</v>
      </c>
      <c r="F5186" s="1" t="n">
        <v>0.0951</v>
      </c>
    </row>
    <row r="5187" customFormat="false" ht="15" hidden="false" customHeight="false" outlineLevel="0" collapsed="false">
      <c r="A5187" s="1" t="s">
        <v>5222</v>
      </c>
      <c r="B5187" s="1" t="s">
        <v>81</v>
      </c>
      <c r="C5187" s="1" t="n">
        <v>533000</v>
      </c>
      <c r="D5187" s="1" t="n">
        <v>4348.1</v>
      </c>
      <c r="E5187" s="1" t="n">
        <v>0.0247</v>
      </c>
      <c r="F5187" s="1" t="n">
        <v>0.0938</v>
      </c>
    </row>
    <row r="5188" customFormat="false" ht="15" hidden="false" customHeight="false" outlineLevel="0" collapsed="false">
      <c r="A5188" s="1" t="s">
        <v>5223</v>
      </c>
      <c r="B5188" s="1" t="s">
        <v>41</v>
      </c>
      <c r="C5188" s="1" t="n">
        <v>565000</v>
      </c>
      <c r="D5188" s="1" t="n">
        <v>64002.1</v>
      </c>
      <c r="E5188" s="1" t="n">
        <v>0.0497</v>
      </c>
      <c r="F5188" s="1" t="n">
        <v>0.0938</v>
      </c>
    </row>
    <row r="5189" customFormat="false" ht="15" hidden="false" customHeight="false" outlineLevel="0" collapsed="false">
      <c r="A5189" s="1" t="s">
        <v>5224</v>
      </c>
      <c r="B5189" s="1" t="s">
        <v>62</v>
      </c>
      <c r="C5189" s="1" t="n">
        <v>1230000</v>
      </c>
      <c r="D5189" s="1" t="n">
        <v>741060.8</v>
      </c>
      <c r="E5189" s="1" t="n">
        <v>0.0383</v>
      </c>
      <c r="F5189" s="1" t="n">
        <v>0.0409</v>
      </c>
    </row>
    <row r="5190" customFormat="false" ht="15" hidden="false" customHeight="false" outlineLevel="0" collapsed="false">
      <c r="A5190" s="1" t="s">
        <v>5225</v>
      </c>
      <c r="B5190" s="1" t="s">
        <v>26</v>
      </c>
      <c r="C5190" s="1" t="n">
        <v>497000</v>
      </c>
      <c r="D5190" s="1" t="n">
        <v>5905.2</v>
      </c>
      <c r="E5190" s="1" t="n">
        <v>0.0202</v>
      </c>
      <c r="F5190" s="1" t="n">
        <v>0.0488</v>
      </c>
    </row>
    <row r="5191" customFormat="false" ht="15" hidden="false" customHeight="false" outlineLevel="0" collapsed="false">
      <c r="A5191" s="1" t="s">
        <v>5226</v>
      </c>
      <c r="B5191" s="1" t="s">
        <v>41</v>
      </c>
      <c r="C5191" s="1" t="n">
        <v>808000</v>
      </c>
      <c r="D5191" s="1" t="n">
        <v>745.8</v>
      </c>
      <c r="E5191" s="1" t="n">
        <v>0.0882</v>
      </c>
      <c r="F5191" s="1" t="n">
        <v>0.0938</v>
      </c>
    </row>
    <row r="5192" customFormat="false" ht="15" hidden="false" customHeight="false" outlineLevel="0" collapsed="false">
      <c r="A5192" s="1" t="s">
        <v>5227</v>
      </c>
      <c r="B5192" s="1" t="s">
        <v>88</v>
      </c>
      <c r="C5192" s="1" t="n">
        <v>646000</v>
      </c>
      <c r="D5192" s="1" t="n">
        <v>54402.1</v>
      </c>
      <c r="E5192" s="1" t="n">
        <v>0.0969</v>
      </c>
      <c r="F5192" s="1" t="n">
        <v>0.0938</v>
      </c>
    </row>
    <row r="5193" customFormat="false" ht="15" hidden="false" customHeight="false" outlineLevel="0" collapsed="false">
      <c r="A5193" s="1" t="s">
        <v>5228</v>
      </c>
      <c r="B5193" s="1" t="s">
        <v>88</v>
      </c>
      <c r="C5193" s="1" t="n">
        <v>462000</v>
      </c>
      <c r="D5193" s="1" t="n">
        <v>694.6</v>
      </c>
      <c r="F5193" s="1" t="n">
        <v>0.0759</v>
      </c>
    </row>
    <row r="5194" customFormat="false" ht="15" hidden="false" customHeight="false" outlineLevel="0" collapsed="false">
      <c r="A5194" s="1" t="s">
        <v>5229</v>
      </c>
      <c r="B5194" s="1" t="s">
        <v>92</v>
      </c>
      <c r="C5194" s="1" t="n">
        <v>454000</v>
      </c>
      <c r="D5194" s="1" t="n">
        <v>2515.8</v>
      </c>
      <c r="E5194" s="1" t="n">
        <v>0.0162</v>
      </c>
      <c r="F5194" s="1" t="n">
        <v>0.1067</v>
      </c>
    </row>
    <row r="5195" customFormat="false" ht="15" hidden="false" customHeight="false" outlineLevel="0" collapsed="false">
      <c r="A5195" s="1" t="s">
        <v>5230</v>
      </c>
      <c r="B5195" s="1" t="s">
        <v>24</v>
      </c>
      <c r="C5195" s="1" t="n">
        <v>1000000</v>
      </c>
      <c r="D5195" s="1" t="n">
        <v>2663.4</v>
      </c>
      <c r="E5195" s="1" t="n">
        <v>0.15</v>
      </c>
      <c r="F5195" s="1" t="n">
        <v>0.0938</v>
      </c>
    </row>
    <row r="5196" customFormat="false" ht="15" hidden="false" customHeight="false" outlineLevel="0" collapsed="false">
      <c r="A5196" s="1" t="s">
        <v>5231</v>
      </c>
      <c r="B5196" s="1" t="s">
        <v>41</v>
      </c>
      <c r="C5196" s="1" t="n">
        <v>1340000</v>
      </c>
      <c r="D5196" s="1" t="n">
        <v>1069.1</v>
      </c>
      <c r="E5196" s="1" t="n">
        <v>0.0187</v>
      </c>
      <c r="F5196" s="1" t="n">
        <v>0.1053</v>
      </c>
    </row>
    <row r="5197" customFormat="false" ht="15" hidden="false" customHeight="false" outlineLevel="0" collapsed="false">
      <c r="A5197" s="1" t="s">
        <v>5232</v>
      </c>
      <c r="B5197" s="1" t="s">
        <v>26</v>
      </c>
      <c r="C5197" s="1" t="n">
        <v>459000</v>
      </c>
      <c r="D5197" s="1" t="n">
        <v>12701.8</v>
      </c>
      <c r="E5197" s="1" t="n">
        <v>0.0198</v>
      </c>
      <c r="F5197" s="1" t="n">
        <v>0.1067</v>
      </c>
    </row>
    <row r="5198" customFormat="false" ht="15" hidden="false" customHeight="false" outlineLevel="0" collapsed="false">
      <c r="A5198" s="1" t="s">
        <v>5233</v>
      </c>
      <c r="B5198" s="1" t="s">
        <v>26</v>
      </c>
      <c r="C5198" s="1" t="n">
        <v>494000</v>
      </c>
      <c r="D5198" s="1" t="n">
        <v>3059.3</v>
      </c>
      <c r="E5198" s="1" t="n">
        <v>0.0312</v>
      </c>
      <c r="F5198" s="1" t="n">
        <v>0.0938</v>
      </c>
    </row>
    <row r="5199" customFormat="false" ht="15" hidden="false" customHeight="false" outlineLevel="0" collapsed="false">
      <c r="A5199" s="1" t="s">
        <v>5234</v>
      </c>
      <c r="B5199" s="1" t="s">
        <v>88</v>
      </c>
      <c r="C5199" s="1" t="n">
        <v>854000</v>
      </c>
      <c r="D5199" s="1" t="n">
        <v>14933.7</v>
      </c>
      <c r="E5199" s="1" t="n">
        <v>0.045</v>
      </c>
      <c r="F5199" s="1" t="n">
        <v>0.0759</v>
      </c>
    </row>
    <row r="5200" customFormat="false" ht="15" hidden="false" customHeight="false" outlineLevel="0" collapsed="false">
      <c r="A5200" s="1" t="s">
        <v>5235</v>
      </c>
      <c r="B5200" s="1" t="s">
        <v>21</v>
      </c>
      <c r="C5200" s="1" t="n">
        <v>523000</v>
      </c>
      <c r="D5200" s="1" t="n">
        <v>19304.5</v>
      </c>
      <c r="E5200" s="1" t="n">
        <v>0.034</v>
      </c>
      <c r="F5200" s="1" t="n">
        <v>0.0951</v>
      </c>
    </row>
    <row r="5201" customFormat="false" ht="15" hidden="false" customHeight="false" outlineLevel="0" collapsed="false">
      <c r="A5201" s="1" t="s">
        <v>5236</v>
      </c>
      <c r="B5201" s="1" t="s">
        <v>88</v>
      </c>
      <c r="C5201" s="1" t="n">
        <v>1130000</v>
      </c>
      <c r="D5201" s="1" t="n">
        <v>10321.2</v>
      </c>
      <c r="E5201" s="1" t="n">
        <v>0.0414</v>
      </c>
      <c r="F5201" s="1" t="n">
        <v>0.0938</v>
      </c>
    </row>
    <row r="5202" customFormat="false" ht="15" hidden="false" customHeight="false" outlineLevel="0" collapsed="false">
      <c r="A5202" s="1" t="s">
        <v>5237</v>
      </c>
      <c r="B5202" s="1" t="s">
        <v>24</v>
      </c>
      <c r="C5202" s="1" t="n">
        <v>467000</v>
      </c>
      <c r="D5202" s="1" t="n">
        <v>841.2</v>
      </c>
      <c r="E5202" s="1" t="n">
        <v>0.0106</v>
      </c>
      <c r="F5202" s="1" t="n">
        <v>0.1062</v>
      </c>
    </row>
    <row r="5203" customFormat="false" ht="15" hidden="false" customHeight="false" outlineLevel="0" collapsed="false">
      <c r="A5203" s="1" t="s">
        <v>5238</v>
      </c>
      <c r="B5203" s="1" t="s">
        <v>88</v>
      </c>
      <c r="C5203" s="1" t="n">
        <v>576000</v>
      </c>
      <c r="D5203" s="1" t="n">
        <v>4700.4</v>
      </c>
      <c r="E5203" s="1" t="n">
        <v>0.0377</v>
      </c>
      <c r="F5203" s="1" t="n">
        <v>0.0938</v>
      </c>
    </row>
    <row r="5204" customFormat="false" ht="15" hidden="false" customHeight="false" outlineLevel="0" collapsed="false">
      <c r="A5204" s="1" t="s">
        <v>5239</v>
      </c>
      <c r="B5204" s="1" t="s">
        <v>92</v>
      </c>
      <c r="C5204" s="1" t="n">
        <v>490000</v>
      </c>
      <c r="D5204" s="1" t="n">
        <v>8071.4</v>
      </c>
      <c r="E5204" s="1" t="n">
        <v>0.0604</v>
      </c>
      <c r="F5204" s="1" t="n">
        <v>0.0759</v>
      </c>
    </row>
    <row r="5205" customFormat="false" ht="15" hidden="false" customHeight="false" outlineLevel="0" collapsed="false">
      <c r="A5205" s="1" t="s">
        <v>5240</v>
      </c>
      <c r="B5205" s="1" t="s">
        <v>26</v>
      </c>
      <c r="C5205" s="1" t="n">
        <v>478000</v>
      </c>
      <c r="D5205" s="1" t="n">
        <v>15796.9</v>
      </c>
      <c r="E5205" s="1" t="n">
        <v>0.0273</v>
      </c>
      <c r="F5205" s="1" t="n">
        <v>0.1242</v>
      </c>
    </row>
    <row r="5206" customFormat="false" ht="15" hidden="false" customHeight="false" outlineLevel="0" collapsed="false">
      <c r="A5206" s="1" t="s">
        <v>5241</v>
      </c>
      <c r="B5206" s="1" t="s">
        <v>92</v>
      </c>
      <c r="C5206" s="1" t="n">
        <v>452000</v>
      </c>
      <c r="D5206" s="1" t="n">
        <v>1479.7</v>
      </c>
      <c r="E5206" s="1" t="n">
        <v>0.0189</v>
      </c>
      <c r="F5206" s="1" t="n">
        <v>0.0757</v>
      </c>
    </row>
    <row r="5207" customFormat="false" ht="15" hidden="false" customHeight="false" outlineLevel="0" collapsed="false">
      <c r="A5207" s="1" t="s">
        <v>5242</v>
      </c>
      <c r="B5207" s="1" t="s">
        <v>26</v>
      </c>
      <c r="C5207" s="1" t="n">
        <v>630000</v>
      </c>
      <c r="D5207" s="1" t="n">
        <v>216517.9</v>
      </c>
      <c r="E5207" s="1" t="n">
        <v>0.0529</v>
      </c>
      <c r="F5207" s="1" t="n">
        <v>0.0951</v>
      </c>
    </row>
    <row r="5208" customFormat="false" ht="15" hidden="false" customHeight="false" outlineLevel="0" collapsed="false">
      <c r="A5208" s="1" t="s">
        <v>5243</v>
      </c>
      <c r="B5208" s="1" t="s">
        <v>88</v>
      </c>
      <c r="C5208" s="1" t="n">
        <v>655000</v>
      </c>
      <c r="D5208" s="1" t="n">
        <v>144.7</v>
      </c>
      <c r="E5208" s="1" t="n">
        <v>0.1543</v>
      </c>
      <c r="F5208" s="1" t="n">
        <v>0.0938</v>
      </c>
    </row>
    <row r="5209" customFormat="false" ht="15" hidden="false" customHeight="false" outlineLevel="0" collapsed="false">
      <c r="A5209" s="1" t="s">
        <v>5244</v>
      </c>
      <c r="B5209" s="1" t="s">
        <v>71</v>
      </c>
      <c r="C5209" s="1" t="n">
        <v>653000</v>
      </c>
      <c r="D5209" s="1" t="n">
        <v>146487</v>
      </c>
      <c r="E5209" s="1" t="n">
        <v>0.0553</v>
      </c>
      <c r="F5209" s="1" t="n">
        <v>0.0759</v>
      </c>
    </row>
    <row r="5210" customFormat="false" ht="15" hidden="false" customHeight="false" outlineLevel="0" collapsed="false">
      <c r="A5210" s="1" t="s">
        <v>5245</v>
      </c>
      <c r="B5210" s="1" t="s">
        <v>71</v>
      </c>
      <c r="C5210" s="1" t="n">
        <v>574000</v>
      </c>
      <c r="D5210" s="1" t="n">
        <v>41001.2</v>
      </c>
      <c r="E5210" s="1" t="n">
        <v>0.0239</v>
      </c>
      <c r="F5210" s="1" t="n">
        <v>0.131</v>
      </c>
    </row>
    <row r="5211" customFormat="false" ht="15" hidden="false" customHeight="false" outlineLevel="0" collapsed="false">
      <c r="A5211" s="1" t="s">
        <v>5246</v>
      </c>
      <c r="B5211" s="1" t="s">
        <v>26</v>
      </c>
      <c r="C5211" s="1" t="n">
        <v>474000</v>
      </c>
      <c r="D5211" s="1" t="n">
        <v>2646.3</v>
      </c>
      <c r="E5211" s="1" t="n">
        <v>0.0254</v>
      </c>
      <c r="F5211" s="1" t="n">
        <v>0.0938</v>
      </c>
    </row>
    <row r="5212" customFormat="false" ht="15" hidden="false" customHeight="false" outlineLevel="0" collapsed="false">
      <c r="A5212" s="1" t="s">
        <v>5247</v>
      </c>
      <c r="B5212" s="1" t="s">
        <v>26</v>
      </c>
      <c r="C5212" s="1" t="n">
        <v>747000</v>
      </c>
      <c r="D5212" s="1" t="n">
        <v>16740.2</v>
      </c>
      <c r="E5212" s="1" t="n">
        <v>0.0136</v>
      </c>
      <c r="F5212" s="1" t="n">
        <v>0.0654</v>
      </c>
    </row>
    <row r="5213" customFormat="false" ht="15" hidden="false" customHeight="false" outlineLevel="0" collapsed="false">
      <c r="A5213" s="1" t="s">
        <v>5248</v>
      </c>
      <c r="B5213" s="1" t="s">
        <v>26</v>
      </c>
      <c r="C5213" s="1" t="n">
        <v>443000</v>
      </c>
      <c r="D5213" s="1" t="n">
        <v>2602165.1</v>
      </c>
      <c r="E5213" s="1" t="n">
        <v>0.0594</v>
      </c>
      <c r="F5213" s="1" t="n">
        <v>0.0518</v>
      </c>
    </row>
    <row r="5214" customFormat="false" ht="15" hidden="false" customHeight="false" outlineLevel="0" collapsed="false">
      <c r="A5214" s="1" t="s">
        <v>5249</v>
      </c>
      <c r="B5214" s="1" t="s">
        <v>41</v>
      </c>
      <c r="C5214" s="1" t="n">
        <v>451000</v>
      </c>
      <c r="D5214" s="1" t="n">
        <v>6473.1</v>
      </c>
      <c r="E5214" s="1" t="n">
        <v>0.0101</v>
      </c>
      <c r="F5214" s="1" t="n">
        <v>0.1187</v>
      </c>
    </row>
    <row r="5215" customFormat="false" ht="15" hidden="false" customHeight="false" outlineLevel="0" collapsed="false">
      <c r="A5215" s="1" t="s">
        <v>5250</v>
      </c>
      <c r="B5215" s="1" t="s">
        <v>24</v>
      </c>
      <c r="C5215" s="1" t="n">
        <v>453000</v>
      </c>
      <c r="D5215" s="1" t="n">
        <v>4380.2</v>
      </c>
      <c r="E5215" s="1" t="n">
        <v>0.0314</v>
      </c>
      <c r="F5215" s="1" t="n">
        <v>0.0759</v>
      </c>
    </row>
    <row r="5216" customFormat="false" ht="15" hidden="false" customHeight="false" outlineLevel="0" collapsed="false">
      <c r="A5216" s="1" t="s">
        <v>5251</v>
      </c>
      <c r="B5216" s="1" t="s">
        <v>88</v>
      </c>
      <c r="C5216" s="1" t="n">
        <v>567000</v>
      </c>
      <c r="D5216" s="1" t="n">
        <v>2572.7</v>
      </c>
      <c r="E5216" s="1" t="n">
        <v>0.0126</v>
      </c>
      <c r="F5216" s="1" t="n">
        <v>0.1309</v>
      </c>
    </row>
    <row r="5217" customFormat="false" ht="15" hidden="false" customHeight="false" outlineLevel="0" collapsed="false">
      <c r="A5217" s="1" t="s">
        <v>5252</v>
      </c>
      <c r="B5217" s="1" t="s">
        <v>92</v>
      </c>
      <c r="C5217" s="1" t="n">
        <v>473000</v>
      </c>
      <c r="D5217" s="1" t="n">
        <v>23949.4</v>
      </c>
      <c r="E5217" s="1" t="n">
        <v>0.014</v>
      </c>
      <c r="F5217" s="1" t="n">
        <v>0.0585</v>
      </c>
    </row>
    <row r="5218" customFormat="false" ht="15" hidden="false" customHeight="false" outlineLevel="0" collapsed="false">
      <c r="A5218" s="1" t="s">
        <v>5253</v>
      </c>
      <c r="B5218" s="1" t="s">
        <v>88</v>
      </c>
      <c r="C5218" s="1" t="n">
        <v>591000</v>
      </c>
      <c r="D5218" s="1" t="n">
        <v>5739.2</v>
      </c>
      <c r="E5218" s="1" t="n">
        <v>0.0254</v>
      </c>
      <c r="F5218" s="1" t="n">
        <v>0.0938</v>
      </c>
    </row>
    <row r="5219" customFormat="false" ht="15" hidden="false" customHeight="false" outlineLevel="0" collapsed="false">
      <c r="A5219" s="1" t="s">
        <v>5254</v>
      </c>
      <c r="B5219" s="1" t="s">
        <v>92</v>
      </c>
      <c r="C5219" s="1" t="n">
        <v>943000</v>
      </c>
      <c r="D5219" s="1" t="n">
        <v>65119</v>
      </c>
      <c r="E5219" s="1" t="n">
        <v>0.0105</v>
      </c>
      <c r="F5219" s="1" t="n">
        <v>0.0689</v>
      </c>
    </row>
    <row r="5220" customFormat="false" ht="15" hidden="false" customHeight="false" outlineLevel="0" collapsed="false">
      <c r="A5220" s="1" t="s">
        <v>5255</v>
      </c>
      <c r="B5220" s="1" t="s">
        <v>214</v>
      </c>
      <c r="C5220" s="1" t="n">
        <v>454000</v>
      </c>
      <c r="D5220" s="1" t="n">
        <v>2314.1</v>
      </c>
      <c r="E5220" s="1" t="n">
        <v>0.0169</v>
      </c>
      <c r="F5220" s="1" t="n">
        <v>0.0585</v>
      </c>
    </row>
    <row r="5221" customFormat="false" ht="15" hidden="false" customHeight="false" outlineLevel="0" collapsed="false">
      <c r="A5221" s="1" t="s">
        <v>5256</v>
      </c>
      <c r="B5221" s="1" t="s">
        <v>92</v>
      </c>
      <c r="C5221" s="1" t="n">
        <v>527000</v>
      </c>
      <c r="D5221" s="1" t="n">
        <v>20745.6</v>
      </c>
      <c r="E5221" s="1" t="n">
        <v>0.0551</v>
      </c>
      <c r="F5221" s="1" t="n">
        <v>0.0951</v>
      </c>
    </row>
    <row r="5222" customFormat="false" ht="15" hidden="false" customHeight="false" outlineLevel="0" collapsed="false">
      <c r="A5222" s="1" t="s">
        <v>5257</v>
      </c>
      <c r="B5222" s="1" t="s">
        <v>41</v>
      </c>
      <c r="C5222" s="1" t="n">
        <v>932000</v>
      </c>
      <c r="D5222" s="1" t="n">
        <v>548170.2</v>
      </c>
      <c r="E5222" s="1" t="n">
        <v>0.0816</v>
      </c>
      <c r="F5222" s="1" t="n">
        <v>0.0759</v>
      </c>
    </row>
    <row r="5223" customFormat="false" ht="15" hidden="false" customHeight="false" outlineLevel="0" collapsed="false">
      <c r="A5223" s="1" t="s">
        <v>5258</v>
      </c>
      <c r="B5223" s="1" t="s">
        <v>28</v>
      </c>
      <c r="C5223" s="1" t="n">
        <v>753000</v>
      </c>
      <c r="D5223" s="1" t="n">
        <v>29866.4</v>
      </c>
      <c r="E5223" s="1" t="n">
        <v>0.0289</v>
      </c>
      <c r="F5223" s="1" t="n">
        <v>0.0759</v>
      </c>
    </row>
    <row r="5224" customFormat="false" ht="15" hidden="false" customHeight="false" outlineLevel="0" collapsed="false">
      <c r="A5224" s="1" t="s">
        <v>5259</v>
      </c>
      <c r="B5224" s="1" t="s">
        <v>26</v>
      </c>
      <c r="C5224" s="1" t="n">
        <v>747000</v>
      </c>
      <c r="D5224" s="1" t="n">
        <v>45503.9</v>
      </c>
      <c r="E5224" s="1" t="n">
        <v>0.0304</v>
      </c>
      <c r="F5224" s="1" t="n">
        <v>0.0951</v>
      </c>
    </row>
    <row r="5225" customFormat="false" ht="15" hidden="false" customHeight="false" outlineLevel="0" collapsed="false">
      <c r="A5225" s="1" t="s">
        <v>5260</v>
      </c>
      <c r="B5225" s="1" t="s">
        <v>26</v>
      </c>
      <c r="C5225" s="1" t="n">
        <v>559000</v>
      </c>
      <c r="D5225" s="1" t="n">
        <v>34597</v>
      </c>
      <c r="E5225" s="1" t="n">
        <v>0.026</v>
      </c>
      <c r="F5225" s="1" t="n">
        <v>0.0759</v>
      </c>
    </row>
    <row r="5226" customFormat="false" ht="15" hidden="false" customHeight="false" outlineLevel="0" collapsed="false">
      <c r="A5226" s="1" t="s">
        <v>5261</v>
      </c>
      <c r="B5226" s="1" t="s">
        <v>287</v>
      </c>
      <c r="C5226" s="1" t="n">
        <v>444000</v>
      </c>
      <c r="D5226" s="1" t="n">
        <v>1701.6</v>
      </c>
      <c r="E5226" s="1" t="n">
        <v>0.0232</v>
      </c>
      <c r="F5226" s="1" t="n">
        <v>0.0951</v>
      </c>
    </row>
    <row r="5227" customFormat="false" ht="15" hidden="false" customHeight="false" outlineLevel="0" collapsed="false">
      <c r="A5227" s="1" t="s">
        <v>5262</v>
      </c>
      <c r="B5227" s="1" t="s">
        <v>74</v>
      </c>
      <c r="C5227" s="1" t="n">
        <v>1110000</v>
      </c>
      <c r="D5227" s="1" t="n">
        <v>728.6</v>
      </c>
      <c r="E5227" s="1" t="n">
        <v>0.0125</v>
      </c>
      <c r="F5227" s="1" t="n">
        <v>0.0584</v>
      </c>
    </row>
    <row r="5228" customFormat="false" ht="15" hidden="false" customHeight="false" outlineLevel="0" collapsed="false">
      <c r="A5228" s="1" t="s">
        <v>5263</v>
      </c>
      <c r="B5228" s="1" t="s">
        <v>92</v>
      </c>
      <c r="C5228" s="1" t="n">
        <v>203000</v>
      </c>
      <c r="D5228" s="1" t="n">
        <v>3430.4</v>
      </c>
      <c r="E5228" s="1" t="n">
        <v>0.0144</v>
      </c>
      <c r="F5228" s="1" t="n">
        <v>0.0584</v>
      </c>
    </row>
    <row r="5229" customFormat="false" ht="15" hidden="false" customHeight="false" outlineLevel="0" collapsed="false">
      <c r="A5229" s="1" t="s">
        <v>5264</v>
      </c>
      <c r="B5229" s="1" t="s">
        <v>88</v>
      </c>
      <c r="C5229" s="1" t="n">
        <v>459000</v>
      </c>
      <c r="D5229" s="1" t="n">
        <v>1474.2</v>
      </c>
      <c r="E5229" s="1" t="n">
        <v>0.0168</v>
      </c>
      <c r="F5229" s="1" t="n">
        <v>0.0726</v>
      </c>
    </row>
    <row r="5230" customFormat="false" ht="15" hidden="false" customHeight="false" outlineLevel="0" collapsed="false">
      <c r="A5230" s="1" t="s">
        <v>5265</v>
      </c>
      <c r="B5230" s="1" t="s">
        <v>71</v>
      </c>
      <c r="C5230" s="1" t="n">
        <v>450000</v>
      </c>
      <c r="D5230" s="1" t="n">
        <v>883.4</v>
      </c>
      <c r="E5230" s="1" t="n">
        <v>0.0155</v>
      </c>
      <c r="F5230" s="1" t="n">
        <v>0.139</v>
      </c>
    </row>
    <row r="5231" customFormat="false" ht="15" hidden="false" customHeight="false" outlineLevel="0" collapsed="false">
      <c r="A5231" s="1" t="s">
        <v>5266</v>
      </c>
      <c r="B5231" s="1" t="s">
        <v>26</v>
      </c>
      <c r="C5231" s="1" t="n">
        <v>430000</v>
      </c>
      <c r="D5231" s="1" t="n">
        <v>147201.6</v>
      </c>
      <c r="E5231" s="1" t="n">
        <v>0.0478</v>
      </c>
      <c r="F5231" s="1" t="n">
        <v>0.0951</v>
      </c>
    </row>
    <row r="5232" customFormat="false" ht="15" hidden="false" customHeight="false" outlineLevel="0" collapsed="false">
      <c r="A5232" s="1" t="s">
        <v>5267</v>
      </c>
      <c r="B5232" s="1" t="s">
        <v>24</v>
      </c>
      <c r="C5232" s="1" t="n">
        <v>521000</v>
      </c>
      <c r="D5232" s="1" t="n">
        <v>29735.7</v>
      </c>
      <c r="E5232" s="1" t="n">
        <v>0.064</v>
      </c>
      <c r="F5232" s="1" t="n">
        <v>0.0951</v>
      </c>
    </row>
    <row r="5233" customFormat="false" ht="15" hidden="false" customHeight="false" outlineLevel="0" collapsed="false">
      <c r="A5233" s="1" t="s">
        <v>5268</v>
      </c>
      <c r="B5233" s="1" t="s">
        <v>41</v>
      </c>
      <c r="C5233" s="1" t="n">
        <v>1500000</v>
      </c>
      <c r="D5233" s="1" t="n">
        <v>8244.1</v>
      </c>
      <c r="E5233" s="1" t="n">
        <v>0.0066</v>
      </c>
      <c r="F5233" s="1" t="n">
        <v>0.1015</v>
      </c>
    </row>
    <row r="5234" customFormat="false" ht="15" hidden="false" customHeight="false" outlineLevel="0" collapsed="false">
      <c r="A5234" s="1" t="s">
        <v>5269</v>
      </c>
      <c r="B5234" s="1" t="s">
        <v>88</v>
      </c>
      <c r="C5234" s="1" t="n">
        <v>441000</v>
      </c>
      <c r="D5234" s="1" t="n">
        <v>158.6</v>
      </c>
      <c r="E5234" s="1" t="n">
        <v>0.0149</v>
      </c>
      <c r="F5234" s="1" t="n">
        <v>0.0576</v>
      </c>
    </row>
    <row r="5235" customFormat="false" ht="15" hidden="false" customHeight="false" outlineLevel="0" collapsed="false">
      <c r="A5235" s="1" t="s">
        <v>5270</v>
      </c>
      <c r="B5235" s="1" t="s">
        <v>88</v>
      </c>
      <c r="C5235" s="1" t="n">
        <v>445000</v>
      </c>
      <c r="D5235" s="1" t="n">
        <v>10306.6</v>
      </c>
      <c r="E5235" s="1" t="n">
        <v>0.0308</v>
      </c>
      <c r="F5235" s="1" t="n">
        <v>0.3588</v>
      </c>
    </row>
    <row r="5236" customFormat="false" ht="15" hidden="false" customHeight="false" outlineLevel="0" collapsed="false">
      <c r="A5236" s="1" t="s">
        <v>5271</v>
      </c>
      <c r="B5236" s="1" t="s">
        <v>81</v>
      </c>
      <c r="C5236" s="1" t="n">
        <v>472000</v>
      </c>
      <c r="D5236" s="1" t="n">
        <v>22663.6</v>
      </c>
      <c r="E5236" s="1" t="n">
        <v>0.0411</v>
      </c>
      <c r="F5236" s="1" t="n">
        <v>0.0759</v>
      </c>
    </row>
    <row r="5237" customFormat="false" ht="15" hidden="false" customHeight="false" outlineLevel="0" collapsed="false">
      <c r="A5237" s="1" t="s">
        <v>5272</v>
      </c>
      <c r="B5237" s="1" t="s">
        <v>26</v>
      </c>
      <c r="C5237" s="1" t="n">
        <v>497000</v>
      </c>
      <c r="D5237" s="1" t="n">
        <v>18587.2</v>
      </c>
      <c r="E5237" s="1" t="n">
        <v>0.0429</v>
      </c>
      <c r="F5237" s="1" t="n">
        <v>0.0759</v>
      </c>
    </row>
    <row r="5238" customFormat="false" ht="15" hidden="false" customHeight="false" outlineLevel="0" collapsed="false">
      <c r="A5238" s="1" t="s">
        <v>5273</v>
      </c>
      <c r="B5238" s="1" t="s">
        <v>26</v>
      </c>
      <c r="C5238" s="1" t="n">
        <v>618000</v>
      </c>
      <c r="D5238" s="1" t="n">
        <v>319.5</v>
      </c>
      <c r="E5238" s="1" t="n">
        <v>0.0459</v>
      </c>
      <c r="F5238" s="1" t="n">
        <v>0.1516</v>
      </c>
    </row>
    <row r="5239" customFormat="false" ht="15" hidden="false" customHeight="false" outlineLevel="0" collapsed="false">
      <c r="A5239" s="1" t="s">
        <v>5274</v>
      </c>
      <c r="B5239" s="1" t="s">
        <v>26</v>
      </c>
      <c r="C5239" s="1" t="n">
        <v>769000</v>
      </c>
      <c r="D5239" s="1" t="n">
        <v>171305.6</v>
      </c>
      <c r="E5239" s="1" t="n">
        <v>0.0349</v>
      </c>
      <c r="F5239" s="1" t="n">
        <v>0.0409</v>
      </c>
    </row>
    <row r="5240" customFormat="false" ht="15" hidden="false" customHeight="false" outlineLevel="0" collapsed="false">
      <c r="A5240" s="1" t="s">
        <v>5275</v>
      </c>
      <c r="B5240" s="1" t="s">
        <v>50</v>
      </c>
      <c r="C5240" s="1" t="n">
        <v>575000</v>
      </c>
      <c r="D5240" s="1" t="n">
        <v>2715.2</v>
      </c>
      <c r="E5240" s="1" t="n">
        <v>0.0138</v>
      </c>
      <c r="F5240" s="1" t="n">
        <v>0.1047</v>
      </c>
    </row>
    <row r="5241" customFormat="false" ht="15" hidden="false" customHeight="false" outlineLevel="0" collapsed="false">
      <c r="A5241" s="1" t="s">
        <v>5276</v>
      </c>
      <c r="B5241" s="1" t="s">
        <v>26</v>
      </c>
      <c r="C5241" s="1" t="n">
        <v>791000</v>
      </c>
      <c r="D5241" s="1" t="n">
        <v>244578.9</v>
      </c>
      <c r="E5241" s="1" t="n">
        <v>0.0822</v>
      </c>
      <c r="F5241" s="1" t="n">
        <v>0.0409</v>
      </c>
    </row>
    <row r="5242" customFormat="false" ht="15" hidden="false" customHeight="false" outlineLevel="0" collapsed="false">
      <c r="A5242" s="1" t="s">
        <v>5277</v>
      </c>
      <c r="B5242" s="1" t="s">
        <v>41</v>
      </c>
      <c r="C5242" s="1" t="n">
        <v>512000</v>
      </c>
      <c r="D5242" s="1" t="n">
        <v>147.7</v>
      </c>
      <c r="E5242" s="1" t="n">
        <v>0.0191</v>
      </c>
      <c r="F5242" s="1" t="n">
        <v>0.0854</v>
      </c>
    </row>
    <row r="5243" customFormat="false" ht="15" hidden="false" customHeight="false" outlineLevel="0" collapsed="false">
      <c r="A5243" s="1" t="s">
        <v>5278</v>
      </c>
      <c r="B5243" s="1" t="s">
        <v>88</v>
      </c>
      <c r="C5243" s="1" t="n">
        <v>553000</v>
      </c>
      <c r="D5243" s="1" t="n">
        <v>483.7</v>
      </c>
      <c r="E5243" s="1" t="n">
        <v>0.0402</v>
      </c>
      <c r="F5243" s="1" t="n">
        <v>0.0759</v>
      </c>
    </row>
    <row r="5244" customFormat="false" ht="15" hidden="false" customHeight="false" outlineLevel="0" collapsed="false">
      <c r="A5244" s="1" t="s">
        <v>5279</v>
      </c>
      <c r="B5244" s="1" t="s">
        <v>26</v>
      </c>
      <c r="C5244" s="1" t="n">
        <v>604000</v>
      </c>
      <c r="D5244" s="1" t="n">
        <v>16210.5</v>
      </c>
      <c r="E5244" s="1" t="n">
        <v>0.0164</v>
      </c>
      <c r="F5244" s="1" t="n">
        <v>0.0585</v>
      </c>
    </row>
    <row r="5245" customFormat="false" ht="15" hidden="false" customHeight="false" outlineLevel="0" collapsed="false">
      <c r="A5245" s="1" t="s">
        <v>5280</v>
      </c>
      <c r="B5245" s="1" t="s">
        <v>214</v>
      </c>
      <c r="C5245" s="1" t="n">
        <v>459000</v>
      </c>
      <c r="D5245" s="1" t="n">
        <v>14465</v>
      </c>
      <c r="E5245" s="1" t="n">
        <v>0.0517</v>
      </c>
      <c r="F5245" s="1" t="n">
        <v>0.0951</v>
      </c>
    </row>
    <row r="5246" customFormat="false" ht="15" hidden="false" customHeight="false" outlineLevel="0" collapsed="false">
      <c r="A5246" s="1" t="s">
        <v>5281</v>
      </c>
      <c r="B5246" s="1" t="s">
        <v>53</v>
      </c>
      <c r="C5246" s="1" t="n">
        <v>637000</v>
      </c>
      <c r="D5246" s="1" t="n">
        <v>39728.5</v>
      </c>
      <c r="E5246" s="1" t="n">
        <v>0.0131</v>
      </c>
      <c r="F5246" s="1" t="n">
        <v>0.0854</v>
      </c>
    </row>
    <row r="5247" customFormat="false" ht="15" hidden="false" customHeight="false" outlineLevel="0" collapsed="false">
      <c r="A5247" s="1" t="s">
        <v>5282</v>
      </c>
      <c r="B5247" s="1" t="s">
        <v>26</v>
      </c>
      <c r="C5247" s="1" t="n">
        <v>486000</v>
      </c>
      <c r="D5247" s="1" t="n">
        <v>71597.8</v>
      </c>
      <c r="E5247" s="1" t="n">
        <v>0.0226</v>
      </c>
      <c r="F5247" s="1" t="n">
        <v>0.095</v>
      </c>
    </row>
    <row r="5248" customFormat="false" ht="15" hidden="false" customHeight="false" outlineLevel="0" collapsed="false">
      <c r="A5248" s="1" t="s">
        <v>5283</v>
      </c>
      <c r="B5248" s="1" t="s">
        <v>26</v>
      </c>
      <c r="C5248" s="1" t="n">
        <v>563000</v>
      </c>
      <c r="D5248" s="1" t="n">
        <v>296530</v>
      </c>
      <c r="E5248" s="1" t="n">
        <v>0.031</v>
      </c>
      <c r="F5248" s="1" t="n">
        <v>0.0951</v>
      </c>
    </row>
    <row r="5249" customFormat="false" ht="15" hidden="false" customHeight="false" outlineLevel="0" collapsed="false">
      <c r="A5249" s="1" t="s">
        <v>5284</v>
      </c>
      <c r="B5249" s="1" t="s">
        <v>88</v>
      </c>
      <c r="C5249" s="1" t="n">
        <v>537000</v>
      </c>
      <c r="D5249" s="1" t="n">
        <v>16998.1</v>
      </c>
      <c r="E5249" s="1" t="n">
        <v>0.0451</v>
      </c>
      <c r="F5249" s="1" t="n">
        <v>0.0951</v>
      </c>
    </row>
    <row r="5250" customFormat="false" ht="15" hidden="false" customHeight="false" outlineLevel="0" collapsed="false">
      <c r="A5250" s="1" t="s">
        <v>5285</v>
      </c>
      <c r="B5250" s="1" t="s">
        <v>26</v>
      </c>
      <c r="C5250" s="1" t="n">
        <v>537000</v>
      </c>
      <c r="D5250" s="1" t="n">
        <v>6076.3</v>
      </c>
      <c r="E5250" s="1" t="n">
        <v>0.0216</v>
      </c>
      <c r="F5250" s="1" t="n">
        <v>0.0759</v>
      </c>
    </row>
    <row r="5251" customFormat="false" ht="15" hidden="false" customHeight="false" outlineLevel="0" collapsed="false">
      <c r="A5251" s="1" t="s">
        <v>5286</v>
      </c>
      <c r="B5251" s="1" t="s">
        <v>74</v>
      </c>
      <c r="C5251" s="1" t="n">
        <v>514000</v>
      </c>
      <c r="D5251" s="1" t="n">
        <v>5164</v>
      </c>
      <c r="E5251" s="1" t="n">
        <v>0.0499</v>
      </c>
      <c r="F5251" s="1" t="n">
        <v>0.0409</v>
      </c>
    </row>
    <row r="5252" customFormat="false" ht="15" hidden="false" customHeight="false" outlineLevel="0" collapsed="false">
      <c r="A5252" s="1" t="s">
        <v>5287</v>
      </c>
      <c r="B5252" s="1" t="s">
        <v>24</v>
      </c>
      <c r="C5252" s="1" t="n">
        <v>542000</v>
      </c>
      <c r="D5252" s="1" t="n">
        <v>19017.2</v>
      </c>
      <c r="E5252" s="1" t="n">
        <v>0.0256</v>
      </c>
      <c r="F5252" s="1" t="n">
        <v>0.117</v>
      </c>
    </row>
    <row r="5253" customFormat="false" ht="15" hidden="false" customHeight="false" outlineLevel="0" collapsed="false">
      <c r="A5253" s="1" t="s">
        <v>5288</v>
      </c>
      <c r="B5253" s="1" t="s">
        <v>30</v>
      </c>
      <c r="C5253" s="1" t="n">
        <v>751000</v>
      </c>
      <c r="D5253" s="1" t="n">
        <v>35449.7</v>
      </c>
      <c r="E5253" s="1" t="n">
        <v>0.0484</v>
      </c>
      <c r="F5253" s="1" t="n">
        <v>0.0409</v>
      </c>
    </row>
    <row r="5254" customFormat="false" ht="15" hidden="false" customHeight="false" outlineLevel="0" collapsed="false">
      <c r="A5254" s="1" t="s">
        <v>5289</v>
      </c>
      <c r="B5254" s="1" t="s">
        <v>28</v>
      </c>
      <c r="C5254" s="1" t="n">
        <v>563000</v>
      </c>
      <c r="D5254" s="1" t="n">
        <v>14075.4</v>
      </c>
      <c r="E5254" s="1" t="n">
        <v>0.0219</v>
      </c>
      <c r="F5254" s="1" t="n">
        <v>0.1053</v>
      </c>
    </row>
    <row r="5255" customFormat="false" ht="15" hidden="false" customHeight="false" outlineLevel="0" collapsed="false">
      <c r="A5255" s="1" t="s">
        <v>5290</v>
      </c>
      <c r="B5255" s="1" t="s">
        <v>88</v>
      </c>
      <c r="C5255" s="1" t="n">
        <v>804000</v>
      </c>
      <c r="D5255" s="1" t="n">
        <v>2001.3</v>
      </c>
      <c r="F5255" s="1" t="n">
        <v>0.0938</v>
      </c>
    </row>
    <row r="5256" customFormat="false" ht="15" hidden="false" customHeight="false" outlineLevel="0" collapsed="false">
      <c r="A5256" s="1" t="s">
        <v>5291</v>
      </c>
      <c r="B5256" s="1" t="s">
        <v>26</v>
      </c>
      <c r="C5256" s="1" t="n">
        <v>548000</v>
      </c>
      <c r="D5256" s="1" t="n">
        <v>2674898.8</v>
      </c>
      <c r="E5256" s="1" t="n">
        <v>0.0148</v>
      </c>
      <c r="F5256" s="1" t="n">
        <v>0.0585</v>
      </c>
    </row>
    <row r="5257" customFormat="false" ht="15" hidden="false" customHeight="false" outlineLevel="0" collapsed="false">
      <c r="A5257" s="1" t="s">
        <v>5292</v>
      </c>
      <c r="B5257" s="1" t="s">
        <v>71</v>
      </c>
      <c r="C5257" s="1" t="n">
        <v>706000</v>
      </c>
      <c r="D5257" s="1" t="n">
        <v>61811.9</v>
      </c>
      <c r="E5257" s="1" t="n">
        <v>0.0533</v>
      </c>
      <c r="F5257" s="1" t="n">
        <v>0.0759</v>
      </c>
    </row>
    <row r="5258" customFormat="false" ht="15" hidden="false" customHeight="false" outlineLevel="0" collapsed="false">
      <c r="A5258" s="1" t="s">
        <v>5293</v>
      </c>
      <c r="B5258" s="1" t="s">
        <v>41</v>
      </c>
      <c r="C5258" s="1" t="n">
        <v>435000</v>
      </c>
      <c r="F5258" s="1" t="n">
        <v>0.0759</v>
      </c>
    </row>
    <row r="5259" customFormat="false" ht="15" hidden="false" customHeight="false" outlineLevel="0" collapsed="false">
      <c r="A5259" s="1" t="s">
        <v>5294</v>
      </c>
      <c r="B5259" s="1" t="s">
        <v>71</v>
      </c>
      <c r="C5259" s="1" t="n">
        <v>458000</v>
      </c>
      <c r="D5259" s="1" t="n">
        <v>24007.6</v>
      </c>
      <c r="E5259" s="1" t="n">
        <v>0.0355</v>
      </c>
      <c r="F5259" s="1" t="n">
        <v>0.0938</v>
      </c>
    </row>
    <row r="5260" customFormat="false" ht="15" hidden="false" customHeight="false" outlineLevel="0" collapsed="false">
      <c r="A5260" s="1" t="s">
        <v>5295</v>
      </c>
      <c r="B5260" s="1" t="s">
        <v>26</v>
      </c>
      <c r="C5260" s="1" t="n">
        <v>457000</v>
      </c>
      <c r="D5260" s="1" t="n">
        <v>38073.7</v>
      </c>
      <c r="E5260" s="1" t="n">
        <v>0.0392</v>
      </c>
      <c r="F5260" s="1" t="n">
        <v>0.0759</v>
      </c>
    </row>
    <row r="5261" customFormat="false" ht="15" hidden="false" customHeight="false" outlineLevel="0" collapsed="false">
      <c r="A5261" s="1" t="s">
        <v>5296</v>
      </c>
      <c r="B5261" s="1" t="s">
        <v>214</v>
      </c>
      <c r="C5261" s="1" t="n">
        <v>444000</v>
      </c>
      <c r="D5261" s="1" t="n">
        <v>1047.3</v>
      </c>
      <c r="E5261" s="1" t="n">
        <v>0.0428</v>
      </c>
      <c r="F5261" s="1" t="n">
        <v>0.0951</v>
      </c>
    </row>
    <row r="5262" customFormat="false" ht="15" hidden="false" customHeight="false" outlineLevel="0" collapsed="false">
      <c r="A5262" s="1" t="s">
        <v>5297</v>
      </c>
      <c r="B5262" s="1" t="s">
        <v>88</v>
      </c>
      <c r="C5262" s="1" t="n">
        <v>472000</v>
      </c>
      <c r="D5262" s="1" t="n">
        <v>725.6</v>
      </c>
      <c r="E5262" s="1" t="n">
        <v>0.0132</v>
      </c>
      <c r="F5262" s="1" t="n">
        <v>0.0654</v>
      </c>
    </row>
    <row r="5263" customFormat="false" ht="15" hidden="false" customHeight="false" outlineLevel="0" collapsed="false">
      <c r="A5263" s="1" t="s">
        <v>5298</v>
      </c>
      <c r="B5263" s="1" t="s">
        <v>26</v>
      </c>
      <c r="C5263" s="1" t="n">
        <v>440000</v>
      </c>
      <c r="D5263" s="1" t="n">
        <v>3772.4</v>
      </c>
      <c r="E5263" s="1" t="n">
        <v>0.0397</v>
      </c>
      <c r="F5263" s="1" t="n">
        <v>0.0951</v>
      </c>
    </row>
    <row r="5264" customFormat="false" ht="15" hidden="false" customHeight="false" outlineLevel="0" collapsed="false">
      <c r="A5264" s="1" t="s">
        <v>5299</v>
      </c>
      <c r="B5264" s="1" t="s">
        <v>92</v>
      </c>
      <c r="C5264" s="1" t="n">
        <v>705000</v>
      </c>
      <c r="D5264" s="1" t="n">
        <v>186115.3</v>
      </c>
      <c r="E5264" s="1" t="n">
        <v>0.0153</v>
      </c>
      <c r="F5264" s="1" t="n">
        <v>0.0462</v>
      </c>
    </row>
    <row r="5265" customFormat="false" ht="15" hidden="false" customHeight="false" outlineLevel="0" collapsed="false">
      <c r="A5265" s="1" t="s">
        <v>5300</v>
      </c>
      <c r="B5265" s="1" t="s">
        <v>62</v>
      </c>
      <c r="C5265" s="1" t="n">
        <v>581000</v>
      </c>
      <c r="D5265" s="1" t="n">
        <v>4577</v>
      </c>
      <c r="E5265" s="1" t="n">
        <v>0.0207</v>
      </c>
      <c r="F5265" s="1" t="n">
        <v>0.0854</v>
      </c>
    </row>
    <row r="5266" customFormat="false" ht="15" hidden="false" customHeight="false" outlineLevel="0" collapsed="false">
      <c r="A5266" s="1" t="s">
        <v>5301</v>
      </c>
      <c r="B5266" s="1" t="s">
        <v>50</v>
      </c>
      <c r="C5266" s="1" t="n">
        <v>469000</v>
      </c>
      <c r="D5266" s="1" t="n">
        <v>917</v>
      </c>
      <c r="E5266" s="1" t="n">
        <v>0.0144</v>
      </c>
      <c r="F5266" s="1" t="n">
        <v>0.0576</v>
      </c>
    </row>
    <row r="5267" customFormat="false" ht="15" hidden="false" customHeight="false" outlineLevel="0" collapsed="false">
      <c r="A5267" s="1" t="s">
        <v>5302</v>
      </c>
      <c r="B5267" s="1" t="s">
        <v>92</v>
      </c>
      <c r="C5267" s="1" t="n">
        <v>762000</v>
      </c>
      <c r="D5267" s="1" t="n">
        <v>72796.1</v>
      </c>
      <c r="E5267" s="1" t="n">
        <v>0.0119</v>
      </c>
      <c r="F5267" s="1" t="n">
        <v>0.1315</v>
      </c>
    </row>
    <row r="5268" customFormat="false" ht="15" hidden="false" customHeight="false" outlineLevel="0" collapsed="false">
      <c r="A5268" s="1" t="s">
        <v>5303</v>
      </c>
      <c r="B5268" s="1" t="s">
        <v>26</v>
      </c>
      <c r="C5268" s="1" t="n">
        <v>553000</v>
      </c>
      <c r="D5268" s="1" t="n">
        <v>14592.9</v>
      </c>
      <c r="F5268" s="1" t="n">
        <v>0.0672</v>
      </c>
    </row>
    <row r="5269" customFormat="false" ht="15" hidden="false" customHeight="false" outlineLevel="0" collapsed="false">
      <c r="A5269" s="1" t="s">
        <v>5304</v>
      </c>
      <c r="B5269" s="1" t="s">
        <v>26</v>
      </c>
      <c r="C5269" s="1" t="n">
        <v>549000</v>
      </c>
      <c r="D5269" s="1" t="n">
        <v>8108.7</v>
      </c>
      <c r="E5269" s="1" t="n">
        <v>0.019</v>
      </c>
      <c r="F5269" s="1" t="n">
        <v>0.0585</v>
      </c>
    </row>
    <row r="5270" customFormat="false" ht="15" hidden="false" customHeight="false" outlineLevel="0" collapsed="false">
      <c r="A5270" s="1" t="s">
        <v>5305</v>
      </c>
      <c r="B5270" s="1" t="s">
        <v>214</v>
      </c>
      <c r="C5270" s="1" t="n">
        <v>2110000</v>
      </c>
      <c r="D5270" s="1" t="n">
        <v>202003.6</v>
      </c>
      <c r="E5270" s="1" t="n">
        <v>0.0392</v>
      </c>
      <c r="F5270" s="1" t="n">
        <v>0.0759</v>
      </c>
    </row>
    <row r="5271" customFormat="false" ht="15" hidden="false" customHeight="false" outlineLevel="0" collapsed="false">
      <c r="A5271" s="1" t="s">
        <v>5306</v>
      </c>
      <c r="B5271" s="1" t="s">
        <v>41</v>
      </c>
      <c r="C5271" s="1" t="n">
        <v>1060000</v>
      </c>
      <c r="D5271" s="1" t="n">
        <v>619.9</v>
      </c>
      <c r="E5271" s="1" t="n">
        <v>0.0421</v>
      </c>
      <c r="F5271" s="1" t="n">
        <v>0.0938</v>
      </c>
    </row>
    <row r="5272" customFormat="false" ht="15" hidden="false" customHeight="false" outlineLevel="0" collapsed="false">
      <c r="A5272" s="1" t="s">
        <v>5307</v>
      </c>
      <c r="B5272" s="1" t="s">
        <v>88</v>
      </c>
      <c r="C5272" s="1" t="n">
        <v>482000</v>
      </c>
      <c r="D5272" s="1" t="n">
        <v>1839.2</v>
      </c>
      <c r="E5272" s="1" t="n">
        <v>0.0111</v>
      </c>
      <c r="F5272" s="1" t="n">
        <v>0.0811</v>
      </c>
    </row>
    <row r="5273" customFormat="false" ht="15" hidden="false" customHeight="false" outlineLevel="0" collapsed="false">
      <c r="A5273" s="1" t="s">
        <v>5308</v>
      </c>
      <c r="B5273" s="1" t="s">
        <v>24</v>
      </c>
      <c r="C5273" s="1" t="n">
        <v>694000</v>
      </c>
      <c r="D5273" s="1" t="n">
        <v>181653</v>
      </c>
      <c r="E5273" s="1" t="n">
        <v>0.0231</v>
      </c>
      <c r="F5273" s="1" t="n">
        <v>0.0759</v>
      </c>
    </row>
    <row r="5274" customFormat="false" ht="15" hidden="false" customHeight="false" outlineLevel="0" collapsed="false">
      <c r="A5274" s="1" t="s">
        <v>5309</v>
      </c>
      <c r="B5274" s="1" t="s">
        <v>88</v>
      </c>
      <c r="C5274" s="1" t="n">
        <v>509000</v>
      </c>
      <c r="D5274" s="1" t="n">
        <v>295.8</v>
      </c>
      <c r="E5274" s="1" t="n">
        <v>0.1095</v>
      </c>
      <c r="F5274" s="1" t="n">
        <v>0.0938</v>
      </c>
    </row>
    <row r="5275" customFormat="false" ht="15" hidden="false" customHeight="false" outlineLevel="0" collapsed="false">
      <c r="A5275" s="1" t="s">
        <v>5310</v>
      </c>
      <c r="B5275" s="1" t="s">
        <v>71</v>
      </c>
      <c r="C5275" s="1" t="n">
        <v>1460000</v>
      </c>
      <c r="D5275" s="1" t="n">
        <v>604042.3</v>
      </c>
      <c r="E5275" s="1" t="n">
        <v>0.0505</v>
      </c>
      <c r="F5275" s="1" t="n">
        <v>0.0409</v>
      </c>
    </row>
    <row r="5276" customFormat="false" ht="15" hidden="false" customHeight="false" outlineLevel="0" collapsed="false">
      <c r="A5276" s="1" t="s">
        <v>5311</v>
      </c>
      <c r="B5276" s="1" t="s">
        <v>41</v>
      </c>
      <c r="C5276" s="1" t="n">
        <v>948000</v>
      </c>
      <c r="D5276" s="1" t="n">
        <v>2181.1</v>
      </c>
      <c r="E5276" s="1" t="n">
        <v>0.0984</v>
      </c>
      <c r="F5276" s="1" t="n">
        <v>0.0938</v>
      </c>
    </row>
    <row r="5277" customFormat="false" ht="15" hidden="false" customHeight="false" outlineLevel="0" collapsed="false">
      <c r="A5277" s="1" t="s">
        <v>5312</v>
      </c>
      <c r="B5277" s="1" t="s">
        <v>30</v>
      </c>
      <c r="C5277" s="1" t="n">
        <v>480000</v>
      </c>
      <c r="D5277" s="1" t="n">
        <v>198642</v>
      </c>
      <c r="E5277" s="1" t="n">
        <v>0.0528</v>
      </c>
      <c r="F5277" s="1" t="n">
        <v>0.0759</v>
      </c>
    </row>
    <row r="5278" customFormat="false" ht="15" hidden="false" customHeight="false" outlineLevel="0" collapsed="false">
      <c r="A5278" s="1" t="s">
        <v>5313</v>
      </c>
      <c r="B5278" s="1" t="s">
        <v>24</v>
      </c>
      <c r="C5278" s="1" t="n">
        <v>519000</v>
      </c>
      <c r="D5278" s="1" t="n">
        <v>2349.3</v>
      </c>
      <c r="E5278" s="1" t="n">
        <v>0.0173</v>
      </c>
      <c r="F5278" s="1" t="n">
        <v>0.1053</v>
      </c>
    </row>
    <row r="5279" customFormat="false" ht="15" hidden="false" customHeight="false" outlineLevel="0" collapsed="false">
      <c r="A5279" s="1" t="s">
        <v>5314</v>
      </c>
      <c r="B5279" s="1" t="s">
        <v>26</v>
      </c>
      <c r="C5279" s="1" t="n">
        <v>938000</v>
      </c>
      <c r="D5279" s="1" t="n">
        <v>1975570.3</v>
      </c>
      <c r="E5279" s="1" t="n">
        <v>0.0393</v>
      </c>
      <c r="F5279" s="1" t="n">
        <v>0.0409</v>
      </c>
    </row>
    <row r="5280" customFormat="false" ht="15" hidden="false" customHeight="false" outlineLevel="0" collapsed="false">
      <c r="A5280" s="1" t="s">
        <v>5315</v>
      </c>
      <c r="B5280" s="1" t="s">
        <v>88</v>
      </c>
      <c r="C5280" s="1" t="n">
        <v>580000</v>
      </c>
      <c r="D5280" s="1" t="n">
        <v>17434</v>
      </c>
      <c r="E5280" s="1" t="n">
        <v>0.0507</v>
      </c>
      <c r="F5280" s="1" t="n">
        <v>0.0951</v>
      </c>
    </row>
    <row r="5281" customFormat="false" ht="15" hidden="false" customHeight="false" outlineLevel="0" collapsed="false">
      <c r="A5281" s="1" t="s">
        <v>5316</v>
      </c>
      <c r="B5281" s="1" t="s">
        <v>26</v>
      </c>
      <c r="C5281" s="1" t="n">
        <v>453000</v>
      </c>
      <c r="D5281" s="1" t="n">
        <v>6790.9</v>
      </c>
      <c r="E5281" s="1" t="n">
        <v>0.1179</v>
      </c>
      <c r="F5281" s="1" t="n">
        <v>0.0938</v>
      </c>
    </row>
    <row r="5282" customFormat="false" ht="15" hidden="false" customHeight="false" outlineLevel="0" collapsed="false">
      <c r="A5282" s="1" t="s">
        <v>5317</v>
      </c>
      <c r="B5282" s="1" t="s">
        <v>24</v>
      </c>
      <c r="C5282" s="1" t="n">
        <v>913000</v>
      </c>
      <c r="D5282" s="1" t="n">
        <v>2508.3</v>
      </c>
      <c r="E5282" s="1" t="n">
        <v>0.0173</v>
      </c>
      <c r="F5282" s="1" t="n">
        <v>0.0854</v>
      </c>
    </row>
    <row r="5283" customFormat="false" ht="15" hidden="false" customHeight="false" outlineLevel="0" collapsed="false">
      <c r="A5283" s="1" t="s">
        <v>5318</v>
      </c>
      <c r="B5283" s="1" t="s">
        <v>88</v>
      </c>
      <c r="C5283" s="1" t="n">
        <v>526000</v>
      </c>
      <c r="D5283" s="1" t="n">
        <v>7284.7</v>
      </c>
      <c r="E5283" s="1" t="n">
        <v>0.0496</v>
      </c>
      <c r="F5283" s="1" t="n">
        <v>0.0938</v>
      </c>
    </row>
    <row r="5284" customFormat="false" ht="15" hidden="false" customHeight="false" outlineLevel="0" collapsed="false">
      <c r="A5284" s="1" t="s">
        <v>5319</v>
      </c>
      <c r="B5284" s="1" t="s">
        <v>26</v>
      </c>
      <c r="C5284" s="1" t="n">
        <v>450000</v>
      </c>
      <c r="D5284" s="1" t="n">
        <v>32936.1</v>
      </c>
      <c r="E5284" s="1" t="n">
        <v>0.0734</v>
      </c>
      <c r="F5284" s="1" t="n">
        <v>0.0951</v>
      </c>
    </row>
    <row r="5285" customFormat="false" ht="15" hidden="false" customHeight="false" outlineLevel="0" collapsed="false">
      <c r="A5285" s="1" t="s">
        <v>5320</v>
      </c>
      <c r="B5285" s="1" t="s">
        <v>88</v>
      </c>
      <c r="C5285" s="1" t="n">
        <v>524000</v>
      </c>
      <c r="D5285" s="1" t="n">
        <v>1040.9</v>
      </c>
      <c r="E5285" s="1" t="n">
        <v>0.022</v>
      </c>
      <c r="F5285" s="1" t="n">
        <v>0.0644</v>
      </c>
    </row>
    <row r="5286" customFormat="false" ht="15" hidden="false" customHeight="false" outlineLevel="0" collapsed="false">
      <c r="A5286" s="1" t="s">
        <v>5321</v>
      </c>
      <c r="B5286" s="1" t="s">
        <v>26</v>
      </c>
      <c r="C5286" s="1" t="n">
        <v>527000</v>
      </c>
      <c r="D5286" s="1" t="n">
        <v>17532.3</v>
      </c>
      <c r="E5286" s="1" t="n">
        <v>0.0362</v>
      </c>
      <c r="F5286" s="1" t="n">
        <v>0.0759</v>
      </c>
    </row>
    <row r="5287" customFormat="false" ht="15" hidden="false" customHeight="false" outlineLevel="0" collapsed="false">
      <c r="A5287" s="1" t="s">
        <v>5322</v>
      </c>
      <c r="B5287" s="1" t="s">
        <v>26</v>
      </c>
      <c r="C5287" s="1" t="n">
        <v>839000</v>
      </c>
      <c r="D5287" s="1" t="n">
        <v>91504.6</v>
      </c>
      <c r="E5287" s="1" t="n">
        <v>0.0696</v>
      </c>
      <c r="F5287" s="1" t="n">
        <v>0.0759</v>
      </c>
    </row>
    <row r="5288" customFormat="false" ht="15" hidden="false" customHeight="false" outlineLevel="0" collapsed="false">
      <c r="A5288" s="1" t="s">
        <v>5323</v>
      </c>
      <c r="B5288" s="1" t="s">
        <v>287</v>
      </c>
      <c r="C5288" s="1" t="n">
        <v>533000</v>
      </c>
      <c r="D5288" s="1" t="n">
        <v>2146.3</v>
      </c>
      <c r="E5288" s="1" t="n">
        <v>0.0201</v>
      </c>
      <c r="F5288" s="1" t="n">
        <v>0.0854</v>
      </c>
    </row>
    <row r="5289" customFormat="false" ht="15" hidden="false" customHeight="false" outlineLevel="0" collapsed="false">
      <c r="A5289" s="1" t="s">
        <v>5324</v>
      </c>
      <c r="B5289" s="1" t="s">
        <v>88</v>
      </c>
      <c r="C5289" s="1" t="n">
        <v>451000</v>
      </c>
      <c r="D5289" s="1" t="n">
        <v>1538.8</v>
      </c>
      <c r="E5289" s="1" t="n">
        <v>0.043</v>
      </c>
      <c r="F5289" s="1" t="n">
        <v>0.0759</v>
      </c>
    </row>
    <row r="5290" customFormat="false" ht="15" hidden="false" customHeight="false" outlineLevel="0" collapsed="false">
      <c r="A5290" s="1" t="s">
        <v>5325</v>
      </c>
      <c r="B5290" s="1" t="s">
        <v>88</v>
      </c>
      <c r="C5290" s="1" t="n">
        <v>962000</v>
      </c>
      <c r="D5290" s="1" t="n">
        <v>183</v>
      </c>
      <c r="E5290" s="1" t="n">
        <v>0.2337</v>
      </c>
      <c r="F5290" s="1" t="n">
        <v>0.0938</v>
      </c>
    </row>
    <row r="5291" customFormat="false" ht="15" hidden="false" customHeight="false" outlineLevel="0" collapsed="false">
      <c r="A5291" s="1" t="s">
        <v>5326</v>
      </c>
      <c r="B5291" s="1" t="s">
        <v>88</v>
      </c>
      <c r="C5291" s="1" t="n">
        <v>501000</v>
      </c>
      <c r="D5291" s="1" t="n">
        <v>367</v>
      </c>
      <c r="E5291" s="1" t="n">
        <v>0.0512</v>
      </c>
      <c r="F5291" s="1" t="n">
        <v>0.0938</v>
      </c>
    </row>
    <row r="5292" customFormat="false" ht="15" hidden="false" customHeight="false" outlineLevel="0" collapsed="false">
      <c r="A5292" s="1" t="s">
        <v>5327</v>
      </c>
      <c r="B5292" s="1" t="s">
        <v>62</v>
      </c>
      <c r="C5292" s="1" t="n">
        <v>534000</v>
      </c>
      <c r="D5292" s="1" t="n">
        <v>31286</v>
      </c>
      <c r="E5292" s="1" t="n">
        <v>0.0073</v>
      </c>
      <c r="F5292" s="1" t="n">
        <v>0.0654</v>
      </c>
    </row>
    <row r="5293" customFormat="false" ht="15" hidden="false" customHeight="false" outlineLevel="0" collapsed="false">
      <c r="A5293" s="1" t="s">
        <v>5328</v>
      </c>
      <c r="B5293" s="1" t="s">
        <v>71</v>
      </c>
      <c r="C5293" s="1" t="n">
        <v>453000</v>
      </c>
      <c r="D5293" s="1" t="n">
        <v>187.7</v>
      </c>
      <c r="E5293" s="1" t="n">
        <v>0.0473</v>
      </c>
      <c r="F5293" s="1" t="n">
        <v>0.0759</v>
      </c>
    </row>
    <row r="5294" customFormat="false" ht="15" hidden="false" customHeight="false" outlineLevel="0" collapsed="false">
      <c r="A5294" s="1" t="s">
        <v>5329</v>
      </c>
      <c r="B5294" s="1" t="s">
        <v>74</v>
      </c>
      <c r="C5294" s="1" t="n">
        <v>454000</v>
      </c>
      <c r="D5294" s="1" t="n">
        <v>547.4</v>
      </c>
      <c r="E5294" s="1" t="n">
        <v>0.0102</v>
      </c>
      <c r="F5294" s="1" t="n">
        <v>0.1315</v>
      </c>
    </row>
    <row r="5295" customFormat="false" ht="15" hidden="false" customHeight="false" outlineLevel="0" collapsed="false">
      <c r="A5295" s="1" t="s">
        <v>5330</v>
      </c>
      <c r="B5295" s="1" t="s">
        <v>92</v>
      </c>
      <c r="C5295" s="1" t="n">
        <v>465000</v>
      </c>
      <c r="D5295" s="1" t="n">
        <v>15280.6</v>
      </c>
      <c r="F5295" s="1" t="n">
        <v>0.0518</v>
      </c>
    </row>
    <row r="5296" customFormat="false" ht="15" hidden="false" customHeight="false" outlineLevel="0" collapsed="false">
      <c r="A5296" s="1" t="s">
        <v>5331</v>
      </c>
      <c r="B5296" s="1" t="s">
        <v>287</v>
      </c>
      <c r="C5296" s="1" t="n">
        <v>531000</v>
      </c>
      <c r="D5296" s="1" t="n">
        <v>2194.2</v>
      </c>
      <c r="E5296" s="1" t="n">
        <v>0.0132</v>
      </c>
      <c r="F5296" s="1" t="n">
        <v>0.1067</v>
      </c>
    </row>
    <row r="5297" customFormat="false" ht="15" hidden="false" customHeight="false" outlineLevel="0" collapsed="false">
      <c r="A5297" s="1" t="s">
        <v>5332</v>
      </c>
      <c r="B5297" s="1" t="s">
        <v>62</v>
      </c>
      <c r="C5297" s="1" t="n">
        <v>570000</v>
      </c>
      <c r="D5297" s="1" t="n">
        <v>37196</v>
      </c>
      <c r="E5297" s="1" t="n">
        <v>0.0228</v>
      </c>
      <c r="F5297" s="1" t="n">
        <v>0.095</v>
      </c>
    </row>
    <row r="5298" customFormat="false" ht="15" hidden="false" customHeight="false" outlineLevel="0" collapsed="false">
      <c r="A5298" s="1" t="s">
        <v>5333</v>
      </c>
      <c r="B5298" s="1" t="s">
        <v>26</v>
      </c>
      <c r="C5298" s="1" t="n">
        <v>702000</v>
      </c>
      <c r="D5298" s="1" t="n">
        <v>407110.5</v>
      </c>
      <c r="E5298" s="1" t="n">
        <v>0.0399</v>
      </c>
      <c r="F5298" s="1" t="n">
        <v>0.0409</v>
      </c>
    </row>
    <row r="5299" customFormat="false" ht="15" hidden="false" customHeight="false" outlineLevel="0" collapsed="false">
      <c r="A5299" s="1" t="s">
        <v>5334</v>
      </c>
      <c r="B5299" s="1" t="s">
        <v>214</v>
      </c>
      <c r="C5299" s="1" t="n">
        <v>479000</v>
      </c>
      <c r="D5299" s="1" t="n">
        <v>228397.2</v>
      </c>
      <c r="E5299" s="1" t="n">
        <v>0.0169</v>
      </c>
      <c r="F5299" s="1" t="n">
        <v>0.0585</v>
      </c>
    </row>
    <row r="5300" customFormat="false" ht="15" hidden="false" customHeight="false" outlineLevel="0" collapsed="false">
      <c r="A5300" s="1" t="s">
        <v>5335</v>
      </c>
      <c r="B5300" s="1" t="s">
        <v>41</v>
      </c>
      <c r="C5300" s="1" t="n">
        <v>486000</v>
      </c>
      <c r="D5300" s="1" t="n">
        <v>4716.9</v>
      </c>
      <c r="E5300" s="1" t="n">
        <v>0.06</v>
      </c>
      <c r="F5300" s="1" t="n">
        <v>0.0938</v>
      </c>
    </row>
    <row r="5301" customFormat="false" ht="15" hidden="false" customHeight="false" outlineLevel="0" collapsed="false">
      <c r="A5301" s="1" t="s">
        <v>5336</v>
      </c>
      <c r="B5301" s="1" t="s">
        <v>41</v>
      </c>
      <c r="C5301" s="1" t="n">
        <v>773000</v>
      </c>
      <c r="D5301" s="1" t="n">
        <v>371.1</v>
      </c>
      <c r="E5301" s="1" t="n">
        <v>0.0096</v>
      </c>
      <c r="F5301" s="1" t="n">
        <v>0.0811</v>
      </c>
    </row>
    <row r="5302" customFormat="false" ht="15" hidden="false" customHeight="false" outlineLevel="0" collapsed="false">
      <c r="A5302" s="1" t="s">
        <v>5337</v>
      </c>
      <c r="B5302" s="1" t="s">
        <v>26</v>
      </c>
      <c r="C5302" s="1" t="n">
        <v>617000</v>
      </c>
      <c r="D5302" s="1" t="n">
        <v>115226.2</v>
      </c>
      <c r="E5302" s="1" t="n">
        <v>0.0296</v>
      </c>
      <c r="F5302" s="1" t="n">
        <v>0.0938</v>
      </c>
    </row>
    <row r="5303" customFormat="false" ht="15" hidden="false" customHeight="false" outlineLevel="0" collapsed="false">
      <c r="A5303" s="1" t="s">
        <v>5338</v>
      </c>
      <c r="B5303" s="1" t="s">
        <v>88</v>
      </c>
      <c r="C5303" s="1" t="n">
        <v>598000</v>
      </c>
      <c r="D5303" s="1" t="n">
        <v>5517.1</v>
      </c>
      <c r="E5303" s="1" t="n">
        <v>0.0426</v>
      </c>
      <c r="F5303" s="1" t="n">
        <v>0.0759</v>
      </c>
    </row>
    <row r="5304" customFormat="false" ht="15" hidden="false" customHeight="false" outlineLevel="0" collapsed="false">
      <c r="A5304" s="1" t="s">
        <v>5339</v>
      </c>
      <c r="B5304" s="1" t="s">
        <v>53</v>
      </c>
      <c r="C5304" s="1" t="n">
        <v>986000</v>
      </c>
      <c r="D5304" s="1" t="n">
        <v>389109</v>
      </c>
      <c r="E5304" s="1" t="n">
        <v>0.0049</v>
      </c>
      <c r="F5304" s="1" t="n">
        <v>0.0654</v>
      </c>
    </row>
    <row r="5305" customFormat="false" ht="15" hidden="false" customHeight="false" outlineLevel="0" collapsed="false">
      <c r="A5305" s="1" t="s">
        <v>5340</v>
      </c>
      <c r="B5305" s="1" t="s">
        <v>214</v>
      </c>
      <c r="C5305" s="1" t="n">
        <v>445000</v>
      </c>
      <c r="D5305" s="1" t="n">
        <v>16192.7</v>
      </c>
      <c r="E5305" s="1" t="n">
        <v>0.0178</v>
      </c>
      <c r="F5305" s="1" t="n">
        <v>0.1067</v>
      </c>
    </row>
    <row r="5306" customFormat="false" ht="15" hidden="false" customHeight="false" outlineLevel="0" collapsed="false">
      <c r="A5306" s="1" t="s">
        <v>5341</v>
      </c>
      <c r="B5306" s="1" t="s">
        <v>41</v>
      </c>
      <c r="C5306" s="1" t="n">
        <v>473000</v>
      </c>
      <c r="D5306" s="1" t="n">
        <v>468355.3</v>
      </c>
      <c r="E5306" s="1" t="n">
        <v>0.0602</v>
      </c>
      <c r="F5306" s="1" t="n">
        <v>0.0518</v>
      </c>
    </row>
    <row r="5307" customFormat="false" ht="15" hidden="false" customHeight="false" outlineLevel="0" collapsed="false">
      <c r="A5307" s="1" t="s">
        <v>5342</v>
      </c>
      <c r="B5307" s="1" t="s">
        <v>26</v>
      </c>
      <c r="C5307" s="1" t="n">
        <v>478000</v>
      </c>
      <c r="D5307" s="1" t="n">
        <v>1020.2</v>
      </c>
      <c r="E5307" s="1" t="n">
        <v>0.0561</v>
      </c>
      <c r="F5307" s="1" t="n">
        <v>0.0938</v>
      </c>
    </row>
    <row r="5308" customFormat="false" ht="15" hidden="false" customHeight="false" outlineLevel="0" collapsed="false">
      <c r="A5308" s="1" t="s">
        <v>5343</v>
      </c>
      <c r="B5308" s="1" t="s">
        <v>214</v>
      </c>
      <c r="C5308" s="1" t="n">
        <v>434000</v>
      </c>
      <c r="D5308" s="1" t="n">
        <v>2189.7</v>
      </c>
      <c r="E5308" s="1" t="n">
        <v>0.0151</v>
      </c>
      <c r="F5308" s="1" t="n">
        <v>0.1067</v>
      </c>
    </row>
    <row r="5309" customFormat="false" ht="15" hidden="false" customHeight="false" outlineLevel="0" collapsed="false">
      <c r="A5309" s="1" t="s">
        <v>5344</v>
      </c>
      <c r="B5309" s="1" t="s">
        <v>62</v>
      </c>
      <c r="C5309" s="1" t="n">
        <v>459000</v>
      </c>
      <c r="D5309" s="1" t="n">
        <v>13538.7</v>
      </c>
      <c r="E5309" s="1" t="n">
        <v>0.0172</v>
      </c>
      <c r="F5309" s="1" t="n">
        <v>0.0462</v>
      </c>
    </row>
    <row r="5310" customFormat="false" ht="15" hidden="false" customHeight="false" outlineLevel="0" collapsed="false">
      <c r="A5310" s="1" t="s">
        <v>5345</v>
      </c>
      <c r="B5310" s="1" t="s">
        <v>26</v>
      </c>
      <c r="C5310" s="1" t="n">
        <v>519000</v>
      </c>
      <c r="D5310" s="1" t="n">
        <v>5444.3</v>
      </c>
      <c r="E5310" s="1" t="n">
        <v>0.046</v>
      </c>
      <c r="F5310" s="1" t="n">
        <v>0.0833</v>
      </c>
    </row>
    <row r="5311" customFormat="false" ht="15" hidden="false" customHeight="false" outlineLevel="0" collapsed="false">
      <c r="A5311" s="1" t="s">
        <v>5346</v>
      </c>
      <c r="B5311" s="1" t="s">
        <v>62</v>
      </c>
      <c r="C5311" s="1" t="n">
        <v>434000</v>
      </c>
      <c r="D5311" s="1" t="n">
        <v>80.5</v>
      </c>
      <c r="E5311" s="1" t="n">
        <v>0.0199</v>
      </c>
      <c r="F5311" s="1" t="n">
        <v>0.0517</v>
      </c>
    </row>
    <row r="5312" customFormat="false" ht="15" hidden="false" customHeight="false" outlineLevel="0" collapsed="false">
      <c r="A5312" s="1" t="s">
        <v>5347</v>
      </c>
      <c r="B5312" s="1" t="s">
        <v>30</v>
      </c>
      <c r="C5312" s="1" t="n">
        <v>435000</v>
      </c>
      <c r="D5312" s="1" t="n">
        <v>279666.3</v>
      </c>
      <c r="E5312" s="1" t="n">
        <v>0.0098</v>
      </c>
      <c r="F5312" s="1" t="n">
        <v>0.1471</v>
      </c>
    </row>
    <row r="5313" customFormat="false" ht="15" hidden="false" customHeight="false" outlineLevel="0" collapsed="false">
      <c r="A5313" s="1" t="s">
        <v>5348</v>
      </c>
      <c r="B5313" s="1" t="s">
        <v>35</v>
      </c>
      <c r="C5313" s="1" t="n">
        <v>469000</v>
      </c>
      <c r="D5313" s="1" t="n">
        <v>123348.5</v>
      </c>
      <c r="E5313" s="1" t="n">
        <v>0.0221</v>
      </c>
      <c r="F5313" s="1" t="n">
        <v>0.1067</v>
      </c>
    </row>
    <row r="5314" customFormat="false" ht="15" hidden="false" customHeight="false" outlineLevel="0" collapsed="false">
      <c r="A5314" s="1" t="s">
        <v>5349</v>
      </c>
      <c r="B5314" s="1" t="s">
        <v>26</v>
      </c>
      <c r="C5314" s="1" t="n">
        <v>543000</v>
      </c>
      <c r="D5314" s="1" t="n">
        <v>273152.3</v>
      </c>
      <c r="E5314" s="1" t="n">
        <v>0.0336</v>
      </c>
      <c r="F5314" s="1" t="n">
        <v>0.0951</v>
      </c>
    </row>
    <row r="5315" customFormat="false" ht="15" hidden="false" customHeight="false" outlineLevel="0" collapsed="false">
      <c r="A5315" s="1" t="s">
        <v>5350</v>
      </c>
      <c r="B5315" s="1" t="s">
        <v>92</v>
      </c>
      <c r="C5315" s="1" t="n">
        <v>470000</v>
      </c>
      <c r="D5315" s="1" t="n">
        <v>39679.3</v>
      </c>
      <c r="E5315" s="1" t="n">
        <v>0.0505</v>
      </c>
      <c r="F5315" s="1" t="n">
        <v>0.0409</v>
      </c>
    </row>
    <row r="5316" customFormat="false" ht="15" hidden="false" customHeight="false" outlineLevel="0" collapsed="false">
      <c r="A5316" s="1" t="s">
        <v>5351</v>
      </c>
      <c r="B5316" s="1" t="s">
        <v>24</v>
      </c>
      <c r="C5316" s="1" t="n">
        <v>672000</v>
      </c>
      <c r="D5316" s="1" t="n">
        <v>15289.2</v>
      </c>
      <c r="E5316" s="1" t="n">
        <v>0.0219</v>
      </c>
      <c r="F5316" s="1" t="n">
        <v>0.0854</v>
      </c>
    </row>
    <row r="5317" customFormat="false" ht="15" hidden="false" customHeight="false" outlineLevel="0" collapsed="false">
      <c r="A5317" s="1" t="s">
        <v>5352</v>
      </c>
      <c r="B5317" s="1" t="s">
        <v>32</v>
      </c>
      <c r="C5317" s="1" t="n">
        <v>489000</v>
      </c>
      <c r="D5317" s="1" t="n">
        <v>48202.9</v>
      </c>
      <c r="E5317" s="1" t="n">
        <v>0.0283</v>
      </c>
      <c r="F5317" s="1" t="n">
        <v>0.0951</v>
      </c>
    </row>
    <row r="5318" customFormat="false" ht="15" hidden="false" customHeight="false" outlineLevel="0" collapsed="false">
      <c r="A5318" s="1" t="s">
        <v>5353</v>
      </c>
      <c r="B5318" s="1" t="s">
        <v>30</v>
      </c>
      <c r="C5318" s="1" t="n">
        <v>502000</v>
      </c>
      <c r="D5318" s="1" t="n">
        <v>1968.9</v>
      </c>
      <c r="E5318" s="1" t="n">
        <v>0.0537</v>
      </c>
      <c r="F5318" s="1" t="n">
        <v>0.0938</v>
      </c>
    </row>
    <row r="5319" customFormat="false" ht="15" hidden="false" customHeight="false" outlineLevel="0" collapsed="false">
      <c r="A5319" s="1" t="s">
        <v>5354</v>
      </c>
      <c r="B5319" s="1" t="s">
        <v>50</v>
      </c>
      <c r="C5319" s="1" t="n">
        <v>481000</v>
      </c>
      <c r="D5319" s="1" t="n">
        <v>74990.1</v>
      </c>
      <c r="E5319" s="1" t="n">
        <v>0.0263</v>
      </c>
      <c r="F5319" s="1" t="n">
        <v>0.0585</v>
      </c>
    </row>
    <row r="5320" customFormat="false" ht="15" hidden="false" customHeight="false" outlineLevel="0" collapsed="false">
      <c r="A5320" s="1" t="s">
        <v>5355</v>
      </c>
      <c r="B5320" s="1" t="s">
        <v>26</v>
      </c>
      <c r="C5320" s="1" t="n">
        <v>810000</v>
      </c>
      <c r="D5320" s="1" t="n">
        <v>600464.5</v>
      </c>
      <c r="E5320" s="1" t="n">
        <v>0.0256</v>
      </c>
      <c r="F5320" s="1" t="n">
        <v>0.0409</v>
      </c>
    </row>
    <row r="5321" customFormat="false" ht="15" hidden="false" customHeight="false" outlineLevel="0" collapsed="false">
      <c r="A5321" s="1" t="s">
        <v>5356</v>
      </c>
      <c r="B5321" s="1" t="s">
        <v>24</v>
      </c>
      <c r="C5321" s="1" t="n">
        <v>1020000</v>
      </c>
      <c r="D5321" s="1" t="n">
        <v>690.5</v>
      </c>
      <c r="E5321" s="1" t="n">
        <v>0.0399</v>
      </c>
      <c r="F5321" s="1" t="n">
        <v>0.1226</v>
      </c>
    </row>
    <row r="5322" customFormat="false" ht="15" hidden="false" customHeight="false" outlineLevel="0" collapsed="false">
      <c r="A5322" s="1" t="s">
        <v>5357</v>
      </c>
      <c r="B5322" s="1" t="s">
        <v>24</v>
      </c>
      <c r="C5322" s="1" t="n">
        <v>556000</v>
      </c>
      <c r="D5322" s="1" t="n">
        <v>32958.1</v>
      </c>
      <c r="E5322" s="1" t="n">
        <v>0.0258</v>
      </c>
      <c r="F5322" s="1" t="n">
        <v>0.0951</v>
      </c>
    </row>
    <row r="5323" customFormat="false" ht="15" hidden="false" customHeight="false" outlineLevel="0" collapsed="false">
      <c r="A5323" s="1" t="s">
        <v>5358</v>
      </c>
      <c r="B5323" s="1" t="s">
        <v>88</v>
      </c>
      <c r="C5323" s="1" t="n">
        <v>725000</v>
      </c>
      <c r="D5323" s="1" t="n">
        <v>11959.2</v>
      </c>
      <c r="E5323" s="1" t="n">
        <v>0.0617</v>
      </c>
      <c r="F5323" s="1" t="n">
        <v>0.0759</v>
      </c>
    </row>
    <row r="5324" customFormat="false" ht="15" hidden="false" customHeight="false" outlineLevel="0" collapsed="false">
      <c r="A5324" s="1" t="s">
        <v>5359</v>
      </c>
      <c r="B5324" s="1" t="s">
        <v>26</v>
      </c>
      <c r="C5324" s="1" t="n">
        <v>783000</v>
      </c>
      <c r="D5324" s="1" t="n">
        <v>1042106.8</v>
      </c>
      <c r="E5324" s="1" t="n">
        <v>0.0159</v>
      </c>
      <c r="F5324" s="1" t="n">
        <v>0.0462</v>
      </c>
    </row>
    <row r="5325" customFormat="false" ht="15" hidden="false" customHeight="false" outlineLevel="0" collapsed="false">
      <c r="A5325" s="1" t="s">
        <v>5360</v>
      </c>
      <c r="B5325" s="1" t="s">
        <v>74</v>
      </c>
      <c r="C5325" s="1" t="n">
        <v>567000</v>
      </c>
      <c r="D5325" s="1" t="n">
        <v>99234.2</v>
      </c>
      <c r="E5325" s="1" t="n">
        <v>0.0217</v>
      </c>
      <c r="F5325" s="1" t="n">
        <v>0.0951</v>
      </c>
    </row>
    <row r="5326" customFormat="false" ht="15" hidden="false" customHeight="false" outlineLevel="0" collapsed="false">
      <c r="A5326" s="1" t="s">
        <v>5361</v>
      </c>
      <c r="B5326" s="1" t="s">
        <v>26</v>
      </c>
      <c r="C5326" s="1" t="n">
        <v>545000</v>
      </c>
      <c r="D5326" s="1" t="n">
        <v>22355.2</v>
      </c>
      <c r="E5326" s="1" t="n">
        <v>0.0095</v>
      </c>
      <c r="F5326" s="1" t="n">
        <v>0.1886</v>
      </c>
    </row>
    <row r="5327" customFormat="false" ht="15" hidden="false" customHeight="false" outlineLevel="0" collapsed="false">
      <c r="A5327" s="1" t="s">
        <v>5362</v>
      </c>
      <c r="B5327" s="1" t="s">
        <v>26</v>
      </c>
      <c r="C5327" s="1" t="n">
        <v>582000</v>
      </c>
      <c r="D5327" s="1" t="n">
        <v>2777.3</v>
      </c>
      <c r="E5327" s="1" t="n">
        <v>0.0158</v>
      </c>
      <c r="F5327" s="1" t="n">
        <v>0.0647</v>
      </c>
    </row>
    <row r="5328" customFormat="false" ht="15" hidden="false" customHeight="false" outlineLevel="0" collapsed="false">
      <c r="A5328" s="1" t="s">
        <v>5363</v>
      </c>
      <c r="B5328" s="1" t="s">
        <v>92</v>
      </c>
      <c r="C5328" s="1" t="n">
        <v>494000</v>
      </c>
      <c r="D5328" s="1" t="n">
        <v>5424.8</v>
      </c>
      <c r="E5328" s="1" t="n">
        <v>0.0272</v>
      </c>
      <c r="F5328" s="1" t="n">
        <v>0.0759</v>
      </c>
    </row>
    <row r="5329" customFormat="false" ht="15" hidden="false" customHeight="false" outlineLevel="0" collapsed="false">
      <c r="A5329" s="1" t="s">
        <v>5364</v>
      </c>
      <c r="B5329" s="1" t="s">
        <v>24</v>
      </c>
      <c r="C5329" s="1" t="n">
        <v>489000</v>
      </c>
      <c r="D5329" s="1" t="n">
        <v>2343.2</v>
      </c>
      <c r="E5329" s="1" t="n">
        <v>0.0473</v>
      </c>
      <c r="F5329" s="1" t="n">
        <v>0.0759</v>
      </c>
    </row>
    <row r="5330" customFormat="false" ht="15" hidden="false" customHeight="false" outlineLevel="0" collapsed="false">
      <c r="A5330" s="1" t="s">
        <v>5365</v>
      </c>
      <c r="B5330" s="1" t="s">
        <v>74</v>
      </c>
      <c r="C5330" s="1" t="n">
        <v>435000</v>
      </c>
      <c r="D5330" s="1" t="n">
        <v>2018.4</v>
      </c>
      <c r="E5330" s="1" t="n">
        <v>0.0423</v>
      </c>
      <c r="F5330" s="1" t="n">
        <v>0.0759</v>
      </c>
    </row>
    <row r="5331" customFormat="false" ht="15" hidden="false" customHeight="false" outlineLevel="0" collapsed="false">
      <c r="A5331" s="1" t="s">
        <v>5366</v>
      </c>
      <c r="B5331" s="1" t="s">
        <v>92</v>
      </c>
      <c r="C5331" s="1" t="n">
        <v>595000</v>
      </c>
      <c r="D5331" s="1" t="n">
        <v>22176.7</v>
      </c>
      <c r="E5331" s="1" t="n">
        <v>0.0216</v>
      </c>
      <c r="F5331" s="1" t="n">
        <v>0.0759</v>
      </c>
    </row>
    <row r="5332" customFormat="false" ht="15" hidden="false" customHeight="false" outlineLevel="0" collapsed="false">
      <c r="A5332" s="1" t="s">
        <v>5367</v>
      </c>
      <c r="B5332" s="1" t="s">
        <v>53</v>
      </c>
      <c r="C5332" s="1" t="n">
        <v>520000</v>
      </c>
      <c r="D5332" s="1" t="n">
        <v>39892.9</v>
      </c>
      <c r="E5332" s="1" t="n">
        <v>0.0238</v>
      </c>
      <c r="F5332" s="1" t="n">
        <v>0.1387</v>
      </c>
    </row>
    <row r="5333" customFormat="false" ht="15" hidden="false" customHeight="false" outlineLevel="0" collapsed="false">
      <c r="A5333" s="1" t="s">
        <v>5368</v>
      </c>
      <c r="B5333" s="1" t="s">
        <v>195</v>
      </c>
      <c r="C5333" s="1" t="n">
        <v>509000</v>
      </c>
      <c r="D5333" s="1" t="n">
        <v>972.3</v>
      </c>
      <c r="E5333" s="1" t="n">
        <v>0.0118</v>
      </c>
      <c r="F5333" s="1" t="n">
        <v>0.1068</v>
      </c>
    </row>
    <row r="5334" customFormat="false" ht="15" hidden="false" customHeight="false" outlineLevel="0" collapsed="false">
      <c r="A5334" s="1" t="s">
        <v>5369</v>
      </c>
      <c r="B5334" s="1" t="s">
        <v>26</v>
      </c>
      <c r="C5334" s="1" t="n">
        <v>422000</v>
      </c>
      <c r="D5334" s="1" t="n">
        <v>8035</v>
      </c>
      <c r="E5334" s="1" t="n">
        <v>0.0181</v>
      </c>
      <c r="F5334" s="1" t="n">
        <v>0.0585</v>
      </c>
    </row>
    <row r="5335" customFormat="false" ht="15" hidden="false" customHeight="false" outlineLevel="0" collapsed="false">
      <c r="A5335" s="1" t="s">
        <v>5370</v>
      </c>
      <c r="B5335" s="1" t="s">
        <v>26</v>
      </c>
      <c r="C5335" s="1" t="n">
        <v>430000</v>
      </c>
      <c r="D5335" s="1" t="n">
        <v>3995.5</v>
      </c>
      <c r="E5335" s="1" t="n">
        <v>0.0205</v>
      </c>
      <c r="F5335" s="1" t="n">
        <v>0.1067</v>
      </c>
    </row>
    <row r="5336" customFormat="false" ht="15" hidden="false" customHeight="false" outlineLevel="0" collapsed="false">
      <c r="A5336" s="1" t="s">
        <v>5371</v>
      </c>
      <c r="B5336" s="1" t="s">
        <v>88</v>
      </c>
      <c r="C5336" s="1" t="n">
        <v>564000</v>
      </c>
      <c r="D5336" s="1" t="n">
        <v>2744.5</v>
      </c>
      <c r="E5336" s="1" t="n">
        <v>0.0632</v>
      </c>
      <c r="F5336" s="1" t="n">
        <v>0.0938</v>
      </c>
    </row>
    <row r="5337" customFormat="false" ht="15" hidden="false" customHeight="false" outlineLevel="0" collapsed="false">
      <c r="A5337" s="1" t="s">
        <v>5372</v>
      </c>
      <c r="B5337" s="1" t="s">
        <v>74</v>
      </c>
      <c r="C5337" s="1" t="n">
        <v>524000</v>
      </c>
      <c r="D5337" s="1" t="n">
        <v>1732.4</v>
      </c>
      <c r="E5337" s="1" t="n">
        <v>0.0429</v>
      </c>
      <c r="F5337" s="1" t="n">
        <v>0.0759</v>
      </c>
    </row>
    <row r="5338" customFormat="false" ht="15" hidden="false" customHeight="false" outlineLevel="0" collapsed="false">
      <c r="A5338" s="1" t="s">
        <v>5373</v>
      </c>
      <c r="B5338" s="1" t="s">
        <v>214</v>
      </c>
      <c r="C5338" s="1" t="n">
        <v>2160000</v>
      </c>
      <c r="D5338" s="1" t="n">
        <v>246357.6</v>
      </c>
      <c r="F5338" s="1" t="n">
        <v>0.0409</v>
      </c>
    </row>
    <row r="5339" customFormat="false" ht="15" hidden="false" customHeight="false" outlineLevel="0" collapsed="false">
      <c r="A5339" s="1" t="s">
        <v>5374</v>
      </c>
      <c r="B5339" s="1" t="s">
        <v>26</v>
      </c>
      <c r="C5339" s="1" t="n">
        <v>135000</v>
      </c>
      <c r="D5339" s="1" t="n">
        <v>14175.9</v>
      </c>
      <c r="E5339" s="1" t="n">
        <v>0.0402</v>
      </c>
      <c r="F5339" s="1" t="n">
        <v>0.0759</v>
      </c>
    </row>
    <row r="5340" customFormat="false" ht="15" hidden="false" customHeight="false" outlineLevel="0" collapsed="false">
      <c r="A5340" s="1" t="s">
        <v>5375</v>
      </c>
      <c r="B5340" s="1" t="s">
        <v>88</v>
      </c>
      <c r="C5340" s="1" t="n">
        <v>556000</v>
      </c>
      <c r="D5340" s="1" t="n">
        <v>8086.5</v>
      </c>
      <c r="E5340" s="1" t="n">
        <v>0.0496</v>
      </c>
      <c r="F5340" s="1" t="n">
        <v>0.0759</v>
      </c>
    </row>
    <row r="5341" customFormat="false" ht="15" hidden="false" customHeight="false" outlineLevel="0" collapsed="false">
      <c r="A5341" s="1" t="s">
        <v>5376</v>
      </c>
      <c r="B5341" s="1" t="s">
        <v>195</v>
      </c>
      <c r="C5341" s="1" t="n">
        <v>771000</v>
      </c>
      <c r="D5341" s="1" t="n">
        <v>4308.8</v>
      </c>
      <c r="E5341" s="1" t="n">
        <v>0.0321</v>
      </c>
      <c r="F5341" s="1" t="n">
        <v>0.0938</v>
      </c>
    </row>
    <row r="5342" customFormat="false" ht="15" hidden="false" customHeight="false" outlineLevel="0" collapsed="false">
      <c r="A5342" s="1" t="s">
        <v>5377</v>
      </c>
      <c r="B5342" s="1" t="s">
        <v>26</v>
      </c>
      <c r="C5342" s="1" t="n">
        <v>486000</v>
      </c>
      <c r="D5342" s="1" t="n">
        <v>32658.8</v>
      </c>
      <c r="E5342" s="1" t="n">
        <v>0.0246</v>
      </c>
      <c r="F5342" s="1" t="n">
        <v>0.1067</v>
      </c>
    </row>
    <row r="5343" customFormat="false" ht="15" hidden="false" customHeight="false" outlineLevel="0" collapsed="false">
      <c r="A5343" s="1" t="s">
        <v>5378</v>
      </c>
      <c r="B5343" s="1" t="s">
        <v>81</v>
      </c>
      <c r="C5343" s="1" t="n">
        <v>535000</v>
      </c>
      <c r="D5343" s="1" t="n">
        <v>1440.5</v>
      </c>
      <c r="E5343" s="1" t="n">
        <v>0.0437</v>
      </c>
      <c r="F5343" s="1" t="n">
        <v>0.0938</v>
      </c>
    </row>
    <row r="5344" customFormat="false" ht="15" hidden="false" customHeight="false" outlineLevel="0" collapsed="false">
      <c r="A5344" s="1" t="s">
        <v>5379</v>
      </c>
      <c r="B5344" s="1" t="s">
        <v>26</v>
      </c>
      <c r="C5344" s="1" t="n">
        <v>656000</v>
      </c>
      <c r="D5344" s="1" t="n">
        <v>48020.9</v>
      </c>
      <c r="E5344" s="1" t="n">
        <v>0.0092</v>
      </c>
      <c r="F5344" s="1" t="n">
        <v>0.0811</v>
      </c>
    </row>
    <row r="5345" customFormat="false" ht="15" hidden="false" customHeight="false" outlineLevel="0" collapsed="false">
      <c r="A5345" s="1" t="s">
        <v>5380</v>
      </c>
      <c r="B5345" s="1" t="s">
        <v>490</v>
      </c>
      <c r="C5345" s="1" t="n">
        <v>472000</v>
      </c>
      <c r="D5345" s="1" t="n">
        <v>1310393.1</v>
      </c>
      <c r="E5345" s="1" t="n">
        <v>0.0338</v>
      </c>
      <c r="F5345" s="1" t="n">
        <v>0.0759</v>
      </c>
    </row>
    <row r="5346" customFormat="false" ht="15" hidden="false" customHeight="false" outlineLevel="0" collapsed="false">
      <c r="A5346" s="1" t="s">
        <v>5381</v>
      </c>
      <c r="B5346" s="1" t="s">
        <v>24</v>
      </c>
      <c r="C5346" s="1" t="n">
        <v>677000</v>
      </c>
      <c r="D5346" s="1" t="n">
        <v>596.4</v>
      </c>
      <c r="E5346" s="1" t="n">
        <v>0.0092</v>
      </c>
      <c r="F5346" s="1" t="n">
        <v>0.1015</v>
      </c>
    </row>
    <row r="5347" customFormat="false" ht="15" hidden="false" customHeight="false" outlineLevel="0" collapsed="false">
      <c r="A5347" s="1" t="s">
        <v>5382</v>
      </c>
      <c r="B5347" s="1" t="s">
        <v>24</v>
      </c>
      <c r="C5347" s="1" t="n">
        <v>542000</v>
      </c>
      <c r="D5347" s="1" t="n">
        <v>284402.4</v>
      </c>
      <c r="E5347" s="1" t="n">
        <v>0.0249</v>
      </c>
      <c r="F5347" s="1" t="n">
        <v>0.0951</v>
      </c>
    </row>
    <row r="5348" customFormat="false" ht="15" hidden="false" customHeight="false" outlineLevel="0" collapsed="false">
      <c r="A5348" s="1" t="s">
        <v>5383</v>
      </c>
      <c r="B5348" s="1" t="s">
        <v>24</v>
      </c>
      <c r="C5348" s="1" t="n">
        <v>508000</v>
      </c>
      <c r="D5348" s="1" t="n">
        <v>296972.5</v>
      </c>
      <c r="E5348" s="1" t="n">
        <v>0.0171</v>
      </c>
      <c r="F5348" s="1" t="n">
        <v>0.0585</v>
      </c>
    </row>
    <row r="5349" customFormat="false" ht="15" hidden="false" customHeight="false" outlineLevel="0" collapsed="false">
      <c r="A5349" s="1" t="s">
        <v>5384</v>
      </c>
      <c r="B5349" s="1" t="s">
        <v>41</v>
      </c>
      <c r="C5349" s="1" t="n">
        <v>462000</v>
      </c>
      <c r="D5349" s="1" t="n">
        <v>2527.1</v>
      </c>
      <c r="E5349" s="1" t="n">
        <v>0.1933</v>
      </c>
      <c r="F5349" s="1" t="n">
        <v>0.4097</v>
      </c>
    </row>
    <row r="5350" customFormat="false" ht="15" hidden="false" customHeight="false" outlineLevel="0" collapsed="false">
      <c r="A5350" s="1" t="s">
        <v>5385</v>
      </c>
      <c r="B5350" s="1" t="s">
        <v>92</v>
      </c>
      <c r="C5350" s="1" t="n">
        <v>665000</v>
      </c>
      <c r="D5350" s="1" t="n">
        <v>198124.5</v>
      </c>
      <c r="E5350" s="1" t="n">
        <v>0.0197</v>
      </c>
      <c r="F5350" s="1" t="n">
        <v>0.0938</v>
      </c>
    </row>
    <row r="5351" customFormat="false" ht="15" hidden="false" customHeight="false" outlineLevel="0" collapsed="false">
      <c r="A5351" s="1" t="s">
        <v>5386</v>
      </c>
      <c r="B5351" s="1" t="s">
        <v>41</v>
      </c>
      <c r="C5351" s="1" t="n">
        <v>596000</v>
      </c>
      <c r="D5351" s="1" t="n">
        <v>25692.1</v>
      </c>
      <c r="E5351" s="1" t="n">
        <v>0.0287</v>
      </c>
      <c r="F5351" s="1" t="n">
        <v>0.0938</v>
      </c>
    </row>
    <row r="5352" customFormat="false" ht="15" hidden="false" customHeight="false" outlineLevel="0" collapsed="false">
      <c r="A5352" s="1" t="s">
        <v>5387</v>
      </c>
      <c r="B5352" s="1" t="s">
        <v>53</v>
      </c>
      <c r="C5352" s="1" t="n">
        <v>873000</v>
      </c>
      <c r="D5352" s="1" t="n">
        <v>134713.4</v>
      </c>
      <c r="E5352" s="1" t="n">
        <v>0.0647</v>
      </c>
      <c r="F5352" s="1" t="n">
        <v>0.0951</v>
      </c>
    </row>
    <row r="5353" customFormat="false" ht="15" hidden="false" customHeight="false" outlineLevel="0" collapsed="false">
      <c r="A5353" s="1" t="s">
        <v>5388</v>
      </c>
      <c r="B5353" s="1" t="s">
        <v>74</v>
      </c>
      <c r="C5353" s="1" t="n">
        <v>1200000</v>
      </c>
      <c r="D5353" s="1" t="n">
        <v>1135711.9</v>
      </c>
      <c r="E5353" s="1" t="n">
        <v>0.0497</v>
      </c>
      <c r="F5353" s="1" t="n">
        <v>0.0759</v>
      </c>
    </row>
    <row r="5354" customFormat="false" ht="15" hidden="false" customHeight="false" outlineLevel="0" collapsed="false">
      <c r="A5354" s="1" t="s">
        <v>5389</v>
      </c>
      <c r="B5354" s="1" t="s">
        <v>26</v>
      </c>
      <c r="C5354" s="1" t="n">
        <v>407000</v>
      </c>
      <c r="D5354" s="1" t="n">
        <v>276.6</v>
      </c>
      <c r="E5354" s="1" t="n">
        <v>0.0492</v>
      </c>
      <c r="F5354" s="1" t="n">
        <v>0.0951</v>
      </c>
    </row>
    <row r="5355" customFormat="false" ht="15" hidden="false" customHeight="false" outlineLevel="0" collapsed="false">
      <c r="A5355" s="1" t="s">
        <v>5390</v>
      </c>
      <c r="B5355" s="1" t="s">
        <v>26</v>
      </c>
      <c r="C5355" s="1" t="n">
        <v>450000</v>
      </c>
      <c r="D5355" s="1" t="n">
        <v>2645.3</v>
      </c>
      <c r="E5355" s="1" t="n">
        <v>0.0157</v>
      </c>
      <c r="F5355" s="1" t="n">
        <v>0.1067</v>
      </c>
    </row>
    <row r="5356" customFormat="false" ht="15" hidden="false" customHeight="false" outlineLevel="0" collapsed="false">
      <c r="A5356" s="1" t="s">
        <v>5391</v>
      </c>
      <c r="B5356" s="1" t="s">
        <v>53</v>
      </c>
      <c r="C5356" s="1" t="n">
        <v>435000</v>
      </c>
      <c r="D5356" s="1" t="n">
        <v>24301.2</v>
      </c>
      <c r="E5356" s="1" t="n">
        <v>0.0675</v>
      </c>
      <c r="F5356" s="1" t="n">
        <v>0.0759</v>
      </c>
    </row>
    <row r="5357" customFormat="false" ht="15" hidden="false" customHeight="false" outlineLevel="0" collapsed="false">
      <c r="A5357" s="1" t="s">
        <v>5392</v>
      </c>
      <c r="B5357" s="1" t="s">
        <v>88</v>
      </c>
      <c r="C5357" s="1" t="n">
        <v>496000</v>
      </c>
      <c r="D5357" s="1" t="n">
        <v>948.5</v>
      </c>
      <c r="E5357" s="1" t="n">
        <v>0.0345</v>
      </c>
      <c r="F5357" s="1" t="n">
        <v>0.0759</v>
      </c>
    </row>
    <row r="5358" customFormat="false" ht="15" hidden="false" customHeight="false" outlineLevel="0" collapsed="false">
      <c r="A5358" s="1" t="s">
        <v>5393</v>
      </c>
      <c r="B5358" s="1" t="s">
        <v>24</v>
      </c>
      <c r="C5358" s="1" t="n">
        <v>655000</v>
      </c>
      <c r="D5358" s="1" t="n">
        <v>349036.5</v>
      </c>
      <c r="E5358" s="1" t="n">
        <v>0.0184</v>
      </c>
      <c r="F5358" s="1" t="n">
        <v>0.0585</v>
      </c>
    </row>
    <row r="5359" customFormat="false" ht="15" hidden="false" customHeight="false" outlineLevel="0" collapsed="false">
      <c r="A5359" s="1" t="s">
        <v>5394</v>
      </c>
      <c r="B5359" s="1" t="s">
        <v>88</v>
      </c>
      <c r="C5359" s="1" t="n">
        <v>570000</v>
      </c>
      <c r="D5359" s="1" t="n">
        <v>3243.4</v>
      </c>
      <c r="E5359" s="1" t="n">
        <v>0.0151</v>
      </c>
      <c r="F5359" s="1" t="n">
        <v>0.052</v>
      </c>
    </row>
    <row r="5360" customFormat="false" ht="15" hidden="false" customHeight="false" outlineLevel="0" collapsed="false">
      <c r="A5360" s="1" t="s">
        <v>5395</v>
      </c>
      <c r="B5360" s="1" t="s">
        <v>32</v>
      </c>
      <c r="C5360" s="1" t="n">
        <v>814000</v>
      </c>
      <c r="D5360" s="1" t="n">
        <v>1048935.3</v>
      </c>
      <c r="E5360" s="1" t="n">
        <v>0.017</v>
      </c>
      <c r="F5360" s="1" t="n">
        <v>0.0585</v>
      </c>
    </row>
    <row r="5361" customFormat="false" ht="15" hidden="false" customHeight="false" outlineLevel="0" collapsed="false">
      <c r="A5361" s="1" t="s">
        <v>5396</v>
      </c>
      <c r="B5361" s="1" t="s">
        <v>24</v>
      </c>
      <c r="C5361" s="1" t="n">
        <v>450000</v>
      </c>
      <c r="D5361" s="1" t="n">
        <v>63407.9</v>
      </c>
      <c r="E5361" s="1" t="n">
        <v>0.0193</v>
      </c>
      <c r="F5361" s="1" t="n">
        <v>0.0462</v>
      </c>
    </row>
    <row r="5362" customFormat="false" ht="15" hidden="false" customHeight="false" outlineLevel="0" collapsed="false">
      <c r="A5362" s="1" t="s">
        <v>5397</v>
      </c>
      <c r="B5362" s="1" t="s">
        <v>41</v>
      </c>
      <c r="C5362" s="1" t="n">
        <v>479000</v>
      </c>
      <c r="D5362" s="1" t="n">
        <v>280.4</v>
      </c>
      <c r="E5362" s="1" t="n">
        <v>0.0264</v>
      </c>
      <c r="F5362" s="1" t="n">
        <v>0.4203</v>
      </c>
    </row>
    <row r="5363" customFormat="false" ht="15" hidden="false" customHeight="false" outlineLevel="0" collapsed="false">
      <c r="A5363" s="1" t="s">
        <v>5398</v>
      </c>
      <c r="B5363" s="1" t="s">
        <v>62</v>
      </c>
      <c r="C5363" s="1" t="n">
        <v>730000</v>
      </c>
      <c r="D5363" s="1" t="n">
        <v>221290.5</v>
      </c>
      <c r="E5363" s="1" t="n">
        <v>0.0299</v>
      </c>
      <c r="F5363" s="1" t="n">
        <v>0.0518</v>
      </c>
    </row>
    <row r="5364" customFormat="false" ht="15" hidden="false" customHeight="false" outlineLevel="0" collapsed="false">
      <c r="A5364" s="1" t="s">
        <v>5399</v>
      </c>
      <c r="B5364" s="1" t="s">
        <v>24</v>
      </c>
      <c r="C5364" s="1" t="n">
        <v>1000000</v>
      </c>
      <c r="D5364" s="1" t="n">
        <v>8982.9</v>
      </c>
      <c r="E5364" s="1" t="n">
        <v>0.0201</v>
      </c>
      <c r="F5364" s="1" t="n">
        <v>0.0938</v>
      </c>
    </row>
    <row r="5365" customFormat="false" ht="15" hidden="false" customHeight="false" outlineLevel="0" collapsed="false">
      <c r="A5365" s="1" t="s">
        <v>5400</v>
      </c>
      <c r="B5365" s="1" t="s">
        <v>26</v>
      </c>
      <c r="C5365" s="1" t="n">
        <v>433000</v>
      </c>
      <c r="D5365" s="1" t="n">
        <v>1145.9</v>
      </c>
      <c r="E5365" s="1" t="n">
        <v>0.0112</v>
      </c>
      <c r="F5365" s="1" t="n">
        <v>0.1471</v>
      </c>
    </row>
    <row r="5366" customFormat="false" ht="15" hidden="false" customHeight="false" outlineLevel="0" collapsed="false">
      <c r="A5366" s="1" t="s">
        <v>5401</v>
      </c>
      <c r="B5366" s="1" t="s">
        <v>92</v>
      </c>
      <c r="C5366" s="1" t="n">
        <v>1090000</v>
      </c>
      <c r="D5366" s="1" t="n">
        <v>515329.6</v>
      </c>
      <c r="E5366" s="1" t="n">
        <v>0.0542</v>
      </c>
      <c r="F5366" s="1" t="n">
        <v>0.0409</v>
      </c>
    </row>
    <row r="5367" customFormat="false" ht="15" hidden="false" customHeight="false" outlineLevel="0" collapsed="false">
      <c r="A5367" s="1" t="s">
        <v>5402</v>
      </c>
      <c r="B5367" s="1" t="s">
        <v>92</v>
      </c>
      <c r="C5367" s="1" t="n">
        <v>429000</v>
      </c>
      <c r="D5367" s="1" t="n">
        <v>10951.4</v>
      </c>
      <c r="E5367" s="1" t="n">
        <v>0.0609</v>
      </c>
      <c r="F5367" s="1" t="n">
        <v>0.0652</v>
      </c>
    </row>
    <row r="5368" customFormat="false" ht="15" hidden="false" customHeight="false" outlineLevel="0" collapsed="false">
      <c r="A5368" s="1" t="s">
        <v>5403</v>
      </c>
      <c r="B5368" s="1" t="s">
        <v>81</v>
      </c>
      <c r="C5368" s="1" t="n">
        <v>466000</v>
      </c>
      <c r="D5368" s="1" t="n">
        <v>3786.2</v>
      </c>
      <c r="E5368" s="1" t="n">
        <v>0.0354</v>
      </c>
      <c r="F5368" s="1" t="n">
        <v>0.0938</v>
      </c>
    </row>
    <row r="5369" customFormat="false" ht="15" hidden="false" customHeight="false" outlineLevel="0" collapsed="false">
      <c r="A5369" s="1" t="s">
        <v>5404</v>
      </c>
      <c r="B5369" s="1" t="s">
        <v>26</v>
      </c>
      <c r="C5369" s="1" t="n">
        <v>445000</v>
      </c>
      <c r="D5369" s="1" t="n">
        <v>5806.2</v>
      </c>
      <c r="E5369" s="1" t="n">
        <v>0.0196</v>
      </c>
      <c r="F5369" s="1" t="n">
        <v>0.1053</v>
      </c>
    </row>
    <row r="5370" customFormat="false" ht="15" hidden="false" customHeight="false" outlineLevel="0" collapsed="false">
      <c r="A5370" s="1" t="s">
        <v>5405</v>
      </c>
      <c r="B5370" s="1" t="s">
        <v>287</v>
      </c>
      <c r="C5370" s="1" t="n">
        <v>518000</v>
      </c>
      <c r="D5370" s="1" t="n">
        <v>128103.7</v>
      </c>
      <c r="E5370" s="1" t="n">
        <v>0.0182</v>
      </c>
      <c r="F5370" s="1" t="n">
        <v>0.0462</v>
      </c>
    </row>
    <row r="5371" customFormat="false" ht="15" hidden="false" customHeight="false" outlineLevel="0" collapsed="false">
      <c r="A5371" s="1" t="s">
        <v>5406</v>
      </c>
      <c r="B5371" s="1" t="s">
        <v>26</v>
      </c>
      <c r="C5371" s="1" t="n">
        <v>598000</v>
      </c>
      <c r="D5371" s="1" t="n">
        <v>20472.9</v>
      </c>
      <c r="E5371" s="1" t="n">
        <v>0.0233</v>
      </c>
      <c r="F5371" s="1" t="n">
        <v>0.0759</v>
      </c>
    </row>
    <row r="5372" customFormat="false" ht="15" hidden="false" customHeight="false" outlineLevel="0" collapsed="false">
      <c r="A5372" s="1" t="s">
        <v>5407</v>
      </c>
      <c r="B5372" s="1" t="s">
        <v>88</v>
      </c>
      <c r="C5372" s="1" t="n">
        <v>772000</v>
      </c>
      <c r="D5372" s="1" t="n">
        <v>2081.6</v>
      </c>
      <c r="E5372" s="1" t="n">
        <v>0.2322</v>
      </c>
      <c r="F5372" s="1" t="n">
        <v>0.0938</v>
      </c>
    </row>
    <row r="5373" customFormat="false" ht="15" hidden="false" customHeight="false" outlineLevel="0" collapsed="false">
      <c r="A5373" s="1" t="s">
        <v>5408</v>
      </c>
      <c r="B5373" s="1" t="s">
        <v>26</v>
      </c>
      <c r="C5373" s="1" t="n">
        <v>417000</v>
      </c>
      <c r="D5373" s="1" t="n">
        <v>27209.9</v>
      </c>
      <c r="E5373" s="1" t="n">
        <v>0.0492</v>
      </c>
      <c r="F5373" s="1" t="n">
        <v>0.0518</v>
      </c>
    </row>
    <row r="5374" customFormat="false" ht="15" hidden="false" customHeight="false" outlineLevel="0" collapsed="false">
      <c r="A5374" s="1" t="s">
        <v>5409</v>
      </c>
      <c r="B5374" s="1" t="s">
        <v>88</v>
      </c>
      <c r="C5374" s="1" t="n">
        <v>472000</v>
      </c>
      <c r="D5374" s="1" t="n">
        <v>14363.7</v>
      </c>
      <c r="E5374" s="1" t="n">
        <v>0.0091</v>
      </c>
      <c r="F5374" s="1" t="n">
        <v>0.1187</v>
      </c>
    </row>
    <row r="5375" customFormat="false" ht="15" hidden="false" customHeight="false" outlineLevel="0" collapsed="false">
      <c r="A5375" s="1" t="s">
        <v>5410</v>
      </c>
      <c r="B5375" s="1" t="s">
        <v>92</v>
      </c>
      <c r="C5375" s="1" t="n">
        <v>446000</v>
      </c>
      <c r="D5375" s="1" t="n">
        <v>5439.8</v>
      </c>
      <c r="E5375" s="1" t="n">
        <v>0.0228</v>
      </c>
      <c r="F5375" s="1" t="n">
        <v>0.0951</v>
      </c>
    </row>
    <row r="5376" customFormat="false" ht="15" hidden="false" customHeight="false" outlineLevel="0" collapsed="false">
      <c r="A5376" s="1" t="s">
        <v>5411</v>
      </c>
      <c r="B5376" s="1" t="s">
        <v>88</v>
      </c>
      <c r="C5376" s="1" t="n">
        <v>424000</v>
      </c>
      <c r="D5376" s="1" t="n">
        <v>6477.4</v>
      </c>
      <c r="E5376" s="1" t="n">
        <v>0.0224</v>
      </c>
      <c r="F5376" s="1" t="n">
        <v>0.1169</v>
      </c>
    </row>
    <row r="5377" customFormat="false" ht="15" hidden="false" customHeight="false" outlineLevel="0" collapsed="false">
      <c r="A5377" s="1" t="s">
        <v>5412</v>
      </c>
      <c r="B5377" s="1" t="s">
        <v>26</v>
      </c>
      <c r="C5377" s="1" t="n">
        <v>532000</v>
      </c>
      <c r="D5377" s="1" t="n">
        <v>36091.3</v>
      </c>
      <c r="E5377" s="1" t="n">
        <v>0.0522</v>
      </c>
      <c r="F5377" s="1" t="n">
        <v>0.0951</v>
      </c>
    </row>
    <row r="5378" customFormat="false" ht="15" hidden="false" customHeight="false" outlineLevel="0" collapsed="false">
      <c r="A5378" s="1" t="s">
        <v>5413</v>
      </c>
      <c r="B5378" s="1" t="s">
        <v>26</v>
      </c>
      <c r="C5378" s="1" t="n">
        <v>411000</v>
      </c>
      <c r="D5378" s="1" t="n">
        <v>6843.6</v>
      </c>
      <c r="E5378" s="1" t="n">
        <v>0.0076</v>
      </c>
      <c r="F5378" s="1" t="n">
        <v>0.0822</v>
      </c>
    </row>
    <row r="5379" customFormat="false" ht="15" hidden="false" customHeight="false" outlineLevel="0" collapsed="false">
      <c r="A5379" s="1" t="s">
        <v>5414</v>
      </c>
      <c r="B5379" s="1" t="s">
        <v>92</v>
      </c>
      <c r="C5379" s="1" t="n">
        <v>558000</v>
      </c>
      <c r="D5379" s="1" t="n">
        <v>68411.6</v>
      </c>
      <c r="E5379" s="1" t="n">
        <v>0.0548</v>
      </c>
      <c r="F5379" s="1" t="n">
        <v>0.0951</v>
      </c>
    </row>
    <row r="5380" customFormat="false" ht="15" hidden="false" customHeight="false" outlineLevel="0" collapsed="false">
      <c r="A5380" s="1" t="s">
        <v>5415</v>
      </c>
      <c r="B5380" s="1" t="s">
        <v>88</v>
      </c>
      <c r="C5380" s="1" t="n">
        <v>639000</v>
      </c>
      <c r="D5380" s="1" t="n">
        <v>284.3</v>
      </c>
      <c r="E5380" s="1" t="n">
        <v>0.0191</v>
      </c>
      <c r="F5380" s="1" t="n">
        <v>0.1053</v>
      </c>
    </row>
    <row r="5381" customFormat="false" ht="15" hidden="false" customHeight="false" outlineLevel="0" collapsed="false">
      <c r="A5381" s="1" t="s">
        <v>5416</v>
      </c>
      <c r="B5381" s="1" t="s">
        <v>26</v>
      </c>
      <c r="C5381" s="1" t="n">
        <v>550000</v>
      </c>
      <c r="D5381" s="1" t="n">
        <v>7360.4</v>
      </c>
      <c r="E5381" s="1" t="n">
        <v>0.054</v>
      </c>
      <c r="F5381" s="1" t="n">
        <v>0.0759</v>
      </c>
    </row>
    <row r="5382" customFormat="false" ht="15" hidden="false" customHeight="false" outlineLevel="0" collapsed="false">
      <c r="A5382" s="1" t="s">
        <v>5417</v>
      </c>
      <c r="B5382" s="1" t="s">
        <v>62</v>
      </c>
      <c r="C5382" s="1" t="n">
        <v>1320000</v>
      </c>
      <c r="D5382" s="1" t="n">
        <v>63199.3</v>
      </c>
      <c r="E5382" s="1" t="n">
        <v>0.0358</v>
      </c>
      <c r="F5382" s="1" t="n">
        <v>0.0938</v>
      </c>
    </row>
    <row r="5383" customFormat="false" ht="15" hidden="false" customHeight="false" outlineLevel="0" collapsed="false">
      <c r="A5383" s="1" t="s">
        <v>5418</v>
      </c>
      <c r="B5383" s="1" t="s">
        <v>74</v>
      </c>
      <c r="C5383" s="1" t="n">
        <v>476000</v>
      </c>
      <c r="D5383" s="1" t="n">
        <v>3407.3</v>
      </c>
      <c r="E5383" s="1" t="n">
        <v>0.0803</v>
      </c>
      <c r="F5383" s="1" t="n">
        <v>0.095</v>
      </c>
    </row>
    <row r="5384" customFormat="false" ht="15" hidden="false" customHeight="false" outlineLevel="0" collapsed="false">
      <c r="A5384" s="1" t="s">
        <v>5419</v>
      </c>
      <c r="B5384" s="1" t="s">
        <v>71</v>
      </c>
      <c r="C5384" s="1" t="n">
        <v>466000</v>
      </c>
      <c r="D5384" s="1" t="n">
        <v>42548.3</v>
      </c>
      <c r="E5384" s="1" t="n">
        <v>0.0371</v>
      </c>
      <c r="F5384" s="1" t="n">
        <v>0.0409</v>
      </c>
    </row>
    <row r="5385" customFormat="false" ht="15" hidden="false" customHeight="false" outlineLevel="0" collapsed="false">
      <c r="A5385" s="1" t="s">
        <v>5420</v>
      </c>
      <c r="B5385" s="1" t="s">
        <v>41</v>
      </c>
      <c r="C5385" s="1" t="n">
        <v>440000</v>
      </c>
      <c r="D5385" s="1" t="n">
        <v>491.5</v>
      </c>
      <c r="E5385" s="1" t="n">
        <v>0.027</v>
      </c>
      <c r="F5385" s="1" t="n">
        <v>0.0409</v>
      </c>
    </row>
    <row r="5386" customFormat="false" ht="15" hidden="false" customHeight="false" outlineLevel="0" collapsed="false">
      <c r="A5386" s="1" t="s">
        <v>5421</v>
      </c>
      <c r="B5386" s="1" t="s">
        <v>26</v>
      </c>
      <c r="C5386" s="1" t="n">
        <v>1520000</v>
      </c>
      <c r="D5386" s="1" t="n">
        <v>26102.4</v>
      </c>
      <c r="F5386" s="1" t="n">
        <v>0.0409</v>
      </c>
    </row>
    <row r="5387" customFormat="false" ht="15" hidden="false" customHeight="false" outlineLevel="0" collapsed="false">
      <c r="A5387" s="1" t="s">
        <v>5422</v>
      </c>
      <c r="B5387" s="1" t="s">
        <v>74</v>
      </c>
      <c r="C5387" s="1" t="n">
        <v>409000</v>
      </c>
      <c r="D5387" s="1" t="n">
        <v>4248.9</v>
      </c>
      <c r="E5387" s="1" t="n">
        <v>0.0722</v>
      </c>
      <c r="F5387" s="1" t="n">
        <v>0.0951</v>
      </c>
    </row>
    <row r="5388" customFormat="false" ht="15" hidden="false" customHeight="false" outlineLevel="0" collapsed="false">
      <c r="A5388" s="1" t="s">
        <v>5423</v>
      </c>
      <c r="B5388" s="1" t="s">
        <v>26</v>
      </c>
      <c r="C5388" s="1" t="n">
        <v>517000</v>
      </c>
      <c r="D5388" s="1" t="n">
        <v>304698.2</v>
      </c>
      <c r="E5388" s="1" t="n">
        <v>0.0598</v>
      </c>
      <c r="F5388" s="1" t="n">
        <v>0.0759</v>
      </c>
    </row>
    <row r="5389" customFormat="false" ht="15" hidden="false" customHeight="false" outlineLevel="0" collapsed="false">
      <c r="A5389" s="1" t="s">
        <v>5424</v>
      </c>
      <c r="B5389" s="1" t="s">
        <v>24</v>
      </c>
      <c r="C5389" s="1" t="n">
        <v>482000</v>
      </c>
      <c r="D5389" s="1" t="n">
        <v>761782.8</v>
      </c>
      <c r="E5389" s="1" t="n">
        <v>0.0217</v>
      </c>
      <c r="F5389" s="1" t="n">
        <v>0.1067</v>
      </c>
    </row>
    <row r="5390" customFormat="false" ht="15" hidden="false" customHeight="false" outlineLevel="0" collapsed="false">
      <c r="A5390" s="1" t="s">
        <v>5425</v>
      </c>
      <c r="B5390" s="1" t="s">
        <v>26</v>
      </c>
      <c r="C5390" s="1" t="n">
        <v>933000</v>
      </c>
      <c r="D5390" s="1" t="n">
        <v>15222.6</v>
      </c>
      <c r="E5390" s="1" t="n">
        <v>0.0444</v>
      </c>
      <c r="F5390" s="1" t="n">
        <v>0.0759</v>
      </c>
    </row>
    <row r="5391" customFormat="false" ht="15" hidden="false" customHeight="false" outlineLevel="0" collapsed="false">
      <c r="A5391" s="1" t="s">
        <v>5426</v>
      </c>
      <c r="B5391" s="1" t="s">
        <v>41</v>
      </c>
      <c r="C5391" s="1" t="n">
        <v>465000</v>
      </c>
      <c r="D5391" s="1" t="n">
        <v>4471.4</v>
      </c>
      <c r="E5391" s="1" t="n">
        <v>0.0404</v>
      </c>
      <c r="F5391" s="1" t="n">
        <v>0.0951</v>
      </c>
    </row>
    <row r="5392" customFormat="false" ht="15" hidden="false" customHeight="false" outlineLevel="0" collapsed="false">
      <c r="A5392" s="1" t="s">
        <v>5427</v>
      </c>
      <c r="B5392" s="1" t="s">
        <v>26</v>
      </c>
      <c r="C5392" s="1" t="n">
        <v>431000</v>
      </c>
      <c r="D5392" s="1" t="n">
        <v>69705.7</v>
      </c>
      <c r="E5392" s="1" t="n">
        <v>0.0513</v>
      </c>
      <c r="F5392" s="1" t="n">
        <v>0.0951</v>
      </c>
    </row>
    <row r="5393" customFormat="false" ht="15" hidden="false" customHeight="false" outlineLevel="0" collapsed="false">
      <c r="A5393" s="1" t="s">
        <v>5428</v>
      </c>
      <c r="B5393" s="1" t="s">
        <v>74</v>
      </c>
      <c r="C5393" s="1" t="n">
        <v>925000</v>
      </c>
      <c r="D5393" s="1" t="n">
        <v>4617.9</v>
      </c>
      <c r="E5393" s="1" t="n">
        <v>0.0318</v>
      </c>
      <c r="F5393" s="1" t="n">
        <v>0.0938</v>
      </c>
    </row>
    <row r="5394" customFormat="false" ht="15" hidden="false" customHeight="false" outlineLevel="0" collapsed="false">
      <c r="A5394" s="1" t="s">
        <v>5429</v>
      </c>
      <c r="B5394" s="1" t="s">
        <v>74</v>
      </c>
      <c r="C5394" s="1" t="n">
        <v>527000</v>
      </c>
      <c r="D5394" s="1" t="n">
        <v>165805.2</v>
      </c>
      <c r="E5394" s="1" t="n">
        <v>0.0687</v>
      </c>
      <c r="F5394" s="1" t="n">
        <v>0.0951</v>
      </c>
    </row>
    <row r="5395" customFormat="false" ht="15" hidden="false" customHeight="false" outlineLevel="0" collapsed="false">
      <c r="A5395" s="1" t="s">
        <v>5430</v>
      </c>
      <c r="B5395" s="1" t="s">
        <v>26</v>
      </c>
      <c r="C5395" s="1" t="n">
        <v>468000</v>
      </c>
      <c r="D5395" s="1" t="n">
        <v>8152.5</v>
      </c>
      <c r="E5395" s="1" t="n">
        <v>0.0347</v>
      </c>
      <c r="F5395" s="1" t="n">
        <v>0.0938</v>
      </c>
    </row>
    <row r="5396" customFormat="false" ht="15" hidden="false" customHeight="false" outlineLevel="0" collapsed="false">
      <c r="A5396" s="1" t="s">
        <v>5431</v>
      </c>
      <c r="B5396" s="1" t="s">
        <v>26</v>
      </c>
      <c r="C5396" s="1" t="n">
        <v>676000</v>
      </c>
      <c r="D5396" s="1" t="n">
        <v>1854.4</v>
      </c>
      <c r="E5396" s="1" t="n">
        <v>0.1012</v>
      </c>
      <c r="F5396" s="1" t="n">
        <v>0.0759</v>
      </c>
    </row>
    <row r="5397" customFormat="false" ht="15" hidden="false" customHeight="false" outlineLevel="0" collapsed="false">
      <c r="A5397" s="1" t="s">
        <v>5432</v>
      </c>
      <c r="B5397" s="1" t="s">
        <v>24</v>
      </c>
      <c r="C5397" s="1" t="n">
        <v>443000</v>
      </c>
      <c r="D5397" s="1" t="n">
        <v>36521.8</v>
      </c>
      <c r="E5397" s="1" t="n">
        <v>0.0302</v>
      </c>
      <c r="F5397" s="1" t="n">
        <v>0.0845</v>
      </c>
    </row>
    <row r="5398" customFormat="false" ht="15" hidden="false" customHeight="false" outlineLevel="0" collapsed="false">
      <c r="A5398" s="1" t="s">
        <v>5433</v>
      </c>
      <c r="B5398" s="1" t="s">
        <v>92</v>
      </c>
      <c r="C5398" s="1" t="n">
        <v>499000</v>
      </c>
      <c r="D5398" s="1" t="n">
        <v>53160.5</v>
      </c>
      <c r="E5398" s="1" t="n">
        <v>0.0251</v>
      </c>
      <c r="F5398" s="1" t="n">
        <v>0.0951</v>
      </c>
    </row>
    <row r="5399" customFormat="false" ht="15" hidden="false" customHeight="false" outlineLevel="0" collapsed="false">
      <c r="A5399" s="1" t="s">
        <v>5434</v>
      </c>
      <c r="B5399" s="1" t="s">
        <v>26</v>
      </c>
      <c r="C5399" s="1" t="n">
        <v>450000</v>
      </c>
      <c r="D5399" s="1" t="n">
        <v>3777.7</v>
      </c>
      <c r="E5399" s="1" t="n">
        <v>0.0646</v>
      </c>
      <c r="F5399" s="1" t="n">
        <v>0.0951</v>
      </c>
    </row>
    <row r="5400" customFormat="false" ht="15" hidden="false" customHeight="false" outlineLevel="0" collapsed="false">
      <c r="A5400" s="1" t="s">
        <v>5435</v>
      </c>
      <c r="B5400" s="1" t="s">
        <v>21</v>
      </c>
      <c r="C5400" s="1" t="n">
        <v>436000</v>
      </c>
      <c r="D5400" s="1" t="n">
        <v>396.4</v>
      </c>
      <c r="E5400" s="1" t="n">
        <v>0.0397</v>
      </c>
      <c r="F5400" s="1" t="n">
        <v>0.0644</v>
      </c>
    </row>
    <row r="5401" customFormat="false" ht="15" hidden="false" customHeight="false" outlineLevel="0" collapsed="false">
      <c r="A5401" s="1" t="s">
        <v>5436</v>
      </c>
      <c r="B5401" s="1" t="s">
        <v>26</v>
      </c>
      <c r="C5401" s="1" t="n">
        <v>604000</v>
      </c>
      <c r="D5401" s="1" t="n">
        <v>16832.1</v>
      </c>
      <c r="E5401" s="1" t="n">
        <v>0.0083</v>
      </c>
      <c r="F5401" s="1" t="n">
        <v>0.1471</v>
      </c>
    </row>
    <row r="5402" customFormat="false" ht="15" hidden="false" customHeight="false" outlineLevel="0" collapsed="false">
      <c r="A5402" s="1" t="s">
        <v>5437</v>
      </c>
      <c r="B5402" s="1" t="s">
        <v>26</v>
      </c>
      <c r="C5402" s="1" t="n">
        <v>1380000</v>
      </c>
      <c r="D5402" s="1" t="n">
        <v>380411</v>
      </c>
      <c r="E5402" s="1" t="n">
        <v>0.0423</v>
      </c>
      <c r="F5402" s="1" t="n">
        <v>0.0409</v>
      </c>
    </row>
    <row r="5403" customFormat="false" ht="15" hidden="false" customHeight="false" outlineLevel="0" collapsed="false">
      <c r="A5403" s="1" t="s">
        <v>5438</v>
      </c>
      <c r="B5403" s="1" t="s">
        <v>21</v>
      </c>
      <c r="C5403" s="1" t="n">
        <v>540000</v>
      </c>
      <c r="D5403" s="1" t="n">
        <v>27336.8</v>
      </c>
      <c r="E5403" s="1" t="n">
        <v>0.0161</v>
      </c>
      <c r="F5403" s="1" t="n">
        <v>0.3391</v>
      </c>
    </row>
    <row r="5404" customFormat="false" ht="15" hidden="false" customHeight="false" outlineLevel="0" collapsed="false">
      <c r="A5404" s="1" t="s">
        <v>5439</v>
      </c>
      <c r="B5404" s="1" t="s">
        <v>26</v>
      </c>
      <c r="C5404" s="1" t="n">
        <v>426000</v>
      </c>
      <c r="D5404" s="1" t="n">
        <v>2733.9</v>
      </c>
      <c r="E5404" s="1" t="n">
        <v>0.0743</v>
      </c>
      <c r="F5404" s="1" t="n">
        <v>0.0951</v>
      </c>
    </row>
    <row r="5405" customFormat="false" ht="15" hidden="false" customHeight="false" outlineLevel="0" collapsed="false">
      <c r="A5405" s="1" t="s">
        <v>5440</v>
      </c>
      <c r="B5405" s="1" t="s">
        <v>287</v>
      </c>
      <c r="C5405" s="1" t="n">
        <v>470000</v>
      </c>
      <c r="D5405" s="1" t="n">
        <v>18510.2</v>
      </c>
      <c r="E5405" s="1" t="n">
        <v>0.0323</v>
      </c>
      <c r="F5405" s="1" t="n">
        <v>0.0951</v>
      </c>
    </row>
    <row r="5406" customFormat="false" ht="15" hidden="false" customHeight="false" outlineLevel="0" collapsed="false">
      <c r="A5406" s="1" t="s">
        <v>5441</v>
      </c>
      <c r="B5406" s="1" t="s">
        <v>26</v>
      </c>
      <c r="C5406" s="1" t="n">
        <v>470000</v>
      </c>
      <c r="D5406" s="1" t="n">
        <v>3417.6</v>
      </c>
      <c r="F5406" s="1" t="n">
        <v>0.0938</v>
      </c>
    </row>
    <row r="5407" customFormat="false" ht="15" hidden="false" customHeight="false" outlineLevel="0" collapsed="false">
      <c r="A5407" s="1" t="s">
        <v>5442</v>
      </c>
      <c r="B5407" s="1" t="s">
        <v>26</v>
      </c>
      <c r="C5407" s="1" t="n">
        <v>430000</v>
      </c>
      <c r="D5407" s="1" t="n">
        <v>5072.4</v>
      </c>
      <c r="E5407" s="1" t="n">
        <v>0.134</v>
      </c>
      <c r="F5407" s="1" t="n">
        <v>0.0938</v>
      </c>
    </row>
    <row r="5408" customFormat="false" ht="15" hidden="false" customHeight="false" outlineLevel="0" collapsed="false">
      <c r="A5408" s="1" t="s">
        <v>5443</v>
      </c>
      <c r="B5408" s="1" t="s">
        <v>35</v>
      </c>
      <c r="C5408" s="1" t="n">
        <v>536000</v>
      </c>
      <c r="D5408" s="1" t="n">
        <v>320618.5</v>
      </c>
      <c r="E5408" s="1" t="n">
        <v>0.0324</v>
      </c>
      <c r="F5408" s="1" t="n">
        <v>0.0951</v>
      </c>
    </row>
    <row r="5409" customFormat="false" ht="15" hidden="false" customHeight="false" outlineLevel="0" collapsed="false">
      <c r="A5409" s="1" t="s">
        <v>5444</v>
      </c>
      <c r="B5409" s="1" t="s">
        <v>26</v>
      </c>
      <c r="C5409" s="1" t="n">
        <v>482000</v>
      </c>
      <c r="D5409" s="1" t="n">
        <v>52285.8</v>
      </c>
      <c r="E5409" s="1" t="n">
        <v>0.0285</v>
      </c>
      <c r="F5409" s="1" t="n">
        <v>0.0432</v>
      </c>
    </row>
    <row r="5410" customFormat="false" ht="15" hidden="false" customHeight="false" outlineLevel="0" collapsed="false">
      <c r="A5410" s="1" t="s">
        <v>5445</v>
      </c>
      <c r="B5410" s="1" t="s">
        <v>32</v>
      </c>
      <c r="C5410" s="1" t="n">
        <v>538000</v>
      </c>
      <c r="D5410" s="1" t="n">
        <v>1069.8</v>
      </c>
      <c r="E5410" s="1" t="n">
        <v>0.014</v>
      </c>
      <c r="F5410" s="1" t="n">
        <v>0.2294</v>
      </c>
    </row>
    <row r="5411" customFormat="false" ht="15" hidden="false" customHeight="false" outlineLevel="0" collapsed="false">
      <c r="A5411" s="1" t="s">
        <v>5446</v>
      </c>
      <c r="B5411" s="1" t="s">
        <v>41</v>
      </c>
      <c r="C5411" s="1" t="n">
        <v>429000</v>
      </c>
      <c r="D5411" s="1" t="n">
        <v>773.6</v>
      </c>
      <c r="E5411" s="1" t="n">
        <v>0.1022</v>
      </c>
      <c r="F5411" s="1" t="n">
        <v>0.0938</v>
      </c>
    </row>
    <row r="5412" customFormat="false" ht="15" hidden="false" customHeight="false" outlineLevel="0" collapsed="false">
      <c r="A5412" s="1" t="s">
        <v>5447</v>
      </c>
      <c r="B5412" s="1" t="s">
        <v>92</v>
      </c>
      <c r="C5412" s="1" t="n">
        <v>457000</v>
      </c>
      <c r="D5412" s="1" t="n">
        <v>2248.4</v>
      </c>
      <c r="E5412" s="1" t="n">
        <v>0.0059</v>
      </c>
      <c r="F5412" s="1" t="n">
        <v>0.0811</v>
      </c>
    </row>
    <row r="5413" customFormat="false" ht="15" hidden="false" customHeight="false" outlineLevel="0" collapsed="false">
      <c r="A5413" s="1" t="s">
        <v>5448</v>
      </c>
      <c r="B5413" s="1" t="s">
        <v>88</v>
      </c>
      <c r="C5413" s="1" t="n">
        <v>522000</v>
      </c>
      <c r="D5413" s="1" t="n">
        <v>9938.7</v>
      </c>
      <c r="E5413" s="1" t="n">
        <v>0.0292</v>
      </c>
      <c r="F5413" s="1" t="n">
        <v>0.0759</v>
      </c>
    </row>
    <row r="5414" customFormat="false" ht="15" hidden="false" customHeight="false" outlineLevel="0" collapsed="false">
      <c r="A5414" s="1" t="s">
        <v>5449</v>
      </c>
      <c r="B5414" s="1" t="s">
        <v>32</v>
      </c>
      <c r="C5414" s="1" t="n">
        <v>749000</v>
      </c>
      <c r="D5414" s="1" t="n">
        <v>9392.6</v>
      </c>
      <c r="E5414" s="1" t="n">
        <v>0.0146</v>
      </c>
      <c r="F5414" s="1" t="n">
        <v>0.1027</v>
      </c>
    </row>
    <row r="5415" customFormat="false" ht="15" hidden="false" customHeight="false" outlineLevel="0" collapsed="false">
      <c r="A5415" s="1" t="s">
        <v>5450</v>
      </c>
      <c r="B5415" s="1" t="s">
        <v>88</v>
      </c>
      <c r="C5415" s="1" t="n">
        <v>631000</v>
      </c>
      <c r="D5415" s="1" t="n">
        <v>5583.4</v>
      </c>
      <c r="E5415" s="1" t="n">
        <v>0.0552</v>
      </c>
      <c r="F5415" s="1" t="n">
        <v>0.0759</v>
      </c>
    </row>
    <row r="5416" customFormat="false" ht="15" hidden="false" customHeight="false" outlineLevel="0" collapsed="false">
      <c r="A5416" s="1" t="s">
        <v>5451</v>
      </c>
      <c r="B5416" s="1" t="s">
        <v>24</v>
      </c>
      <c r="C5416" s="1" t="n">
        <v>608000</v>
      </c>
      <c r="D5416" s="1" t="n">
        <v>5981.6</v>
      </c>
      <c r="E5416" s="1" t="n">
        <v>0.0596</v>
      </c>
      <c r="F5416" s="1" t="n">
        <v>0.1241</v>
      </c>
    </row>
    <row r="5417" customFormat="false" ht="15" hidden="false" customHeight="false" outlineLevel="0" collapsed="false">
      <c r="A5417" s="1" t="s">
        <v>5452</v>
      </c>
      <c r="B5417" s="1" t="s">
        <v>287</v>
      </c>
      <c r="C5417" s="1" t="n">
        <v>558000</v>
      </c>
      <c r="D5417" s="1" t="n">
        <v>259209.9</v>
      </c>
      <c r="E5417" s="1" t="n">
        <v>0.0406</v>
      </c>
      <c r="F5417" s="1" t="n">
        <v>0.0951</v>
      </c>
    </row>
    <row r="5418" customFormat="false" ht="15" hidden="false" customHeight="false" outlineLevel="0" collapsed="false">
      <c r="A5418" s="1" t="s">
        <v>5453</v>
      </c>
      <c r="B5418" s="1" t="s">
        <v>24</v>
      </c>
      <c r="C5418" s="1" t="n">
        <v>433000</v>
      </c>
      <c r="D5418" s="1" t="n">
        <v>2286.6</v>
      </c>
      <c r="E5418" s="1" t="n">
        <v>0.0669</v>
      </c>
      <c r="F5418" s="1" t="n">
        <v>0.0759</v>
      </c>
    </row>
    <row r="5419" customFormat="false" ht="15" hidden="false" customHeight="false" outlineLevel="0" collapsed="false">
      <c r="A5419" s="1" t="s">
        <v>5454</v>
      </c>
      <c r="B5419" s="1" t="s">
        <v>24</v>
      </c>
      <c r="C5419" s="1" t="n">
        <v>425000</v>
      </c>
      <c r="D5419" s="1" t="n">
        <v>1507.5</v>
      </c>
      <c r="E5419" s="1" t="n">
        <v>0.0191</v>
      </c>
      <c r="F5419" s="1" t="n">
        <v>0.0585</v>
      </c>
    </row>
    <row r="5420" customFormat="false" ht="15" hidden="false" customHeight="false" outlineLevel="0" collapsed="false">
      <c r="A5420" s="1" t="s">
        <v>5455</v>
      </c>
      <c r="B5420" s="1" t="s">
        <v>26</v>
      </c>
      <c r="C5420" s="1" t="n">
        <v>474000</v>
      </c>
      <c r="D5420" s="1" t="n">
        <v>177023.6</v>
      </c>
      <c r="E5420" s="1" t="n">
        <v>0.0224</v>
      </c>
      <c r="F5420" s="1" t="n">
        <v>0.0518</v>
      </c>
    </row>
    <row r="5421" customFormat="false" ht="15" hidden="false" customHeight="false" outlineLevel="0" collapsed="false">
      <c r="A5421" s="1" t="s">
        <v>5456</v>
      </c>
      <c r="B5421" s="1" t="s">
        <v>81</v>
      </c>
      <c r="C5421" s="1" t="n">
        <v>468000</v>
      </c>
      <c r="D5421" s="1" t="n">
        <v>87261.4</v>
      </c>
      <c r="E5421" s="1" t="n">
        <v>0.057</v>
      </c>
      <c r="F5421" s="1" t="n">
        <v>0.0652</v>
      </c>
    </row>
    <row r="5422" customFormat="false" ht="15" hidden="false" customHeight="false" outlineLevel="0" collapsed="false">
      <c r="A5422" s="1" t="s">
        <v>5457</v>
      </c>
      <c r="B5422" s="1" t="s">
        <v>32</v>
      </c>
      <c r="C5422" s="1" t="n">
        <v>549000</v>
      </c>
      <c r="D5422" s="1" t="n">
        <v>5398.8</v>
      </c>
      <c r="E5422" s="1" t="n">
        <v>0.0275</v>
      </c>
      <c r="F5422" s="1" t="n">
        <v>0.0759</v>
      </c>
    </row>
    <row r="5423" customFormat="false" ht="15" hidden="false" customHeight="false" outlineLevel="0" collapsed="false">
      <c r="A5423" s="1" t="s">
        <v>5458</v>
      </c>
      <c r="B5423" s="1" t="s">
        <v>41</v>
      </c>
      <c r="C5423" s="1" t="n">
        <v>407000</v>
      </c>
      <c r="D5423" s="1" t="n">
        <v>1356</v>
      </c>
      <c r="E5423" s="1" t="n">
        <v>0.0059</v>
      </c>
      <c r="F5423" s="1" t="n">
        <v>0.1015</v>
      </c>
    </row>
    <row r="5424" customFormat="false" ht="15" hidden="false" customHeight="false" outlineLevel="0" collapsed="false">
      <c r="A5424" s="1" t="s">
        <v>5459</v>
      </c>
      <c r="B5424" s="1" t="s">
        <v>53</v>
      </c>
      <c r="C5424" s="1" t="n">
        <v>510000</v>
      </c>
      <c r="D5424" s="1" t="n">
        <v>24821.4</v>
      </c>
      <c r="E5424" s="1" t="n">
        <v>0.0266</v>
      </c>
      <c r="F5424" s="1" t="n">
        <v>0.0951</v>
      </c>
    </row>
    <row r="5425" customFormat="false" ht="15" hidden="false" customHeight="false" outlineLevel="0" collapsed="false">
      <c r="A5425" s="1" t="s">
        <v>5460</v>
      </c>
      <c r="B5425" s="1" t="s">
        <v>214</v>
      </c>
      <c r="C5425" s="1" t="n">
        <v>498000</v>
      </c>
      <c r="D5425" s="1" t="n">
        <v>15525.9</v>
      </c>
      <c r="E5425" s="1" t="n">
        <v>0.0125</v>
      </c>
      <c r="F5425" s="1" t="n">
        <v>0.0462</v>
      </c>
    </row>
    <row r="5426" customFormat="false" ht="15" hidden="false" customHeight="false" outlineLevel="0" collapsed="false">
      <c r="A5426" s="1" t="s">
        <v>5461</v>
      </c>
      <c r="B5426" s="1" t="s">
        <v>26</v>
      </c>
      <c r="C5426" s="1" t="n">
        <v>545000</v>
      </c>
      <c r="D5426" s="1" t="n">
        <v>104260.1</v>
      </c>
      <c r="E5426" s="1" t="n">
        <v>0.0558</v>
      </c>
      <c r="F5426" s="1" t="n">
        <v>0.0951</v>
      </c>
    </row>
    <row r="5427" customFormat="false" ht="15" hidden="false" customHeight="false" outlineLevel="0" collapsed="false">
      <c r="A5427" s="1" t="s">
        <v>5462</v>
      </c>
      <c r="B5427" s="1" t="s">
        <v>21</v>
      </c>
      <c r="C5427" s="1" t="n">
        <v>2220000</v>
      </c>
      <c r="D5427" s="1" t="n">
        <v>198109.1</v>
      </c>
      <c r="E5427" s="1" t="n">
        <v>0.0168</v>
      </c>
      <c r="F5427" s="1" t="n">
        <v>0.0462</v>
      </c>
    </row>
    <row r="5428" customFormat="false" ht="15" hidden="false" customHeight="false" outlineLevel="0" collapsed="false">
      <c r="A5428" s="1" t="s">
        <v>5463</v>
      </c>
      <c r="B5428" s="1" t="s">
        <v>287</v>
      </c>
      <c r="C5428" s="1" t="n">
        <v>492000</v>
      </c>
      <c r="D5428" s="1" t="n">
        <v>71250.9</v>
      </c>
      <c r="E5428" s="1" t="n">
        <v>0.0487</v>
      </c>
      <c r="F5428" s="1" t="n">
        <v>0.0759</v>
      </c>
    </row>
    <row r="5429" customFormat="false" ht="15" hidden="false" customHeight="false" outlineLevel="0" collapsed="false">
      <c r="A5429" s="1" t="s">
        <v>5464</v>
      </c>
      <c r="B5429" s="1" t="s">
        <v>53</v>
      </c>
      <c r="C5429" s="1" t="n">
        <v>876000</v>
      </c>
      <c r="D5429" s="1" t="n">
        <v>21295</v>
      </c>
      <c r="E5429" s="1" t="n">
        <v>0.0523</v>
      </c>
      <c r="F5429" s="1" t="n">
        <v>0.0759</v>
      </c>
    </row>
    <row r="5430" customFormat="false" ht="15" hidden="false" customHeight="false" outlineLevel="0" collapsed="false">
      <c r="A5430" s="1" t="s">
        <v>5465</v>
      </c>
      <c r="B5430" s="1" t="s">
        <v>26</v>
      </c>
      <c r="C5430" s="1" t="n">
        <v>412000</v>
      </c>
      <c r="D5430" s="1" t="n">
        <v>16397.6</v>
      </c>
      <c r="E5430" s="1" t="n">
        <v>0.0581</v>
      </c>
      <c r="F5430" s="1" t="n">
        <v>0.0951</v>
      </c>
    </row>
    <row r="5431" customFormat="false" ht="15" hidden="false" customHeight="false" outlineLevel="0" collapsed="false">
      <c r="A5431" s="1" t="s">
        <v>5466</v>
      </c>
      <c r="B5431" s="1" t="s">
        <v>74</v>
      </c>
      <c r="C5431" s="1" t="n">
        <v>473000</v>
      </c>
      <c r="D5431" s="1" t="n">
        <v>1851.2</v>
      </c>
      <c r="E5431" s="1" t="n">
        <v>0.051</v>
      </c>
      <c r="F5431" s="1" t="n">
        <v>0.0938</v>
      </c>
    </row>
    <row r="5432" customFormat="false" ht="15" hidden="false" customHeight="false" outlineLevel="0" collapsed="false">
      <c r="A5432" s="1" t="s">
        <v>5467</v>
      </c>
      <c r="B5432" s="1" t="s">
        <v>88</v>
      </c>
      <c r="C5432" s="1" t="n">
        <v>414000</v>
      </c>
      <c r="D5432" s="1" t="n">
        <v>1194</v>
      </c>
      <c r="E5432" s="1" t="n">
        <v>0.0435</v>
      </c>
      <c r="F5432" s="1" t="n">
        <v>0.1518</v>
      </c>
    </row>
    <row r="5433" customFormat="false" ht="15" hidden="false" customHeight="false" outlineLevel="0" collapsed="false">
      <c r="A5433" s="1" t="s">
        <v>5468</v>
      </c>
      <c r="B5433" s="1" t="s">
        <v>41</v>
      </c>
      <c r="C5433" s="1" t="n">
        <v>474000</v>
      </c>
      <c r="D5433" s="1" t="n">
        <v>31322.8</v>
      </c>
      <c r="E5433" s="1" t="n">
        <v>0.0292</v>
      </c>
      <c r="F5433" s="1" t="n">
        <v>0.0759</v>
      </c>
    </row>
    <row r="5434" customFormat="false" ht="15" hidden="false" customHeight="false" outlineLevel="0" collapsed="false">
      <c r="A5434" s="1" t="s">
        <v>5469</v>
      </c>
      <c r="B5434" s="1" t="s">
        <v>26</v>
      </c>
      <c r="C5434" s="1" t="n">
        <v>717000</v>
      </c>
      <c r="D5434" s="1" t="n">
        <v>602164.8</v>
      </c>
      <c r="E5434" s="1" t="n">
        <v>0.034</v>
      </c>
      <c r="F5434" s="1" t="n">
        <v>0.0409</v>
      </c>
    </row>
    <row r="5435" customFormat="false" ht="15" hidden="false" customHeight="false" outlineLevel="0" collapsed="false">
      <c r="A5435" s="1" t="s">
        <v>5470</v>
      </c>
      <c r="B5435" s="1" t="s">
        <v>81</v>
      </c>
      <c r="C5435" s="1" t="n">
        <v>428000</v>
      </c>
      <c r="D5435" s="1" t="n">
        <v>241676.6</v>
      </c>
      <c r="E5435" s="1" t="n">
        <v>0.022</v>
      </c>
      <c r="F5435" s="1" t="n">
        <v>0.0951</v>
      </c>
    </row>
    <row r="5436" customFormat="false" ht="15" hidden="false" customHeight="false" outlineLevel="0" collapsed="false">
      <c r="A5436" s="1" t="s">
        <v>5471</v>
      </c>
      <c r="B5436" s="1" t="s">
        <v>81</v>
      </c>
      <c r="C5436" s="1" t="n">
        <v>578000</v>
      </c>
      <c r="D5436" s="1" t="n">
        <v>2166.6</v>
      </c>
      <c r="E5436" s="1" t="n">
        <v>0.0723</v>
      </c>
      <c r="F5436" s="1" t="n">
        <v>0.0938</v>
      </c>
    </row>
    <row r="5437" customFormat="false" ht="15" hidden="false" customHeight="false" outlineLevel="0" collapsed="false">
      <c r="A5437" s="1" t="s">
        <v>5472</v>
      </c>
      <c r="B5437" s="1" t="s">
        <v>26</v>
      </c>
      <c r="C5437" s="1" t="n">
        <v>547000</v>
      </c>
      <c r="D5437" s="1" t="n">
        <v>49301.6</v>
      </c>
      <c r="E5437" s="1" t="n">
        <v>0.0202</v>
      </c>
      <c r="F5437" s="1" t="n">
        <v>0.0854</v>
      </c>
    </row>
    <row r="5438" customFormat="false" ht="15" hidden="false" customHeight="false" outlineLevel="0" collapsed="false">
      <c r="A5438" s="1" t="s">
        <v>5473</v>
      </c>
      <c r="B5438" s="1" t="s">
        <v>53</v>
      </c>
      <c r="C5438" s="1" t="n">
        <v>690000</v>
      </c>
      <c r="D5438" s="1" t="n">
        <v>57654.5</v>
      </c>
      <c r="E5438" s="1" t="n">
        <v>0.1093</v>
      </c>
      <c r="F5438" s="1" t="n">
        <v>0.0759</v>
      </c>
    </row>
    <row r="5439" customFormat="false" ht="15" hidden="false" customHeight="false" outlineLevel="0" collapsed="false">
      <c r="A5439" s="1" t="s">
        <v>5474</v>
      </c>
      <c r="B5439" s="1" t="s">
        <v>92</v>
      </c>
      <c r="C5439" s="1" t="n">
        <v>437000</v>
      </c>
      <c r="D5439" s="1" t="n">
        <v>3780.2</v>
      </c>
      <c r="E5439" s="1" t="n">
        <v>0.0412</v>
      </c>
      <c r="F5439" s="1" t="n">
        <v>0.0951</v>
      </c>
    </row>
    <row r="5440" customFormat="false" ht="15" hidden="false" customHeight="false" outlineLevel="0" collapsed="false">
      <c r="A5440" s="1" t="s">
        <v>5475</v>
      </c>
      <c r="B5440" s="1" t="s">
        <v>26</v>
      </c>
      <c r="C5440" s="1" t="n">
        <v>454000</v>
      </c>
      <c r="D5440" s="1" t="n">
        <v>19453.8</v>
      </c>
      <c r="E5440" s="1" t="n">
        <v>0.4729</v>
      </c>
      <c r="F5440" s="1" t="n">
        <v>0.0759</v>
      </c>
    </row>
    <row r="5441" customFormat="false" ht="15" hidden="false" customHeight="false" outlineLevel="0" collapsed="false">
      <c r="A5441" s="1" t="s">
        <v>5476</v>
      </c>
      <c r="B5441" s="1" t="s">
        <v>41</v>
      </c>
      <c r="C5441" s="1" t="n">
        <v>603000</v>
      </c>
      <c r="D5441" s="1" t="n">
        <v>15871.3</v>
      </c>
      <c r="E5441" s="1" t="n">
        <v>0.1294</v>
      </c>
      <c r="F5441" s="1" t="n">
        <v>0.1043</v>
      </c>
    </row>
    <row r="5442" customFormat="false" ht="15" hidden="false" customHeight="false" outlineLevel="0" collapsed="false">
      <c r="A5442" s="1" t="s">
        <v>5477</v>
      </c>
      <c r="B5442" s="1" t="s">
        <v>214</v>
      </c>
      <c r="C5442" s="1" t="n">
        <v>446000</v>
      </c>
      <c r="D5442" s="1" t="n">
        <v>2881.1</v>
      </c>
      <c r="E5442" s="1" t="n">
        <v>0.0154</v>
      </c>
      <c r="F5442" s="1" t="n">
        <v>0.0741</v>
      </c>
    </row>
    <row r="5443" customFormat="false" ht="15" hidden="false" customHeight="false" outlineLevel="0" collapsed="false">
      <c r="A5443" s="1" t="s">
        <v>5478</v>
      </c>
      <c r="B5443" s="1" t="s">
        <v>21</v>
      </c>
      <c r="C5443" s="1" t="n">
        <v>547000</v>
      </c>
      <c r="D5443" s="1" t="n">
        <v>1339.2</v>
      </c>
      <c r="E5443" s="1" t="n">
        <v>0.0116</v>
      </c>
      <c r="F5443" s="1" t="n">
        <v>0.1309</v>
      </c>
    </row>
    <row r="5444" customFormat="false" ht="15" hidden="false" customHeight="false" outlineLevel="0" collapsed="false">
      <c r="A5444" s="1" t="s">
        <v>5479</v>
      </c>
      <c r="B5444" s="1" t="s">
        <v>26</v>
      </c>
      <c r="C5444" s="1" t="n">
        <v>430000</v>
      </c>
      <c r="D5444" s="1" t="n">
        <v>4244.3</v>
      </c>
      <c r="E5444" s="1" t="n">
        <v>0.0254</v>
      </c>
      <c r="F5444" s="1" t="n">
        <v>0.117</v>
      </c>
    </row>
    <row r="5445" customFormat="false" ht="15" hidden="false" customHeight="false" outlineLevel="0" collapsed="false">
      <c r="A5445" s="1" t="s">
        <v>5480</v>
      </c>
      <c r="B5445" s="1" t="s">
        <v>28</v>
      </c>
      <c r="C5445" s="1" t="n">
        <v>540000</v>
      </c>
      <c r="D5445" s="1" t="n">
        <v>5931.4</v>
      </c>
      <c r="E5445" s="1" t="n">
        <v>0.0101</v>
      </c>
      <c r="F5445" s="1" t="n">
        <v>0.0654</v>
      </c>
    </row>
    <row r="5446" customFormat="false" ht="15" hidden="false" customHeight="false" outlineLevel="0" collapsed="false">
      <c r="A5446" s="1" t="s">
        <v>5481</v>
      </c>
      <c r="B5446" s="1" t="s">
        <v>490</v>
      </c>
      <c r="C5446" s="1" t="n">
        <v>496000</v>
      </c>
      <c r="D5446" s="1" t="n">
        <v>1674.4</v>
      </c>
      <c r="E5446" s="1" t="n">
        <v>0.0182</v>
      </c>
      <c r="F5446" s="1" t="n">
        <v>0.0937</v>
      </c>
    </row>
    <row r="5447" customFormat="false" ht="15" hidden="false" customHeight="false" outlineLevel="0" collapsed="false">
      <c r="A5447" s="1" t="s">
        <v>5482</v>
      </c>
      <c r="B5447" s="1" t="s">
        <v>88</v>
      </c>
      <c r="C5447" s="1" t="n">
        <v>490000</v>
      </c>
      <c r="D5447" s="1" t="n">
        <v>8817</v>
      </c>
      <c r="E5447" s="1" t="n">
        <v>0.0558</v>
      </c>
      <c r="F5447" s="1" t="n">
        <v>0.0759</v>
      </c>
    </row>
    <row r="5448" customFormat="false" ht="15" hidden="false" customHeight="false" outlineLevel="0" collapsed="false">
      <c r="A5448" s="1" t="s">
        <v>5483</v>
      </c>
      <c r="B5448" s="1" t="s">
        <v>26</v>
      </c>
      <c r="C5448" s="1" t="n">
        <v>538000</v>
      </c>
      <c r="D5448" s="1" t="n">
        <v>12084</v>
      </c>
      <c r="E5448" s="1" t="n">
        <v>0.0262</v>
      </c>
      <c r="F5448" s="1" t="n">
        <v>0.051</v>
      </c>
    </row>
    <row r="5449" customFormat="false" ht="15" hidden="false" customHeight="false" outlineLevel="0" collapsed="false">
      <c r="A5449" s="1" t="s">
        <v>5484</v>
      </c>
      <c r="B5449" s="1" t="s">
        <v>214</v>
      </c>
      <c r="C5449" s="1" t="n">
        <v>637000</v>
      </c>
      <c r="D5449" s="1" t="n">
        <v>2359.6</v>
      </c>
      <c r="E5449" s="1" t="n">
        <v>0.016</v>
      </c>
      <c r="F5449" s="1" t="n">
        <v>0.169</v>
      </c>
    </row>
    <row r="5450" customFormat="false" ht="15" hidden="false" customHeight="false" outlineLevel="0" collapsed="false">
      <c r="A5450" s="1" t="s">
        <v>5485</v>
      </c>
      <c r="B5450" s="1" t="s">
        <v>214</v>
      </c>
      <c r="C5450" s="1" t="n">
        <v>480000</v>
      </c>
      <c r="D5450" s="1" t="n">
        <v>3155</v>
      </c>
      <c r="F5450" s="1" t="n">
        <v>0.0409</v>
      </c>
    </row>
    <row r="5451" customFormat="false" ht="15" hidden="false" customHeight="false" outlineLevel="0" collapsed="false">
      <c r="A5451" s="1" t="s">
        <v>5486</v>
      </c>
      <c r="B5451" s="1" t="s">
        <v>35</v>
      </c>
      <c r="C5451" s="1" t="n">
        <v>542000</v>
      </c>
      <c r="D5451" s="1" t="n">
        <v>124857.1</v>
      </c>
      <c r="E5451" s="1" t="n">
        <v>0.0252</v>
      </c>
      <c r="F5451" s="1" t="n">
        <v>0.0759</v>
      </c>
    </row>
    <row r="5452" customFormat="false" ht="15" hidden="false" customHeight="false" outlineLevel="0" collapsed="false">
      <c r="A5452" s="1" t="s">
        <v>5487</v>
      </c>
      <c r="B5452" s="1" t="s">
        <v>62</v>
      </c>
      <c r="C5452" s="1" t="n">
        <v>434000</v>
      </c>
      <c r="D5452" s="1" t="n">
        <v>1669.4</v>
      </c>
      <c r="E5452" s="1" t="n">
        <v>0.0268</v>
      </c>
      <c r="F5452" s="1" t="n">
        <v>0.0951</v>
      </c>
    </row>
    <row r="5453" customFormat="false" ht="15" hidden="false" customHeight="false" outlineLevel="0" collapsed="false">
      <c r="A5453" s="1" t="s">
        <v>5488</v>
      </c>
      <c r="B5453" s="1" t="s">
        <v>21</v>
      </c>
      <c r="C5453" s="1" t="n">
        <v>2500000</v>
      </c>
      <c r="D5453" s="1" t="n">
        <v>450884.8</v>
      </c>
      <c r="E5453" s="1" t="n">
        <v>0.0092</v>
      </c>
      <c r="F5453" s="1" t="n">
        <v>0.0654</v>
      </c>
    </row>
    <row r="5454" customFormat="false" ht="15" hidden="false" customHeight="false" outlineLevel="0" collapsed="false">
      <c r="A5454" s="1" t="s">
        <v>5489</v>
      </c>
      <c r="B5454" s="1" t="s">
        <v>41</v>
      </c>
      <c r="C5454" s="1" t="n">
        <v>600000</v>
      </c>
      <c r="D5454" s="1" t="n">
        <v>10736.7</v>
      </c>
      <c r="E5454" s="1" t="n">
        <v>0.1153</v>
      </c>
      <c r="F5454" s="1" t="n">
        <v>0.0938</v>
      </c>
    </row>
    <row r="5455" customFormat="false" ht="15" hidden="false" customHeight="false" outlineLevel="0" collapsed="false">
      <c r="A5455" s="1" t="s">
        <v>5490</v>
      </c>
      <c r="B5455" s="1" t="s">
        <v>62</v>
      </c>
      <c r="C5455" s="1" t="n">
        <v>519000</v>
      </c>
      <c r="D5455" s="1" t="n">
        <v>75112.8</v>
      </c>
      <c r="E5455" s="1" t="n">
        <v>0.0342</v>
      </c>
      <c r="F5455" s="1" t="n">
        <v>0.0759</v>
      </c>
    </row>
    <row r="5456" customFormat="false" ht="15" hidden="false" customHeight="false" outlineLevel="0" collapsed="false">
      <c r="A5456" s="1" t="s">
        <v>5491</v>
      </c>
      <c r="B5456" s="1" t="s">
        <v>50</v>
      </c>
      <c r="C5456" s="1" t="n">
        <v>2000000</v>
      </c>
      <c r="D5456" s="1" t="n">
        <v>71828.8</v>
      </c>
      <c r="E5456" s="1" t="n">
        <v>0.0098</v>
      </c>
      <c r="F5456" s="1" t="n">
        <v>0.0654</v>
      </c>
    </row>
    <row r="5457" customFormat="false" ht="15" hidden="false" customHeight="false" outlineLevel="0" collapsed="false">
      <c r="A5457" s="1" t="s">
        <v>5492</v>
      </c>
      <c r="B5457" s="1" t="s">
        <v>92</v>
      </c>
      <c r="C5457" s="1" t="n">
        <v>1710000</v>
      </c>
      <c r="D5457" s="1" t="n">
        <v>1176945.6</v>
      </c>
      <c r="E5457" s="1" t="n">
        <v>0.037</v>
      </c>
      <c r="F5457" s="1" t="n">
        <v>0.0409</v>
      </c>
    </row>
    <row r="5458" customFormat="false" ht="15" hidden="false" customHeight="false" outlineLevel="0" collapsed="false">
      <c r="A5458" s="1" t="s">
        <v>5493</v>
      </c>
      <c r="B5458" s="1" t="s">
        <v>88</v>
      </c>
      <c r="C5458" s="1" t="n">
        <v>420000</v>
      </c>
      <c r="D5458" s="1" t="n">
        <v>1004.4</v>
      </c>
      <c r="E5458" s="1" t="n">
        <v>0.0591</v>
      </c>
      <c r="F5458" s="1" t="n">
        <v>0.0759</v>
      </c>
    </row>
    <row r="5459" customFormat="false" ht="15" hidden="false" customHeight="false" outlineLevel="0" collapsed="false">
      <c r="A5459" s="1" t="s">
        <v>5494</v>
      </c>
      <c r="B5459" s="1" t="s">
        <v>195</v>
      </c>
      <c r="C5459" s="1" t="n">
        <v>417000</v>
      </c>
      <c r="D5459" s="1" t="n">
        <v>5095.6</v>
      </c>
      <c r="E5459" s="1" t="n">
        <v>0.0069</v>
      </c>
      <c r="F5459" s="1" t="n">
        <v>0.0654</v>
      </c>
    </row>
    <row r="5460" customFormat="false" ht="15" hidden="false" customHeight="false" outlineLevel="0" collapsed="false">
      <c r="A5460" s="1" t="s">
        <v>5495</v>
      </c>
      <c r="B5460" s="1" t="s">
        <v>53</v>
      </c>
      <c r="C5460" s="1" t="n">
        <v>494000</v>
      </c>
      <c r="D5460" s="1" t="n">
        <v>1925.4</v>
      </c>
      <c r="F5460" s="1" t="n">
        <v>0.0759</v>
      </c>
    </row>
    <row r="5461" customFormat="false" ht="15" hidden="false" customHeight="false" outlineLevel="0" collapsed="false">
      <c r="A5461" s="1" t="s">
        <v>5496</v>
      </c>
      <c r="B5461" s="1" t="s">
        <v>28</v>
      </c>
      <c r="C5461" s="1" t="n">
        <v>536000</v>
      </c>
      <c r="D5461" s="1" t="n">
        <v>1149.7</v>
      </c>
      <c r="E5461" s="1" t="n">
        <v>0.0138</v>
      </c>
      <c r="F5461" s="1" t="n">
        <v>0.0821</v>
      </c>
    </row>
    <row r="5462" customFormat="false" ht="15" hidden="false" customHeight="false" outlineLevel="0" collapsed="false">
      <c r="A5462" s="1" t="s">
        <v>5497</v>
      </c>
      <c r="B5462" s="1" t="s">
        <v>26</v>
      </c>
      <c r="C5462" s="1" t="n">
        <v>563000</v>
      </c>
      <c r="D5462" s="1" t="n">
        <v>25880.5</v>
      </c>
      <c r="E5462" s="1" t="n">
        <v>0.0409</v>
      </c>
      <c r="F5462" s="1" t="n">
        <v>0.0759</v>
      </c>
    </row>
    <row r="5463" customFormat="false" ht="15" hidden="false" customHeight="false" outlineLevel="0" collapsed="false">
      <c r="A5463" s="1" t="s">
        <v>5498</v>
      </c>
      <c r="B5463" s="1" t="s">
        <v>214</v>
      </c>
      <c r="C5463" s="1" t="n">
        <v>397000</v>
      </c>
      <c r="D5463" s="1" t="n">
        <v>174.8</v>
      </c>
      <c r="E5463" s="1" t="n">
        <v>0.0271</v>
      </c>
      <c r="F5463" s="1" t="n">
        <v>0.0759</v>
      </c>
    </row>
    <row r="5464" customFormat="false" ht="15" hidden="false" customHeight="false" outlineLevel="0" collapsed="false">
      <c r="A5464" s="1" t="s">
        <v>5499</v>
      </c>
      <c r="B5464" s="1" t="s">
        <v>53</v>
      </c>
      <c r="C5464" s="1" t="n">
        <v>704000</v>
      </c>
      <c r="D5464" s="1" t="n">
        <v>53124.7</v>
      </c>
      <c r="E5464" s="1" t="n">
        <v>0.0411</v>
      </c>
      <c r="F5464" s="1" t="n">
        <v>0.0938</v>
      </c>
    </row>
    <row r="5465" customFormat="false" ht="15" hidden="false" customHeight="false" outlineLevel="0" collapsed="false">
      <c r="A5465" s="1" t="s">
        <v>5500</v>
      </c>
      <c r="B5465" s="1" t="s">
        <v>88</v>
      </c>
      <c r="C5465" s="1" t="n">
        <v>1100000</v>
      </c>
      <c r="D5465" s="1" t="n">
        <v>601.8</v>
      </c>
      <c r="E5465" s="1" t="n">
        <v>0.1023</v>
      </c>
      <c r="F5465" s="1" t="n">
        <v>0.0938</v>
      </c>
    </row>
    <row r="5466" customFormat="false" ht="15" hidden="false" customHeight="false" outlineLevel="0" collapsed="false">
      <c r="A5466" s="1" t="s">
        <v>5501</v>
      </c>
      <c r="B5466" s="1" t="s">
        <v>30</v>
      </c>
      <c r="C5466" s="1" t="n">
        <v>422000</v>
      </c>
      <c r="D5466" s="1" t="n">
        <v>3701</v>
      </c>
      <c r="E5466" s="1" t="n">
        <v>0.04</v>
      </c>
      <c r="F5466" s="1" t="n">
        <v>0.0951</v>
      </c>
    </row>
    <row r="5467" customFormat="false" ht="15" hidden="false" customHeight="false" outlineLevel="0" collapsed="false">
      <c r="A5467" s="1" t="s">
        <v>5502</v>
      </c>
      <c r="B5467" s="1" t="s">
        <v>214</v>
      </c>
      <c r="C5467" s="1" t="n">
        <v>412000</v>
      </c>
      <c r="D5467" s="1" t="n">
        <v>6401.1</v>
      </c>
      <c r="E5467" s="1" t="n">
        <v>0.0351</v>
      </c>
      <c r="F5467" s="1" t="n">
        <v>0.0951</v>
      </c>
    </row>
    <row r="5468" customFormat="false" ht="15" hidden="false" customHeight="false" outlineLevel="0" collapsed="false">
      <c r="A5468" s="1" t="s">
        <v>5503</v>
      </c>
      <c r="B5468" s="1" t="s">
        <v>53</v>
      </c>
      <c r="C5468" s="1" t="n">
        <v>497000</v>
      </c>
      <c r="D5468" s="1" t="n">
        <v>12218.7</v>
      </c>
      <c r="E5468" s="1" t="n">
        <v>0.0406</v>
      </c>
      <c r="F5468" s="1" t="n">
        <v>0.117</v>
      </c>
    </row>
    <row r="5469" customFormat="false" ht="15" hidden="false" customHeight="false" outlineLevel="0" collapsed="false">
      <c r="A5469" s="1" t="s">
        <v>5504</v>
      </c>
      <c r="B5469" s="1" t="s">
        <v>32</v>
      </c>
      <c r="C5469" s="1" t="n">
        <v>430000</v>
      </c>
      <c r="D5469" s="1" t="n">
        <v>775125.1</v>
      </c>
      <c r="E5469" s="1" t="n">
        <v>0.0258</v>
      </c>
      <c r="F5469" s="1" t="n">
        <v>0.0951</v>
      </c>
    </row>
    <row r="5470" customFormat="false" ht="15" hidden="false" customHeight="false" outlineLevel="0" collapsed="false">
      <c r="A5470" s="1" t="s">
        <v>5505</v>
      </c>
      <c r="B5470" s="1" t="s">
        <v>50</v>
      </c>
      <c r="C5470" s="1" t="n">
        <v>337000</v>
      </c>
      <c r="D5470" s="1" t="n">
        <v>28227.1</v>
      </c>
      <c r="E5470" s="1" t="n">
        <v>0.0491</v>
      </c>
      <c r="F5470" s="1" t="n">
        <v>0.0759</v>
      </c>
    </row>
    <row r="5471" customFormat="false" ht="15" hidden="false" customHeight="false" outlineLevel="0" collapsed="false">
      <c r="A5471" s="1" t="s">
        <v>5506</v>
      </c>
      <c r="B5471" s="1" t="s">
        <v>26</v>
      </c>
      <c r="C5471" s="1" t="n">
        <v>596000</v>
      </c>
      <c r="D5471" s="1" t="n">
        <v>4215.5</v>
      </c>
      <c r="E5471" s="1" t="n">
        <v>0.0055</v>
      </c>
      <c r="F5471" s="1" t="n">
        <v>0.0654</v>
      </c>
    </row>
    <row r="5472" customFormat="false" ht="15" hidden="false" customHeight="false" outlineLevel="0" collapsed="false">
      <c r="A5472" s="1" t="s">
        <v>5507</v>
      </c>
      <c r="B5472" s="1" t="s">
        <v>26</v>
      </c>
      <c r="C5472" s="1" t="n">
        <v>420000</v>
      </c>
      <c r="D5472" s="1" t="n">
        <v>7203.5</v>
      </c>
      <c r="E5472" s="1" t="n">
        <v>0.0454</v>
      </c>
      <c r="F5472" s="1" t="n">
        <v>0.0759</v>
      </c>
    </row>
    <row r="5473" customFormat="false" ht="15" hidden="false" customHeight="false" outlineLevel="0" collapsed="false">
      <c r="A5473" s="1" t="s">
        <v>5508</v>
      </c>
      <c r="B5473" s="1" t="s">
        <v>53</v>
      </c>
      <c r="C5473" s="1" t="n">
        <v>459000</v>
      </c>
      <c r="D5473" s="1" t="n">
        <v>11071.3</v>
      </c>
      <c r="E5473" s="1" t="n">
        <v>0.0294</v>
      </c>
      <c r="F5473" s="1" t="n">
        <v>0.0759</v>
      </c>
    </row>
    <row r="5474" customFormat="false" ht="15" hidden="false" customHeight="false" outlineLevel="0" collapsed="false">
      <c r="A5474" s="1" t="s">
        <v>5509</v>
      </c>
      <c r="B5474" s="1" t="s">
        <v>214</v>
      </c>
      <c r="C5474" s="1" t="n">
        <v>420000</v>
      </c>
      <c r="D5474" s="1" t="n">
        <v>1828.8</v>
      </c>
      <c r="E5474" s="1" t="n">
        <v>0.011</v>
      </c>
      <c r="F5474" s="1" t="n">
        <v>0.0822</v>
      </c>
    </row>
    <row r="5475" customFormat="false" ht="15" hidden="false" customHeight="false" outlineLevel="0" collapsed="false">
      <c r="A5475" s="1" t="s">
        <v>5510</v>
      </c>
      <c r="B5475" s="1" t="s">
        <v>41</v>
      </c>
      <c r="C5475" s="1" t="n">
        <v>719000</v>
      </c>
      <c r="D5475" s="1" t="n">
        <v>3187.7</v>
      </c>
      <c r="E5475" s="1" t="n">
        <v>0.0099</v>
      </c>
      <c r="F5475" s="1" t="n">
        <v>0.1866</v>
      </c>
    </row>
    <row r="5476" customFormat="false" ht="15" hidden="false" customHeight="false" outlineLevel="0" collapsed="false">
      <c r="A5476" s="1" t="s">
        <v>5511</v>
      </c>
      <c r="B5476" s="1" t="s">
        <v>26</v>
      </c>
      <c r="C5476" s="1" t="n">
        <v>498000</v>
      </c>
      <c r="D5476" s="1" t="n">
        <v>7981.2</v>
      </c>
      <c r="E5476" s="1" t="n">
        <v>0.0461</v>
      </c>
      <c r="F5476" s="1" t="n">
        <v>0.0951</v>
      </c>
    </row>
    <row r="5477" customFormat="false" ht="15" hidden="false" customHeight="false" outlineLevel="0" collapsed="false">
      <c r="A5477" s="1" t="s">
        <v>5512</v>
      </c>
      <c r="B5477" s="1" t="s">
        <v>92</v>
      </c>
      <c r="C5477" s="1" t="n">
        <v>571000</v>
      </c>
      <c r="D5477" s="1" t="n">
        <v>11451.1</v>
      </c>
      <c r="E5477" s="1" t="n">
        <v>0.0262</v>
      </c>
      <c r="F5477" s="1" t="n">
        <v>0.0938</v>
      </c>
    </row>
    <row r="5478" customFormat="false" ht="15" hidden="false" customHeight="false" outlineLevel="0" collapsed="false">
      <c r="A5478" s="1" t="s">
        <v>5513</v>
      </c>
      <c r="B5478" s="1" t="s">
        <v>26</v>
      </c>
      <c r="C5478" s="1" t="n">
        <v>503000</v>
      </c>
      <c r="D5478" s="1" t="n">
        <v>7527.2</v>
      </c>
      <c r="E5478" s="1" t="n">
        <v>0.0298</v>
      </c>
      <c r="F5478" s="1" t="n">
        <v>0.1387</v>
      </c>
    </row>
    <row r="5479" customFormat="false" ht="15" hidden="false" customHeight="false" outlineLevel="0" collapsed="false">
      <c r="A5479" s="1" t="s">
        <v>5514</v>
      </c>
      <c r="B5479" s="1" t="s">
        <v>26</v>
      </c>
      <c r="C5479" s="1" t="n">
        <v>417000</v>
      </c>
      <c r="D5479" s="1" t="n">
        <v>9741.5</v>
      </c>
      <c r="E5479" s="1" t="n">
        <v>0.0541</v>
      </c>
      <c r="F5479" s="1" t="n">
        <v>0.0759</v>
      </c>
    </row>
    <row r="5480" customFormat="false" ht="15" hidden="false" customHeight="false" outlineLevel="0" collapsed="false">
      <c r="A5480" s="1" t="s">
        <v>5515</v>
      </c>
      <c r="B5480" s="1" t="s">
        <v>26</v>
      </c>
      <c r="C5480" s="1" t="n">
        <v>432000</v>
      </c>
      <c r="D5480" s="1" t="n">
        <v>2127.3</v>
      </c>
      <c r="F5480" s="1" t="n">
        <v>0.0951</v>
      </c>
    </row>
    <row r="5481" customFormat="false" ht="15" hidden="false" customHeight="false" outlineLevel="0" collapsed="false">
      <c r="A5481" s="1" t="s">
        <v>5516</v>
      </c>
      <c r="B5481" s="1" t="s">
        <v>26</v>
      </c>
      <c r="C5481" s="1" t="n">
        <v>128000</v>
      </c>
      <c r="D5481" s="1" t="n">
        <v>1893.8</v>
      </c>
      <c r="E5481" s="1" t="n">
        <v>0.0163</v>
      </c>
      <c r="F5481" s="1" t="n">
        <v>0.0585</v>
      </c>
    </row>
    <row r="5482" customFormat="false" ht="15" hidden="false" customHeight="false" outlineLevel="0" collapsed="false">
      <c r="A5482" s="1" t="s">
        <v>5517</v>
      </c>
      <c r="B5482" s="1" t="s">
        <v>81</v>
      </c>
      <c r="C5482" s="1" t="n">
        <v>489000</v>
      </c>
      <c r="D5482" s="1" t="n">
        <v>15168.2</v>
      </c>
      <c r="E5482" s="1" t="n">
        <v>0.0177</v>
      </c>
      <c r="F5482" s="1" t="n">
        <v>0.0488</v>
      </c>
    </row>
    <row r="5483" customFormat="false" ht="15" hidden="false" customHeight="false" outlineLevel="0" collapsed="false">
      <c r="A5483" s="1" t="s">
        <v>5518</v>
      </c>
      <c r="B5483" s="1" t="s">
        <v>88</v>
      </c>
      <c r="C5483" s="1" t="n">
        <v>453000</v>
      </c>
      <c r="D5483" s="1" t="n">
        <v>921.5</v>
      </c>
      <c r="E5483" s="1" t="n">
        <v>0.0157</v>
      </c>
      <c r="F5483" s="1" t="n">
        <v>0.1067</v>
      </c>
    </row>
    <row r="5484" customFormat="false" ht="15" hidden="false" customHeight="false" outlineLevel="0" collapsed="false">
      <c r="A5484" s="1" t="s">
        <v>5519</v>
      </c>
      <c r="B5484" s="1" t="s">
        <v>195</v>
      </c>
      <c r="C5484" s="1" t="n">
        <v>441000</v>
      </c>
      <c r="D5484" s="1" t="n">
        <v>2629.5</v>
      </c>
      <c r="E5484" s="1" t="n">
        <v>0.038</v>
      </c>
      <c r="F5484" s="1" t="n">
        <v>0.0759</v>
      </c>
    </row>
    <row r="5485" customFormat="false" ht="15" hidden="false" customHeight="false" outlineLevel="0" collapsed="false">
      <c r="A5485" s="1" t="s">
        <v>5520</v>
      </c>
      <c r="B5485" s="1" t="s">
        <v>35</v>
      </c>
      <c r="C5485" s="1" t="n">
        <v>595000</v>
      </c>
      <c r="D5485" s="1" t="n">
        <v>101508.1</v>
      </c>
      <c r="E5485" s="1" t="n">
        <v>0.0271</v>
      </c>
      <c r="F5485" s="1" t="n">
        <v>0.0759</v>
      </c>
    </row>
    <row r="5486" customFormat="false" ht="15" hidden="false" customHeight="false" outlineLevel="0" collapsed="false">
      <c r="A5486" s="1" t="s">
        <v>5521</v>
      </c>
      <c r="B5486" s="1" t="s">
        <v>88</v>
      </c>
      <c r="C5486" s="1" t="n">
        <v>579000</v>
      </c>
      <c r="D5486" s="1" t="n">
        <v>2071.1</v>
      </c>
      <c r="E5486" s="1" t="n">
        <v>0.0237</v>
      </c>
      <c r="F5486" s="1" t="n">
        <v>0.1543</v>
      </c>
    </row>
    <row r="5487" customFormat="false" ht="15" hidden="false" customHeight="false" outlineLevel="0" collapsed="false">
      <c r="A5487" s="1" t="s">
        <v>5522</v>
      </c>
      <c r="B5487" s="1" t="s">
        <v>74</v>
      </c>
      <c r="C5487" s="1" t="n">
        <v>433000</v>
      </c>
      <c r="D5487" s="1" t="n">
        <v>2114.7</v>
      </c>
      <c r="E5487" s="1" t="n">
        <v>0.0511</v>
      </c>
      <c r="F5487" s="1" t="n">
        <v>0.0759</v>
      </c>
    </row>
    <row r="5488" customFormat="false" ht="15" hidden="false" customHeight="false" outlineLevel="0" collapsed="false">
      <c r="A5488" s="1" t="s">
        <v>5523</v>
      </c>
      <c r="B5488" s="1" t="s">
        <v>26</v>
      </c>
      <c r="C5488" s="1" t="n">
        <v>470000</v>
      </c>
      <c r="D5488" s="1" t="n">
        <v>20990.6</v>
      </c>
      <c r="E5488" s="1" t="n">
        <v>0.0565</v>
      </c>
      <c r="F5488" s="1" t="n">
        <v>0.0759</v>
      </c>
    </row>
    <row r="5489" customFormat="false" ht="15" hidden="false" customHeight="false" outlineLevel="0" collapsed="false">
      <c r="A5489" s="1" t="s">
        <v>5524</v>
      </c>
      <c r="B5489" s="1" t="s">
        <v>26</v>
      </c>
      <c r="C5489" s="1" t="n">
        <v>445000</v>
      </c>
      <c r="D5489" s="1" t="n">
        <v>30231</v>
      </c>
      <c r="E5489" s="1" t="n">
        <v>0.0204</v>
      </c>
      <c r="F5489" s="1" t="n">
        <v>0.0409</v>
      </c>
    </row>
    <row r="5490" customFormat="false" ht="15" hidden="false" customHeight="false" outlineLevel="0" collapsed="false">
      <c r="A5490" s="1" t="s">
        <v>5525</v>
      </c>
      <c r="B5490" s="1" t="s">
        <v>50</v>
      </c>
      <c r="C5490" s="1" t="n">
        <v>590000</v>
      </c>
      <c r="D5490" s="1" t="n">
        <v>3687.9</v>
      </c>
      <c r="E5490" s="1" t="n">
        <v>0.0284</v>
      </c>
      <c r="F5490" s="1" t="n">
        <v>0.0938</v>
      </c>
    </row>
    <row r="5491" customFormat="false" ht="15" hidden="false" customHeight="false" outlineLevel="0" collapsed="false">
      <c r="A5491" s="1" t="s">
        <v>5526</v>
      </c>
      <c r="B5491" s="1" t="s">
        <v>32</v>
      </c>
      <c r="C5491" s="1" t="n">
        <v>430000</v>
      </c>
      <c r="D5491" s="1" t="n">
        <v>4262.2</v>
      </c>
      <c r="E5491" s="1" t="n">
        <v>0.0136</v>
      </c>
      <c r="F5491" s="1" t="n">
        <v>0.1067</v>
      </c>
    </row>
    <row r="5492" customFormat="false" ht="15" hidden="false" customHeight="false" outlineLevel="0" collapsed="false">
      <c r="A5492" s="1" t="s">
        <v>5527</v>
      </c>
      <c r="B5492" s="1" t="s">
        <v>41</v>
      </c>
      <c r="C5492" s="1" t="n">
        <v>418000</v>
      </c>
      <c r="D5492" s="1" t="n">
        <v>2538.7</v>
      </c>
      <c r="E5492" s="1" t="n">
        <v>0.0183</v>
      </c>
      <c r="F5492" s="1" t="n">
        <v>0.1053</v>
      </c>
    </row>
    <row r="5493" customFormat="false" ht="15" hidden="false" customHeight="false" outlineLevel="0" collapsed="false">
      <c r="A5493" s="1" t="s">
        <v>5528</v>
      </c>
      <c r="B5493" s="1" t="s">
        <v>26</v>
      </c>
      <c r="C5493" s="1" t="n">
        <v>617000</v>
      </c>
      <c r="D5493" s="1" t="n">
        <v>48040.9</v>
      </c>
      <c r="E5493" s="1" t="n">
        <v>0.0509</v>
      </c>
      <c r="F5493" s="1" t="n">
        <v>0.0759</v>
      </c>
    </row>
    <row r="5494" customFormat="false" ht="15" hidden="false" customHeight="false" outlineLevel="0" collapsed="false">
      <c r="A5494" s="1" t="s">
        <v>5529</v>
      </c>
      <c r="B5494" s="1" t="s">
        <v>41</v>
      </c>
      <c r="C5494" s="1" t="n">
        <v>1040000</v>
      </c>
      <c r="D5494" s="1" t="n">
        <v>75.1</v>
      </c>
      <c r="E5494" s="1" t="n">
        <v>0.0277</v>
      </c>
      <c r="F5494" s="1" t="n">
        <v>0.1688</v>
      </c>
    </row>
    <row r="5495" customFormat="false" ht="15" hidden="false" customHeight="false" outlineLevel="0" collapsed="false">
      <c r="A5495" s="1" t="s">
        <v>5530</v>
      </c>
      <c r="B5495" s="1" t="s">
        <v>92</v>
      </c>
      <c r="C5495" s="1" t="n">
        <v>439000</v>
      </c>
      <c r="D5495" s="1" t="n">
        <v>8079000.4</v>
      </c>
      <c r="E5495" s="1" t="n">
        <v>0.0038</v>
      </c>
      <c r="F5495" s="1" t="n">
        <v>0.0822</v>
      </c>
    </row>
    <row r="5496" customFormat="false" ht="15" hidden="false" customHeight="false" outlineLevel="0" collapsed="false">
      <c r="A5496" s="1" t="s">
        <v>5531</v>
      </c>
      <c r="B5496" s="1" t="s">
        <v>26</v>
      </c>
      <c r="C5496" s="1" t="n">
        <v>544000</v>
      </c>
      <c r="D5496" s="1" t="n">
        <v>82577.8</v>
      </c>
      <c r="E5496" s="1" t="n">
        <v>0.0587</v>
      </c>
      <c r="F5496" s="1" t="n">
        <v>0.0951</v>
      </c>
    </row>
    <row r="5497" customFormat="false" ht="15" hidden="false" customHeight="false" outlineLevel="0" collapsed="false">
      <c r="A5497" s="1" t="s">
        <v>5532</v>
      </c>
      <c r="B5497" s="1" t="s">
        <v>26</v>
      </c>
      <c r="C5497" s="1" t="n">
        <v>424000</v>
      </c>
      <c r="D5497" s="1" t="n">
        <v>96911.3</v>
      </c>
      <c r="E5497" s="1" t="n">
        <v>0.0118</v>
      </c>
      <c r="F5497" s="1" t="n">
        <v>0.0736</v>
      </c>
    </row>
    <row r="5498" customFormat="false" ht="15" hidden="false" customHeight="false" outlineLevel="0" collapsed="false">
      <c r="A5498" s="1" t="s">
        <v>5533</v>
      </c>
      <c r="B5498" s="1" t="s">
        <v>74</v>
      </c>
      <c r="C5498" s="1" t="n">
        <v>416000</v>
      </c>
      <c r="D5498" s="1" t="n">
        <v>289.9</v>
      </c>
      <c r="E5498" s="1" t="n">
        <v>0.0464</v>
      </c>
      <c r="F5498" s="1" t="n">
        <v>0.0759</v>
      </c>
    </row>
    <row r="5499" customFormat="false" ht="15" hidden="false" customHeight="false" outlineLevel="0" collapsed="false">
      <c r="A5499" s="1" t="s">
        <v>5534</v>
      </c>
      <c r="B5499" s="1" t="s">
        <v>88</v>
      </c>
      <c r="C5499" s="1" t="n">
        <v>478000</v>
      </c>
      <c r="D5499" s="1" t="n">
        <v>3670.8</v>
      </c>
      <c r="E5499" s="1" t="n">
        <v>0.0183</v>
      </c>
      <c r="F5499" s="1" t="n">
        <v>0.1053</v>
      </c>
    </row>
    <row r="5500" customFormat="false" ht="15" hidden="false" customHeight="false" outlineLevel="0" collapsed="false">
      <c r="A5500" s="1" t="s">
        <v>5535</v>
      </c>
      <c r="B5500" s="1" t="s">
        <v>287</v>
      </c>
      <c r="C5500" s="1" t="n">
        <v>407000</v>
      </c>
      <c r="D5500" s="1" t="n">
        <v>1434.1</v>
      </c>
      <c r="F5500" s="1" t="n">
        <v>0.0759</v>
      </c>
    </row>
    <row r="5501" customFormat="false" ht="15" hidden="false" customHeight="false" outlineLevel="0" collapsed="false">
      <c r="A5501" s="1" t="s">
        <v>5536</v>
      </c>
      <c r="B5501" s="1" t="s">
        <v>88</v>
      </c>
      <c r="C5501" s="1" t="n">
        <v>498000</v>
      </c>
      <c r="D5501" s="1" t="n">
        <v>4552.1</v>
      </c>
      <c r="E5501" s="1" t="n">
        <v>0.0119</v>
      </c>
      <c r="F5501" s="1" t="n">
        <v>0.0811</v>
      </c>
    </row>
    <row r="5502" customFormat="false" ht="15" hidden="false" customHeight="false" outlineLevel="0" collapsed="false">
      <c r="A5502" s="1" t="s">
        <v>5537</v>
      </c>
      <c r="B5502" s="1" t="s">
        <v>30</v>
      </c>
      <c r="C5502" s="1" t="n">
        <v>477000</v>
      </c>
      <c r="D5502" s="1" t="n">
        <v>117330.2</v>
      </c>
      <c r="F5502" s="1" t="n">
        <v>0.0409</v>
      </c>
    </row>
    <row r="5503" customFormat="false" ht="15" hidden="false" customHeight="false" outlineLevel="0" collapsed="false">
      <c r="A5503" s="1" t="s">
        <v>5538</v>
      </c>
      <c r="B5503" s="1" t="s">
        <v>88</v>
      </c>
      <c r="C5503" s="1" t="n">
        <v>426000</v>
      </c>
      <c r="D5503" s="1" t="n">
        <v>12968.4</v>
      </c>
      <c r="E5503" s="1" t="n">
        <v>0.0149</v>
      </c>
      <c r="F5503" s="1" t="n">
        <v>0.0765</v>
      </c>
    </row>
    <row r="5504" customFormat="false" ht="15" hidden="false" customHeight="false" outlineLevel="0" collapsed="false">
      <c r="A5504" s="1" t="s">
        <v>5539</v>
      </c>
      <c r="B5504" s="1" t="s">
        <v>214</v>
      </c>
      <c r="C5504" s="1" t="n">
        <v>805000</v>
      </c>
      <c r="D5504" s="1" t="n">
        <v>28841.2</v>
      </c>
      <c r="E5504" s="1" t="n">
        <v>0.0237</v>
      </c>
      <c r="F5504" s="1" t="n">
        <v>0.0854</v>
      </c>
    </row>
    <row r="5505" customFormat="false" ht="15" hidden="false" customHeight="false" outlineLevel="0" collapsed="false">
      <c r="A5505" s="1" t="s">
        <v>5540</v>
      </c>
      <c r="B5505" s="1" t="s">
        <v>41</v>
      </c>
      <c r="C5505" s="1" t="n">
        <v>403000</v>
      </c>
      <c r="D5505" s="1" t="n">
        <v>10993.1</v>
      </c>
      <c r="E5505" s="1" t="n">
        <v>0.0341</v>
      </c>
      <c r="F5505" s="1" t="n">
        <v>0.3311</v>
      </c>
    </row>
    <row r="5506" customFormat="false" ht="15" hidden="false" customHeight="false" outlineLevel="0" collapsed="false">
      <c r="A5506" s="1" t="s">
        <v>5541</v>
      </c>
      <c r="B5506" s="1" t="s">
        <v>214</v>
      </c>
      <c r="C5506" s="1" t="n">
        <v>629000</v>
      </c>
      <c r="D5506" s="1" t="n">
        <v>26069.4</v>
      </c>
      <c r="E5506" s="1" t="n">
        <v>0.0289</v>
      </c>
      <c r="F5506" s="1" t="n">
        <v>0.0759</v>
      </c>
    </row>
    <row r="5507" customFormat="false" ht="15" hidden="false" customHeight="false" outlineLevel="0" collapsed="false">
      <c r="A5507" s="1" t="s">
        <v>5542</v>
      </c>
      <c r="B5507" s="1" t="s">
        <v>32</v>
      </c>
      <c r="C5507" s="1" t="n">
        <v>591000</v>
      </c>
      <c r="D5507" s="1" t="n">
        <v>269660.7</v>
      </c>
      <c r="E5507" s="1" t="n">
        <v>0.0117</v>
      </c>
      <c r="F5507" s="1" t="n">
        <v>0.052</v>
      </c>
    </row>
    <row r="5508" customFormat="false" ht="15" hidden="false" customHeight="false" outlineLevel="0" collapsed="false">
      <c r="A5508" s="1" t="s">
        <v>5543</v>
      </c>
      <c r="B5508" s="1" t="s">
        <v>71</v>
      </c>
      <c r="C5508" s="1" t="n">
        <v>426000</v>
      </c>
      <c r="D5508" s="1" t="n">
        <v>2618.8</v>
      </c>
      <c r="E5508" s="1" t="n">
        <v>0.0267</v>
      </c>
      <c r="F5508" s="1" t="n">
        <v>0.0938</v>
      </c>
    </row>
    <row r="5509" customFormat="false" ht="15" hidden="false" customHeight="false" outlineLevel="0" collapsed="false">
      <c r="A5509" s="1" t="s">
        <v>5544</v>
      </c>
      <c r="B5509" s="1" t="s">
        <v>26</v>
      </c>
      <c r="C5509" s="1" t="n">
        <v>392000</v>
      </c>
      <c r="D5509" s="1" t="n">
        <v>287913.3</v>
      </c>
      <c r="E5509" s="1" t="n">
        <v>0.0881</v>
      </c>
      <c r="F5509" s="1" t="n">
        <v>0.0518</v>
      </c>
    </row>
    <row r="5510" customFormat="false" ht="15" hidden="false" customHeight="false" outlineLevel="0" collapsed="false">
      <c r="A5510" s="1" t="s">
        <v>5545</v>
      </c>
      <c r="B5510" s="1" t="s">
        <v>88</v>
      </c>
      <c r="C5510" s="1" t="n">
        <v>402000</v>
      </c>
      <c r="D5510" s="1" t="n">
        <v>1206.9</v>
      </c>
      <c r="E5510" s="1" t="n">
        <v>0.0558</v>
      </c>
      <c r="F5510" s="1" t="n">
        <v>0.117</v>
      </c>
    </row>
    <row r="5511" customFormat="false" ht="15" hidden="false" customHeight="false" outlineLevel="0" collapsed="false">
      <c r="A5511" s="1" t="s">
        <v>5546</v>
      </c>
      <c r="B5511" s="1" t="s">
        <v>50</v>
      </c>
      <c r="C5511" s="1" t="n">
        <v>409000</v>
      </c>
      <c r="D5511" s="1" t="n">
        <v>614.5</v>
      </c>
      <c r="E5511" s="1" t="n">
        <v>0.0158</v>
      </c>
      <c r="F5511" s="1" t="n">
        <v>0.0462</v>
      </c>
    </row>
    <row r="5512" customFormat="false" ht="15" hidden="false" customHeight="false" outlineLevel="0" collapsed="false">
      <c r="A5512" s="1" t="s">
        <v>5547</v>
      </c>
      <c r="B5512" s="1" t="s">
        <v>71</v>
      </c>
      <c r="C5512" s="1" t="n">
        <v>630000</v>
      </c>
      <c r="D5512" s="1" t="n">
        <v>30768.8</v>
      </c>
      <c r="E5512" s="1" t="n">
        <v>0.0285</v>
      </c>
      <c r="F5512" s="1" t="n">
        <v>0.0759</v>
      </c>
    </row>
    <row r="5513" customFormat="false" ht="15" hidden="false" customHeight="false" outlineLevel="0" collapsed="false">
      <c r="A5513" s="1" t="s">
        <v>5548</v>
      </c>
      <c r="B5513" s="1" t="s">
        <v>26</v>
      </c>
      <c r="C5513" s="1" t="n">
        <v>460000</v>
      </c>
      <c r="D5513" s="1" t="n">
        <v>179392.7</v>
      </c>
      <c r="E5513" s="1" t="n">
        <v>0.0219</v>
      </c>
      <c r="F5513" s="1" t="n">
        <v>0.0518</v>
      </c>
    </row>
    <row r="5514" customFormat="false" ht="15" hidden="false" customHeight="false" outlineLevel="0" collapsed="false">
      <c r="A5514" s="1" t="s">
        <v>5549</v>
      </c>
      <c r="B5514" s="1" t="s">
        <v>88</v>
      </c>
      <c r="C5514" s="1" t="n">
        <v>477000</v>
      </c>
      <c r="D5514" s="1" t="n">
        <v>193.1</v>
      </c>
      <c r="E5514" s="1" t="n">
        <v>0.0292</v>
      </c>
      <c r="F5514" s="1" t="n">
        <v>0.0938</v>
      </c>
    </row>
    <row r="5515" customFormat="false" ht="15" hidden="false" customHeight="false" outlineLevel="0" collapsed="false">
      <c r="A5515" s="1" t="s">
        <v>5550</v>
      </c>
      <c r="B5515" s="1" t="s">
        <v>26</v>
      </c>
      <c r="C5515" s="1" t="n">
        <v>514000</v>
      </c>
      <c r="D5515" s="1" t="n">
        <v>1120.1</v>
      </c>
      <c r="E5515" s="1" t="n">
        <v>0.0145</v>
      </c>
      <c r="F5515" s="1" t="n">
        <v>0.0585</v>
      </c>
    </row>
    <row r="5516" customFormat="false" ht="15" hidden="false" customHeight="false" outlineLevel="0" collapsed="false">
      <c r="A5516" s="1" t="s">
        <v>5551</v>
      </c>
      <c r="B5516" s="1" t="s">
        <v>214</v>
      </c>
      <c r="C5516" s="1" t="n">
        <v>416000</v>
      </c>
      <c r="D5516" s="1" t="n">
        <v>4380.1</v>
      </c>
      <c r="E5516" s="1" t="n">
        <v>0.0192</v>
      </c>
      <c r="F5516" s="1" t="n">
        <v>0.1067</v>
      </c>
    </row>
    <row r="5517" customFormat="false" ht="15" hidden="false" customHeight="false" outlineLevel="0" collapsed="false">
      <c r="A5517" s="1" t="s">
        <v>5552</v>
      </c>
      <c r="B5517" s="1" t="s">
        <v>26</v>
      </c>
      <c r="C5517" s="1" t="n">
        <v>504000</v>
      </c>
      <c r="D5517" s="1" t="n">
        <v>420905.8</v>
      </c>
      <c r="E5517" s="1" t="n">
        <v>0.0229</v>
      </c>
      <c r="F5517" s="1" t="n">
        <v>0.0409</v>
      </c>
    </row>
    <row r="5518" customFormat="false" ht="15" hidden="false" customHeight="false" outlineLevel="0" collapsed="false">
      <c r="A5518" s="1" t="s">
        <v>5553</v>
      </c>
      <c r="B5518" s="1" t="s">
        <v>92</v>
      </c>
      <c r="C5518" s="1" t="n">
        <v>503000</v>
      </c>
      <c r="D5518" s="1" t="n">
        <v>1943.4</v>
      </c>
      <c r="E5518" s="1" t="n">
        <v>0.0104</v>
      </c>
      <c r="F5518" s="1" t="n">
        <v>0.0811</v>
      </c>
    </row>
    <row r="5519" customFormat="false" ht="15" hidden="false" customHeight="false" outlineLevel="0" collapsed="false">
      <c r="A5519" s="1" t="s">
        <v>5554</v>
      </c>
      <c r="B5519" s="1" t="s">
        <v>88</v>
      </c>
      <c r="C5519" s="1" t="n">
        <v>556000</v>
      </c>
      <c r="D5519" s="1" t="n">
        <v>5405.1</v>
      </c>
      <c r="E5519" s="1" t="n">
        <v>0.0694</v>
      </c>
      <c r="F5519" s="1" t="n">
        <v>0.0759</v>
      </c>
    </row>
    <row r="5520" customFormat="false" ht="15" hidden="false" customHeight="false" outlineLevel="0" collapsed="false">
      <c r="A5520" s="1" t="s">
        <v>5555</v>
      </c>
      <c r="B5520" s="1" t="s">
        <v>71</v>
      </c>
      <c r="C5520" s="1" t="n">
        <v>436000</v>
      </c>
      <c r="D5520" s="1" t="n">
        <v>6149.8</v>
      </c>
      <c r="E5520" s="1" t="n">
        <v>0.0396</v>
      </c>
      <c r="F5520" s="1" t="n">
        <v>0.0938</v>
      </c>
    </row>
    <row r="5521" customFormat="false" ht="15" hidden="false" customHeight="false" outlineLevel="0" collapsed="false">
      <c r="A5521" s="1" t="s">
        <v>5556</v>
      </c>
      <c r="B5521" s="1" t="s">
        <v>26</v>
      </c>
      <c r="C5521" s="1" t="n">
        <v>435000</v>
      </c>
      <c r="D5521" s="1" t="n">
        <v>5515.4</v>
      </c>
      <c r="E5521" s="1" t="n">
        <v>0.0226</v>
      </c>
      <c r="F5521" s="1" t="n">
        <v>0.1067</v>
      </c>
    </row>
    <row r="5522" customFormat="false" ht="15" hidden="false" customHeight="false" outlineLevel="0" collapsed="false">
      <c r="A5522" s="1" t="s">
        <v>5557</v>
      </c>
      <c r="B5522" s="1" t="s">
        <v>88</v>
      </c>
      <c r="C5522" s="1" t="n">
        <v>403000</v>
      </c>
      <c r="D5522" s="1" t="n">
        <v>1492.8</v>
      </c>
      <c r="E5522" s="1" t="n">
        <v>0.0598</v>
      </c>
      <c r="F5522" s="1" t="n">
        <v>0.0938</v>
      </c>
    </row>
    <row r="5523" customFormat="false" ht="15" hidden="false" customHeight="false" outlineLevel="0" collapsed="false">
      <c r="A5523" s="1" t="s">
        <v>5558</v>
      </c>
      <c r="B5523" s="1" t="s">
        <v>26</v>
      </c>
      <c r="C5523" s="1" t="n">
        <v>408000</v>
      </c>
      <c r="D5523" s="1" t="n">
        <v>60134.5</v>
      </c>
      <c r="F5523" s="1" t="n">
        <v>0.0951</v>
      </c>
    </row>
    <row r="5524" customFormat="false" ht="15" hidden="false" customHeight="false" outlineLevel="0" collapsed="false">
      <c r="A5524" s="1" t="s">
        <v>5559</v>
      </c>
      <c r="B5524" s="1" t="s">
        <v>214</v>
      </c>
      <c r="C5524" s="1" t="n">
        <v>410000</v>
      </c>
      <c r="D5524" s="1" t="n">
        <v>1283.5</v>
      </c>
      <c r="E5524" s="1" t="n">
        <v>0.0329</v>
      </c>
      <c r="F5524" s="1" t="n">
        <v>0.0951</v>
      </c>
    </row>
    <row r="5525" customFormat="false" ht="15" hidden="false" customHeight="false" outlineLevel="0" collapsed="false">
      <c r="A5525" s="1" t="s">
        <v>5560</v>
      </c>
      <c r="B5525" s="1" t="s">
        <v>53</v>
      </c>
      <c r="C5525" s="1" t="n">
        <v>530000</v>
      </c>
      <c r="D5525" s="1" t="n">
        <v>61163.8</v>
      </c>
      <c r="E5525" s="1" t="n">
        <v>0.0424</v>
      </c>
      <c r="F5525" s="1" t="n">
        <v>0.0759</v>
      </c>
    </row>
    <row r="5526" customFormat="false" ht="15" hidden="false" customHeight="false" outlineLevel="0" collapsed="false">
      <c r="A5526" s="1" t="s">
        <v>5561</v>
      </c>
      <c r="B5526" s="1" t="s">
        <v>26</v>
      </c>
      <c r="C5526" s="1" t="n">
        <v>655000</v>
      </c>
      <c r="D5526" s="1" t="n">
        <v>83049.7</v>
      </c>
      <c r="E5526" s="1" t="n">
        <v>0.0185</v>
      </c>
      <c r="F5526" s="1" t="n">
        <v>0.0462</v>
      </c>
    </row>
    <row r="5527" customFormat="false" ht="15" hidden="false" customHeight="false" outlineLevel="0" collapsed="false">
      <c r="A5527" s="1" t="s">
        <v>5562</v>
      </c>
      <c r="B5527" s="1" t="s">
        <v>62</v>
      </c>
      <c r="C5527" s="1" t="n">
        <v>491000</v>
      </c>
      <c r="D5527" s="1" t="n">
        <v>8114.2</v>
      </c>
      <c r="F5527" s="1" t="n">
        <v>0.0409</v>
      </c>
    </row>
    <row r="5528" customFormat="false" ht="15" hidden="false" customHeight="false" outlineLevel="0" collapsed="false">
      <c r="A5528" s="1" t="s">
        <v>5563</v>
      </c>
      <c r="B5528" s="1" t="s">
        <v>92</v>
      </c>
      <c r="C5528" s="1" t="n">
        <v>468000</v>
      </c>
      <c r="D5528" s="1" t="n">
        <v>74653.3</v>
      </c>
      <c r="E5528" s="1" t="n">
        <v>0.0212</v>
      </c>
      <c r="F5528" s="1" t="n">
        <v>0.0462</v>
      </c>
    </row>
    <row r="5529" customFormat="false" ht="15" hidden="false" customHeight="false" outlineLevel="0" collapsed="false">
      <c r="A5529" s="1" t="s">
        <v>5564</v>
      </c>
      <c r="B5529" s="1" t="s">
        <v>41</v>
      </c>
      <c r="C5529" s="1" t="n">
        <v>788000</v>
      </c>
      <c r="D5529" s="1" t="n">
        <v>684.3</v>
      </c>
      <c r="F5529" s="1" t="n">
        <v>0.051</v>
      </c>
    </row>
    <row r="5530" customFormat="false" ht="15" hidden="false" customHeight="false" outlineLevel="0" collapsed="false">
      <c r="A5530" s="1" t="s">
        <v>5565</v>
      </c>
      <c r="B5530" s="1" t="s">
        <v>62</v>
      </c>
      <c r="C5530" s="1" t="n">
        <v>769000</v>
      </c>
      <c r="D5530" s="1" t="n">
        <v>6185.9</v>
      </c>
      <c r="E5530" s="1" t="n">
        <v>0.0321</v>
      </c>
      <c r="F5530" s="1" t="n">
        <v>0.0759</v>
      </c>
    </row>
    <row r="5531" customFormat="false" ht="15" hidden="false" customHeight="false" outlineLevel="0" collapsed="false">
      <c r="A5531" s="1" t="s">
        <v>5566</v>
      </c>
      <c r="B5531" s="1" t="s">
        <v>35</v>
      </c>
      <c r="C5531" s="1" t="n">
        <v>413000</v>
      </c>
      <c r="D5531" s="1" t="n">
        <v>617.8</v>
      </c>
      <c r="E5531" s="1" t="n">
        <v>0.0125</v>
      </c>
      <c r="F5531" s="1" t="n">
        <v>0.0736</v>
      </c>
    </row>
    <row r="5532" customFormat="false" ht="15" hidden="false" customHeight="false" outlineLevel="0" collapsed="false">
      <c r="A5532" s="1" t="s">
        <v>5567</v>
      </c>
      <c r="B5532" s="1" t="s">
        <v>88</v>
      </c>
      <c r="C5532" s="1" t="n">
        <v>923000</v>
      </c>
      <c r="D5532" s="1" t="n">
        <v>4986.3</v>
      </c>
      <c r="E5532" s="1" t="n">
        <v>0.0289</v>
      </c>
      <c r="F5532" s="1" t="n">
        <v>0.0833</v>
      </c>
    </row>
    <row r="5533" customFormat="false" ht="15" hidden="false" customHeight="false" outlineLevel="0" collapsed="false">
      <c r="A5533" s="1" t="s">
        <v>5568</v>
      </c>
      <c r="B5533" s="1" t="s">
        <v>92</v>
      </c>
      <c r="C5533" s="1" t="n">
        <v>520000</v>
      </c>
      <c r="D5533" s="1" t="n">
        <v>121515.6</v>
      </c>
      <c r="E5533" s="1" t="n">
        <v>0.0372</v>
      </c>
      <c r="F5533" s="1" t="n">
        <v>0.0951</v>
      </c>
    </row>
    <row r="5534" customFormat="false" ht="15" hidden="false" customHeight="false" outlineLevel="0" collapsed="false">
      <c r="A5534" s="1" t="s">
        <v>5569</v>
      </c>
      <c r="B5534" s="1" t="s">
        <v>26</v>
      </c>
      <c r="C5534" s="1" t="n">
        <v>740000</v>
      </c>
      <c r="D5534" s="1" t="n">
        <v>61615.6</v>
      </c>
      <c r="E5534" s="1" t="n">
        <v>0.0209</v>
      </c>
      <c r="F5534" s="1" t="n">
        <v>0.0938</v>
      </c>
    </row>
    <row r="5535" customFormat="false" ht="15" hidden="false" customHeight="false" outlineLevel="0" collapsed="false">
      <c r="A5535" s="1" t="s">
        <v>5570</v>
      </c>
      <c r="B5535" s="1" t="s">
        <v>74</v>
      </c>
      <c r="C5535" s="1" t="n">
        <v>451000</v>
      </c>
      <c r="D5535" s="1" t="n">
        <v>4643.3</v>
      </c>
      <c r="E5535" s="1" t="n">
        <v>0.046</v>
      </c>
      <c r="F5535" s="1" t="n">
        <v>0.0759</v>
      </c>
    </row>
    <row r="5536" customFormat="false" ht="15" hidden="false" customHeight="false" outlineLevel="0" collapsed="false">
      <c r="A5536" s="1" t="s">
        <v>5571</v>
      </c>
      <c r="B5536" s="1" t="s">
        <v>41</v>
      </c>
      <c r="C5536" s="1" t="n">
        <v>418000</v>
      </c>
      <c r="D5536" s="1" t="n">
        <v>84.7</v>
      </c>
      <c r="E5536" s="1" t="n">
        <v>0.0041</v>
      </c>
      <c r="F5536" s="1" t="n">
        <v>0.36</v>
      </c>
    </row>
    <row r="5537" customFormat="false" ht="15" hidden="false" customHeight="false" outlineLevel="0" collapsed="false">
      <c r="A5537" s="1" t="s">
        <v>5572</v>
      </c>
      <c r="B5537" s="1" t="s">
        <v>88</v>
      </c>
      <c r="C5537" s="1" t="n">
        <v>422000</v>
      </c>
      <c r="D5537" s="1" t="n">
        <v>12015.1</v>
      </c>
      <c r="E5537" s="1" t="n">
        <v>0.0324</v>
      </c>
      <c r="F5537" s="1" t="n">
        <v>0.0951</v>
      </c>
    </row>
    <row r="5538" customFormat="false" ht="15" hidden="false" customHeight="false" outlineLevel="0" collapsed="false">
      <c r="A5538" s="1" t="s">
        <v>5573</v>
      </c>
      <c r="B5538" s="1" t="s">
        <v>214</v>
      </c>
      <c r="C5538" s="1" t="n">
        <v>393000</v>
      </c>
      <c r="D5538" s="1" t="n">
        <v>252.6</v>
      </c>
      <c r="E5538" s="1" t="n">
        <v>0.0678</v>
      </c>
      <c r="F5538" s="1" t="n">
        <v>0.0951</v>
      </c>
    </row>
    <row r="5539" customFormat="false" ht="15" hidden="false" customHeight="false" outlineLevel="0" collapsed="false">
      <c r="A5539" s="1" t="s">
        <v>5574</v>
      </c>
      <c r="B5539" s="1" t="s">
        <v>50</v>
      </c>
      <c r="C5539" s="1" t="n">
        <v>914000</v>
      </c>
      <c r="D5539" s="1" t="n">
        <v>68731.5</v>
      </c>
      <c r="E5539" s="1" t="n">
        <v>0.0036</v>
      </c>
      <c r="F5539" s="1" t="n">
        <v>0.0654</v>
      </c>
    </row>
    <row r="5540" customFormat="false" ht="15" hidden="false" customHeight="false" outlineLevel="0" collapsed="false">
      <c r="A5540" s="1" t="s">
        <v>5575</v>
      </c>
      <c r="B5540" s="1" t="s">
        <v>26</v>
      </c>
      <c r="C5540" s="1" t="n">
        <v>415000</v>
      </c>
      <c r="D5540" s="1" t="n">
        <v>2473.3</v>
      </c>
      <c r="E5540" s="1" t="n">
        <v>0.0108</v>
      </c>
      <c r="F5540" s="1" t="n">
        <v>0.0654</v>
      </c>
    </row>
    <row r="5541" customFormat="false" ht="15" hidden="false" customHeight="false" outlineLevel="0" collapsed="false">
      <c r="A5541" s="1" t="s">
        <v>5576</v>
      </c>
      <c r="B5541" s="1" t="s">
        <v>26</v>
      </c>
      <c r="C5541" s="1" t="n">
        <v>615000</v>
      </c>
      <c r="D5541" s="1" t="n">
        <v>74349.9</v>
      </c>
      <c r="E5541" s="1" t="n">
        <v>0.0115</v>
      </c>
      <c r="F5541" s="1" t="n">
        <v>0.0736</v>
      </c>
    </row>
    <row r="5542" customFormat="false" ht="15" hidden="false" customHeight="false" outlineLevel="0" collapsed="false">
      <c r="A5542" s="1" t="s">
        <v>5577</v>
      </c>
      <c r="B5542" s="1" t="s">
        <v>74</v>
      </c>
      <c r="C5542" s="1" t="n">
        <v>854000</v>
      </c>
      <c r="D5542" s="1" t="n">
        <v>910.5</v>
      </c>
      <c r="E5542" s="1" t="n">
        <v>0.0428</v>
      </c>
      <c r="F5542" s="1" t="n">
        <v>0.1516</v>
      </c>
    </row>
    <row r="5543" customFormat="false" ht="15" hidden="false" customHeight="false" outlineLevel="0" collapsed="false">
      <c r="A5543" s="1" t="s">
        <v>5578</v>
      </c>
      <c r="B5543" s="1" t="s">
        <v>41</v>
      </c>
      <c r="C5543" s="1" t="n">
        <v>836000</v>
      </c>
      <c r="D5543" s="1" t="n">
        <v>549.5</v>
      </c>
      <c r="E5543" s="1" t="n">
        <v>0.016</v>
      </c>
      <c r="F5543" s="1" t="n">
        <v>0.1013</v>
      </c>
    </row>
    <row r="5544" customFormat="false" ht="15" hidden="false" customHeight="false" outlineLevel="0" collapsed="false">
      <c r="A5544" s="1" t="s">
        <v>5579</v>
      </c>
      <c r="B5544" s="1" t="s">
        <v>88</v>
      </c>
      <c r="C5544" s="1" t="n">
        <v>548000</v>
      </c>
      <c r="D5544" s="1" t="n">
        <v>8613.9</v>
      </c>
      <c r="E5544" s="1" t="n">
        <v>0.0415</v>
      </c>
      <c r="F5544" s="1" t="n">
        <v>0.0938</v>
      </c>
    </row>
    <row r="5545" customFormat="false" ht="15" hidden="false" customHeight="false" outlineLevel="0" collapsed="false">
      <c r="A5545" s="1" t="s">
        <v>5580</v>
      </c>
      <c r="B5545" s="1" t="s">
        <v>74</v>
      </c>
      <c r="C5545" s="1" t="n">
        <v>401000</v>
      </c>
      <c r="D5545" s="1" t="n">
        <v>2632.5</v>
      </c>
      <c r="E5545" s="1" t="n">
        <v>0.0356</v>
      </c>
      <c r="F5545" s="1" t="n">
        <v>0.0951</v>
      </c>
    </row>
    <row r="5546" customFormat="false" ht="15" hidden="false" customHeight="false" outlineLevel="0" collapsed="false">
      <c r="A5546" s="1" t="s">
        <v>5581</v>
      </c>
      <c r="B5546" s="1" t="s">
        <v>195</v>
      </c>
      <c r="C5546" s="1" t="n">
        <v>411000</v>
      </c>
      <c r="D5546" s="1" t="n">
        <v>1597.1</v>
      </c>
      <c r="F5546" s="1" t="n">
        <v>0.0759</v>
      </c>
    </row>
    <row r="5547" customFormat="false" ht="15" hidden="false" customHeight="false" outlineLevel="0" collapsed="false">
      <c r="A5547" s="1" t="s">
        <v>5582</v>
      </c>
      <c r="B5547" s="1" t="s">
        <v>24</v>
      </c>
      <c r="C5547" s="1" t="n">
        <v>449000</v>
      </c>
      <c r="D5547" s="1" t="n">
        <v>20359.8</v>
      </c>
      <c r="E5547" s="1" t="n">
        <v>0.1446</v>
      </c>
      <c r="F5547" s="1" t="n">
        <v>0.0951</v>
      </c>
    </row>
    <row r="5548" customFormat="false" ht="15" hidden="false" customHeight="false" outlineLevel="0" collapsed="false">
      <c r="A5548" s="1" t="s">
        <v>5583</v>
      </c>
      <c r="B5548" s="1" t="s">
        <v>214</v>
      </c>
      <c r="C5548" s="1" t="n">
        <v>399000</v>
      </c>
      <c r="D5548" s="1" t="n">
        <v>41110.4</v>
      </c>
      <c r="E5548" s="1" t="n">
        <v>0.0539</v>
      </c>
      <c r="F5548" s="1" t="n">
        <v>0.0951</v>
      </c>
    </row>
    <row r="5549" customFormat="false" ht="15" hidden="false" customHeight="false" outlineLevel="0" collapsed="false">
      <c r="A5549" s="1" t="s">
        <v>5584</v>
      </c>
      <c r="B5549" s="1" t="s">
        <v>74</v>
      </c>
      <c r="C5549" s="1" t="n">
        <v>466000</v>
      </c>
      <c r="D5549" s="1" t="n">
        <v>961.2</v>
      </c>
      <c r="E5549" s="1" t="n">
        <v>0.0395</v>
      </c>
      <c r="F5549" s="1" t="n">
        <v>0.0759</v>
      </c>
    </row>
    <row r="5550" customFormat="false" ht="15" hidden="false" customHeight="false" outlineLevel="0" collapsed="false">
      <c r="A5550" s="1" t="s">
        <v>5585</v>
      </c>
      <c r="B5550" s="1" t="s">
        <v>41</v>
      </c>
      <c r="C5550" s="1" t="n">
        <v>578000</v>
      </c>
      <c r="D5550" s="1" t="n">
        <v>9215.9</v>
      </c>
      <c r="E5550" s="1" t="n">
        <v>0.0077</v>
      </c>
      <c r="F5550" s="1" t="n">
        <v>0.1015</v>
      </c>
    </row>
    <row r="5551" customFormat="false" ht="15" hidden="false" customHeight="false" outlineLevel="0" collapsed="false">
      <c r="A5551" s="1" t="s">
        <v>5586</v>
      </c>
      <c r="B5551" s="1" t="s">
        <v>88</v>
      </c>
      <c r="C5551" s="1" t="n">
        <v>439000</v>
      </c>
      <c r="D5551" s="1" t="n">
        <v>139.3</v>
      </c>
      <c r="E5551" s="1" t="n">
        <v>0.0463</v>
      </c>
      <c r="F5551" s="1" t="n">
        <v>0.0938</v>
      </c>
    </row>
    <row r="5552" customFormat="false" ht="15" hidden="false" customHeight="false" outlineLevel="0" collapsed="false">
      <c r="A5552" s="1" t="s">
        <v>5587</v>
      </c>
      <c r="B5552" s="1" t="s">
        <v>24</v>
      </c>
      <c r="C5552" s="1" t="n">
        <v>435000</v>
      </c>
      <c r="D5552" s="1" t="n">
        <v>10369.1</v>
      </c>
      <c r="E5552" s="1" t="n">
        <v>0.0299</v>
      </c>
      <c r="F5552" s="1" t="n">
        <v>0.0951</v>
      </c>
    </row>
    <row r="5553" customFormat="false" ht="15" hidden="false" customHeight="false" outlineLevel="0" collapsed="false">
      <c r="A5553" s="1" t="s">
        <v>5588</v>
      </c>
      <c r="B5553" s="1" t="s">
        <v>26</v>
      </c>
      <c r="C5553" s="1" t="n">
        <v>513000</v>
      </c>
      <c r="D5553" s="1" t="n">
        <v>240586.7</v>
      </c>
      <c r="E5553" s="1" t="n">
        <v>0.0165</v>
      </c>
      <c r="F5553" s="1" t="n">
        <v>0.0585</v>
      </c>
    </row>
    <row r="5554" customFormat="false" ht="15" hidden="false" customHeight="false" outlineLevel="0" collapsed="false">
      <c r="A5554" s="1" t="s">
        <v>5589</v>
      </c>
      <c r="B5554" s="1" t="s">
        <v>88</v>
      </c>
      <c r="C5554" s="1" t="n">
        <v>431000</v>
      </c>
      <c r="D5554" s="1" t="n">
        <v>4052.1</v>
      </c>
      <c r="E5554" s="1" t="n">
        <v>0.0328</v>
      </c>
      <c r="F5554" s="1" t="n">
        <v>0.0938</v>
      </c>
    </row>
    <row r="5555" customFormat="false" ht="15" hidden="false" customHeight="false" outlineLevel="0" collapsed="false">
      <c r="A5555" s="1" t="s">
        <v>5590</v>
      </c>
      <c r="B5555" s="1" t="s">
        <v>81</v>
      </c>
      <c r="C5555" s="1" t="n">
        <v>432000</v>
      </c>
      <c r="D5555" s="1" t="n">
        <v>32976.3</v>
      </c>
      <c r="E5555" s="1" t="n">
        <v>0.0508</v>
      </c>
      <c r="F5555" s="1" t="n">
        <v>0.0951</v>
      </c>
    </row>
    <row r="5556" customFormat="false" ht="15" hidden="false" customHeight="false" outlineLevel="0" collapsed="false">
      <c r="A5556" s="1" t="s">
        <v>5591</v>
      </c>
      <c r="B5556" s="1" t="s">
        <v>26</v>
      </c>
      <c r="C5556" s="1" t="n">
        <v>405000</v>
      </c>
      <c r="D5556" s="1" t="n">
        <v>500.3</v>
      </c>
      <c r="E5556" s="1" t="n">
        <v>0.067</v>
      </c>
      <c r="F5556" s="1" t="n">
        <v>0.1226</v>
      </c>
    </row>
    <row r="5557" customFormat="false" ht="15" hidden="false" customHeight="false" outlineLevel="0" collapsed="false">
      <c r="A5557" s="1" t="s">
        <v>5592</v>
      </c>
      <c r="B5557" s="1" t="s">
        <v>53</v>
      </c>
      <c r="C5557" s="1" t="n">
        <v>719000</v>
      </c>
      <c r="D5557" s="1" t="n">
        <v>13582.9</v>
      </c>
      <c r="E5557" s="1" t="n">
        <v>0.0259</v>
      </c>
      <c r="F5557" s="1" t="n">
        <v>0.051</v>
      </c>
    </row>
    <row r="5558" customFormat="false" ht="15" hidden="false" customHeight="false" outlineLevel="0" collapsed="false">
      <c r="A5558" s="1" t="s">
        <v>5593</v>
      </c>
      <c r="B5558" s="1" t="s">
        <v>26</v>
      </c>
      <c r="C5558" s="1" t="n">
        <v>467000</v>
      </c>
      <c r="D5558" s="1" t="n">
        <v>152272.9</v>
      </c>
      <c r="E5558" s="1" t="n">
        <v>0.039</v>
      </c>
      <c r="F5558" s="1" t="n">
        <v>0.0409</v>
      </c>
    </row>
    <row r="5559" customFormat="false" ht="15" hidden="false" customHeight="false" outlineLevel="0" collapsed="false">
      <c r="A5559" s="1" t="s">
        <v>5594</v>
      </c>
      <c r="B5559" s="1" t="s">
        <v>88</v>
      </c>
      <c r="C5559" s="1" t="n">
        <v>714000</v>
      </c>
      <c r="D5559" s="1" t="n">
        <v>113577.5</v>
      </c>
      <c r="E5559" s="1" t="n">
        <v>0.0221</v>
      </c>
      <c r="F5559" s="1" t="n">
        <v>0.0409</v>
      </c>
    </row>
    <row r="5560" customFormat="false" ht="15" hidden="false" customHeight="false" outlineLevel="0" collapsed="false">
      <c r="A5560" s="1" t="s">
        <v>5595</v>
      </c>
      <c r="B5560" s="1" t="s">
        <v>53</v>
      </c>
      <c r="C5560" s="1" t="n">
        <v>523000</v>
      </c>
      <c r="D5560" s="1" t="n">
        <v>4546.6</v>
      </c>
      <c r="F5560" s="1" t="n">
        <v>0.0938</v>
      </c>
    </row>
    <row r="5561" customFormat="false" ht="15" hidden="false" customHeight="false" outlineLevel="0" collapsed="false">
      <c r="A5561" s="1" t="s">
        <v>5596</v>
      </c>
      <c r="B5561" s="1" t="s">
        <v>88</v>
      </c>
      <c r="C5561" s="1" t="n">
        <v>513000</v>
      </c>
      <c r="D5561" s="1" t="n">
        <v>71174.6</v>
      </c>
      <c r="E5561" s="1" t="n">
        <v>0.0189</v>
      </c>
      <c r="F5561" s="1" t="n">
        <v>0.0951</v>
      </c>
    </row>
    <row r="5562" customFormat="false" ht="15" hidden="false" customHeight="false" outlineLevel="0" collapsed="false">
      <c r="A5562" s="1" t="s">
        <v>5597</v>
      </c>
      <c r="B5562" s="1" t="s">
        <v>26</v>
      </c>
      <c r="C5562" s="1" t="n">
        <v>565000</v>
      </c>
      <c r="D5562" s="1" t="n">
        <v>19897.7</v>
      </c>
      <c r="E5562" s="1" t="n">
        <v>0.0253</v>
      </c>
      <c r="F5562" s="1" t="n">
        <v>0.0518</v>
      </c>
    </row>
    <row r="5563" customFormat="false" ht="15" hidden="false" customHeight="false" outlineLevel="0" collapsed="false">
      <c r="A5563" s="1" t="s">
        <v>5598</v>
      </c>
      <c r="B5563" s="1" t="s">
        <v>26</v>
      </c>
      <c r="C5563" s="1" t="n">
        <v>452000</v>
      </c>
      <c r="D5563" s="1" t="n">
        <v>2043.6</v>
      </c>
      <c r="E5563" s="1" t="n">
        <v>0.0293</v>
      </c>
      <c r="F5563" s="1" t="n">
        <v>0.0759</v>
      </c>
    </row>
    <row r="5564" customFormat="false" ht="15" hidden="false" customHeight="false" outlineLevel="0" collapsed="false">
      <c r="A5564" s="1" t="s">
        <v>5599</v>
      </c>
      <c r="B5564" s="1" t="s">
        <v>26</v>
      </c>
      <c r="C5564" s="1" t="n">
        <v>410000</v>
      </c>
      <c r="D5564" s="1" t="n">
        <v>3406.7</v>
      </c>
      <c r="E5564" s="1" t="n">
        <v>0.0431</v>
      </c>
      <c r="F5564" s="1" t="n">
        <v>0.0951</v>
      </c>
    </row>
    <row r="5565" customFormat="false" ht="15" hidden="false" customHeight="false" outlineLevel="0" collapsed="false">
      <c r="A5565" s="1" t="s">
        <v>5600</v>
      </c>
      <c r="B5565" s="1" t="s">
        <v>26</v>
      </c>
      <c r="C5565" s="1" t="n">
        <v>465000</v>
      </c>
      <c r="D5565" s="1" t="n">
        <v>4841.1</v>
      </c>
      <c r="E5565" s="1" t="n">
        <v>0.0412</v>
      </c>
      <c r="F5565" s="1" t="n">
        <v>0.0759</v>
      </c>
    </row>
    <row r="5566" customFormat="false" ht="15" hidden="false" customHeight="false" outlineLevel="0" collapsed="false">
      <c r="A5566" s="1" t="s">
        <v>5601</v>
      </c>
      <c r="B5566" s="1" t="s">
        <v>26</v>
      </c>
      <c r="C5566" s="1" t="n">
        <v>441000</v>
      </c>
      <c r="D5566" s="1" t="n">
        <v>5002.1</v>
      </c>
      <c r="E5566" s="1" t="n">
        <v>0.0271</v>
      </c>
      <c r="F5566" s="1" t="n">
        <v>0.0951</v>
      </c>
    </row>
    <row r="5567" customFormat="false" ht="15" hidden="false" customHeight="false" outlineLevel="0" collapsed="false">
      <c r="A5567" s="1" t="s">
        <v>5602</v>
      </c>
      <c r="B5567" s="1" t="s">
        <v>26</v>
      </c>
      <c r="C5567" s="1" t="n">
        <v>460000</v>
      </c>
      <c r="D5567" s="1" t="n">
        <v>19969.7</v>
      </c>
      <c r="E5567" s="1" t="n">
        <v>0.0268</v>
      </c>
      <c r="F5567" s="1" t="n">
        <v>0.0672</v>
      </c>
    </row>
    <row r="5568" customFormat="false" ht="15" hidden="false" customHeight="false" outlineLevel="0" collapsed="false">
      <c r="A5568" s="1" t="s">
        <v>5603</v>
      </c>
      <c r="B5568" s="1" t="s">
        <v>26</v>
      </c>
      <c r="C5568" s="1" t="n">
        <v>498000</v>
      </c>
      <c r="D5568" s="1" t="n">
        <v>1667.4</v>
      </c>
      <c r="E5568" s="1" t="n">
        <v>0.0294</v>
      </c>
      <c r="F5568" s="1" t="n">
        <v>0.0998</v>
      </c>
    </row>
    <row r="5569" customFormat="false" ht="15" hidden="false" customHeight="false" outlineLevel="0" collapsed="false">
      <c r="A5569" s="1" t="s">
        <v>5604</v>
      </c>
      <c r="B5569" s="1" t="s">
        <v>26</v>
      </c>
      <c r="C5569" s="1" t="n">
        <v>432000</v>
      </c>
      <c r="D5569" s="1" t="n">
        <v>151028.1</v>
      </c>
      <c r="E5569" s="1" t="n">
        <v>0.0333</v>
      </c>
      <c r="F5569" s="1" t="n">
        <v>0.0951</v>
      </c>
    </row>
    <row r="5570" customFormat="false" ht="15" hidden="false" customHeight="false" outlineLevel="0" collapsed="false">
      <c r="A5570" s="1" t="s">
        <v>5605</v>
      </c>
      <c r="B5570" s="1" t="s">
        <v>26</v>
      </c>
      <c r="C5570" s="1" t="n">
        <v>1000000</v>
      </c>
      <c r="D5570" s="1" t="n">
        <v>46642</v>
      </c>
      <c r="E5570" s="1" t="n">
        <v>0.1177</v>
      </c>
      <c r="F5570" s="1" t="n">
        <v>0.0759</v>
      </c>
    </row>
    <row r="5571" customFormat="false" ht="15" hidden="false" customHeight="false" outlineLevel="0" collapsed="false">
      <c r="A5571" s="1" t="s">
        <v>5606</v>
      </c>
      <c r="B5571" s="1" t="s">
        <v>214</v>
      </c>
      <c r="C5571" s="1" t="n">
        <v>1040000</v>
      </c>
      <c r="D5571" s="1" t="n">
        <v>4323.5</v>
      </c>
      <c r="E5571" s="1" t="n">
        <v>0.0088</v>
      </c>
      <c r="F5571" s="1" t="n">
        <v>0.0811</v>
      </c>
    </row>
    <row r="5572" customFormat="false" ht="15" hidden="false" customHeight="false" outlineLevel="0" collapsed="false">
      <c r="A5572" s="1" t="s">
        <v>5607</v>
      </c>
      <c r="B5572" s="1" t="s">
        <v>74</v>
      </c>
      <c r="C5572" s="1" t="n">
        <v>565000</v>
      </c>
      <c r="D5572" s="1" t="n">
        <v>18649</v>
      </c>
      <c r="E5572" s="1" t="n">
        <v>0.0217</v>
      </c>
      <c r="F5572" s="1" t="n">
        <v>0.0759</v>
      </c>
    </row>
    <row r="5573" customFormat="false" ht="15" hidden="false" customHeight="false" outlineLevel="0" collapsed="false">
      <c r="A5573" s="1" t="s">
        <v>5608</v>
      </c>
      <c r="B5573" s="1" t="s">
        <v>26</v>
      </c>
      <c r="C5573" s="1" t="n">
        <v>418000</v>
      </c>
      <c r="D5573" s="1" t="n">
        <v>155.9</v>
      </c>
      <c r="E5573" s="1" t="n">
        <v>0.036</v>
      </c>
      <c r="F5573" s="1" t="n">
        <v>0.1676</v>
      </c>
    </row>
    <row r="5574" customFormat="false" ht="15" hidden="false" customHeight="false" outlineLevel="0" collapsed="false">
      <c r="A5574" s="1" t="s">
        <v>5609</v>
      </c>
      <c r="B5574" s="1" t="s">
        <v>32</v>
      </c>
      <c r="C5574" s="1" t="n">
        <v>631000</v>
      </c>
      <c r="D5574" s="1" t="n">
        <v>14660.4</v>
      </c>
      <c r="E5574" s="1" t="n">
        <v>0.0078</v>
      </c>
      <c r="F5574" s="1" t="n">
        <v>0.0822</v>
      </c>
    </row>
    <row r="5575" customFormat="false" ht="15" hidden="false" customHeight="false" outlineLevel="0" collapsed="false">
      <c r="A5575" s="1" t="s">
        <v>5610</v>
      </c>
      <c r="B5575" s="1" t="s">
        <v>50</v>
      </c>
      <c r="C5575" s="1" t="n">
        <v>437000</v>
      </c>
      <c r="D5575" s="1" t="n">
        <v>1189825.3</v>
      </c>
      <c r="E5575" s="1" t="n">
        <v>0.0119</v>
      </c>
      <c r="F5575" s="1" t="n">
        <v>0.0775</v>
      </c>
    </row>
    <row r="5576" customFormat="false" ht="15" hidden="false" customHeight="false" outlineLevel="0" collapsed="false">
      <c r="A5576" s="1" t="s">
        <v>5611</v>
      </c>
      <c r="B5576" s="1" t="s">
        <v>26</v>
      </c>
      <c r="C5576" s="1" t="n">
        <v>620000</v>
      </c>
      <c r="D5576" s="1" t="n">
        <v>32061.3</v>
      </c>
      <c r="E5576" s="1" t="n">
        <v>0.0413</v>
      </c>
      <c r="F5576" s="1" t="n">
        <v>0.0759</v>
      </c>
    </row>
    <row r="5577" customFormat="false" ht="15" hidden="false" customHeight="false" outlineLevel="0" collapsed="false">
      <c r="A5577" s="1" t="s">
        <v>5612</v>
      </c>
      <c r="B5577" s="1" t="s">
        <v>41</v>
      </c>
      <c r="C5577" s="1" t="n">
        <v>392000</v>
      </c>
      <c r="D5577" s="1" t="n">
        <v>1077.7</v>
      </c>
      <c r="E5577" s="1" t="n">
        <v>0.0267</v>
      </c>
      <c r="F5577" s="1" t="n">
        <v>0.0759</v>
      </c>
    </row>
    <row r="5578" customFormat="false" ht="15" hidden="false" customHeight="false" outlineLevel="0" collapsed="false">
      <c r="A5578" s="1" t="s">
        <v>5613</v>
      </c>
      <c r="B5578" s="1" t="s">
        <v>62</v>
      </c>
      <c r="C5578" s="1" t="n">
        <v>445000</v>
      </c>
      <c r="D5578" s="1" t="n">
        <v>4466</v>
      </c>
      <c r="E5578" s="1" t="n">
        <v>0.041</v>
      </c>
      <c r="F5578" s="1" t="n">
        <v>0.0938</v>
      </c>
    </row>
    <row r="5579" customFormat="false" ht="15" hidden="false" customHeight="false" outlineLevel="0" collapsed="false">
      <c r="A5579" s="1" t="s">
        <v>5614</v>
      </c>
      <c r="B5579" s="1" t="s">
        <v>41</v>
      </c>
      <c r="C5579" s="1" t="n">
        <v>399000</v>
      </c>
      <c r="D5579" s="1" t="n">
        <v>3616.1</v>
      </c>
      <c r="E5579" s="1" t="n">
        <v>0.0552</v>
      </c>
      <c r="F5579" s="1" t="n">
        <v>0.0938</v>
      </c>
    </row>
    <row r="5580" customFormat="false" ht="15" hidden="false" customHeight="false" outlineLevel="0" collapsed="false">
      <c r="A5580" s="1" t="s">
        <v>5615</v>
      </c>
      <c r="B5580" s="1" t="s">
        <v>41</v>
      </c>
      <c r="C5580" s="1" t="n">
        <v>968000</v>
      </c>
      <c r="D5580" s="1" t="n">
        <v>730107.1</v>
      </c>
      <c r="E5580" s="1" t="n">
        <v>0.0266</v>
      </c>
      <c r="F5580" s="1" t="n">
        <v>0.0409</v>
      </c>
    </row>
    <row r="5581" customFormat="false" ht="15" hidden="false" customHeight="false" outlineLevel="0" collapsed="false">
      <c r="A5581" s="1" t="s">
        <v>5616</v>
      </c>
      <c r="B5581" s="1" t="s">
        <v>92</v>
      </c>
      <c r="C5581" s="1" t="n">
        <v>577000</v>
      </c>
      <c r="D5581" s="1" t="n">
        <v>41163.7</v>
      </c>
      <c r="E5581" s="1" t="n">
        <v>0.0239</v>
      </c>
      <c r="F5581" s="1" t="n">
        <v>0.0938</v>
      </c>
    </row>
    <row r="5582" customFormat="false" ht="15" hidden="false" customHeight="false" outlineLevel="0" collapsed="false">
      <c r="A5582" s="1" t="s">
        <v>5617</v>
      </c>
      <c r="B5582" s="1" t="s">
        <v>41</v>
      </c>
      <c r="C5582" s="1" t="n">
        <v>471000</v>
      </c>
      <c r="D5582" s="1" t="n">
        <v>1900.6</v>
      </c>
      <c r="E5582" s="1" t="n">
        <v>0.0204</v>
      </c>
      <c r="F5582" s="1" t="n">
        <v>0.1067</v>
      </c>
    </row>
    <row r="5583" customFormat="false" ht="15" hidden="false" customHeight="false" outlineLevel="0" collapsed="false">
      <c r="A5583" s="1" t="s">
        <v>5618</v>
      </c>
      <c r="B5583" s="1" t="s">
        <v>71</v>
      </c>
      <c r="C5583" s="1" t="n">
        <v>464000</v>
      </c>
      <c r="D5583" s="1" t="n">
        <v>126.6</v>
      </c>
      <c r="E5583" s="1" t="n">
        <v>0.0449</v>
      </c>
      <c r="F5583" s="1" t="n">
        <v>0.0938</v>
      </c>
    </row>
    <row r="5584" customFormat="false" ht="15" hidden="false" customHeight="false" outlineLevel="0" collapsed="false">
      <c r="A5584" s="1" t="s">
        <v>5619</v>
      </c>
      <c r="B5584" s="1" t="s">
        <v>26</v>
      </c>
      <c r="C5584" s="1" t="n">
        <v>618000</v>
      </c>
      <c r="D5584" s="1" t="n">
        <v>2636.5</v>
      </c>
      <c r="E5584" s="1" t="n">
        <v>0.0223</v>
      </c>
      <c r="F5584" s="1" t="n">
        <v>0.0576</v>
      </c>
    </row>
    <row r="5585" customFormat="false" ht="15" hidden="false" customHeight="false" outlineLevel="0" collapsed="false">
      <c r="A5585" s="1" t="s">
        <v>5620</v>
      </c>
      <c r="B5585" s="1" t="s">
        <v>41</v>
      </c>
      <c r="C5585" s="1" t="n">
        <v>405000</v>
      </c>
      <c r="D5585" s="1" t="n">
        <v>2520.5</v>
      </c>
      <c r="E5585" s="1" t="n">
        <v>0.0118</v>
      </c>
      <c r="F5585" s="1" t="n">
        <v>0.0822</v>
      </c>
    </row>
    <row r="5586" customFormat="false" ht="15" hidden="false" customHeight="false" outlineLevel="0" collapsed="false">
      <c r="A5586" s="1" t="s">
        <v>5621</v>
      </c>
      <c r="B5586" s="1" t="s">
        <v>21</v>
      </c>
      <c r="C5586" s="1" t="n">
        <v>548000</v>
      </c>
      <c r="D5586" s="1" t="n">
        <v>10341</v>
      </c>
      <c r="E5586" s="1" t="n">
        <v>0.0583</v>
      </c>
      <c r="F5586" s="1" t="n">
        <v>0.0938</v>
      </c>
    </row>
    <row r="5587" customFormat="false" ht="15" hidden="false" customHeight="false" outlineLevel="0" collapsed="false">
      <c r="A5587" s="1" t="s">
        <v>5622</v>
      </c>
      <c r="B5587" s="1" t="s">
        <v>92</v>
      </c>
      <c r="C5587" s="1" t="n">
        <v>656000</v>
      </c>
      <c r="D5587" s="1" t="n">
        <v>63551</v>
      </c>
      <c r="E5587" s="1" t="n">
        <v>0.0205</v>
      </c>
      <c r="F5587" s="1" t="n">
        <v>0.0488</v>
      </c>
    </row>
    <row r="5588" customFormat="false" ht="15" hidden="false" customHeight="false" outlineLevel="0" collapsed="false">
      <c r="A5588" s="1" t="s">
        <v>5623</v>
      </c>
      <c r="B5588" s="1" t="s">
        <v>26</v>
      </c>
      <c r="C5588" s="1" t="n">
        <v>388000</v>
      </c>
      <c r="D5588" s="1" t="n">
        <v>7757.8</v>
      </c>
      <c r="F5588" s="1" t="n">
        <v>0.0518</v>
      </c>
    </row>
    <row r="5589" customFormat="false" ht="15" hidden="false" customHeight="false" outlineLevel="0" collapsed="false">
      <c r="A5589" s="1" t="s">
        <v>5624</v>
      </c>
      <c r="B5589" s="1" t="s">
        <v>88</v>
      </c>
      <c r="C5589" s="1" t="n">
        <v>402000</v>
      </c>
      <c r="D5589" s="1" t="n">
        <v>256.3</v>
      </c>
      <c r="E5589" s="1" t="n">
        <v>0.0326</v>
      </c>
      <c r="F5589" s="1" t="n">
        <v>0.1377</v>
      </c>
    </row>
    <row r="5590" customFormat="false" ht="15" hidden="false" customHeight="false" outlineLevel="0" collapsed="false">
      <c r="A5590" s="1" t="s">
        <v>5625</v>
      </c>
      <c r="B5590" s="1" t="s">
        <v>74</v>
      </c>
      <c r="C5590" s="1" t="n">
        <v>603000</v>
      </c>
      <c r="D5590" s="1" t="n">
        <v>32315.2</v>
      </c>
      <c r="E5590" s="1" t="n">
        <v>0.0311</v>
      </c>
      <c r="F5590" s="1" t="n">
        <v>0.0759</v>
      </c>
    </row>
    <row r="5591" customFormat="false" ht="15" hidden="false" customHeight="false" outlineLevel="0" collapsed="false">
      <c r="A5591" s="1" t="s">
        <v>5626</v>
      </c>
      <c r="B5591" s="1" t="s">
        <v>287</v>
      </c>
      <c r="C5591" s="1" t="n">
        <v>403000</v>
      </c>
      <c r="D5591" s="1" t="n">
        <v>2801</v>
      </c>
      <c r="E5591" s="1" t="n">
        <v>0.0273</v>
      </c>
      <c r="F5591" s="1" t="n">
        <v>0.0759</v>
      </c>
    </row>
    <row r="5592" customFormat="false" ht="15" hidden="false" customHeight="false" outlineLevel="0" collapsed="false">
      <c r="A5592" s="1" t="s">
        <v>5627</v>
      </c>
      <c r="B5592" s="1" t="s">
        <v>92</v>
      </c>
      <c r="C5592" s="1" t="n">
        <v>2290000</v>
      </c>
      <c r="D5592" s="1" t="n">
        <v>64367.5</v>
      </c>
      <c r="E5592" s="1" t="n">
        <v>0.0202</v>
      </c>
      <c r="F5592" s="1" t="n">
        <v>0.0576</v>
      </c>
    </row>
    <row r="5593" customFormat="false" ht="15" hidden="false" customHeight="false" outlineLevel="0" collapsed="false">
      <c r="A5593" s="1" t="s">
        <v>5628</v>
      </c>
      <c r="B5593" s="1" t="s">
        <v>50</v>
      </c>
      <c r="C5593" s="1" t="n">
        <v>471000</v>
      </c>
      <c r="D5593" s="1" t="n">
        <v>4729.6</v>
      </c>
      <c r="E5593" s="1" t="n">
        <v>0.0159</v>
      </c>
      <c r="F5593" s="1" t="n">
        <v>0.1067</v>
      </c>
    </row>
    <row r="5594" customFormat="false" ht="15" hidden="false" customHeight="false" outlineLevel="0" collapsed="false">
      <c r="A5594" s="1" t="s">
        <v>5629</v>
      </c>
      <c r="B5594" s="1" t="s">
        <v>92</v>
      </c>
      <c r="C5594" s="1" t="n">
        <v>473000</v>
      </c>
      <c r="D5594" s="1" t="n">
        <v>193034</v>
      </c>
      <c r="E5594" s="1" t="n">
        <v>0.0305</v>
      </c>
      <c r="F5594" s="1" t="n">
        <v>0.0518</v>
      </c>
    </row>
    <row r="5595" customFormat="false" ht="15" hidden="false" customHeight="false" outlineLevel="0" collapsed="false">
      <c r="A5595" s="1" t="s">
        <v>5630</v>
      </c>
      <c r="B5595" s="1" t="s">
        <v>26</v>
      </c>
      <c r="C5595" s="1" t="n">
        <v>383000</v>
      </c>
      <c r="D5595" s="1" t="n">
        <v>3770.8</v>
      </c>
      <c r="E5595" s="1" t="n">
        <v>0.0083</v>
      </c>
      <c r="F5595" s="1" t="n">
        <v>0.0822</v>
      </c>
    </row>
    <row r="5596" customFormat="false" ht="15" hidden="false" customHeight="false" outlineLevel="0" collapsed="false">
      <c r="A5596" s="1" t="s">
        <v>5631</v>
      </c>
      <c r="B5596" s="1" t="s">
        <v>88</v>
      </c>
      <c r="C5596" s="1" t="n">
        <v>445000</v>
      </c>
      <c r="D5596" s="1" t="n">
        <v>587.4</v>
      </c>
      <c r="E5596" s="1" t="n">
        <v>0.0562</v>
      </c>
      <c r="F5596" s="1" t="n">
        <v>0.117</v>
      </c>
    </row>
    <row r="5597" customFormat="false" ht="15" hidden="false" customHeight="false" outlineLevel="0" collapsed="false">
      <c r="A5597" s="1" t="s">
        <v>5632</v>
      </c>
      <c r="B5597" s="1" t="s">
        <v>92</v>
      </c>
      <c r="C5597" s="1" t="n">
        <v>440000</v>
      </c>
      <c r="D5597" s="1" t="n">
        <v>13282.7</v>
      </c>
      <c r="E5597" s="1" t="n">
        <v>0.019</v>
      </c>
      <c r="F5597" s="1" t="n">
        <v>0.0854</v>
      </c>
    </row>
    <row r="5598" customFormat="false" ht="15" hidden="false" customHeight="false" outlineLevel="0" collapsed="false">
      <c r="A5598" s="1" t="s">
        <v>5633</v>
      </c>
      <c r="B5598" s="1" t="s">
        <v>26</v>
      </c>
      <c r="C5598" s="1" t="n">
        <v>576000</v>
      </c>
      <c r="D5598" s="1" t="n">
        <v>676.9</v>
      </c>
      <c r="F5598" s="1" t="n">
        <v>0.0409</v>
      </c>
    </row>
    <row r="5599" customFormat="false" ht="15" hidden="false" customHeight="false" outlineLevel="0" collapsed="false">
      <c r="A5599" s="1" t="s">
        <v>5634</v>
      </c>
      <c r="B5599" s="1" t="s">
        <v>53</v>
      </c>
      <c r="C5599" s="1" t="n">
        <v>520000</v>
      </c>
      <c r="D5599" s="1" t="n">
        <v>49466.5</v>
      </c>
      <c r="E5599" s="1" t="n">
        <v>0.0786</v>
      </c>
      <c r="F5599" s="1" t="n">
        <v>0.0938</v>
      </c>
    </row>
    <row r="5600" customFormat="false" ht="15" hidden="false" customHeight="false" outlineLevel="0" collapsed="false">
      <c r="A5600" s="1" t="s">
        <v>5635</v>
      </c>
      <c r="B5600" s="1" t="s">
        <v>62</v>
      </c>
      <c r="C5600" s="1" t="n">
        <v>555000</v>
      </c>
      <c r="D5600" s="1" t="n">
        <v>60015.8</v>
      </c>
      <c r="E5600" s="1" t="n">
        <v>0.0175</v>
      </c>
      <c r="F5600" s="1" t="n">
        <v>0.0462</v>
      </c>
    </row>
    <row r="5601" customFormat="false" ht="15" hidden="false" customHeight="false" outlineLevel="0" collapsed="false">
      <c r="A5601" s="1" t="s">
        <v>5636</v>
      </c>
      <c r="B5601" s="1" t="s">
        <v>50</v>
      </c>
      <c r="C5601" s="1" t="n">
        <v>531000</v>
      </c>
      <c r="D5601" s="1" t="n">
        <v>512873.8</v>
      </c>
      <c r="E5601" s="1" t="n">
        <v>0.0124</v>
      </c>
      <c r="F5601" s="1" t="n">
        <v>0.0822</v>
      </c>
    </row>
    <row r="5602" customFormat="false" ht="15" hidden="false" customHeight="false" outlineLevel="0" collapsed="false">
      <c r="A5602" s="1" t="s">
        <v>5637</v>
      </c>
      <c r="B5602" s="1" t="s">
        <v>81</v>
      </c>
      <c r="C5602" s="1" t="n">
        <v>413000</v>
      </c>
      <c r="D5602" s="1" t="n">
        <v>8823.7</v>
      </c>
      <c r="E5602" s="1" t="n">
        <v>0.02</v>
      </c>
      <c r="F5602" s="1" t="n">
        <v>0.0585</v>
      </c>
    </row>
    <row r="5603" customFormat="false" ht="15" hidden="false" customHeight="false" outlineLevel="0" collapsed="false">
      <c r="A5603" s="1" t="s">
        <v>5638</v>
      </c>
      <c r="B5603" s="1" t="s">
        <v>92</v>
      </c>
      <c r="C5603" s="1" t="n">
        <v>401000</v>
      </c>
      <c r="D5603" s="1" t="n">
        <v>1742</v>
      </c>
      <c r="E5603" s="1" t="n">
        <v>0.0296</v>
      </c>
      <c r="F5603" s="1" t="n">
        <v>0.171</v>
      </c>
    </row>
    <row r="5604" customFormat="false" ht="15" hidden="false" customHeight="false" outlineLevel="0" collapsed="false">
      <c r="A5604" s="1" t="s">
        <v>5639</v>
      </c>
      <c r="B5604" s="1" t="s">
        <v>88</v>
      </c>
      <c r="C5604" s="1" t="n">
        <v>389000</v>
      </c>
      <c r="D5604" s="1" t="n">
        <v>938.9</v>
      </c>
      <c r="E5604" s="1" t="n">
        <v>0.0102</v>
      </c>
      <c r="F5604" s="1" t="n">
        <v>0.0822</v>
      </c>
    </row>
    <row r="5605" customFormat="false" ht="15" hidden="false" customHeight="false" outlineLevel="0" collapsed="false">
      <c r="A5605" s="1" t="s">
        <v>5640</v>
      </c>
      <c r="B5605" s="1" t="s">
        <v>214</v>
      </c>
      <c r="C5605" s="1" t="n">
        <v>1010000</v>
      </c>
      <c r="D5605" s="1" t="n">
        <v>18283.8</v>
      </c>
      <c r="E5605" s="1" t="n">
        <v>0.0493</v>
      </c>
      <c r="F5605" s="1" t="n">
        <v>0.0759</v>
      </c>
    </row>
    <row r="5606" customFormat="false" ht="15" hidden="false" customHeight="false" outlineLevel="0" collapsed="false">
      <c r="A5606" s="1" t="s">
        <v>5641</v>
      </c>
      <c r="B5606" s="1" t="s">
        <v>214</v>
      </c>
      <c r="C5606" s="1" t="n">
        <v>459000</v>
      </c>
      <c r="D5606" s="1" t="n">
        <v>1596.7</v>
      </c>
      <c r="E5606" s="1" t="n">
        <v>0.0138</v>
      </c>
      <c r="F5606" s="1" t="n">
        <v>0.0462</v>
      </c>
    </row>
    <row r="5607" customFormat="false" ht="15" hidden="false" customHeight="false" outlineLevel="0" collapsed="false">
      <c r="A5607" s="1" t="s">
        <v>5642</v>
      </c>
      <c r="B5607" s="1" t="s">
        <v>50</v>
      </c>
      <c r="C5607" s="1" t="n">
        <v>447000</v>
      </c>
      <c r="D5607" s="1" t="n">
        <v>74237.5</v>
      </c>
      <c r="E5607" s="1" t="n">
        <v>0.0441</v>
      </c>
      <c r="F5607" s="1" t="n">
        <v>0.0759</v>
      </c>
    </row>
    <row r="5608" customFormat="false" ht="15" hidden="false" customHeight="false" outlineLevel="0" collapsed="false">
      <c r="A5608" s="1" t="s">
        <v>5643</v>
      </c>
      <c r="B5608" s="1" t="s">
        <v>71</v>
      </c>
      <c r="C5608" s="1" t="n">
        <v>476000</v>
      </c>
      <c r="D5608" s="1" t="n">
        <v>1254</v>
      </c>
      <c r="E5608" s="1" t="n">
        <v>0.0228</v>
      </c>
      <c r="F5608" s="1" t="n">
        <v>0.0938</v>
      </c>
    </row>
    <row r="5609" customFormat="false" ht="15" hidden="false" customHeight="false" outlineLevel="0" collapsed="false">
      <c r="A5609" s="1" t="s">
        <v>5644</v>
      </c>
      <c r="B5609" s="1" t="s">
        <v>24</v>
      </c>
      <c r="C5609" s="1" t="n">
        <v>500000</v>
      </c>
      <c r="D5609" s="1" t="n">
        <v>34640.7</v>
      </c>
      <c r="E5609" s="1" t="n">
        <v>0.0475</v>
      </c>
      <c r="F5609" s="1" t="n">
        <v>0.0938</v>
      </c>
    </row>
    <row r="5610" customFormat="false" ht="15" hidden="false" customHeight="false" outlineLevel="0" collapsed="false">
      <c r="A5610" s="1" t="s">
        <v>5645</v>
      </c>
      <c r="B5610" s="1" t="s">
        <v>26</v>
      </c>
      <c r="C5610" s="1" t="n">
        <v>516000</v>
      </c>
      <c r="D5610" s="1" t="n">
        <v>447066</v>
      </c>
      <c r="E5610" s="1" t="n">
        <v>0.0215</v>
      </c>
      <c r="F5610" s="1" t="n">
        <v>0.0462</v>
      </c>
    </row>
    <row r="5611" customFormat="false" ht="15" hidden="false" customHeight="false" outlineLevel="0" collapsed="false">
      <c r="A5611" s="1" t="s">
        <v>5646</v>
      </c>
      <c r="B5611" s="1" t="s">
        <v>24</v>
      </c>
      <c r="C5611" s="1" t="n">
        <v>686000</v>
      </c>
      <c r="D5611" s="1" t="n">
        <v>33278.3</v>
      </c>
      <c r="E5611" s="1" t="n">
        <v>0.0671</v>
      </c>
      <c r="F5611" s="1" t="n">
        <v>0.0938</v>
      </c>
    </row>
    <row r="5612" customFormat="false" ht="15" hidden="false" customHeight="false" outlineLevel="0" collapsed="false">
      <c r="A5612" s="1" t="s">
        <v>5647</v>
      </c>
      <c r="B5612" s="1" t="s">
        <v>21</v>
      </c>
      <c r="C5612" s="1" t="n">
        <v>514000</v>
      </c>
      <c r="D5612" s="1" t="n">
        <v>159978</v>
      </c>
      <c r="E5612" s="1" t="n">
        <v>0.0232</v>
      </c>
      <c r="F5612" s="1" t="n">
        <v>0.1067</v>
      </c>
    </row>
    <row r="5613" customFormat="false" ht="15" hidden="false" customHeight="false" outlineLevel="0" collapsed="false">
      <c r="A5613" s="1" t="s">
        <v>5648</v>
      </c>
      <c r="B5613" s="1" t="s">
        <v>92</v>
      </c>
      <c r="C5613" s="1" t="n">
        <v>412000</v>
      </c>
      <c r="D5613" s="1" t="n">
        <v>1436.7</v>
      </c>
      <c r="E5613" s="1" t="n">
        <v>0.0224</v>
      </c>
      <c r="F5613" s="1" t="n">
        <v>0.095</v>
      </c>
    </row>
    <row r="5614" customFormat="false" ht="15" hidden="false" customHeight="false" outlineLevel="0" collapsed="false">
      <c r="A5614" s="1" t="s">
        <v>5649</v>
      </c>
      <c r="B5614" s="1" t="s">
        <v>26</v>
      </c>
      <c r="C5614" s="1" t="n">
        <v>897000</v>
      </c>
      <c r="D5614" s="1" t="n">
        <v>1434.3</v>
      </c>
      <c r="E5614" s="1" t="n">
        <v>0.0324</v>
      </c>
      <c r="F5614" s="1" t="n">
        <v>0.1226</v>
      </c>
    </row>
    <row r="5615" customFormat="false" ht="15" hidden="false" customHeight="false" outlineLevel="0" collapsed="false">
      <c r="A5615" s="1" t="s">
        <v>5650</v>
      </c>
      <c r="B5615" s="1" t="s">
        <v>26</v>
      </c>
      <c r="C5615" s="1" t="n">
        <v>412000</v>
      </c>
      <c r="D5615" s="1" t="n">
        <v>11287.4</v>
      </c>
      <c r="E5615" s="1" t="n">
        <v>0.0365</v>
      </c>
      <c r="F5615" s="1" t="n">
        <v>0.0951</v>
      </c>
    </row>
    <row r="5616" customFormat="false" ht="15" hidden="false" customHeight="false" outlineLevel="0" collapsed="false">
      <c r="A5616" s="1" t="s">
        <v>5651</v>
      </c>
      <c r="B5616" s="1" t="s">
        <v>26</v>
      </c>
      <c r="C5616" s="1" t="n">
        <v>406000</v>
      </c>
      <c r="D5616" s="1" t="n">
        <v>4809.1</v>
      </c>
      <c r="E5616" s="1" t="n">
        <v>0.0379</v>
      </c>
      <c r="F5616" s="1" t="n">
        <v>0.0518</v>
      </c>
    </row>
    <row r="5617" customFormat="false" ht="15" hidden="false" customHeight="false" outlineLevel="0" collapsed="false">
      <c r="A5617" s="1" t="s">
        <v>5652</v>
      </c>
      <c r="B5617" s="1" t="s">
        <v>41</v>
      </c>
      <c r="C5617" s="1" t="n">
        <v>479000</v>
      </c>
      <c r="D5617" s="1" t="n">
        <v>10</v>
      </c>
      <c r="E5617" s="1" t="n">
        <v>0.0207</v>
      </c>
      <c r="F5617" s="1" t="n">
        <v>0.3024</v>
      </c>
    </row>
    <row r="5618" customFormat="false" ht="15" hidden="false" customHeight="false" outlineLevel="0" collapsed="false">
      <c r="A5618" s="1" t="s">
        <v>5653</v>
      </c>
      <c r="B5618" s="1" t="s">
        <v>41</v>
      </c>
      <c r="C5618" s="1" t="n">
        <v>557000</v>
      </c>
      <c r="D5618" s="1" t="n">
        <v>4120.4</v>
      </c>
      <c r="E5618" s="1" t="n">
        <v>0.0575</v>
      </c>
      <c r="F5618" s="1" t="n">
        <v>0.0759</v>
      </c>
    </row>
    <row r="5619" customFormat="false" ht="15" hidden="false" customHeight="false" outlineLevel="0" collapsed="false">
      <c r="A5619" s="1" t="s">
        <v>5654</v>
      </c>
      <c r="B5619" s="1" t="s">
        <v>74</v>
      </c>
      <c r="C5619" s="1" t="n">
        <v>453000</v>
      </c>
      <c r="D5619" s="1" t="n">
        <v>349.4</v>
      </c>
      <c r="E5619" s="1" t="n">
        <v>0.0402</v>
      </c>
      <c r="F5619" s="1" t="n">
        <v>0.0514</v>
      </c>
    </row>
    <row r="5620" customFormat="false" ht="15" hidden="false" customHeight="false" outlineLevel="0" collapsed="false">
      <c r="A5620" s="1" t="s">
        <v>5655</v>
      </c>
      <c r="B5620" s="1" t="s">
        <v>26</v>
      </c>
      <c r="C5620" s="1" t="n">
        <v>404000</v>
      </c>
      <c r="D5620" s="1" t="n">
        <v>407.8</v>
      </c>
      <c r="E5620" s="1" t="n">
        <v>0.0197</v>
      </c>
      <c r="F5620" s="1" t="n">
        <v>0.2089</v>
      </c>
    </row>
    <row r="5621" customFormat="false" ht="15" hidden="false" customHeight="false" outlineLevel="0" collapsed="false">
      <c r="A5621" s="1" t="s">
        <v>5656</v>
      </c>
      <c r="B5621" s="1" t="s">
        <v>41</v>
      </c>
      <c r="C5621" s="1" t="n">
        <v>465000</v>
      </c>
      <c r="D5621" s="1" t="n">
        <v>7650.3</v>
      </c>
      <c r="E5621" s="1" t="n">
        <v>0.0194</v>
      </c>
      <c r="F5621" s="1" t="n">
        <v>0.095</v>
      </c>
    </row>
    <row r="5622" customFormat="false" ht="15" hidden="false" customHeight="false" outlineLevel="0" collapsed="false">
      <c r="A5622" s="1" t="s">
        <v>5657</v>
      </c>
      <c r="B5622" s="1" t="s">
        <v>88</v>
      </c>
      <c r="C5622" s="1" t="n">
        <v>542000</v>
      </c>
      <c r="D5622" s="1" t="n">
        <v>35562.7</v>
      </c>
      <c r="E5622" s="1" t="n">
        <v>0.0335</v>
      </c>
      <c r="F5622" s="1" t="n">
        <v>0.0951</v>
      </c>
    </row>
    <row r="5623" customFormat="false" ht="15" hidden="false" customHeight="false" outlineLevel="0" collapsed="false">
      <c r="A5623" s="1" t="s">
        <v>5658</v>
      </c>
      <c r="B5623" s="1" t="s">
        <v>41</v>
      </c>
      <c r="C5623" s="1" t="n">
        <v>419000</v>
      </c>
      <c r="D5623" s="1" t="n">
        <v>2969.6</v>
      </c>
      <c r="E5623" s="1" t="n">
        <v>0.0254</v>
      </c>
      <c r="F5623" s="1" t="n">
        <v>0.0679</v>
      </c>
    </row>
    <row r="5624" customFormat="false" ht="15" hidden="false" customHeight="false" outlineLevel="0" collapsed="false">
      <c r="A5624" s="1" t="s">
        <v>5659</v>
      </c>
      <c r="B5624" s="1" t="s">
        <v>53</v>
      </c>
      <c r="C5624" s="1" t="n">
        <v>142000</v>
      </c>
      <c r="D5624" s="1" t="n">
        <v>6927.9</v>
      </c>
      <c r="E5624" s="1" t="n">
        <v>0.0329</v>
      </c>
      <c r="F5624" s="1" t="n">
        <v>0.0845</v>
      </c>
    </row>
    <row r="5625" customFormat="false" ht="15" hidden="false" customHeight="false" outlineLevel="0" collapsed="false">
      <c r="A5625" s="1" t="s">
        <v>5660</v>
      </c>
      <c r="B5625" s="1" t="s">
        <v>24</v>
      </c>
      <c r="C5625" s="1" t="n">
        <v>512000</v>
      </c>
      <c r="D5625" s="1" t="n">
        <v>2714.8</v>
      </c>
      <c r="E5625" s="1" t="n">
        <v>0.0598</v>
      </c>
      <c r="F5625" s="1" t="n">
        <v>0.0938</v>
      </c>
    </row>
    <row r="5626" customFormat="false" ht="15" hidden="false" customHeight="false" outlineLevel="0" collapsed="false">
      <c r="A5626" s="1" t="s">
        <v>5661</v>
      </c>
      <c r="B5626" s="1" t="s">
        <v>32</v>
      </c>
      <c r="C5626" s="1" t="n">
        <v>573000</v>
      </c>
      <c r="D5626" s="1" t="n">
        <v>283892.4</v>
      </c>
      <c r="E5626" s="1" t="n">
        <v>0.0215</v>
      </c>
      <c r="F5626" s="1" t="n">
        <v>0.1067</v>
      </c>
    </row>
    <row r="5627" customFormat="false" ht="15" hidden="false" customHeight="false" outlineLevel="0" collapsed="false">
      <c r="A5627" s="1" t="s">
        <v>5662</v>
      </c>
      <c r="B5627" s="1" t="s">
        <v>24</v>
      </c>
      <c r="C5627" s="1" t="n">
        <v>492000</v>
      </c>
      <c r="D5627" s="1" t="n">
        <v>15410.5</v>
      </c>
      <c r="E5627" s="1" t="n">
        <v>0.0317</v>
      </c>
      <c r="F5627" s="1" t="n">
        <v>0.0951</v>
      </c>
    </row>
    <row r="5628" customFormat="false" ht="15" hidden="false" customHeight="false" outlineLevel="0" collapsed="false">
      <c r="A5628" s="1" t="s">
        <v>5663</v>
      </c>
      <c r="B5628" s="1" t="s">
        <v>92</v>
      </c>
      <c r="C5628" s="1" t="n">
        <v>792000</v>
      </c>
      <c r="D5628" s="1" t="n">
        <v>852021.4</v>
      </c>
      <c r="E5628" s="1" t="n">
        <v>0.0355</v>
      </c>
      <c r="F5628" s="1" t="n">
        <v>0.0518</v>
      </c>
    </row>
    <row r="5629" customFormat="false" ht="15" hidden="false" customHeight="false" outlineLevel="0" collapsed="false">
      <c r="A5629" s="1" t="s">
        <v>5664</v>
      </c>
      <c r="B5629" s="1" t="s">
        <v>24</v>
      </c>
      <c r="C5629" s="1" t="n">
        <v>545000</v>
      </c>
      <c r="D5629" s="1" t="n">
        <v>23347.9</v>
      </c>
      <c r="E5629" s="1" t="n">
        <v>0.0302</v>
      </c>
      <c r="F5629" s="1" t="n">
        <v>0.0938</v>
      </c>
    </row>
    <row r="5630" customFormat="false" ht="15" hidden="false" customHeight="false" outlineLevel="0" collapsed="false">
      <c r="A5630" s="1" t="s">
        <v>5665</v>
      </c>
      <c r="B5630" s="1" t="s">
        <v>88</v>
      </c>
      <c r="C5630" s="1" t="n">
        <v>569000</v>
      </c>
      <c r="D5630" s="1" t="n">
        <v>4871.4</v>
      </c>
      <c r="E5630" s="1" t="n">
        <v>0.0288</v>
      </c>
      <c r="F5630" s="1" t="n">
        <v>0.0938</v>
      </c>
    </row>
    <row r="5631" customFormat="false" ht="15" hidden="false" customHeight="false" outlineLevel="0" collapsed="false">
      <c r="A5631" s="1" t="s">
        <v>5666</v>
      </c>
      <c r="B5631" s="1" t="s">
        <v>195</v>
      </c>
      <c r="C5631" s="1" t="n">
        <v>915000</v>
      </c>
      <c r="D5631" s="1" t="n">
        <v>37664.7</v>
      </c>
      <c r="E5631" s="1" t="n">
        <v>0.0105</v>
      </c>
      <c r="F5631" s="1" t="n">
        <v>0.0654</v>
      </c>
    </row>
    <row r="5632" customFormat="false" ht="15" hidden="false" customHeight="false" outlineLevel="0" collapsed="false">
      <c r="A5632" s="1" t="s">
        <v>5667</v>
      </c>
      <c r="B5632" s="1" t="s">
        <v>26</v>
      </c>
      <c r="C5632" s="1" t="n">
        <v>564000</v>
      </c>
      <c r="D5632" s="1" t="n">
        <v>229316.2</v>
      </c>
      <c r="E5632" s="1" t="n">
        <v>0.017</v>
      </c>
      <c r="F5632" s="1" t="n">
        <v>0.0462</v>
      </c>
    </row>
    <row r="5633" customFormat="false" ht="15" hidden="false" customHeight="false" outlineLevel="0" collapsed="false">
      <c r="A5633" s="1" t="s">
        <v>5668</v>
      </c>
      <c r="B5633" s="1" t="s">
        <v>88</v>
      </c>
      <c r="C5633" s="1" t="n">
        <v>415000</v>
      </c>
      <c r="D5633" s="1" t="n">
        <v>4092.2</v>
      </c>
      <c r="E5633" s="1" t="n">
        <v>0.008</v>
      </c>
      <c r="F5633" s="1" t="n">
        <v>0.0822</v>
      </c>
    </row>
    <row r="5634" customFormat="false" ht="15" hidden="false" customHeight="false" outlineLevel="0" collapsed="false">
      <c r="A5634" s="1" t="s">
        <v>5669</v>
      </c>
      <c r="B5634" s="1" t="s">
        <v>26</v>
      </c>
      <c r="C5634" s="1" t="n">
        <v>506000</v>
      </c>
      <c r="D5634" s="1" t="n">
        <v>224343.8</v>
      </c>
      <c r="E5634" s="1" t="n">
        <v>0.0158</v>
      </c>
      <c r="F5634" s="1" t="n">
        <v>0.0854</v>
      </c>
    </row>
    <row r="5635" customFormat="false" ht="15" hidden="false" customHeight="false" outlineLevel="0" collapsed="false">
      <c r="A5635" s="1" t="s">
        <v>5670</v>
      </c>
      <c r="B5635" s="1" t="s">
        <v>214</v>
      </c>
      <c r="C5635" s="1" t="n">
        <v>449000</v>
      </c>
      <c r="D5635" s="1" t="n">
        <v>2502.6</v>
      </c>
      <c r="E5635" s="1" t="n">
        <v>0.0354</v>
      </c>
      <c r="F5635" s="1" t="n">
        <v>0.0538</v>
      </c>
    </row>
    <row r="5636" customFormat="false" ht="15" hidden="false" customHeight="false" outlineLevel="0" collapsed="false">
      <c r="A5636" s="1" t="s">
        <v>5671</v>
      </c>
      <c r="B5636" s="1" t="s">
        <v>26</v>
      </c>
      <c r="C5636" s="1" t="n">
        <v>476000</v>
      </c>
      <c r="D5636" s="1" t="n">
        <v>27641.1</v>
      </c>
      <c r="E5636" s="1" t="n">
        <v>0.008</v>
      </c>
      <c r="F5636" s="1" t="n">
        <v>0.0822</v>
      </c>
    </row>
    <row r="5637" customFormat="false" ht="15" hidden="false" customHeight="false" outlineLevel="0" collapsed="false">
      <c r="A5637" s="1" t="s">
        <v>5672</v>
      </c>
      <c r="B5637" s="1" t="s">
        <v>26</v>
      </c>
      <c r="C5637" s="1" t="n">
        <v>521000</v>
      </c>
      <c r="D5637" s="1" t="n">
        <v>17233.2</v>
      </c>
      <c r="E5637" s="1" t="n">
        <v>0.0314</v>
      </c>
      <c r="F5637" s="1" t="n">
        <v>0.0759</v>
      </c>
    </row>
    <row r="5638" customFormat="false" ht="15" hidden="false" customHeight="false" outlineLevel="0" collapsed="false">
      <c r="A5638" s="1" t="s">
        <v>5673</v>
      </c>
      <c r="B5638" s="1" t="s">
        <v>26</v>
      </c>
      <c r="C5638" s="1" t="n">
        <v>997000</v>
      </c>
      <c r="D5638" s="1" t="n">
        <v>3739.2</v>
      </c>
      <c r="E5638" s="1" t="n">
        <v>0.0118</v>
      </c>
      <c r="F5638" s="1" t="n">
        <v>0.0726</v>
      </c>
    </row>
    <row r="5639" customFormat="false" ht="15" hidden="false" customHeight="false" outlineLevel="0" collapsed="false">
      <c r="A5639" s="1" t="s">
        <v>5674</v>
      </c>
      <c r="B5639" s="1" t="s">
        <v>50</v>
      </c>
      <c r="C5639" s="1" t="n">
        <v>534000</v>
      </c>
      <c r="D5639" s="1" t="n">
        <v>5992.1</v>
      </c>
      <c r="E5639" s="1" t="n">
        <v>0.0369</v>
      </c>
      <c r="F5639" s="1" t="n">
        <v>0.0951</v>
      </c>
    </row>
    <row r="5640" customFormat="false" ht="15" hidden="false" customHeight="false" outlineLevel="0" collapsed="false">
      <c r="A5640" s="1" t="s">
        <v>5675</v>
      </c>
      <c r="B5640" s="1" t="s">
        <v>35</v>
      </c>
      <c r="C5640" s="1" t="n">
        <v>1140000</v>
      </c>
      <c r="D5640" s="1" t="n">
        <v>3968.9</v>
      </c>
      <c r="E5640" s="1" t="n">
        <v>0.0206</v>
      </c>
      <c r="F5640" s="1" t="n">
        <v>0.0576</v>
      </c>
    </row>
    <row r="5641" customFormat="false" ht="15" hidden="false" customHeight="false" outlineLevel="0" collapsed="false">
      <c r="A5641" s="1" t="s">
        <v>5676</v>
      </c>
      <c r="B5641" s="1" t="s">
        <v>32</v>
      </c>
      <c r="C5641" s="1" t="n">
        <v>400000</v>
      </c>
      <c r="D5641" s="1" t="n">
        <v>2215.5</v>
      </c>
      <c r="E5641" s="1" t="n">
        <v>0.0081</v>
      </c>
      <c r="F5641" s="1" t="n">
        <v>0.0654</v>
      </c>
    </row>
    <row r="5642" customFormat="false" ht="15" hidden="false" customHeight="false" outlineLevel="0" collapsed="false">
      <c r="A5642" s="1" t="s">
        <v>5677</v>
      </c>
      <c r="B5642" s="1" t="s">
        <v>26</v>
      </c>
      <c r="C5642" s="1" t="n">
        <v>173000</v>
      </c>
      <c r="D5642" s="1" t="n">
        <v>10643.3</v>
      </c>
      <c r="E5642" s="1" t="n">
        <v>0.0368</v>
      </c>
      <c r="F5642" s="1" t="n">
        <v>0.1535</v>
      </c>
    </row>
    <row r="5643" customFormat="false" ht="15" hidden="false" customHeight="false" outlineLevel="0" collapsed="false">
      <c r="A5643" s="1" t="s">
        <v>5678</v>
      </c>
      <c r="B5643" s="1" t="s">
        <v>214</v>
      </c>
      <c r="C5643" s="1" t="n">
        <v>619000</v>
      </c>
      <c r="D5643" s="1" t="n">
        <v>3800.2</v>
      </c>
      <c r="E5643" s="1" t="n">
        <v>0.0152</v>
      </c>
      <c r="F5643" s="1" t="n">
        <v>0.0488</v>
      </c>
    </row>
    <row r="5644" customFormat="false" ht="15" hidden="false" customHeight="false" outlineLevel="0" collapsed="false">
      <c r="A5644" s="1" t="s">
        <v>5679</v>
      </c>
      <c r="B5644" s="1" t="s">
        <v>26</v>
      </c>
      <c r="C5644" s="1" t="n">
        <v>615000</v>
      </c>
      <c r="D5644" s="1" t="n">
        <v>336159.1</v>
      </c>
      <c r="E5644" s="1" t="n">
        <v>0.0384</v>
      </c>
      <c r="F5644" s="1" t="n">
        <v>0.0951</v>
      </c>
    </row>
    <row r="5645" customFormat="false" ht="15" hidden="false" customHeight="false" outlineLevel="0" collapsed="false">
      <c r="A5645" s="1" t="s">
        <v>5680</v>
      </c>
      <c r="B5645" s="1" t="s">
        <v>26</v>
      </c>
      <c r="C5645" s="1" t="n">
        <v>412000</v>
      </c>
      <c r="D5645" s="1" t="n">
        <v>111956.7</v>
      </c>
      <c r="E5645" s="1" t="n">
        <v>0.0301</v>
      </c>
      <c r="F5645" s="1" t="n">
        <v>0.0951</v>
      </c>
    </row>
    <row r="5646" customFormat="false" ht="15" hidden="false" customHeight="false" outlineLevel="0" collapsed="false">
      <c r="A5646" s="1" t="s">
        <v>5681</v>
      </c>
      <c r="B5646" s="1" t="s">
        <v>26</v>
      </c>
      <c r="C5646" s="1" t="n">
        <v>624000</v>
      </c>
      <c r="D5646" s="1" t="n">
        <v>41305</v>
      </c>
      <c r="E5646" s="1" t="n">
        <v>0.0862</v>
      </c>
      <c r="F5646" s="1" t="n">
        <v>0.0938</v>
      </c>
    </row>
    <row r="5647" customFormat="false" ht="15" hidden="false" customHeight="false" outlineLevel="0" collapsed="false">
      <c r="A5647" s="1" t="s">
        <v>5682</v>
      </c>
      <c r="B5647" s="1" t="s">
        <v>287</v>
      </c>
      <c r="C5647" s="1" t="n">
        <v>426000</v>
      </c>
      <c r="D5647" s="1" t="n">
        <v>4247.3</v>
      </c>
      <c r="E5647" s="1" t="n">
        <v>0.0589</v>
      </c>
      <c r="F5647" s="1" t="n">
        <v>0.0938</v>
      </c>
    </row>
    <row r="5648" customFormat="false" ht="15" hidden="false" customHeight="false" outlineLevel="0" collapsed="false">
      <c r="A5648" s="1" t="s">
        <v>5683</v>
      </c>
      <c r="B5648" s="1" t="s">
        <v>88</v>
      </c>
      <c r="C5648" s="1" t="n">
        <v>722000</v>
      </c>
      <c r="D5648" s="1" t="n">
        <v>13568.9</v>
      </c>
      <c r="E5648" s="1" t="n">
        <v>0.004</v>
      </c>
      <c r="F5648" s="1" t="n">
        <v>0.0654</v>
      </c>
    </row>
    <row r="5649" customFormat="false" ht="15" hidden="false" customHeight="false" outlineLevel="0" collapsed="false">
      <c r="A5649" s="1" t="s">
        <v>5684</v>
      </c>
      <c r="B5649" s="1" t="s">
        <v>88</v>
      </c>
      <c r="C5649" s="1" t="n">
        <v>534000</v>
      </c>
      <c r="D5649" s="1" t="n">
        <v>14259.6</v>
      </c>
      <c r="E5649" s="1" t="n">
        <v>0.0451</v>
      </c>
      <c r="F5649" s="1" t="n">
        <v>0.0759</v>
      </c>
    </row>
    <row r="5650" customFormat="false" ht="15" hidden="false" customHeight="false" outlineLevel="0" collapsed="false">
      <c r="A5650" s="1" t="s">
        <v>5685</v>
      </c>
      <c r="B5650" s="1" t="s">
        <v>53</v>
      </c>
      <c r="C5650" s="1" t="n">
        <v>537000</v>
      </c>
      <c r="D5650" s="1" t="n">
        <v>42357.4</v>
      </c>
      <c r="E5650" s="1" t="n">
        <v>0.0609</v>
      </c>
      <c r="F5650" s="1" t="n">
        <v>0.0759</v>
      </c>
    </row>
    <row r="5651" customFormat="false" ht="15" hidden="false" customHeight="false" outlineLevel="0" collapsed="false">
      <c r="A5651" s="1" t="s">
        <v>5686</v>
      </c>
      <c r="B5651" s="1" t="s">
        <v>88</v>
      </c>
      <c r="C5651" s="1" t="n">
        <v>881000</v>
      </c>
      <c r="D5651" s="1" t="n">
        <v>25567.4</v>
      </c>
      <c r="E5651" s="1" t="n">
        <v>0.055</v>
      </c>
      <c r="F5651" s="1" t="n">
        <v>0.0938</v>
      </c>
    </row>
    <row r="5652" customFormat="false" ht="15" hidden="false" customHeight="false" outlineLevel="0" collapsed="false">
      <c r="A5652" s="1" t="s">
        <v>5687</v>
      </c>
      <c r="B5652" s="1" t="s">
        <v>26</v>
      </c>
      <c r="C5652" s="1" t="n">
        <v>654000</v>
      </c>
      <c r="D5652" s="1" t="n">
        <v>7179.1</v>
      </c>
      <c r="E5652" s="1" t="n">
        <v>0.0191</v>
      </c>
      <c r="F5652" s="1" t="n">
        <v>0.0462</v>
      </c>
    </row>
    <row r="5653" customFormat="false" ht="15" hidden="false" customHeight="false" outlineLevel="0" collapsed="false">
      <c r="A5653" s="1" t="s">
        <v>5688</v>
      </c>
      <c r="B5653" s="1" t="s">
        <v>26</v>
      </c>
      <c r="C5653" s="1" t="n">
        <v>554000</v>
      </c>
      <c r="D5653" s="1" t="n">
        <v>20505</v>
      </c>
      <c r="E5653" s="1" t="n">
        <v>0.0145</v>
      </c>
      <c r="F5653" s="1" t="n">
        <v>0.1053</v>
      </c>
    </row>
    <row r="5654" customFormat="false" ht="15" hidden="false" customHeight="false" outlineLevel="0" collapsed="false">
      <c r="A5654" s="1" t="s">
        <v>5689</v>
      </c>
      <c r="B5654" s="1" t="s">
        <v>41</v>
      </c>
      <c r="C5654" s="1" t="n">
        <v>421000</v>
      </c>
      <c r="D5654" s="1" t="n">
        <v>2454.7</v>
      </c>
      <c r="E5654" s="1" t="n">
        <v>0.015</v>
      </c>
      <c r="F5654" s="1" t="n">
        <v>0.0726</v>
      </c>
    </row>
    <row r="5655" customFormat="false" ht="15" hidden="false" customHeight="false" outlineLevel="0" collapsed="false">
      <c r="A5655" s="1" t="s">
        <v>5690</v>
      </c>
      <c r="B5655" s="1" t="s">
        <v>26</v>
      </c>
      <c r="C5655" s="1" t="n">
        <v>701000</v>
      </c>
      <c r="D5655" s="1" t="n">
        <v>108069</v>
      </c>
      <c r="E5655" s="1" t="n">
        <v>0.022</v>
      </c>
      <c r="F5655" s="1" t="n">
        <v>0.0432</v>
      </c>
    </row>
    <row r="5656" customFormat="false" ht="15" hidden="false" customHeight="false" outlineLevel="0" collapsed="false">
      <c r="A5656" s="1" t="s">
        <v>5691</v>
      </c>
      <c r="B5656" s="1" t="s">
        <v>26</v>
      </c>
      <c r="C5656" s="1" t="n">
        <v>1690000</v>
      </c>
      <c r="D5656" s="1" t="n">
        <v>1516480</v>
      </c>
      <c r="E5656" s="1" t="n">
        <v>0.0505</v>
      </c>
      <c r="F5656" s="1" t="n">
        <v>0.0409</v>
      </c>
    </row>
    <row r="5657" customFormat="false" ht="15" hidden="false" customHeight="false" outlineLevel="0" collapsed="false">
      <c r="A5657" s="1" t="s">
        <v>5692</v>
      </c>
      <c r="B5657" s="1" t="s">
        <v>26</v>
      </c>
      <c r="C5657" s="1" t="n">
        <v>802000</v>
      </c>
      <c r="D5657" s="1" t="n">
        <v>412503.7</v>
      </c>
      <c r="E5657" s="1" t="n">
        <v>0.0386</v>
      </c>
      <c r="F5657" s="1" t="n">
        <v>0.0759</v>
      </c>
    </row>
    <row r="5658" customFormat="false" ht="15" hidden="false" customHeight="false" outlineLevel="0" collapsed="false">
      <c r="A5658" s="1" t="s">
        <v>5693</v>
      </c>
      <c r="B5658" s="1" t="s">
        <v>88</v>
      </c>
      <c r="C5658" s="1" t="n">
        <v>409000</v>
      </c>
      <c r="D5658" s="1" t="n">
        <v>6176.1</v>
      </c>
      <c r="E5658" s="1" t="n">
        <v>0.0174</v>
      </c>
      <c r="F5658" s="1" t="n">
        <v>0.1372</v>
      </c>
    </row>
    <row r="5659" customFormat="false" ht="15" hidden="false" customHeight="false" outlineLevel="0" collapsed="false">
      <c r="A5659" s="1" t="s">
        <v>5694</v>
      </c>
      <c r="B5659" s="1" t="s">
        <v>92</v>
      </c>
      <c r="C5659" s="1" t="n">
        <v>619000</v>
      </c>
      <c r="D5659" s="1" t="n">
        <v>97154.5</v>
      </c>
      <c r="E5659" s="1" t="n">
        <v>0.0111</v>
      </c>
      <c r="F5659" s="1" t="n">
        <v>0.1067</v>
      </c>
    </row>
    <row r="5660" customFormat="false" ht="15" hidden="false" customHeight="false" outlineLevel="0" collapsed="false">
      <c r="A5660" s="1" t="s">
        <v>5695</v>
      </c>
      <c r="B5660" s="1" t="s">
        <v>26</v>
      </c>
      <c r="C5660" s="1" t="n">
        <v>373000</v>
      </c>
      <c r="D5660" s="1" t="n">
        <v>6257.4</v>
      </c>
      <c r="F5660" s="1" t="n">
        <v>0.0518</v>
      </c>
    </row>
    <row r="5661" customFormat="false" ht="15" hidden="false" customHeight="false" outlineLevel="0" collapsed="false">
      <c r="A5661" s="1" t="s">
        <v>5696</v>
      </c>
      <c r="B5661" s="1" t="s">
        <v>92</v>
      </c>
      <c r="C5661" s="1" t="n">
        <v>392000</v>
      </c>
      <c r="D5661" s="1" t="n">
        <v>5574.9</v>
      </c>
      <c r="E5661" s="1" t="n">
        <v>0.0085</v>
      </c>
      <c r="F5661" s="1" t="n">
        <v>0.0654</v>
      </c>
    </row>
    <row r="5662" customFormat="false" ht="15" hidden="false" customHeight="false" outlineLevel="0" collapsed="false">
      <c r="A5662" s="1" t="s">
        <v>5697</v>
      </c>
      <c r="B5662" s="1" t="s">
        <v>26</v>
      </c>
      <c r="C5662" s="1" t="n">
        <v>563000</v>
      </c>
      <c r="D5662" s="1" t="n">
        <v>11555.1</v>
      </c>
      <c r="E5662" s="1" t="n">
        <v>0.0352</v>
      </c>
      <c r="F5662" s="1" t="n">
        <v>0.0759</v>
      </c>
    </row>
    <row r="5663" customFormat="false" ht="15" hidden="false" customHeight="false" outlineLevel="0" collapsed="false">
      <c r="A5663" s="1" t="s">
        <v>5698</v>
      </c>
      <c r="B5663" s="1" t="s">
        <v>26</v>
      </c>
      <c r="C5663" s="1" t="n">
        <v>533000</v>
      </c>
      <c r="D5663" s="1" t="n">
        <v>19220.5</v>
      </c>
      <c r="E5663" s="1" t="n">
        <v>0.0051</v>
      </c>
      <c r="F5663" s="1" t="n">
        <v>0.0811</v>
      </c>
    </row>
    <row r="5664" customFormat="false" ht="15" hidden="false" customHeight="false" outlineLevel="0" collapsed="false">
      <c r="A5664" s="1" t="s">
        <v>5699</v>
      </c>
      <c r="B5664" s="1" t="s">
        <v>88</v>
      </c>
      <c r="C5664" s="1" t="n">
        <v>768000</v>
      </c>
      <c r="D5664" s="1" t="n">
        <v>655.8</v>
      </c>
      <c r="E5664" s="1" t="n">
        <v>0.1291</v>
      </c>
      <c r="F5664" s="1" t="n">
        <v>0.0938</v>
      </c>
    </row>
    <row r="5665" customFormat="false" ht="15" hidden="false" customHeight="false" outlineLevel="0" collapsed="false">
      <c r="A5665" s="1" t="s">
        <v>5700</v>
      </c>
      <c r="B5665" s="1" t="s">
        <v>26</v>
      </c>
      <c r="C5665" s="1" t="n">
        <v>391000</v>
      </c>
      <c r="D5665" s="1" t="n">
        <v>696.8</v>
      </c>
      <c r="E5665" s="1" t="n">
        <v>0.0291</v>
      </c>
      <c r="F5665" s="1" t="n">
        <v>0.0951</v>
      </c>
    </row>
    <row r="5666" customFormat="false" ht="15" hidden="false" customHeight="false" outlineLevel="0" collapsed="false">
      <c r="A5666" s="1" t="s">
        <v>5701</v>
      </c>
      <c r="B5666" s="1" t="s">
        <v>92</v>
      </c>
      <c r="C5666" s="1" t="n">
        <v>517000</v>
      </c>
      <c r="D5666" s="1" t="n">
        <v>10448.1</v>
      </c>
      <c r="E5666" s="1" t="n">
        <v>0.0255</v>
      </c>
      <c r="F5666" s="1" t="n">
        <v>0.0759</v>
      </c>
    </row>
    <row r="5667" customFormat="false" ht="15" hidden="false" customHeight="false" outlineLevel="0" collapsed="false">
      <c r="A5667" s="1" t="s">
        <v>5702</v>
      </c>
      <c r="B5667" s="1" t="s">
        <v>71</v>
      </c>
      <c r="C5667" s="1" t="n">
        <v>556000</v>
      </c>
      <c r="D5667" s="1" t="n">
        <v>7539.5</v>
      </c>
      <c r="E5667" s="1" t="n">
        <v>0.0106</v>
      </c>
      <c r="F5667" s="1" t="n">
        <v>0.1617</v>
      </c>
    </row>
    <row r="5668" customFormat="false" ht="15" hidden="false" customHeight="false" outlineLevel="0" collapsed="false">
      <c r="A5668" s="1" t="s">
        <v>5703</v>
      </c>
      <c r="B5668" s="1" t="s">
        <v>21</v>
      </c>
      <c r="C5668" s="1" t="n">
        <v>430000</v>
      </c>
      <c r="D5668" s="1" t="n">
        <v>87886.9</v>
      </c>
      <c r="E5668" s="1" t="n">
        <v>0.0263</v>
      </c>
      <c r="F5668" s="1" t="n">
        <v>0.0951</v>
      </c>
    </row>
    <row r="5669" customFormat="false" ht="15" hidden="false" customHeight="false" outlineLevel="0" collapsed="false">
      <c r="A5669" s="1" t="s">
        <v>5704</v>
      </c>
      <c r="B5669" s="1" t="s">
        <v>26</v>
      </c>
      <c r="C5669" s="1" t="n">
        <v>21400000</v>
      </c>
      <c r="D5669" s="1" t="n">
        <v>12589959</v>
      </c>
      <c r="E5669" s="1" t="n">
        <v>0.0225</v>
      </c>
      <c r="F5669" s="1" t="n">
        <v>0.0854</v>
      </c>
    </row>
    <row r="5670" customFormat="false" ht="15" hidden="false" customHeight="false" outlineLevel="0" collapsed="false">
      <c r="A5670" s="1" t="s">
        <v>5705</v>
      </c>
      <c r="B5670" s="1" t="s">
        <v>92</v>
      </c>
      <c r="C5670" s="1" t="n">
        <v>763000</v>
      </c>
      <c r="D5670" s="1" t="n">
        <v>82117.5</v>
      </c>
      <c r="E5670" s="1" t="n">
        <v>0.0148</v>
      </c>
      <c r="F5670" s="1" t="n">
        <v>0.0462</v>
      </c>
    </row>
    <row r="5671" customFormat="false" ht="15" hidden="false" customHeight="false" outlineLevel="0" collapsed="false">
      <c r="A5671" s="1" t="s">
        <v>5706</v>
      </c>
      <c r="B5671" s="1" t="s">
        <v>41</v>
      </c>
      <c r="C5671" s="1" t="n">
        <v>421000</v>
      </c>
      <c r="D5671" s="1" t="n">
        <v>682.3</v>
      </c>
      <c r="E5671" s="1" t="n">
        <v>0.0534</v>
      </c>
      <c r="F5671" s="1" t="n">
        <v>0.051</v>
      </c>
    </row>
    <row r="5672" customFormat="false" ht="15" hidden="false" customHeight="false" outlineLevel="0" collapsed="false">
      <c r="A5672" s="1" t="s">
        <v>5707</v>
      </c>
      <c r="B5672" s="1" t="s">
        <v>26</v>
      </c>
      <c r="C5672" s="1" t="n">
        <v>386000</v>
      </c>
      <c r="D5672" s="1" t="n">
        <v>565.9</v>
      </c>
      <c r="E5672" s="1" t="n">
        <v>0.0156</v>
      </c>
      <c r="F5672" s="1" t="n">
        <v>0.1067</v>
      </c>
    </row>
    <row r="5673" customFormat="false" ht="15" hidden="false" customHeight="false" outlineLevel="0" collapsed="false">
      <c r="A5673" s="1" t="s">
        <v>5708</v>
      </c>
      <c r="B5673" s="1" t="s">
        <v>92</v>
      </c>
      <c r="C5673" s="1" t="n">
        <v>410000</v>
      </c>
      <c r="D5673" s="1" t="n">
        <v>2467.6</v>
      </c>
      <c r="E5673" s="1" t="n">
        <v>0.0213</v>
      </c>
      <c r="F5673" s="1" t="n">
        <v>0.0759</v>
      </c>
    </row>
    <row r="5674" customFormat="false" ht="15" hidden="false" customHeight="false" outlineLevel="0" collapsed="false">
      <c r="A5674" s="1" t="s">
        <v>5709</v>
      </c>
      <c r="B5674" s="1" t="s">
        <v>41</v>
      </c>
      <c r="C5674" s="1" t="n">
        <v>512000</v>
      </c>
      <c r="D5674" s="1" t="n">
        <v>7490.7</v>
      </c>
      <c r="E5674" s="1" t="n">
        <v>0.0205</v>
      </c>
      <c r="F5674" s="1" t="n">
        <v>0.1053</v>
      </c>
    </row>
    <row r="5675" customFormat="false" ht="15" hidden="false" customHeight="false" outlineLevel="0" collapsed="false">
      <c r="A5675" s="1" t="s">
        <v>5710</v>
      </c>
      <c r="B5675" s="1" t="s">
        <v>24</v>
      </c>
      <c r="C5675" s="1" t="n">
        <v>398000</v>
      </c>
      <c r="D5675" s="1" t="n">
        <v>465.2</v>
      </c>
      <c r="E5675" s="1" t="n">
        <v>0.0619</v>
      </c>
      <c r="F5675" s="1" t="n">
        <v>0.0951</v>
      </c>
    </row>
    <row r="5676" customFormat="false" ht="15" hidden="false" customHeight="false" outlineLevel="0" collapsed="false">
      <c r="A5676" s="1" t="s">
        <v>5711</v>
      </c>
      <c r="B5676" s="1" t="s">
        <v>26</v>
      </c>
      <c r="C5676" s="1" t="n">
        <v>439000</v>
      </c>
      <c r="D5676" s="1" t="n">
        <v>6574.4</v>
      </c>
      <c r="E5676" s="1" t="n">
        <v>0.0514</v>
      </c>
      <c r="F5676" s="1" t="n">
        <v>0.0759</v>
      </c>
    </row>
    <row r="5677" customFormat="false" ht="15" hidden="false" customHeight="false" outlineLevel="0" collapsed="false">
      <c r="A5677" s="1" t="s">
        <v>5712</v>
      </c>
      <c r="B5677" s="1" t="s">
        <v>24</v>
      </c>
      <c r="C5677" s="1" t="n">
        <v>475000</v>
      </c>
      <c r="D5677" s="1" t="n">
        <v>4085</v>
      </c>
      <c r="E5677" s="1" t="n">
        <v>0.0479</v>
      </c>
      <c r="F5677" s="1" t="n">
        <v>0.0759</v>
      </c>
    </row>
    <row r="5678" customFormat="false" ht="15" hidden="false" customHeight="false" outlineLevel="0" collapsed="false">
      <c r="A5678" s="1" t="s">
        <v>5713</v>
      </c>
      <c r="B5678" s="1" t="s">
        <v>50</v>
      </c>
      <c r="C5678" s="1" t="n">
        <v>390000</v>
      </c>
      <c r="D5678" s="1" t="n">
        <v>20088.2</v>
      </c>
      <c r="E5678" s="1" t="n">
        <v>0.051</v>
      </c>
      <c r="F5678" s="1" t="n">
        <v>0.0951</v>
      </c>
    </row>
    <row r="5679" customFormat="false" ht="15" hidden="false" customHeight="false" outlineLevel="0" collapsed="false">
      <c r="A5679" s="1" t="s">
        <v>5714</v>
      </c>
      <c r="B5679" s="1" t="s">
        <v>92</v>
      </c>
      <c r="C5679" s="1" t="n">
        <v>390000</v>
      </c>
      <c r="D5679" s="1" t="n">
        <v>375.8</v>
      </c>
      <c r="E5679" s="1" t="n">
        <v>0.0196</v>
      </c>
      <c r="F5679" s="1" t="n">
        <v>0.1372</v>
      </c>
    </row>
    <row r="5680" customFormat="false" ht="15" hidden="false" customHeight="false" outlineLevel="0" collapsed="false">
      <c r="A5680" s="1" t="s">
        <v>5715</v>
      </c>
      <c r="B5680" s="1" t="s">
        <v>88</v>
      </c>
      <c r="C5680" s="1" t="n">
        <v>385000</v>
      </c>
      <c r="D5680" s="1" t="n">
        <v>2800.2</v>
      </c>
      <c r="E5680" s="1" t="n">
        <v>0.0407</v>
      </c>
      <c r="F5680" s="1" t="n">
        <v>0.117</v>
      </c>
    </row>
    <row r="5681" customFormat="false" ht="15" hidden="false" customHeight="false" outlineLevel="0" collapsed="false">
      <c r="A5681" s="1" t="s">
        <v>5716</v>
      </c>
      <c r="B5681" s="1" t="s">
        <v>195</v>
      </c>
      <c r="C5681" s="1" t="n">
        <v>405000</v>
      </c>
      <c r="D5681" s="1" t="n">
        <v>15300.3</v>
      </c>
      <c r="E5681" s="1" t="n">
        <v>0.0143</v>
      </c>
      <c r="F5681" s="1" t="n">
        <v>0.0462</v>
      </c>
    </row>
    <row r="5682" customFormat="false" ht="15" hidden="false" customHeight="false" outlineLevel="0" collapsed="false">
      <c r="A5682" s="1" t="s">
        <v>5717</v>
      </c>
      <c r="B5682" s="1" t="s">
        <v>30</v>
      </c>
      <c r="C5682" s="1" t="n">
        <v>405000</v>
      </c>
      <c r="D5682" s="1" t="n">
        <v>42494.2</v>
      </c>
      <c r="E5682" s="1" t="n">
        <v>0.0278</v>
      </c>
      <c r="F5682" s="1" t="n">
        <v>0.0409</v>
      </c>
    </row>
    <row r="5683" customFormat="false" ht="15" hidden="false" customHeight="false" outlineLevel="0" collapsed="false">
      <c r="A5683" s="1" t="s">
        <v>5718</v>
      </c>
      <c r="B5683" s="1" t="s">
        <v>32</v>
      </c>
      <c r="C5683" s="1" t="n">
        <v>536000</v>
      </c>
      <c r="D5683" s="1" t="n">
        <v>1631.8</v>
      </c>
      <c r="E5683" s="1" t="n">
        <v>0.0122</v>
      </c>
      <c r="F5683" s="1" t="n">
        <v>0.0821</v>
      </c>
    </row>
    <row r="5684" customFormat="false" ht="15" hidden="false" customHeight="false" outlineLevel="0" collapsed="false">
      <c r="A5684" s="1" t="s">
        <v>5719</v>
      </c>
      <c r="B5684" s="1" t="s">
        <v>26</v>
      </c>
      <c r="C5684" s="1" t="n">
        <v>425000</v>
      </c>
      <c r="D5684" s="1" t="n">
        <v>1610.6</v>
      </c>
      <c r="E5684" s="1" t="n">
        <v>0.0279</v>
      </c>
      <c r="F5684" s="1" t="n">
        <v>0.0759</v>
      </c>
    </row>
    <row r="5685" customFormat="false" ht="15" hidden="false" customHeight="false" outlineLevel="0" collapsed="false">
      <c r="A5685" s="1" t="s">
        <v>5720</v>
      </c>
      <c r="B5685" s="1" t="s">
        <v>53</v>
      </c>
      <c r="C5685" s="1" t="n">
        <v>498000</v>
      </c>
      <c r="D5685" s="1" t="n">
        <v>66887.1</v>
      </c>
      <c r="E5685" s="1" t="n">
        <v>0.0135</v>
      </c>
      <c r="F5685" s="1" t="n">
        <v>0.1062</v>
      </c>
    </row>
    <row r="5686" customFormat="false" ht="15" hidden="false" customHeight="false" outlineLevel="0" collapsed="false">
      <c r="A5686" s="1" t="s">
        <v>5721</v>
      </c>
      <c r="B5686" s="1" t="s">
        <v>41</v>
      </c>
      <c r="C5686" s="1" t="n">
        <v>429000</v>
      </c>
      <c r="D5686" s="1" t="n">
        <v>2410.2</v>
      </c>
      <c r="E5686" s="1" t="n">
        <v>0.0442</v>
      </c>
      <c r="F5686" s="1" t="n">
        <v>0.0759</v>
      </c>
    </row>
    <row r="5687" customFormat="false" ht="15" hidden="false" customHeight="false" outlineLevel="0" collapsed="false">
      <c r="A5687" s="1" t="s">
        <v>5722</v>
      </c>
      <c r="B5687" s="1" t="s">
        <v>214</v>
      </c>
      <c r="C5687" s="1" t="n">
        <v>406000</v>
      </c>
      <c r="D5687" s="1" t="n">
        <v>8250.5</v>
      </c>
      <c r="E5687" s="1" t="n">
        <v>0.0209</v>
      </c>
      <c r="F5687" s="1" t="n">
        <v>0.0576</v>
      </c>
    </row>
    <row r="5688" customFormat="false" ht="15" hidden="false" customHeight="false" outlineLevel="0" collapsed="false">
      <c r="A5688" s="1" t="s">
        <v>5723</v>
      </c>
      <c r="B5688" s="1" t="s">
        <v>26</v>
      </c>
      <c r="C5688" s="1" t="n">
        <v>1680000</v>
      </c>
      <c r="D5688" s="1" t="n">
        <v>42182.1</v>
      </c>
      <c r="E5688" s="1" t="n">
        <v>0.0198</v>
      </c>
      <c r="F5688" s="1" t="n">
        <v>0.0462</v>
      </c>
    </row>
    <row r="5689" customFormat="false" ht="15" hidden="false" customHeight="false" outlineLevel="0" collapsed="false">
      <c r="A5689" s="1" t="s">
        <v>5724</v>
      </c>
      <c r="B5689" s="1" t="s">
        <v>26</v>
      </c>
      <c r="C5689" s="1" t="n">
        <v>447000</v>
      </c>
      <c r="D5689" s="1" t="n">
        <v>87760</v>
      </c>
      <c r="E5689" s="1" t="n">
        <v>0.0525</v>
      </c>
      <c r="F5689" s="1" t="n">
        <v>0.0951</v>
      </c>
    </row>
    <row r="5690" customFormat="false" ht="15" hidden="false" customHeight="false" outlineLevel="0" collapsed="false">
      <c r="A5690" s="1" t="s">
        <v>5725</v>
      </c>
      <c r="B5690" s="1" t="s">
        <v>195</v>
      </c>
      <c r="C5690" s="1" t="n">
        <v>550000</v>
      </c>
      <c r="D5690" s="1" t="n">
        <v>2071.2</v>
      </c>
      <c r="E5690" s="1" t="n">
        <v>0.0194</v>
      </c>
      <c r="F5690" s="1" t="n">
        <v>0.1053</v>
      </c>
    </row>
    <row r="5691" customFormat="false" ht="15" hidden="false" customHeight="false" outlineLevel="0" collapsed="false">
      <c r="A5691" s="1" t="s">
        <v>5726</v>
      </c>
      <c r="B5691" s="1" t="s">
        <v>26</v>
      </c>
      <c r="C5691" s="1" t="n">
        <v>433000</v>
      </c>
      <c r="D5691" s="1" t="n">
        <v>2181.1</v>
      </c>
      <c r="E5691" s="1" t="n">
        <v>0.0913</v>
      </c>
      <c r="F5691" s="1" t="n">
        <v>0.0759</v>
      </c>
    </row>
    <row r="5692" customFormat="false" ht="15" hidden="false" customHeight="false" outlineLevel="0" collapsed="false">
      <c r="A5692" s="1" t="s">
        <v>5727</v>
      </c>
      <c r="B5692" s="1" t="s">
        <v>26</v>
      </c>
      <c r="C5692" s="1" t="n">
        <v>507000</v>
      </c>
      <c r="D5692" s="1" t="n">
        <v>738.8</v>
      </c>
      <c r="E5692" s="1" t="n">
        <v>0.0124</v>
      </c>
      <c r="F5692" s="1" t="n">
        <v>0.0811</v>
      </c>
    </row>
    <row r="5693" customFormat="false" ht="15" hidden="false" customHeight="false" outlineLevel="0" collapsed="false">
      <c r="A5693" s="1" t="s">
        <v>5728</v>
      </c>
      <c r="B5693" s="1" t="s">
        <v>35</v>
      </c>
      <c r="C5693" s="1" t="n">
        <v>520000</v>
      </c>
      <c r="D5693" s="1" t="n">
        <v>7626.9</v>
      </c>
      <c r="E5693" s="1" t="n">
        <v>0.1212</v>
      </c>
      <c r="F5693" s="1" t="n">
        <v>0.0759</v>
      </c>
    </row>
    <row r="5694" customFormat="false" ht="15" hidden="false" customHeight="false" outlineLevel="0" collapsed="false">
      <c r="A5694" s="1" t="s">
        <v>5729</v>
      </c>
      <c r="B5694" s="1" t="s">
        <v>28</v>
      </c>
      <c r="C5694" s="1" t="n">
        <v>420000</v>
      </c>
      <c r="D5694" s="1" t="n">
        <v>669.9</v>
      </c>
      <c r="E5694" s="1" t="n">
        <v>0.0093</v>
      </c>
      <c r="F5694" s="1" t="n">
        <v>0.1539</v>
      </c>
    </row>
    <row r="5695" customFormat="false" ht="15" hidden="false" customHeight="false" outlineLevel="0" collapsed="false">
      <c r="A5695" s="1" t="s">
        <v>5730</v>
      </c>
      <c r="B5695" s="1" t="s">
        <v>26</v>
      </c>
      <c r="C5695" s="1" t="n">
        <v>446000</v>
      </c>
      <c r="D5695" s="1" t="n">
        <v>39800.8</v>
      </c>
      <c r="E5695" s="1" t="n">
        <v>0.0687</v>
      </c>
      <c r="F5695" s="1" t="n">
        <v>0.051</v>
      </c>
    </row>
    <row r="5696" customFormat="false" ht="15" hidden="false" customHeight="false" outlineLevel="0" collapsed="false">
      <c r="A5696" s="1" t="s">
        <v>5731</v>
      </c>
      <c r="B5696" s="1" t="s">
        <v>74</v>
      </c>
      <c r="C5696" s="1" t="n">
        <v>424000</v>
      </c>
      <c r="D5696" s="1" t="n">
        <v>113041.2</v>
      </c>
      <c r="E5696" s="1" t="n">
        <v>0.028</v>
      </c>
      <c r="F5696" s="1" t="n">
        <v>0.0951</v>
      </c>
    </row>
    <row r="5697" customFormat="false" ht="15" hidden="false" customHeight="false" outlineLevel="0" collapsed="false">
      <c r="A5697" s="1" t="s">
        <v>5732</v>
      </c>
      <c r="B5697" s="1" t="s">
        <v>92</v>
      </c>
      <c r="C5697" s="1" t="n">
        <v>397000</v>
      </c>
      <c r="D5697" s="1" t="n">
        <v>112.3</v>
      </c>
      <c r="E5697" s="1" t="n">
        <v>0.0435</v>
      </c>
      <c r="F5697" s="1" t="n">
        <v>0.0759</v>
      </c>
    </row>
    <row r="5698" customFormat="false" ht="15" hidden="false" customHeight="false" outlineLevel="0" collapsed="false">
      <c r="A5698" s="1" t="s">
        <v>5733</v>
      </c>
      <c r="B5698" s="1" t="s">
        <v>62</v>
      </c>
      <c r="C5698" s="1" t="n">
        <v>426000</v>
      </c>
      <c r="D5698" s="1" t="n">
        <v>411.3</v>
      </c>
      <c r="E5698" s="1" t="n">
        <v>0.018</v>
      </c>
      <c r="F5698" s="1" t="n">
        <v>0.0462</v>
      </c>
    </row>
    <row r="5699" customFormat="false" ht="15" hidden="false" customHeight="false" outlineLevel="0" collapsed="false">
      <c r="A5699" s="1" t="s">
        <v>5734</v>
      </c>
      <c r="B5699" s="1" t="s">
        <v>88</v>
      </c>
      <c r="C5699" s="1" t="n">
        <v>567000</v>
      </c>
      <c r="D5699" s="1" t="n">
        <v>27165.1</v>
      </c>
      <c r="E5699" s="1" t="n">
        <v>0.0273</v>
      </c>
      <c r="F5699" s="1" t="n">
        <v>0.0951</v>
      </c>
    </row>
    <row r="5700" customFormat="false" ht="15" hidden="false" customHeight="false" outlineLevel="0" collapsed="false">
      <c r="A5700" s="1" t="s">
        <v>5735</v>
      </c>
      <c r="B5700" s="1" t="s">
        <v>26</v>
      </c>
      <c r="C5700" s="1" t="n">
        <v>1180000</v>
      </c>
      <c r="D5700" s="1" t="n">
        <v>367469.4</v>
      </c>
      <c r="E5700" s="1" t="n">
        <v>0.0078</v>
      </c>
      <c r="F5700" s="1" t="n">
        <v>0.0811</v>
      </c>
    </row>
    <row r="5701" customFormat="false" ht="15" hidden="false" customHeight="false" outlineLevel="0" collapsed="false">
      <c r="A5701" s="1" t="s">
        <v>5736</v>
      </c>
      <c r="B5701" s="1" t="s">
        <v>53</v>
      </c>
      <c r="C5701" s="1" t="n">
        <v>653000</v>
      </c>
      <c r="D5701" s="1" t="n">
        <v>35084.7</v>
      </c>
      <c r="E5701" s="1" t="n">
        <v>0.0082</v>
      </c>
      <c r="F5701" s="1" t="n">
        <v>0.0654</v>
      </c>
    </row>
    <row r="5702" customFormat="false" ht="15" hidden="false" customHeight="false" outlineLevel="0" collapsed="false">
      <c r="A5702" s="1" t="s">
        <v>5737</v>
      </c>
      <c r="B5702" s="1" t="s">
        <v>81</v>
      </c>
      <c r="C5702" s="1" t="n">
        <v>376000</v>
      </c>
      <c r="D5702" s="1" t="n">
        <v>2229.1</v>
      </c>
      <c r="E5702" s="1" t="n">
        <v>0.0203</v>
      </c>
      <c r="F5702" s="1" t="n">
        <v>0.1053</v>
      </c>
    </row>
    <row r="5703" customFormat="false" ht="15" hidden="false" customHeight="false" outlineLevel="0" collapsed="false">
      <c r="A5703" s="1" t="s">
        <v>5738</v>
      </c>
      <c r="B5703" s="1" t="s">
        <v>32</v>
      </c>
      <c r="C5703" s="1" t="n">
        <v>527000</v>
      </c>
      <c r="D5703" s="1" t="n">
        <v>111452.2</v>
      </c>
      <c r="E5703" s="1" t="n">
        <v>0.0378</v>
      </c>
      <c r="F5703" s="1" t="n">
        <v>0.0518</v>
      </c>
    </row>
    <row r="5704" customFormat="false" ht="15" hidden="false" customHeight="false" outlineLevel="0" collapsed="false">
      <c r="A5704" s="1" t="s">
        <v>5739</v>
      </c>
      <c r="B5704" s="1" t="s">
        <v>214</v>
      </c>
      <c r="C5704" s="1" t="n">
        <v>412000</v>
      </c>
      <c r="D5704" s="1" t="n">
        <v>5555.2</v>
      </c>
      <c r="E5704" s="1" t="n">
        <v>0.0222</v>
      </c>
      <c r="F5704" s="1" t="n">
        <v>0.1067</v>
      </c>
    </row>
    <row r="5705" customFormat="false" ht="15" hidden="false" customHeight="false" outlineLevel="0" collapsed="false">
      <c r="A5705" s="1" t="s">
        <v>5740</v>
      </c>
      <c r="B5705" s="1" t="s">
        <v>81</v>
      </c>
      <c r="C5705" s="1" t="n">
        <v>429000</v>
      </c>
      <c r="D5705" s="1" t="n">
        <v>8896.4</v>
      </c>
      <c r="E5705" s="1" t="n">
        <v>0.0391</v>
      </c>
      <c r="F5705" s="1" t="n">
        <v>0.1241</v>
      </c>
    </row>
    <row r="5706" customFormat="false" ht="15" hidden="false" customHeight="false" outlineLevel="0" collapsed="false">
      <c r="A5706" s="1" t="s">
        <v>5741</v>
      </c>
      <c r="B5706" s="1" t="s">
        <v>88</v>
      </c>
      <c r="C5706" s="1" t="n">
        <v>515000</v>
      </c>
      <c r="D5706" s="1" t="n">
        <v>1384.6</v>
      </c>
      <c r="E5706" s="1" t="n">
        <v>0.0319</v>
      </c>
      <c r="F5706" s="1" t="n">
        <v>0.0759</v>
      </c>
    </row>
    <row r="5707" customFormat="false" ht="15" hidden="false" customHeight="false" outlineLevel="0" collapsed="false">
      <c r="A5707" s="1" t="s">
        <v>5742</v>
      </c>
      <c r="B5707" s="1" t="s">
        <v>26</v>
      </c>
      <c r="C5707" s="1" t="n">
        <v>219000</v>
      </c>
      <c r="D5707" s="1" t="n">
        <v>35616.1</v>
      </c>
      <c r="F5707" s="1" t="n">
        <v>0.0759</v>
      </c>
    </row>
    <row r="5708" customFormat="false" ht="15" hidden="false" customHeight="false" outlineLevel="0" collapsed="false">
      <c r="A5708" s="1" t="s">
        <v>5743</v>
      </c>
      <c r="B5708" s="1" t="s">
        <v>53</v>
      </c>
      <c r="C5708" s="1" t="n">
        <v>417000</v>
      </c>
      <c r="D5708" s="1" t="n">
        <v>2347.3</v>
      </c>
      <c r="E5708" s="1" t="n">
        <v>0.018</v>
      </c>
      <c r="F5708" s="1" t="n">
        <v>0.1067</v>
      </c>
    </row>
    <row r="5709" customFormat="false" ht="15" hidden="false" customHeight="false" outlineLevel="0" collapsed="false">
      <c r="A5709" s="1" t="s">
        <v>5744</v>
      </c>
      <c r="B5709" s="1" t="s">
        <v>62</v>
      </c>
      <c r="C5709" s="1" t="n">
        <v>701000</v>
      </c>
      <c r="D5709" s="1" t="n">
        <v>258377.9</v>
      </c>
      <c r="E5709" s="1" t="n">
        <v>0.0249</v>
      </c>
      <c r="F5709" s="1" t="n">
        <v>0.0409</v>
      </c>
    </row>
    <row r="5710" customFormat="false" ht="15" hidden="false" customHeight="false" outlineLevel="0" collapsed="false">
      <c r="A5710" s="1" t="s">
        <v>5745</v>
      </c>
      <c r="B5710" s="1" t="s">
        <v>287</v>
      </c>
      <c r="C5710" s="1" t="n">
        <v>542000</v>
      </c>
      <c r="D5710" s="1" t="n">
        <v>24406.1</v>
      </c>
      <c r="E5710" s="1" t="n">
        <v>0.0263</v>
      </c>
      <c r="F5710" s="1" t="n">
        <v>0.0938</v>
      </c>
    </row>
    <row r="5711" customFormat="false" ht="15" hidden="false" customHeight="false" outlineLevel="0" collapsed="false">
      <c r="A5711" s="1" t="s">
        <v>5746</v>
      </c>
      <c r="B5711" s="1" t="s">
        <v>28</v>
      </c>
      <c r="C5711" s="1" t="n">
        <v>622000</v>
      </c>
      <c r="D5711" s="1" t="n">
        <v>85244.9</v>
      </c>
      <c r="E5711" s="1" t="n">
        <v>0.0021</v>
      </c>
      <c r="F5711" s="1" t="n">
        <v>0.0822</v>
      </c>
    </row>
    <row r="5712" customFormat="false" ht="15" hidden="false" customHeight="false" outlineLevel="0" collapsed="false">
      <c r="A5712" s="1" t="s">
        <v>5747</v>
      </c>
      <c r="B5712" s="1" t="s">
        <v>50</v>
      </c>
      <c r="C5712" s="1" t="n">
        <v>465000</v>
      </c>
      <c r="D5712" s="1" t="n">
        <v>119791</v>
      </c>
      <c r="E5712" s="1" t="n">
        <v>0.0467</v>
      </c>
      <c r="F5712" s="1" t="n">
        <v>0.0759</v>
      </c>
    </row>
    <row r="5713" customFormat="false" ht="15" hidden="false" customHeight="false" outlineLevel="0" collapsed="false">
      <c r="A5713" s="1" t="s">
        <v>5748</v>
      </c>
      <c r="B5713" s="1" t="s">
        <v>41</v>
      </c>
      <c r="C5713" s="1" t="n">
        <v>389000</v>
      </c>
      <c r="D5713" s="1" t="n">
        <v>746.8</v>
      </c>
      <c r="E5713" s="1" t="n">
        <v>0.0356</v>
      </c>
      <c r="F5713" s="1" t="n">
        <v>0.0546</v>
      </c>
    </row>
    <row r="5714" customFormat="false" ht="15" hidden="false" customHeight="false" outlineLevel="0" collapsed="false">
      <c r="A5714" s="1" t="s">
        <v>5749</v>
      </c>
      <c r="B5714" s="1" t="s">
        <v>214</v>
      </c>
      <c r="C5714" s="1" t="n">
        <v>369000</v>
      </c>
      <c r="D5714" s="1" t="n">
        <v>488.4</v>
      </c>
      <c r="E5714" s="1" t="n">
        <v>0.0157</v>
      </c>
      <c r="F5714" s="1" t="n">
        <v>0.1067</v>
      </c>
    </row>
    <row r="5715" customFormat="false" ht="15" hidden="false" customHeight="false" outlineLevel="0" collapsed="false">
      <c r="A5715" s="1" t="s">
        <v>5750</v>
      </c>
      <c r="B5715" s="1" t="s">
        <v>24</v>
      </c>
      <c r="C5715" s="1" t="n">
        <v>432000</v>
      </c>
      <c r="D5715" s="1" t="n">
        <v>12202.4</v>
      </c>
      <c r="E5715" s="1" t="n">
        <v>0.044</v>
      </c>
      <c r="F5715" s="1" t="n">
        <v>0.0951</v>
      </c>
    </row>
    <row r="5716" customFormat="false" ht="15" hidden="false" customHeight="false" outlineLevel="0" collapsed="false">
      <c r="A5716" s="1" t="s">
        <v>5751</v>
      </c>
      <c r="B5716" s="1" t="s">
        <v>74</v>
      </c>
      <c r="C5716" s="1" t="n">
        <v>423000</v>
      </c>
      <c r="D5716" s="1" t="n">
        <v>2388.4</v>
      </c>
      <c r="E5716" s="1" t="n">
        <v>0.0158</v>
      </c>
      <c r="F5716" s="1" t="n">
        <v>0.1067</v>
      </c>
    </row>
    <row r="5717" customFormat="false" ht="15" hidden="false" customHeight="false" outlineLevel="0" collapsed="false">
      <c r="A5717" s="1" t="s">
        <v>5752</v>
      </c>
      <c r="B5717" s="1" t="s">
        <v>50</v>
      </c>
      <c r="C5717" s="1" t="n">
        <v>537000</v>
      </c>
      <c r="D5717" s="1" t="n">
        <v>45035.8</v>
      </c>
      <c r="E5717" s="1" t="n">
        <v>0.05</v>
      </c>
      <c r="F5717" s="1" t="n">
        <v>0.0951</v>
      </c>
    </row>
    <row r="5718" customFormat="false" ht="15" hidden="false" customHeight="false" outlineLevel="0" collapsed="false">
      <c r="A5718" s="1" t="s">
        <v>5753</v>
      </c>
      <c r="B5718" s="1" t="s">
        <v>214</v>
      </c>
      <c r="C5718" s="1" t="n">
        <v>147000</v>
      </c>
      <c r="D5718" s="1" t="n">
        <v>4710.5</v>
      </c>
      <c r="E5718" s="1" t="n">
        <v>0.0517</v>
      </c>
      <c r="F5718" s="1" t="n">
        <v>0.0759</v>
      </c>
    </row>
    <row r="5719" customFormat="false" ht="15" hidden="false" customHeight="false" outlineLevel="0" collapsed="false">
      <c r="A5719" s="1" t="s">
        <v>5754</v>
      </c>
      <c r="B5719" s="1" t="s">
        <v>26</v>
      </c>
      <c r="C5719" s="1" t="n">
        <v>508000</v>
      </c>
      <c r="D5719" s="1" t="n">
        <v>330.6</v>
      </c>
      <c r="E5719" s="1" t="n">
        <v>0.008</v>
      </c>
      <c r="F5719" s="1" t="n">
        <v>0.2677</v>
      </c>
    </row>
    <row r="5720" customFormat="false" ht="15" hidden="false" customHeight="false" outlineLevel="0" collapsed="false">
      <c r="A5720" s="1" t="s">
        <v>5755</v>
      </c>
      <c r="B5720" s="1" t="s">
        <v>53</v>
      </c>
      <c r="C5720" s="1" t="n">
        <v>473000</v>
      </c>
      <c r="D5720" s="1" t="n">
        <v>11317.4</v>
      </c>
      <c r="E5720" s="1" t="n">
        <v>0.0223</v>
      </c>
      <c r="F5720" s="1" t="n">
        <v>0.0854</v>
      </c>
    </row>
    <row r="5721" customFormat="false" ht="15" hidden="false" customHeight="false" outlineLevel="0" collapsed="false">
      <c r="A5721" s="1" t="s">
        <v>5756</v>
      </c>
      <c r="B5721" s="1" t="s">
        <v>26</v>
      </c>
      <c r="C5721" s="1" t="n">
        <v>431000</v>
      </c>
      <c r="D5721" s="1" t="n">
        <v>30125.5</v>
      </c>
      <c r="E5721" s="1" t="n">
        <v>0.0196</v>
      </c>
      <c r="F5721" s="1" t="n">
        <v>0.0672</v>
      </c>
    </row>
    <row r="5722" customFormat="false" ht="15" hidden="false" customHeight="false" outlineLevel="0" collapsed="false">
      <c r="A5722" s="1" t="s">
        <v>5757</v>
      </c>
      <c r="B5722" s="1" t="s">
        <v>26</v>
      </c>
      <c r="C5722" s="1" t="n">
        <v>709000</v>
      </c>
      <c r="D5722" s="1" t="n">
        <v>143998</v>
      </c>
      <c r="E5722" s="1" t="n">
        <v>0.0215</v>
      </c>
      <c r="F5722" s="1" t="n">
        <v>0.0462</v>
      </c>
    </row>
    <row r="5723" customFormat="false" ht="15" hidden="false" customHeight="false" outlineLevel="0" collapsed="false">
      <c r="A5723" s="1" t="s">
        <v>5758</v>
      </c>
      <c r="B5723" s="1" t="s">
        <v>88</v>
      </c>
      <c r="C5723" s="1" t="n">
        <v>539000</v>
      </c>
      <c r="D5723" s="1" t="n">
        <v>266.5</v>
      </c>
      <c r="E5723" s="1" t="n">
        <v>0.0626</v>
      </c>
      <c r="F5723" s="1" t="n">
        <v>0.0938</v>
      </c>
    </row>
    <row r="5724" customFormat="false" ht="15" hidden="false" customHeight="false" outlineLevel="0" collapsed="false">
      <c r="A5724" s="1" t="s">
        <v>5759</v>
      </c>
      <c r="B5724" s="1" t="s">
        <v>92</v>
      </c>
      <c r="C5724" s="1" t="n">
        <v>462000</v>
      </c>
      <c r="D5724" s="1" t="n">
        <v>1848.8</v>
      </c>
      <c r="E5724" s="1" t="n">
        <v>0.05</v>
      </c>
      <c r="F5724" s="1" t="n">
        <v>0.0938</v>
      </c>
    </row>
    <row r="5725" customFormat="false" ht="15" hidden="false" customHeight="false" outlineLevel="0" collapsed="false">
      <c r="A5725" s="1" t="s">
        <v>5760</v>
      </c>
      <c r="B5725" s="1" t="s">
        <v>32</v>
      </c>
      <c r="C5725" s="1" t="n">
        <v>809000</v>
      </c>
      <c r="D5725" s="1" t="n">
        <v>2202.3</v>
      </c>
      <c r="E5725" s="1" t="n">
        <v>0.0124</v>
      </c>
      <c r="F5725" s="1" t="n">
        <v>0.0584</v>
      </c>
    </row>
    <row r="5726" customFormat="false" ht="15" hidden="false" customHeight="false" outlineLevel="0" collapsed="false">
      <c r="A5726" s="1" t="s">
        <v>5761</v>
      </c>
      <c r="B5726" s="1" t="s">
        <v>53</v>
      </c>
      <c r="C5726" s="1" t="n">
        <v>465000</v>
      </c>
      <c r="D5726" s="1" t="n">
        <v>5583.3</v>
      </c>
      <c r="E5726" s="1" t="n">
        <v>0.0126</v>
      </c>
      <c r="F5726" s="1" t="n">
        <v>0.1457</v>
      </c>
    </row>
    <row r="5727" customFormat="false" ht="15" hidden="false" customHeight="false" outlineLevel="0" collapsed="false">
      <c r="A5727" s="1" t="s">
        <v>5762</v>
      </c>
      <c r="B5727" s="1" t="s">
        <v>81</v>
      </c>
      <c r="C5727" s="1" t="n">
        <v>516000</v>
      </c>
      <c r="D5727" s="1" t="n">
        <v>7578.9</v>
      </c>
      <c r="E5727" s="1" t="n">
        <v>0.02</v>
      </c>
      <c r="F5727" s="1" t="n">
        <v>0.1053</v>
      </c>
    </row>
    <row r="5728" customFormat="false" ht="15" hidden="false" customHeight="false" outlineLevel="0" collapsed="false">
      <c r="A5728" s="1" t="s">
        <v>5763</v>
      </c>
      <c r="B5728" s="1" t="s">
        <v>41</v>
      </c>
      <c r="C5728" s="1" t="n">
        <v>498000</v>
      </c>
      <c r="D5728" s="1" t="n">
        <v>15.2</v>
      </c>
      <c r="E5728" s="1" t="n">
        <v>0.0295</v>
      </c>
      <c r="F5728" s="1" t="n">
        <v>0.2059</v>
      </c>
    </row>
    <row r="5729" customFormat="false" ht="15" hidden="false" customHeight="false" outlineLevel="0" collapsed="false">
      <c r="A5729" s="1" t="s">
        <v>5764</v>
      </c>
      <c r="B5729" s="1" t="s">
        <v>490</v>
      </c>
      <c r="C5729" s="1" t="n">
        <v>491000</v>
      </c>
      <c r="D5729" s="1" t="n">
        <v>2906.4</v>
      </c>
      <c r="E5729" s="1" t="n">
        <v>0.0097</v>
      </c>
      <c r="F5729" s="1" t="n">
        <v>0.0654</v>
      </c>
    </row>
    <row r="5730" customFormat="false" ht="15" hidden="false" customHeight="false" outlineLevel="0" collapsed="false">
      <c r="A5730" s="1" t="s">
        <v>5765</v>
      </c>
      <c r="B5730" s="1" t="s">
        <v>26</v>
      </c>
      <c r="C5730" s="1" t="n">
        <v>530000</v>
      </c>
      <c r="D5730" s="1" t="n">
        <v>1022.4</v>
      </c>
      <c r="E5730" s="1" t="n">
        <v>0.0193</v>
      </c>
      <c r="F5730" s="1" t="n">
        <v>0.0937</v>
      </c>
    </row>
    <row r="5731" customFormat="false" ht="15" hidden="false" customHeight="false" outlineLevel="0" collapsed="false">
      <c r="A5731" s="1" t="s">
        <v>5766</v>
      </c>
      <c r="B5731" s="1" t="s">
        <v>35</v>
      </c>
      <c r="C5731" s="1" t="n">
        <v>400000</v>
      </c>
      <c r="D5731" s="1" t="n">
        <v>1222.6</v>
      </c>
      <c r="E5731" s="1" t="n">
        <v>0.0065</v>
      </c>
      <c r="F5731" s="1" t="n">
        <v>0.1171</v>
      </c>
    </row>
    <row r="5732" customFormat="false" ht="15" hidden="false" customHeight="false" outlineLevel="0" collapsed="false">
      <c r="A5732" s="1" t="s">
        <v>5767</v>
      </c>
      <c r="B5732" s="1" t="s">
        <v>92</v>
      </c>
      <c r="C5732" s="1" t="n">
        <v>510000</v>
      </c>
      <c r="D5732" s="1" t="n">
        <v>89700.3</v>
      </c>
      <c r="E5732" s="1" t="n">
        <v>0.0777</v>
      </c>
      <c r="F5732" s="1" t="n">
        <v>0.0409</v>
      </c>
    </row>
    <row r="5733" customFormat="false" ht="15" hidden="false" customHeight="false" outlineLevel="0" collapsed="false">
      <c r="A5733" s="1" t="s">
        <v>5768</v>
      </c>
      <c r="B5733" s="1" t="s">
        <v>30</v>
      </c>
      <c r="C5733" s="1" t="n">
        <v>842000</v>
      </c>
      <c r="D5733" s="1" t="n">
        <v>2260.5</v>
      </c>
      <c r="E5733" s="1" t="n">
        <v>0.0315</v>
      </c>
      <c r="F5733" s="1" t="n">
        <v>0.0938</v>
      </c>
    </row>
    <row r="5734" customFormat="false" ht="15" hidden="false" customHeight="false" outlineLevel="0" collapsed="false">
      <c r="A5734" s="1" t="s">
        <v>5769</v>
      </c>
      <c r="B5734" s="1" t="s">
        <v>74</v>
      </c>
      <c r="C5734" s="1" t="n">
        <v>395000</v>
      </c>
      <c r="D5734" s="1" t="n">
        <v>788.1</v>
      </c>
      <c r="E5734" s="1" t="n">
        <v>0.0634</v>
      </c>
      <c r="F5734" s="1" t="n">
        <v>0.0759</v>
      </c>
    </row>
    <row r="5735" customFormat="false" ht="15" hidden="false" customHeight="false" outlineLevel="0" collapsed="false">
      <c r="A5735" s="1" t="s">
        <v>5770</v>
      </c>
      <c r="B5735" s="1" t="s">
        <v>26</v>
      </c>
      <c r="C5735" s="1" t="n">
        <v>402000</v>
      </c>
      <c r="D5735" s="1" t="n">
        <v>4605.5</v>
      </c>
      <c r="E5735" s="1" t="n">
        <v>0.018</v>
      </c>
      <c r="F5735" s="1" t="n">
        <v>0.1067</v>
      </c>
    </row>
    <row r="5736" customFormat="false" ht="15" hidden="false" customHeight="false" outlineLevel="0" collapsed="false">
      <c r="A5736" s="1" t="s">
        <v>5771</v>
      </c>
      <c r="B5736" s="1" t="s">
        <v>214</v>
      </c>
      <c r="C5736" s="1" t="n">
        <v>481000</v>
      </c>
      <c r="D5736" s="1" t="n">
        <v>50.6</v>
      </c>
      <c r="E5736" s="1" t="n">
        <v>0.0488</v>
      </c>
      <c r="F5736" s="1" t="n">
        <v>0.057</v>
      </c>
    </row>
    <row r="5737" customFormat="false" ht="15" hidden="false" customHeight="false" outlineLevel="0" collapsed="false">
      <c r="A5737" s="1" t="s">
        <v>5772</v>
      </c>
      <c r="B5737" s="1" t="s">
        <v>32</v>
      </c>
      <c r="C5737" s="1" t="n">
        <v>430000</v>
      </c>
      <c r="D5737" s="1" t="n">
        <v>9958</v>
      </c>
      <c r="E5737" s="1" t="n">
        <v>0.0085</v>
      </c>
      <c r="F5737" s="1" t="n">
        <v>0.0822</v>
      </c>
    </row>
    <row r="5738" customFormat="false" ht="15" hidden="false" customHeight="false" outlineLevel="0" collapsed="false">
      <c r="A5738" s="1" t="s">
        <v>5773</v>
      </c>
      <c r="B5738" s="1" t="s">
        <v>53</v>
      </c>
      <c r="C5738" s="1" t="n">
        <v>415000</v>
      </c>
      <c r="D5738" s="1" t="n">
        <v>2956.4</v>
      </c>
      <c r="E5738" s="1" t="n">
        <v>0.0018</v>
      </c>
      <c r="F5738" s="1" t="n">
        <v>0.1779</v>
      </c>
    </row>
    <row r="5739" customFormat="false" ht="15" hidden="false" customHeight="false" outlineLevel="0" collapsed="false">
      <c r="A5739" s="1" t="s">
        <v>5774</v>
      </c>
      <c r="B5739" s="1" t="s">
        <v>88</v>
      </c>
      <c r="C5739" s="1" t="n">
        <v>546000</v>
      </c>
      <c r="D5739" s="1" t="n">
        <v>10471.8</v>
      </c>
      <c r="E5739" s="1" t="n">
        <v>0.0247</v>
      </c>
      <c r="F5739" s="1" t="n">
        <v>0.0951</v>
      </c>
    </row>
    <row r="5740" customFormat="false" ht="15" hidden="false" customHeight="false" outlineLevel="0" collapsed="false">
      <c r="A5740" s="1" t="s">
        <v>5775</v>
      </c>
      <c r="B5740" s="1" t="s">
        <v>50</v>
      </c>
      <c r="C5740" s="1" t="n">
        <v>853000</v>
      </c>
      <c r="D5740" s="1" t="n">
        <v>20453.4</v>
      </c>
      <c r="F5740" s="1" t="n">
        <v>0.0759</v>
      </c>
    </row>
    <row r="5741" customFormat="false" ht="15" hidden="false" customHeight="false" outlineLevel="0" collapsed="false">
      <c r="A5741" s="1" t="s">
        <v>5776</v>
      </c>
      <c r="B5741" s="1" t="s">
        <v>26</v>
      </c>
      <c r="C5741" s="1" t="n">
        <v>415000</v>
      </c>
      <c r="D5741" s="1" t="n">
        <v>33510.4</v>
      </c>
      <c r="E5741" s="1" t="n">
        <v>0.0264</v>
      </c>
      <c r="F5741" s="1" t="n">
        <v>0.0759</v>
      </c>
    </row>
    <row r="5742" customFormat="false" ht="15" hidden="false" customHeight="false" outlineLevel="0" collapsed="false">
      <c r="A5742" s="1" t="s">
        <v>5777</v>
      </c>
      <c r="B5742" s="1" t="s">
        <v>26</v>
      </c>
      <c r="C5742" s="1" t="n">
        <v>574000</v>
      </c>
      <c r="D5742" s="1" t="n">
        <v>918096</v>
      </c>
      <c r="E5742" s="1" t="n">
        <v>0.0303</v>
      </c>
      <c r="F5742" s="1" t="n">
        <v>0.0951</v>
      </c>
    </row>
    <row r="5743" customFormat="false" ht="15" hidden="false" customHeight="false" outlineLevel="0" collapsed="false">
      <c r="A5743" s="1" t="s">
        <v>5778</v>
      </c>
      <c r="B5743" s="1" t="s">
        <v>88</v>
      </c>
      <c r="C5743" s="1" t="n">
        <v>397000</v>
      </c>
      <c r="D5743" s="1" t="n">
        <v>864.2</v>
      </c>
      <c r="E5743" s="1" t="n">
        <v>0.042</v>
      </c>
      <c r="F5743" s="1" t="n">
        <v>0.051</v>
      </c>
    </row>
    <row r="5744" customFormat="false" ht="15" hidden="false" customHeight="false" outlineLevel="0" collapsed="false">
      <c r="A5744" s="1" t="s">
        <v>5779</v>
      </c>
      <c r="B5744" s="1" t="s">
        <v>62</v>
      </c>
      <c r="C5744" s="1" t="n">
        <v>531000</v>
      </c>
      <c r="D5744" s="1" t="n">
        <v>197676</v>
      </c>
      <c r="E5744" s="1" t="n">
        <v>0.0276</v>
      </c>
      <c r="F5744" s="1" t="n">
        <v>0.0951</v>
      </c>
    </row>
    <row r="5745" customFormat="false" ht="15" hidden="false" customHeight="false" outlineLevel="0" collapsed="false">
      <c r="A5745" s="1" t="s">
        <v>5780</v>
      </c>
      <c r="B5745" s="1" t="s">
        <v>92</v>
      </c>
      <c r="C5745" s="1" t="n">
        <v>432000</v>
      </c>
      <c r="D5745" s="1" t="n">
        <v>31323.6</v>
      </c>
      <c r="E5745" s="1" t="n">
        <v>0.0408</v>
      </c>
      <c r="F5745" s="1" t="n">
        <v>0.0518</v>
      </c>
    </row>
    <row r="5746" customFormat="false" ht="15" hidden="false" customHeight="false" outlineLevel="0" collapsed="false">
      <c r="A5746" s="1" t="s">
        <v>5781</v>
      </c>
      <c r="B5746" s="1" t="s">
        <v>24</v>
      </c>
      <c r="C5746" s="1" t="n">
        <v>611000</v>
      </c>
      <c r="D5746" s="1" t="n">
        <v>36502.1</v>
      </c>
      <c r="E5746" s="1" t="n">
        <v>0.0489</v>
      </c>
      <c r="F5746" s="1" t="n">
        <v>0.0759</v>
      </c>
    </row>
    <row r="5747" customFormat="false" ht="15" hidden="false" customHeight="false" outlineLevel="0" collapsed="false">
      <c r="A5747" s="1" t="s">
        <v>5782</v>
      </c>
      <c r="B5747" s="1" t="s">
        <v>214</v>
      </c>
      <c r="C5747" s="1" t="n">
        <v>422000</v>
      </c>
      <c r="D5747" s="1" t="n">
        <v>845</v>
      </c>
      <c r="E5747" s="1" t="n">
        <v>0.0196</v>
      </c>
      <c r="F5747" s="1" t="n">
        <v>0.0576</v>
      </c>
    </row>
    <row r="5748" customFormat="false" ht="15" hidden="false" customHeight="false" outlineLevel="0" collapsed="false">
      <c r="A5748" s="1" t="s">
        <v>5783</v>
      </c>
      <c r="B5748" s="1" t="s">
        <v>26</v>
      </c>
      <c r="C5748" s="1" t="n">
        <v>379000</v>
      </c>
      <c r="D5748" s="1" t="n">
        <v>3623.8</v>
      </c>
      <c r="E5748" s="1" t="n">
        <v>0.0094</v>
      </c>
      <c r="F5748" s="1" t="n">
        <v>0.0822</v>
      </c>
    </row>
    <row r="5749" customFormat="false" ht="15" hidden="false" customHeight="false" outlineLevel="0" collapsed="false">
      <c r="A5749" s="1" t="s">
        <v>5784</v>
      </c>
      <c r="B5749" s="1" t="s">
        <v>287</v>
      </c>
      <c r="C5749" s="1" t="n">
        <v>378000</v>
      </c>
      <c r="D5749" s="1" t="n">
        <v>1410.5</v>
      </c>
      <c r="E5749" s="1" t="n">
        <v>0.0287</v>
      </c>
      <c r="F5749" s="1" t="n">
        <v>0.0951</v>
      </c>
    </row>
    <row r="5750" customFormat="false" ht="15" hidden="false" customHeight="false" outlineLevel="0" collapsed="false">
      <c r="A5750" s="1" t="s">
        <v>5785</v>
      </c>
      <c r="B5750" s="1" t="s">
        <v>92</v>
      </c>
      <c r="C5750" s="1" t="n">
        <v>511000</v>
      </c>
      <c r="D5750" s="1" t="n">
        <v>3991.3</v>
      </c>
      <c r="E5750" s="1" t="n">
        <v>0.0311</v>
      </c>
      <c r="F5750" s="1" t="n">
        <v>0.0759</v>
      </c>
    </row>
    <row r="5751" customFormat="false" ht="15" hidden="false" customHeight="false" outlineLevel="0" collapsed="false">
      <c r="A5751" s="1" t="s">
        <v>5786</v>
      </c>
      <c r="B5751" s="1" t="s">
        <v>35</v>
      </c>
      <c r="C5751" s="1" t="n">
        <v>1510000</v>
      </c>
      <c r="D5751" s="1" t="n">
        <v>4040.9</v>
      </c>
      <c r="E5751" s="1" t="n">
        <v>0.0104</v>
      </c>
      <c r="F5751" s="1" t="n">
        <v>0.0811</v>
      </c>
    </row>
    <row r="5752" customFormat="false" ht="15" hidden="false" customHeight="false" outlineLevel="0" collapsed="false">
      <c r="A5752" s="1" t="s">
        <v>5787</v>
      </c>
      <c r="B5752" s="1" t="s">
        <v>81</v>
      </c>
      <c r="C5752" s="1" t="n">
        <v>408000</v>
      </c>
      <c r="D5752" s="1" t="n">
        <v>12412.5</v>
      </c>
      <c r="E5752" s="1" t="n">
        <v>0.0277</v>
      </c>
      <c r="F5752" s="1" t="n">
        <v>0.0759</v>
      </c>
    </row>
    <row r="5753" customFormat="false" ht="15" hidden="false" customHeight="false" outlineLevel="0" collapsed="false">
      <c r="A5753" s="1" t="s">
        <v>5788</v>
      </c>
      <c r="B5753" s="1" t="s">
        <v>26</v>
      </c>
      <c r="C5753" s="1" t="n">
        <v>538000</v>
      </c>
      <c r="D5753" s="1" t="n">
        <v>417805.2</v>
      </c>
      <c r="E5753" s="1" t="n">
        <v>0.0188</v>
      </c>
      <c r="F5753" s="1" t="n">
        <v>0.0589</v>
      </c>
    </row>
    <row r="5754" customFormat="false" ht="15" hidden="false" customHeight="false" outlineLevel="0" collapsed="false">
      <c r="A5754" s="1" t="s">
        <v>5789</v>
      </c>
      <c r="B5754" s="1" t="s">
        <v>88</v>
      </c>
      <c r="C5754" s="1" t="n">
        <v>385000</v>
      </c>
      <c r="D5754" s="1" t="n">
        <v>7215.5</v>
      </c>
      <c r="E5754" s="1" t="n">
        <v>0.0386</v>
      </c>
      <c r="F5754" s="1" t="n">
        <v>0.0951</v>
      </c>
    </row>
    <row r="5755" customFormat="false" ht="15" hidden="false" customHeight="false" outlineLevel="0" collapsed="false">
      <c r="A5755" s="1" t="s">
        <v>5790</v>
      </c>
      <c r="B5755" s="1" t="s">
        <v>26</v>
      </c>
      <c r="C5755" s="1" t="n">
        <v>428000</v>
      </c>
      <c r="D5755" s="1" t="n">
        <v>1186.2</v>
      </c>
      <c r="E5755" s="1" t="n">
        <v>0.0121</v>
      </c>
      <c r="F5755" s="1" t="n">
        <v>0.0811</v>
      </c>
    </row>
    <row r="5756" customFormat="false" ht="15" hidden="false" customHeight="false" outlineLevel="0" collapsed="false">
      <c r="A5756" s="1" t="s">
        <v>5791</v>
      </c>
      <c r="B5756" s="1" t="s">
        <v>35</v>
      </c>
      <c r="C5756" s="1" t="n">
        <v>495000</v>
      </c>
      <c r="D5756" s="1" t="n">
        <v>29535.8</v>
      </c>
      <c r="E5756" s="1" t="n">
        <v>0.0245</v>
      </c>
      <c r="F5756" s="1" t="n">
        <v>0.0759</v>
      </c>
    </row>
    <row r="5757" customFormat="false" ht="15" hidden="false" customHeight="false" outlineLevel="0" collapsed="false">
      <c r="A5757" s="1" t="s">
        <v>5792</v>
      </c>
      <c r="B5757" s="1" t="s">
        <v>74</v>
      </c>
      <c r="C5757" s="1" t="n">
        <v>383000</v>
      </c>
      <c r="D5757" s="1" t="n">
        <v>40906.8</v>
      </c>
      <c r="E5757" s="1" t="n">
        <v>1.1102</v>
      </c>
      <c r="F5757" s="1" t="n">
        <v>0.6513</v>
      </c>
    </row>
    <row r="5758" customFormat="false" ht="15" hidden="false" customHeight="false" outlineLevel="0" collapsed="false">
      <c r="A5758" s="1" t="s">
        <v>5793</v>
      </c>
      <c r="B5758" s="1" t="s">
        <v>24</v>
      </c>
      <c r="C5758" s="1" t="n">
        <v>605000</v>
      </c>
      <c r="D5758" s="1" t="n">
        <v>17816.9</v>
      </c>
      <c r="E5758" s="1" t="n">
        <v>0.0562</v>
      </c>
      <c r="F5758" s="1" t="n">
        <v>0.0759</v>
      </c>
    </row>
    <row r="5759" customFormat="false" ht="15" hidden="false" customHeight="false" outlineLevel="0" collapsed="false">
      <c r="A5759" s="1" t="s">
        <v>5794</v>
      </c>
      <c r="B5759" s="1" t="s">
        <v>88</v>
      </c>
      <c r="C5759" s="1" t="n">
        <v>477000</v>
      </c>
      <c r="D5759" s="1" t="n">
        <v>23950.3</v>
      </c>
      <c r="E5759" s="1" t="n">
        <v>0.0076</v>
      </c>
      <c r="F5759" s="1" t="n">
        <v>0.0822</v>
      </c>
    </row>
    <row r="5760" customFormat="false" ht="15" hidden="false" customHeight="false" outlineLevel="0" collapsed="false">
      <c r="A5760" s="1" t="s">
        <v>5795</v>
      </c>
      <c r="B5760" s="1" t="s">
        <v>88</v>
      </c>
      <c r="C5760" s="1" t="n">
        <v>394000</v>
      </c>
      <c r="D5760" s="1" t="n">
        <v>2575.1</v>
      </c>
      <c r="E5760" s="1" t="n">
        <v>0.0304</v>
      </c>
      <c r="F5760" s="1" t="n">
        <v>0.117</v>
      </c>
    </row>
    <row r="5761" customFormat="false" ht="15" hidden="false" customHeight="false" outlineLevel="0" collapsed="false">
      <c r="A5761" s="1" t="s">
        <v>5796</v>
      </c>
      <c r="B5761" s="1" t="s">
        <v>26</v>
      </c>
      <c r="C5761" s="1" t="n">
        <v>568000</v>
      </c>
      <c r="D5761" s="1" t="n">
        <v>19029.3</v>
      </c>
      <c r="E5761" s="1" t="n">
        <v>0.1118</v>
      </c>
      <c r="F5761" s="1" t="n">
        <v>0.0938</v>
      </c>
    </row>
    <row r="5762" customFormat="false" ht="15" hidden="false" customHeight="false" outlineLevel="0" collapsed="false">
      <c r="A5762" s="1" t="s">
        <v>5797</v>
      </c>
      <c r="B5762" s="1" t="s">
        <v>92</v>
      </c>
      <c r="C5762" s="1" t="n">
        <v>937000</v>
      </c>
      <c r="D5762" s="1" t="n">
        <v>71758.4</v>
      </c>
      <c r="E5762" s="1" t="n">
        <v>0.0245</v>
      </c>
      <c r="F5762" s="1" t="n">
        <v>0.0409</v>
      </c>
    </row>
    <row r="5763" customFormat="false" ht="15" hidden="false" customHeight="false" outlineLevel="0" collapsed="false">
      <c r="A5763" s="1" t="s">
        <v>5798</v>
      </c>
      <c r="B5763" s="1" t="s">
        <v>74</v>
      </c>
      <c r="C5763" s="1" t="n">
        <v>536000</v>
      </c>
      <c r="D5763" s="1" t="n">
        <v>5659.8</v>
      </c>
      <c r="E5763" s="1" t="n">
        <v>0.014</v>
      </c>
      <c r="F5763" s="1" t="n">
        <v>0.0854</v>
      </c>
    </row>
    <row r="5764" customFormat="false" ht="15" hidden="false" customHeight="false" outlineLevel="0" collapsed="false">
      <c r="A5764" s="1" t="s">
        <v>5799</v>
      </c>
      <c r="B5764" s="1" t="s">
        <v>81</v>
      </c>
      <c r="C5764" s="1" t="n">
        <v>555000</v>
      </c>
      <c r="D5764" s="1" t="n">
        <v>14858.1</v>
      </c>
      <c r="E5764" s="1" t="n">
        <v>0.0262</v>
      </c>
      <c r="F5764" s="1" t="n">
        <v>0.0938</v>
      </c>
    </row>
    <row r="5765" customFormat="false" ht="15" hidden="false" customHeight="false" outlineLevel="0" collapsed="false">
      <c r="A5765" s="1" t="s">
        <v>5800</v>
      </c>
      <c r="B5765" s="1" t="s">
        <v>26</v>
      </c>
      <c r="C5765" s="1" t="n">
        <v>383000</v>
      </c>
      <c r="D5765" s="1" t="n">
        <v>11315.1</v>
      </c>
      <c r="F5765" s="1" t="n">
        <v>0.0759</v>
      </c>
    </row>
    <row r="5766" customFormat="false" ht="15" hidden="false" customHeight="false" outlineLevel="0" collapsed="false">
      <c r="A5766" s="1" t="s">
        <v>5801</v>
      </c>
      <c r="B5766" s="1" t="s">
        <v>88</v>
      </c>
      <c r="C5766" s="1" t="n">
        <v>454000</v>
      </c>
      <c r="D5766" s="1" t="n">
        <v>5632.4</v>
      </c>
      <c r="E5766" s="1" t="n">
        <v>0.0255</v>
      </c>
      <c r="F5766" s="1" t="n">
        <v>0.0409</v>
      </c>
    </row>
    <row r="5767" customFormat="false" ht="15" hidden="false" customHeight="false" outlineLevel="0" collapsed="false">
      <c r="A5767" s="1" t="s">
        <v>5802</v>
      </c>
      <c r="B5767" s="1" t="s">
        <v>50</v>
      </c>
      <c r="C5767" s="1" t="n">
        <v>113000</v>
      </c>
      <c r="D5767" s="1" t="n">
        <v>949</v>
      </c>
      <c r="E5767" s="1" t="n">
        <v>0.047</v>
      </c>
      <c r="F5767" s="1" t="n">
        <v>0.0951</v>
      </c>
    </row>
    <row r="5768" customFormat="false" ht="15" hidden="false" customHeight="false" outlineLevel="0" collapsed="false">
      <c r="A5768" s="1" t="s">
        <v>5803</v>
      </c>
      <c r="B5768" s="1" t="s">
        <v>92</v>
      </c>
      <c r="C5768" s="1" t="n">
        <v>365000</v>
      </c>
      <c r="D5768" s="1" t="n">
        <v>727.5</v>
      </c>
      <c r="E5768" s="1" t="n">
        <v>0.0138</v>
      </c>
      <c r="F5768" s="1" t="n">
        <v>0.1695</v>
      </c>
    </row>
    <row r="5769" customFormat="false" ht="15" hidden="false" customHeight="false" outlineLevel="0" collapsed="false">
      <c r="A5769" s="1" t="s">
        <v>5804</v>
      </c>
      <c r="B5769" s="1" t="s">
        <v>26</v>
      </c>
      <c r="C5769" s="1" t="n">
        <v>376000</v>
      </c>
      <c r="D5769" s="1" t="n">
        <v>2511.3</v>
      </c>
      <c r="E5769" s="1" t="n">
        <v>0.0138</v>
      </c>
      <c r="F5769" s="1" t="n">
        <v>0.0657</v>
      </c>
    </row>
    <row r="5770" customFormat="false" ht="15" hidden="false" customHeight="false" outlineLevel="0" collapsed="false">
      <c r="A5770" s="1" t="s">
        <v>5805</v>
      </c>
      <c r="B5770" s="1" t="s">
        <v>88</v>
      </c>
      <c r="C5770" s="1" t="n">
        <v>474000</v>
      </c>
      <c r="D5770" s="1" t="n">
        <v>4609.3</v>
      </c>
      <c r="E5770" s="1" t="n">
        <v>0.0313</v>
      </c>
      <c r="F5770" s="1" t="n">
        <v>0.1184</v>
      </c>
    </row>
    <row r="5771" customFormat="false" ht="15" hidden="false" customHeight="false" outlineLevel="0" collapsed="false">
      <c r="A5771" s="1" t="s">
        <v>5806</v>
      </c>
      <c r="B5771" s="1" t="s">
        <v>53</v>
      </c>
      <c r="C5771" s="1" t="n">
        <v>609000</v>
      </c>
      <c r="D5771" s="1" t="n">
        <v>14859.8</v>
      </c>
      <c r="E5771" s="1" t="n">
        <v>0.0535</v>
      </c>
      <c r="F5771" s="1" t="n">
        <v>0.0759</v>
      </c>
    </row>
    <row r="5772" customFormat="false" ht="15" hidden="false" customHeight="false" outlineLevel="0" collapsed="false">
      <c r="A5772" s="1" t="s">
        <v>5807</v>
      </c>
      <c r="B5772" s="1" t="s">
        <v>92</v>
      </c>
      <c r="C5772" s="1" t="n">
        <v>558000</v>
      </c>
      <c r="D5772" s="1" t="n">
        <v>1776.3</v>
      </c>
      <c r="F5772" s="1" t="n">
        <v>0.0759</v>
      </c>
    </row>
    <row r="5773" customFormat="false" ht="15" hidden="false" customHeight="false" outlineLevel="0" collapsed="false">
      <c r="A5773" s="1" t="s">
        <v>5808</v>
      </c>
      <c r="B5773" s="1" t="s">
        <v>32</v>
      </c>
      <c r="C5773" s="1" t="n">
        <v>497000</v>
      </c>
      <c r="D5773" s="1" t="n">
        <v>10643.9</v>
      </c>
      <c r="E5773" s="1" t="n">
        <v>0.0155</v>
      </c>
      <c r="F5773" s="1" t="n">
        <v>0.0589</v>
      </c>
    </row>
    <row r="5774" customFormat="false" ht="15" hidden="false" customHeight="false" outlineLevel="0" collapsed="false">
      <c r="A5774" s="1" t="s">
        <v>5809</v>
      </c>
      <c r="B5774" s="1" t="s">
        <v>287</v>
      </c>
      <c r="C5774" s="1" t="n">
        <v>520000</v>
      </c>
      <c r="D5774" s="1" t="n">
        <v>107445.3</v>
      </c>
      <c r="E5774" s="1" t="n">
        <v>0.0185</v>
      </c>
      <c r="F5774" s="1" t="n">
        <v>0.0757</v>
      </c>
    </row>
    <row r="5775" customFormat="false" ht="15" hidden="false" customHeight="false" outlineLevel="0" collapsed="false">
      <c r="A5775" s="1" t="s">
        <v>5810</v>
      </c>
      <c r="B5775" s="1" t="s">
        <v>81</v>
      </c>
      <c r="C5775" s="1" t="n">
        <v>430000</v>
      </c>
      <c r="D5775" s="1" t="n">
        <v>6764.1</v>
      </c>
      <c r="E5775" s="1" t="n">
        <v>0.016</v>
      </c>
      <c r="F5775" s="1" t="n">
        <v>0.1053</v>
      </c>
    </row>
    <row r="5776" customFormat="false" ht="15" hidden="false" customHeight="false" outlineLevel="0" collapsed="false">
      <c r="A5776" s="1" t="s">
        <v>5811</v>
      </c>
      <c r="B5776" s="1" t="s">
        <v>62</v>
      </c>
      <c r="C5776" s="1" t="n">
        <v>441000</v>
      </c>
      <c r="D5776" s="1" t="n">
        <v>10641.5</v>
      </c>
      <c r="E5776" s="1" t="n">
        <v>0.0278</v>
      </c>
      <c r="F5776" s="1" t="n">
        <v>0.0409</v>
      </c>
    </row>
    <row r="5777" customFormat="false" ht="15" hidden="false" customHeight="false" outlineLevel="0" collapsed="false">
      <c r="A5777" s="1" t="s">
        <v>5812</v>
      </c>
      <c r="B5777" s="1" t="s">
        <v>50</v>
      </c>
      <c r="C5777" s="1" t="n">
        <v>789000</v>
      </c>
      <c r="D5777" s="1" t="n">
        <v>55331.7</v>
      </c>
      <c r="E5777" s="1" t="n">
        <v>0.065</v>
      </c>
      <c r="F5777" s="1" t="n">
        <v>0.0938</v>
      </c>
    </row>
    <row r="5778" customFormat="false" ht="15" hidden="false" customHeight="false" outlineLevel="0" collapsed="false">
      <c r="A5778" s="1" t="s">
        <v>5813</v>
      </c>
      <c r="B5778" s="1" t="s">
        <v>53</v>
      </c>
      <c r="C5778" s="1" t="n">
        <v>451000</v>
      </c>
      <c r="D5778" s="1" t="n">
        <v>7500.8</v>
      </c>
      <c r="E5778" s="1" t="n">
        <v>0.0635</v>
      </c>
      <c r="F5778" s="1" t="n">
        <v>0.0938</v>
      </c>
    </row>
    <row r="5779" customFormat="false" ht="15" hidden="false" customHeight="false" outlineLevel="0" collapsed="false">
      <c r="A5779" s="1" t="s">
        <v>5814</v>
      </c>
      <c r="B5779" s="1" t="s">
        <v>88</v>
      </c>
      <c r="C5779" s="1" t="n">
        <v>377000</v>
      </c>
      <c r="D5779" s="1" t="n">
        <v>427.4</v>
      </c>
      <c r="E5779" s="1" t="n">
        <v>0.0334</v>
      </c>
      <c r="F5779" s="1" t="n">
        <v>0.0951</v>
      </c>
    </row>
    <row r="5780" customFormat="false" ht="15" hidden="false" customHeight="false" outlineLevel="0" collapsed="false">
      <c r="A5780" s="1" t="s">
        <v>5815</v>
      </c>
      <c r="B5780" s="1" t="s">
        <v>92</v>
      </c>
      <c r="C5780" s="1" t="n">
        <v>454000</v>
      </c>
      <c r="D5780" s="1" t="n">
        <v>11764.8</v>
      </c>
      <c r="F5780" s="1" t="n">
        <v>0.0409</v>
      </c>
    </row>
    <row r="5781" customFormat="false" ht="15" hidden="false" customHeight="false" outlineLevel="0" collapsed="false">
      <c r="A5781" s="1" t="s">
        <v>5816</v>
      </c>
      <c r="B5781" s="1" t="s">
        <v>62</v>
      </c>
      <c r="C5781" s="1" t="n">
        <v>498000</v>
      </c>
      <c r="D5781" s="1" t="n">
        <v>2521.7</v>
      </c>
      <c r="E5781" s="1" t="n">
        <v>0.0469</v>
      </c>
      <c r="F5781" s="1" t="n">
        <v>0.0759</v>
      </c>
    </row>
    <row r="5782" customFormat="false" ht="15" hidden="false" customHeight="false" outlineLevel="0" collapsed="false">
      <c r="A5782" s="1" t="s">
        <v>5817</v>
      </c>
      <c r="B5782" s="1" t="s">
        <v>71</v>
      </c>
      <c r="C5782" s="1" t="n">
        <v>416000</v>
      </c>
      <c r="D5782" s="1" t="n">
        <v>9729.2</v>
      </c>
      <c r="E5782" s="1" t="n">
        <v>0.02</v>
      </c>
      <c r="F5782" s="1" t="n">
        <v>0.0951</v>
      </c>
    </row>
    <row r="5783" customFormat="false" ht="15" hidden="false" customHeight="false" outlineLevel="0" collapsed="false">
      <c r="A5783" s="1" t="s">
        <v>5818</v>
      </c>
      <c r="B5783" s="1" t="s">
        <v>32</v>
      </c>
      <c r="C5783" s="1" t="n">
        <v>470000</v>
      </c>
      <c r="D5783" s="1" t="n">
        <v>646712</v>
      </c>
      <c r="E5783" s="1" t="n">
        <v>0.0121</v>
      </c>
      <c r="F5783" s="1" t="n">
        <v>0.0822</v>
      </c>
    </row>
    <row r="5784" customFormat="false" ht="15" hidden="false" customHeight="false" outlineLevel="0" collapsed="false">
      <c r="A5784" s="1" t="s">
        <v>5819</v>
      </c>
      <c r="B5784" s="1" t="s">
        <v>26</v>
      </c>
      <c r="C5784" s="1" t="n">
        <v>380000</v>
      </c>
      <c r="D5784" s="1" t="n">
        <v>11291.1</v>
      </c>
      <c r="E5784" s="1" t="n">
        <v>0.0274</v>
      </c>
      <c r="F5784" s="1" t="n">
        <v>0.0951</v>
      </c>
    </row>
    <row r="5785" customFormat="false" ht="15" hidden="false" customHeight="false" outlineLevel="0" collapsed="false">
      <c r="A5785" s="1" t="s">
        <v>5820</v>
      </c>
      <c r="B5785" s="1" t="s">
        <v>71</v>
      </c>
      <c r="C5785" s="1" t="n">
        <v>600000</v>
      </c>
      <c r="D5785" s="1" t="n">
        <v>8697.1</v>
      </c>
      <c r="E5785" s="1" t="n">
        <v>0.0251</v>
      </c>
      <c r="F5785" s="1" t="n">
        <v>0.1387</v>
      </c>
    </row>
    <row r="5786" customFormat="false" ht="15" hidden="false" customHeight="false" outlineLevel="0" collapsed="false">
      <c r="A5786" s="1" t="s">
        <v>5821</v>
      </c>
      <c r="B5786" s="1" t="s">
        <v>88</v>
      </c>
      <c r="C5786" s="1" t="n">
        <v>470000</v>
      </c>
      <c r="D5786" s="1" t="n">
        <v>5024.4</v>
      </c>
      <c r="E5786" s="1" t="n">
        <v>0.0041</v>
      </c>
      <c r="F5786" s="1" t="n">
        <v>0.0822</v>
      </c>
    </row>
    <row r="5787" customFormat="false" ht="15" hidden="false" customHeight="false" outlineLevel="0" collapsed="false">
      <c r="A5787" s="1" t="s">
        <v>5822</v>
      </c>
      <c r="B5787" s="1" t="s">
        <v>88</v>
      </c>
      <c r="C5787" s="1" t="n">
        <v>509000</v>
      </c>
      <c r="D5787" s="1" t="n">
        <v>624.2</v>
      </c>
      <c r="E5787" s="1" t="n">
        <v>0.0602</v>
      </c>
      <c r="F5787" s="1" t="n">
        <v>0.0938</v>
      </c>
    </row>
    <row r="5788" customFormat="false" ht="15" hidden="false" customHeight="false" outlineLevel="0" collapsed="false">
      <c r="A5788" s="1" t="s">
        <v>5823</v>
      </c>
      <c r="B5788" s="1" t="s">
        <v>81</v>
      </c>
      <c r="C5788" s="1" t="n">
        <v>450000</v>
      </c>
      <c r="D5788" s="1" t="n">
        <v>41013.1</v>
      </c>
      <c r="E5788" s="1" t="n">
        <v>0.024</v>
      </c>
      <c r="F5788" s="1" t="n">
        <v>0.0759</v>
      </c>
    </row>
    <row r="5789" customFormat="false" ht="15" hidden="false" customHeight="false" outlineLevel="0" collapsed="false">
      <c r="A5789" s="1" t="s">
        <v>5824</v>
      </c>
      <c r="B5789" s="1" t="s">
        <v>287</v>
      </c>
      <c r="C5789" s="1" t="n">
        <v>384000</v>
      </c>
      <c r="D5789" s="1" t="n">
        <v>426.4</v>
      </c>
      <c r="E5789" s="1" t="n">
        <v>0.0171</v>
      </c>
      <c r="F5789" s="1" t="n">
        <v>0.1119</v>
      </c>
    </row>
    <row r="5790" customFormat="false" ht="15" hidden="false" customHeight="false" outlineLevel="0" collapsed="false">
      <c r="A5790" s="1" t="s">
        <v>5825</v>
      </c>
      <c r="B5790" s="1" t="s">
        <v>26</v>
      </c>
      <c r="C5790" s="1" t="n">
        <v>472000</v>
      </c>
      <c r="D5790" s="1" t="n">
        <v>2669.8</v>
      </c>
      <c r="E5790" s="1" t="n">
        <v>0.0771</v>
      </c>
      <c r="F5790" s="1" t="n">
        <v>0.2828</v>
      </c>
    </row>
    <row r="5791" customFormat="false" ht="15" hidden="false" customHeight="false" outlineLevel="0" collapsed="false">
      <c r="A5791" s="1" t="s">
        <v>5826</v>
      </c>
      <c r="B5791" s="1" t="s">
        <v>74</v>
      </c>
      <c r="C5791" s="1" t="n">
        <v>540000</v>
      </c>
      <c r="D5791" s="1" t="n">
        <v>176811.2</v>
      </c>
      <c r="E5791" s="1" t="n">
        <v>0.0716</v>
      </c>
      <c r="F5791" s="1" t="n">
        <v>0.0759</v>
      </c>
    </row>
    <row r="5792" customFormat="false" ht="15" hidden="false" customHeight="false" outlineLevel="0" collapsed="false">
      <c r="A5792" s="1" t="s">
        <v>5827</v>
      </c>
      <c r="B5792" s="1" t="s">
        <v>287</v>
      </c>
      <c r="C5792" s="1" t="n">
        <v>407000</v>
      </c>
      <c r="D5792" s="1" t="n">
        <v>1140.6</v>
      </c>
      <c r="E5792" s="1" t="n">
        <v>0.0099</v>
      </c>
      <c r="F5792" s="1" t="n">
        <v>0.1471</v>
      </c>
    </row>
    <row r="5793" customFormat="false" ht="15" hidden="false" customHeight="false" outlineLevel="0" collapsed="false">
      <c r="A5793" s="1" t="s">
        <v>5828</v>
      </c>
      <c r="B5793" s="1" t="s">
        <v>41</v>
      </c>
      <c r="C5793" s="1" t="n">
        <v>388000</v>
      </c>
      <c r="D5793" s="1" t="n">
        <v>900</v>
      </c>
      <c r="E5793" s="1" t="n">
        <v>0.0092</v>
      </c>
      <c r="F5793" s="1" t="n">
        <v>0.1786</v>
      </c>
    </row>
    <row r="5794" customFormat="false" ht="15" hidden="false" customHeight="false" outlineLevel="0" collapsed="false">
      <c r="A5794" s="1" t="s">
        <v>5829</v>
      </c>
      <c r="B5794" s="1" t="s">
        <v>81</v>
      </c>
      <c r="C5794" s="1" t="n">
        <v>608000</v>
      </c>
      <c r="D5794" s="1" t="n">
        <v>47398.4</v>
      </c>
      <c r="E5794" s="1" t="n">
        <v>0.0258</v>
      </c>
      <c r="F5794" s="1" t="n">
        <v>0.0409</v>
      </c>
    </row>
    <row r="5795" customFormat="false" ht="15" hidden="false" customHeight="false" outlineLevel="0" collapsed="false">
      <c r="A5795" s="1" t="s">
        <v>5830</v>
      </c>
      <c r="B5795" s="1" t="s">
        <v>53</v>
      </c>
      <c r="C5795" s="1" t="n">
        <v>442000</v>
      </c>
      <c r="D5795" s="1" t="n">
        <v>164.7</v>
      </c>
      <c r="E5795" s="1" t="n">
        <v>0.007</v>
      </c>
      <c r="F5795" s="1" t="n">
        <v>0.2677</v>
      </c>
    </row>
    <row r="5796" customFormat="false" ht="15" hidden="false" customHeight="false" outlineLevel="0" collapsed="false">
      <c r="A5796" s="1" t="s">
        <v>5831</v>
      </c>
      <c r="B5796" s="1" t="s">
        <v>26</v>
      </c>
      <c r="C5796" s="1" t="n">
        <v>367000</v>
      </c>
      <c r="D5796" s="1" t="n">
        <v>7998.5</v>
      </c>
      <c r="F5796" s="1" t="n">
        <v>0.0951</v>
      </c>
    </row>
    <row r="5797" customFormat="false" ht="15" hidden="false" customHeight="false" outlineLevel="0" collapsed="false">
      <c r="A5797" s="1" t="s">
        <v>5832</v>
      </c>
      <c r="B5797" s="1" t="s">
        <v>24</v>
      </c>
      <c r="C5797" s="1" t="n">
        <v>490000</v>
      </c>
      <c r="D5797" s="1" t="n">
        <v>2499.6</v>
      </c>
      <c r="E5797" s="1" t="n">
        <v>0.0233</v>
      </c>
      <c r="F5797" s="1" t="n">
        <v>0.0576</v>
      </c>
    </row>
    <row r="5798" customFormat="false" ht="15" hidden="false" customHeight="false" outlineLevel="0" collapsed="false">
      <c r="A5798" s="1" t="s">
        <v>5833</v>
      </c>
      <c r="B5798" s="1" t="s">
        <v>92</v>
      </c>
      <c r="C5798" s="1" t="n">
        <v>400000</v>
      </c>
      <c r="D5798" s="1" t="n">
        <v>87729.3</v>
      </c>
      <c r="E5798" s="1" t="n">
        <v>0.0166</v>
      </c>
      <c r="F5798" s="1" t="n">
        <v>0.1067</v>
      </c>
    </row>
    <row r="5799" customFormat="false" ht="15" hidden="false" customHeight="false" outlineLevel="0" collapsed="false">
      <c r="A5799" s="1" t="s">
        <v>5834</v>
      </c>
      <c r="B5799" s="1" t="s">
        <v>88</v>
      </c>
      <c r="C5799" s="1" t="n">
        <v>535000</v>
      </c>
      <c r="D5799" s="1" t="n">
        <v>2118.3</v>
      </c>
      <c r="E5799" s="1" t="n">
        <v>0.0737</v>
      </c>
      <c r="F5799" s="1" t="n">
        <v>0.0759</v>
      </c>
    </row>
    <row r="5800" customFormat="false" ht="15" hidden="false" customHeight="false" outlineLevel="0" collapsed="false">
      <c r="A5800" s="1" t="s">
        <v>5835</v>
      </c>
      <c r="B5800" s="1" t="s">
        <v>26</v>
      </c>
      <c r="C5800" s="1" t="n">
        <v>380000</v>
      </c>
      <c r="D5800" s="1" t="n">
        <v>8055.6</v>
      </c>
      <c r="E5800" s="1" t="n">
        <v>0.0242</v>
      </c>
      <c r="F5800" s="1" t="n">
        <v>0.0951</v>
      </c>
    </row>
    <row r="5801" customFormat="false" ht="15" hidden="false" customHeight="false" outlineLevel="0" collapsed="false">
      <c r="A5801" s="1" t="s">
        <v>5836</v>
      </c>
      <c r="B5801" s="1" t="s">
        <v>50</v>
      </c>
      <c r="C5801" s="1" t="n">
        <v>429000</v>
      </c>
      <c r="D5801" s="1" t="n">
        <v>1651.4</v>
      </c>
      <c r="E5801" s="1" t="n">
        <v>0.0438</v>
      </c>
      <c r="F5801" s="1" t="n">
        <v>0.0938</v>
      </c>
    </row>
    <row r="5802" customFormat="false" ht="15" hidden="false" customHeight="false" outlineLevel="0" collapsed="false">
      <c r="A5802" s="1" t="s">
        <v>5837</v>
      </c>
      <c r="B5802" s="1" t="s">
        <v>92</v>
      </c>
      <c r="C5802" s="1" t="n">
        <v>434000</v>
      </c>
      <c r="D5802" s="1" t="n">
        <v>27838.2</v>
      </c>
      <c r="E5802" s="1" t="n">
        <v>0.0231</v>
      </c>
      <c r="F5802" s="1" t="n">
        <v>0.051</v>
      </c>
    </row>
    <row r="5803" customFormat="false" ht="15" hidden="false" customHeight="false" outlineLevel="0" collapsed="false">
      <c r="A5803" s="1" t="s">
        <v>5838</v>
      </c>
      <c r="B5803" s="1" t="s">
        <v>88</v>
      </c>
      <c r="C5803" s="1" t="n">
        <v>502000</v>
      </c>
      <c r="D5803" s="1" t="n">
        <v>131031.9</v>
      </c>
      <c r="E5803" s="1" t="n">
        <v>0.0268</v>
      </c>
      <c r="F5803" s="1" t="n">
        <v>0.117</v>
      </c>
    </row>
    <row r="5804" customFormat="false" ht="15" hidden="false" customHeight="false" outlineLevel="0" collapsed="false">
      <c r="A5804" s="1" t="s">
        <v>5839</v>
      </c>
      <c r="B5804" s="1" t="s">
        <v>53</v>
      </c>
      <c r="C5804" s="1" t="n">
        <v>435000</v>
      </c>
      <c r="D5804" s="1" t="n">
        <v>12162.7</v>
      </c>
      <c r="E5804" s="1" t="n">
        <v>0.025</v>
      </c>
      <c r="F5804" s="1" t="n">
        <v>0.0759</v>
      </c>
    </row>
    <row r="5805" customFormat="false" ht="15" hidden="false" customHeight="false" outlineLevel="0" collapsed="false">
      <c r="A5805" s="1" t="s">
        <v>5840</v>
      </c>
      <c r="B5805" s="1" t="s">
        <v>88</v>
      </c>
      <c r="C5805" s="1" t="n">
        <v>542000</v>
      </c>
      <c r="D5805" s="1" t="n">
        <v>6334.8</v>
      </c>
      <c r="E5805" s="1" t="n">
        <v>0.0572</v>
      </c>
      <c r="F5805" s="1" t="n">
        <v>0.0938</v>
      </c>
    </row>
    <row r="5806" customFormat="false" ht="15" hidden="false" customHeight="false" outlineLevel="0" collapsed="false">
      <c r="A5806" s="1" t="s">
        <v>5841</v>
      </c>
      <c r="B5806" s="1" t="s">
        <v>26</v>
      </c>
      <c r="C5806" s="1" t="n">
        <v>613000</v>
      </c>
      <c r="D5806" s="1" t="n">
        <v>179398.9</v>
      </c>
      <c r="E5806" s="1" t="n">
        <v>0.0428</v>
      </c>
      <c r="F5806" s="1" t="n">
        <v>0.051</v>
      </c>
    </row>
    <row r="5807" customFormat="false" ht="15" hidden="false" customHeight="false" outlineLevel="0" collapsed="false">
      <c r="A5807" s="1" t="s">
        <v>5842</v>
      </c>
      <c r="B5807" s="1" t="s">
        <v>287</v>
      </c>
      <c r="C5807" s="1" t="n">
        <v>443000</v>
      </c>
      <c r="D5807" s="1" t="n">
        <v>93875.8</v>
      </c>
      <c r="E5807" s="1" t="n">
        <v>0.0196</v>
      </c>
      <c r="F5807" s="1" t="n">
        <v>0.0518</v>
      </c>
    </row>
    <row r="5808" customFormat="false" ht="15" hidden="false" customHeight="false" outlineLevel="0" collapsed="false">
      <c r="A5808" s="1" t="s">
        <v>5843</v>
      </c>
      <c r="B5808" s="1" t="s">
        <v>26</v>
      </c>
      <c r="C5808" s="1" t="n">
        <v>439000</v>
      </c>
      <c r="D5808" s="1" t="n">
        <v>44553.2</v>
      </c>
      <c r="E5808" s="1" t="n">
        <v>0.0247</v>
      </c>
      <c r="F5808" s="1" t="n">
        <v>0.0951</v>
      </c>
    </row>
    <row r="5809" customFormat="false" ht="15" hidden="false" customHeight="false" outlineLevel="0" collapsed="false">
      <c r="A5809" s="1" t="s">
        <v>5844</v>
      </c>
      <c r="B5809" s="1" t="s">
        <v>92</v>
      </c>
      <c r="C5809" s="1" t="n">
        <v>624000</v>
      </c>
      <c r="D5809" s="1" t="n">
        <v>2555.3</v>
      </c>
      <c r="F5809" s="1" t="n">
        <v>0.0938</v>
      </c>
    </row>
    <row r="5810" customFormat="false" ht="15" hidden="false" customHeight="false" outlineLevel="0" collapsed="false">
      <c r="A5810" s="1" t="s">
        <v>5845</v>
      </c>
      <c r="B5810" s="1" t="s">
        <v>26</v>
      </c>
      <c r="C5810" s="1" t="n">
        <v>395000</v>
      </c>
      <c r="D5810" s="1" t="n">
        <v>4210.5</v>
      </c>
      <c r="E5810" s="1" t="n">
        <v>0.0489</v>
      </c>
      <c r="F5810" s="1" t="n">
        <v>0.0951</v>
      </c>
    </row>
    <row r="5811" customFormat="false" ht="15" hidden="false" customHeight="false" outlineLevel="0" collapsed="false">
      <c r="A5811" s="1" t="s">
        <v>5846</v>
      </c>
      <c r="B5811" s="1" t="s">
        <v>26</v>
      </c>
      <c r="C5811" s="1" t="n">
        <v>385000</v>
      </c>
      <c r="D5811" s="1" t="n">
        <v>6075.9</v>
      </c>
      <c r="E5811" s="1" t="n">
        <v>0.0302</v>
      </c>
      <c r="F5811" s="1" t="n">
        <v>0.0759</v>
      </c>
    </row>
    <row r="5812" customFormat="false" ht="15" hidden="false" customHeight="false" outlineLevel="0" collapsed="false">
      <c r="A5812" s="1" t="s">
        <v>5847</v>
      </c>
      <c r="B5812" s="1" t="s">
        <v>71</v>
      </c>
      <c r="C5812" s="1" t="n">
        <v>581000</v>
      </c>
      <c r="D5812" s="1" t="n">
        <v>23323.4</v>
      </c>
      <c r="E5812" s="1" t="n">
        <v>0.051</v>
      </c>
      <c r="F5812" s="1" t="n">
        <v>0.0759</v>
      </c>
    </row>
    <row r="5813" customFormat="false" ht="15" hidden="false" customHeight="false" outlineLevel="0" collapsed="false">
      <c r="A5813" s="1" t="s">
        <v>5848</v>
      </c>
      <c r="B5813" s="1" t="s">
        <v>62</v>
      </c>
      <c r="C5813" s="1" t="n">
        <v>392000</v>
      </c>
      <c r="D5813" s="1" t="n">
        <v>36623</v>
      </c>
      <c r="E5813" s="1" t="n">
        <v>0.0386</v>
      </c>
      <c r="F5813" s="1" t="n">
        <v>0.0951</v>
      </c>
    </row>
    <row r="5814" customFormat="false" ht="15" hidden="false" customHeight="false" outlineLevel="0" collapsed="false">
      <c r="A5814" s="1" t="s">
        <v>5849</v>
      </c>
      <c r="B5814" s="1" t="s">
        <v>26</v>
      </c>
      <c r="C5814" s="1" t="n">
        <v>653000</v>
      </c>
      <c r="D5814" s="1" t="n">
        <v>10431.6</v>
      </c>
      <c r="E5814" s="1" t="n">
        <v>0.0392</v>
      </c>
      <c r="F5814" s="1" t="n">
        <v>0.0951</v>
      </c>
    </row>
    <row r="5815" customFormat="false" ht="15" hidden="false" customHeight="false" outlineLevel="0" collapsed="false">
      <c r="A5815" s="1" t="s">
        <v>5850</v>
      </c>
      <c r="B5815" s="1" t="s">
        <v>35</v>
      </c>
      <c r="C5815" s="1" t="n">
        <v>434000</v>
      </c>
      <c r="D5815" s="1" t="n">
        <v>35805.9</v>
      </c>
      <c r="E5815" s="1" t="n">
        <v>0.0233</v>
      </c>
      <c r="F5815" s="1" t="n">
        <v>0.1688</v>
      </c>
    </row>
    <row r="5816" customFormat="false" ht="15" hidden="false" customHeight="false" outlineLevel="0" collapsed="false">
      <c r="A5816" s="1" t="s">
        <v>5851</v>
      </c>
      <c r="B5816" s="1" t="s">
        <v>26</v>
      </c>
      <c r="C5816" s="1" t="n">
        <v>396000</v>
      </c>
      <c r="D5816" s="1" t="n">
        <v>12089.2</v>
      </c>
      <c r="E5816" s="1" t="n">
        <v>0.0205</v>
      </c>
      <c r="F5816" s="1" t="n">
        <v>0.0518</v>
      </c>
    </row>
    <row r="5817" customFormat="false" ht="15" hidden="false" customHeight="false" outlineLevel="0" collapsed="false">
      <c r="A5817" s="1" t="s">
        <v>5852</v>
      </c>
      <c r="B5817" s="1" t="s">
        <v>26</v>
      </c>
      <c r="C5817" s="1" t="n">
        <v>2230000</v>
      </c>
      <c r="D5817" s="1" t="n">
        <v>132414.2</v>
      </c>
      <c r="E5817" s="1" t="n">
        <v>0.0311</v>
      </c>
      <c r="F5817" s="1" t="n">
        <v>0.0409</v>
      </c>
    </row>
    <row r="5818" customFormat="false" ht="15" hidden="false" customHeight="false" outlineLevel="0" collapsed="false">
      <c r="A5818" s="1" t="s">
        <v>5853</v>
      </c>
      <c r="B5818" s="1" t="s">
        <v>41</v>
      </c>
      <c r="C5818" s="1" t="n">
        <v>546000</v>
      </c>
      <c r="D5818" s="1" t="n">
        <v>122742.9</v>
      </c>
      <c r="E5818" s="1" t="n">
        <v>0.0097</v>
      </c>
      <c r="F5818" s="1" t="n">
        <v>0.0654</v>
      </c>
    </row>
    <row r="5819" customFormat="false" ht="15" hidden="false" customHeight="false" outlineLevel="0" collapsed="false">
      <c r="A5819" s="1" t="s">
        <v>5854</v>
      </c>
      <c r="B5819" s="1" t="s">
        <v>24</v>
      </c>
      <c r="C5819" s="1" t="n">
        <v>383000</v>
      </c>
      <c r="D5819" s="1" t="n">
        <v>108.5</v>
      </c>
      <c r="E5819" s="1" t="n">
        <v>0.0387</v>
      </c>
      <c r="F5819" s="1" t="n">
        <v>0.117</v>
      </c>
    </row>
    <row r="5820" customFormat="false" ht="15" hidden="false" customHeight="false" outlineLevel="0" collapsed="false">
      <c r="A5820" s="1" t="s">
        <v>5855</v>
      </c>
      <c r="B5820" s="1" t="s">
        <v>71</v>
      </c>
      <c r="C5820" s="1" t="n">
        <v>468000</v>
      </c>
      <c r="D5820" s="1" t="n">
        <v>35339.7</v>
      </c>
      <c r="E5820" s="1" t="n">
        <v>0.0332</v>
      </c>
      <c r="F5820" s="1" t="n">
        <v>0.0759</v>
      </c>
    </row>
    <row r="5821" customFormat="false" ht="15" hidden="false" customHeight="false" outlineLevel="0" collapsed="false">
      <c r="A5821" s="1" t="s">
        <v>5856</v>
      </c>
      <c r="B5821" s="1" t="s">
        <v>74</v>
      </c>
      <c r="C5821" s="1" t="n">
        <v>384000</v>
      </c>
      <c r="D5821" s="1" t="n">
        <v>422</v>
      </c>
      <c r="E5821" s="1" t="n">
        <v>0.0244</v>
      </c>
      <c r="F5821" s="1" t="n">
        <v>0.187</v>
      </c>
    </row>
    <row r="5822" customFormat="false" ht="15" hidden="false" customHeight="false" outlineLevel="0" collapsed="false">
      <c r="A5822" s="1" t="s">
        <v>5857</v>
      </c>
      <c r="B5822" s="1" t="s">
        <v>26</v>
      </c>
      <c r="C5822" s="1" t="n">
        <v>371000</v>
      </c>
      <c r="D5822" s="1" t="n">
        <v>792.5</v>
      </c>
      <c r="E5822" s="1" t="n">
        <v>0.017</v>
      </c>
      <c r="F5822" s="1" t="n">
        <v>0.1886</v>
      </c>
    </row>
    <row r="5823" customFormat="false" ht="15" hidden="false" customHeight="false" outlineLevel="0" collapsed="false">
      <c r="A5823" s="1" t="s">
        <v>5858</v>
      </c>
      <c r="B5823" s="1" t="s">
        <v>287</v>
      </c>
      <c r="C5823" s="1" t="n">
        <v>411000</v>
      </c>
      <c r="D5823" s="1" t="n">
        <v>50137.8</v>
      </c>
      <c r="E5823" s="1" t="n">
        <v>0.0134</v>
      </c>
      <c r="F5823" s="1" t="n">
        <v>0.0584</v>
      </c>
    </row>
    <row r="5824" customFormat="false" ht="15" hidden="false" customHeight="false" outlineLevel="0" collapsed="false">
      <c r="A5824" s="1" t="s">
        <v>5859</v>
      </c>
      <c r="B5824" s="1" t="s">
        <v>26</v>
      </c>
      <c r="C5824" s="1" t="n">
        <v>438000</v>
      </c>
      <c r="D5824" s="1" t="n">
        <v>8726</v>
      </c>
      <c r="E5824" s="1" t="n">
        <v>0.0511</v>
      </c>
      <c r="F5824" s="1" t="n">
        <v>0.0951</v>
      </c>
    </row>
    <row r="5825" customFormat="false" ht="15" hidden="false" customHeight="false" outlineLevel="0" collapsed="false">
      <c r="A5825" s="1" t="s">
        <v>5860</v>
      </c>
      <c r="B5825" s="1" t="s">
        <v>26</v>
      </c>
      <c r="C5825" s="1" t="n">
        <v>819000</v>
      </c>
      <c r="D5825" s="1" t="n">
        <v>4829.8</v>
      </c>
      <c r="E5825" s="1" t="n">
        <v>0.0314</v>
      </c>
      <c r="F5825" s="1" t="n">
        <v>0.0938</v>
      </c>
    </row>
    <row r="5826" customFormat="false" ht="15" hidden="false" customHeight="false" outlineLevel="0" collapsed="false">
      <c r="A5826" s="1" t="s">
        <v>5861</v>
      </c>
      <c r="B5826" s="1" t="s">
        <v>92</v>
      </c>
      <c r="C5826" s="1" t="n">
        <v>376000</v>
      </c>
      <c r="D5826" s="1" t="n">
        <v>2073.9</v>
      </c>
      <c r="E5826" s="1" t="n">
        <v>0.0124</v>
      </c>
      <c r="F5826" s="1" t="n">
        <v>0.052</v>
      </c>
    </row>
    <row r="5827" customFormat="false" ht="15" hidden="false" customHeight="false" outlineLevel="0" collapsed="false">
      <c r="A5827" s="1" t="s">
        <v>5862</v>
      </c>
      <c r="B5827" s="1" t="s">
        <v>26</v>
      </c>
      <c r="C5827" s="1" t="n">
        <v>413000</v>
      </c>
      <c r="D5827" s="1" t="n">
        <v>50392.8</v>
      </c>
      <c r="E5827" s="1" t="n">
        <v>0.0347</v>
      </c>
      <c r="F5827" s="1" t="n">
        <v>0.0759</v>
      </c>
    </row>
    <row r="5828" customFormat="false" ht="15" hidden="false" customHeight="false" outlineLevel="0" collapsed="false">
      <c r="A5828" s="1" t="s">
        <v>5863</v>
      </c>
      <c r="B5828" s="1" t="s">
        <v>32</v>
      </c>
      <c r="C5828" s="1" t="n">
        <v>388000</v>
      </c>
      <c r="D5828" s="1" t="n">
        <v>24109.4</v>
      </c>
      <c r="E5828" s="1" t="n">
        <v>0.0427</v>
      </c>
      <c r="F5828" s="1" t="n">
        <v>0.0518</v>
      </c>
    </row>
    <row r="5829" customFormat="false" ht="15" hidden="false" customHeight="false" outlineLevel="0" collapsed="false">
      <c r="A5829" s="1" t="s">
        <v>5864</v>
      </c>
      <c r="B5829" s="1" t="s">
        <v>26</v>
      </c>
      <c r="C5829" s="1" t="n">
        <v>572000</v>
      </c>
      <c r="D5829" s="1" t="n">
        <v>135366.8</v>
      </c>
      <c r="E5829" s="1" t="n">
        <v>0.0198</v>
      </c>
      <c r="F5829" s="1" t="n">
        <v>0.0757</v>
      </c>
    </row>
    <row r="5830" customFormat="false" ht="15" hidden="false" customHeight="false" outlineLevel="0" collapsed="false">
      <c r="A5830" s="1" t="s">
        <v>5865</v>
      </c>
      <c r="B5830" s="1" t="s">
        <v>26</v>
      </c>
      <c r="C5830" s="1" t="n">
        <v>435000</v>
      </c>
      <c r="D5830" s="1" t="n">
        <v>13654.3</v>
      </c>
      <c r="E5830" s="1" t="n">
        <v>0.0232</v>
      </c>
      <c r="F5830" s="1" t="n">
        <v>0.0951</v>
      </c>
    </row>
    <row r="5831" customFormat="false" ht="15" hidden="false" customHeight="false" outlineLevel="0" collapsed="false">
      <c r="A5831" s="1" t="s">
        <v>5866</v>
      </c>
      <c r="B5831" s="1" t="s">
        <v>92</v>
      </c>
      <c r="C5831" s="1" t="n">
        <v>390000</v>
      </c>
      <c r="D5831" s="1" t="n">
        <v>1275.5</v>
      </c>
      <c r="E5831" s="1" t="n">
        <v>0.023</v>
      </c>
      <c r="F5831" s="1" t="n">
        <v>0.1372</v>
      </c>
    </row>
    <row r="5832" customFormat="false" ht="15" hidden="false" customHeight="false" outlineLevel="0" collapsed="false">
      <c r="A5832" s="1" t="s">
        <v>5867</v>
      </c>
      <c r="B5832" s="1" t="s">
        <v>214</v>
      </c>
      <c r="C5832" s="1" t="n">
        <v>352000</v>
      </c>
      <c r="F5832" s="1" t="n">
        <v>0.0759</v>
      </c>
    </row>
    <row r="5833" customFormat="false" ht="15" hidden="false" customHeight="false" outlineLevel="0" collapsed="false">
      <c r="A5833" s="1" t="s">
        <v>5868</v>
      </c>
      <c r="B5833" s="1" t="s">
        <v>26</v>
      </c>
      <c r="C5833" s="1" t="n">
        <v>640000</v>
      </c>
      <c r="D5833" s="1" t="n">
        <v>13856.3</v>
      </c>
      <c r="E5833" s="1" t="n">
        <v>0.0349</v>
      </c>
      <c r="F5833" s="1" t="n">
        <v>0.0672</v>
      </c>
    </row>
    <row r="5834" customFormat="false" ht="15" hidden="false" customHeight="false" outlineLevel="0" collapsed="false">
      <c r="A5834" s="1" t="s">
        <v>5869</v>
      </c>
      <c r="B5834" s="1" t="s">
        <v>88</v>
      </c>
      <c r="C5834" s="1" t="n">
        <v>1280000</v>
      </c>
      <c r="D5834" s="1" t="n">
        <v>28217.5</v>
      </c>
      <c r="E5834" s="1" t="n">
        <v>0.0463</v>
      </c>
      <c r="F5834" s="1" t="n">
        <v>0.0759</v>
      </c>
    </row>
    <row r="5835" customFormat="false" ht="15" hidden="false" customHeight="false" outlineLevel="0" collapsed="false">
      <c r="A5835" s="1" t="s">
        <v>5870</v>
      </c>
      <c r="B5835" s="1" t="s">
        <v>26</v>
      </c>
      <c r="C5835" s="1" t="n">
        <v>414000</v>
      </c>
      <c r="D5835" s="1" t="n">
        <v>16096.1</v>
      </c>
      <c r="E5835" s="1" t="n">
        <v>0.0049</v>
      </c>
      <c r="F5835" s="1" t="n">
        <v>0.0811</v>
      </c>
    </row>
    <row r="5836" customFormat="false" ht="15" hidden="false" customHeight="false" outlineLevel="0" collapsed="false">
      <c r="A5836" s="1" t="s">
        <v>5871</v>
      </c>
      <c r="B5836" s="1" t="s">
        <v>214</v>
      </c>
      <c r="C5836" s="1" t="n">
        <v>382000</v>
      </c>
      <c r="D5836" s="1" t="n">
        <v>3867039.9</v>
      </c>
      <c r="E5836" s="1" t="n">
        <v>0.0084</v>
      </c>
      <c r="F5836" s="1" t="n">
        <v>0.0822</v>
      </c>
    </row>
    <row r="5837" customFormat="false" ht="15" hidden="false" customHeight="false" outlineLevel="0" collapsed="false">
      <c r="A5837" s="1" t="s">
        <v>5872</v>
      </c>
      <c r="B5837" s="1" t="s">
        <v>214</v>
      </c>
      <c r="C5837" s="1" t="n">
        <v>406000</v>
      </c>
      <c r="D5837" s="1" t="n">
        <v>875.4</v>
      </c>
      <c r="E5837" s="1" t="n">
        <v>0.0437</v>
      </c>
      <c r="F5837" s="1" t="n">
        <v>0.0938</v>
      </c>
    </row>
    <row r="5838" customFormat="false" ht="15" hidden="false" customHeight="false" outlineLevel="0" collapsed="false">
      <c r="A5838" s="1" t="s">
        <v>5873</v>
      </c>
      <c r="B5838" s="1" t="s">
        <v>32</v>
      </c>
      <c r="C5838" s="1" t="n">
        <v>669000</v>
      </c>
      <c r="D5838" s="1" t="n">
        <v>8745876.1</v>
      </c>
      <c r="E5838" s="1" t="n">
        <v>0.0182</v>
      </c>
      <c r="F5838" s="1" t="n">
        <v>0.0585</v>
      </c>
    </row>
    <row r="5839" customFormat="false" ht="15" hidden="false" customHeight="false" outlineLevel="0" collapsed="false">
      <c r="A5839" s="1" t="s">
        <v>5874</v>
      </c>
      <c r="B5839" s="1" t="s">
        <v>26</v>
      </c>
      <c r="C5839" s="1" t="n">
        <v>508000</v>
      </c>
      <c r="D5839" s="1" t="n">
        <v>26793.2</v>
      </c>
      <c r="E5839" s="1" t="n">
        <v>0.0409</v>
      </c>
      <c r="F5839" s="1" t="n">
        <v>0.0759</v>
      </c>
    </row>
    <row r="5840" customFormat="false" ht="15" hidden="false" customHeight="false" outlineLevel="0" collapsed="false">
      <c r="A5840" s="1" t="s">
        <v>5875</v>
      </c>
      <c r="B5840" s="1" t="s">
        <v>88</v>
      </c>
      <c r="C5840" s="1" t="n">
        <v>440000</v>
      </c>
      <c r="D5840" s="1" t="n">
        <v>3394.8</v>
      </c>
      <c r="E5840" s="1" t="n">
        <v>0.0358</v>
      </c>
      <c r="F5840" s="1" t="n">
        <v>0.1226</v>
      </c>
    </row>
    <row r="5841" customFormat="false" ht="15" hidden="false" customHeight="false" outlineLevel="0" collapsed="false">
      <c r="A5841" s="1" t="s">
        <v>5876</v>
      </c>
      <c r="B5841" s="1" t="s">
        <v>88</v>
      </c>
      <c r="C5841" s="1" t="n">
        <v>390000</v>
      </c>
      <c r="D5841" s="1" t="n">
        <v>2222.1</v>
      </c>
      <c r="E5841" s="1" t="n">
        <v>0.0264</v>
      </c>
      <c r="F5841" s="1" t="n">
        <v>0.0759</v>
      </c>
    </row>
    <row r="5842" customFormat="false" ht="15" hidden="false" customHeight="false" outlineLevel="0" collapsed="false">
      <c r="A5842" s="1" t="s">
        <v>5877</v>
      </c>
      <c r="B5842" s="1" t="s">
        <v>88</v>
      </c>
      <c r="C5842" s="1" t="n">
        <v>415000</v>
      </c>
      <c r="D5842" s="1" t="n">
        <v>564</v>
      </c>
      <c r="E5842" s="1" t="n">
        <v>0.0088</v>
      </c>
      <c r="F5842" s="1" t="n">
        <v>0.0811</v>
      </c>
    </row>
    <row r="5843" customFormat="false" ht="15" hidden="false" customHeight="false" outlineLevel="0" collapsed="false">
      <c r="A5843" s="1" t="s">
        <v>5878</v>
      </c>
      <c r="B5843" s="1" t="s">
        <v>71</v>
      </c>
      <c r="C5843" s="1" t="n">
        <v>378000</v>
      </c>
      <c r="D5843" s="1" t="n">
        <v>352.6</v>
      </c>
      <c r="E5843" s="1" t="n">
        <v>0.0255</v>
      </c>
      <c r="F5843" s="1" t="n">
        <v>0.0951</v>
      </c>
    </row>
    <row r="5844" customFormat="false" ht="15" hidden="false" customHeight="false" outlineLevel="0" collapsed="false">
      <c r="A5844" s="1" t="s">
        <v>5879</v>
      </c>
      <c r="B5844" s="1" t="s">
        <v>24</v>
      </c>
      <c r="C5844" s="1" t="n">
        <v>982000</v>
      </c>
      <c r="D5844" s="1" t="n">
        <v>3934.8</v>
      </c>
      <c r="E5844" s="1" t="n">
        <v>0.056</v>
      </c>
      <c r="F5844" s="1" t="n">
        <v>0.0938</v>
      </c>
    </row>
    <row r="5845" customFormat="false" ht="15" hidden="false" customHeight="false" outlineLevel="0" collapsed="false">
      <c r="A5845" s="1" t="s">
        <v>5880</v>
      </c>
      <c r="B5845" s="1" t="s">
        <v>74</v>
      </c>
      <c r="C5845" s="1" t="n">
        <v>379000</v>
      </c>
      <c r="D5845" s="1" t="n">
        <v>46630.8</v>
      </c>
      <c r="E5845" s="1" t="n">
        <v>0.0454</v>
      </c>
      <c r="F5845" s="1" t="n">
        <v>0.0951</v>
      </c>
    </row>
    <row r="5846" customFormat="false" ht="15" hidden="false" customHeight="false" outlineLevel="0" collapsed="false">
      <c r="A5846" s="1" t="s">
        <v>5881</v>
      </c>
      <c r="B5846" s="1" t="s">
        <v>88</v>
      </c>
      <c r="C5846" s="1" t="n">
        <v>405000</v>
      </c>
      <c r="D5846" s="1" t="n">
        <v>2566.5</v>
      </c>
      <c r="E5846" s="1" t="n">
        <v>0.0554</v>
      </c>
      <c r="F5846" s="1" t="n">
        <v>0.117</v>
      </c>
    </row>
    <row r="5847" customFormat="false" ht="15" hidden="false" customHeight="false" outlineLevel="0" collapsed="false">
      <c r="A5847" s="1" t="s">
        <v>5882</v>
      </c>
      <c r="B5847" s="1" t="s">
        <v>26</v>
      </c>
      <c r="C5847" s="1" t="n">
        <v>399000</v>
      </c>
      <c r="D5847" s="1" t="n">
        <v>38552.5</v>
      </c>
      <c r="E5847" s="1" t="n">
        <v>0.0324</v>
      </c>
      <c r="F5847" s="1" t="n">
        <v>0.0938</v>
      </c>
    </row>
    <row r="5848" customFormat="false" ht="15" hidden="false" customHeight="false" outlineLevel="0" collapsed="false">
      <c r="A5848" s="1" t="s">
        <v>5883</v>
      </c>
      <c r="B5848" s="1" t="s">
        <v>24</v>
      </c>
      <c r="C5848" s="1" t="n">
        <v>399000</v>
      </c>
      <c r="D5848" s="1" t="n">
        <v>19525.5</v>
      </c>
      <c r="E5848" s="1" t="n">
        <v>0.0337</v>
      </c>
      <c r="F5848" s="1" t="n">
        <v>0.0518</v>
      </c>
    </row>
    <row r="5849" customFormat="false" ht="15" hidden="false" customHeight="false" outlineLevel="0" collapsed="false">
      <c r="A5849" s="1" t="s">
        <v>5884</v>
      </c>
      <c r="B5849" s="1" t="s">
        <v>74</v>
      </c>
      <c r="C5849" s="1" t="n">
        <v>444000</v>
      </c>
      <c r="D5849" s="1" t="n">
        <v>27621.6</v>
      </c>
      <c r="E5849" s="1" t="n">
        <v>0.0601</v>
      </c>
      <c r="F5849" s="1" t="n">
        <v>0.0951</v>
      </c>
    </row>
    <row r="5850" customFormat="false" ht="15" hidden="false" customHeight="false" outlineLevel="0" collapsed="false">
      <c r="A5850" s="1" t="s">
        <v>5885</v>
      </c>
      <c r="B5850" s="1" t="s">
        <v>26</v>
      </c>
      <c r="C5850" s="1" t="n">
        <v>368000</v>
      </c>
      <c r="D5850" s="1" t="n">
        <v>44445.3</v>
      </c>
      <c r="E5850" s="1" t="n">
        <v>0.0209</v>
      </c>
      <c r="F5850" s="1" t="n">
        <v>0.0951</v>
      </c>
    </row>
    <row r="5851" customFormat="false" ht="15" hidden="false" customHeight="false" outlineLevel="0" collapsed="false">
      <c r="A5851" s="1" t="s">
        <v>5886</v>
      </c>
      <c r="B5851" s="1" t="s">
        <v>41</v>
      </c>
      <c r="C5851" s="1" t="n">
        <v>603000</v>
      </c>
      <c r="D5851" s="1" t="n">
        <v>679.1</v>
      </c>
      <c r="E5851" s="1" t="n">
        <v>0.0114</v>
      </c>
      <c r="F5851" s="1" t="n">
        <v>0.1013</v>
      </c>
    </row>
    <row r="5852" customFormat="false" ht="15" hidden="false" customHeight="false" outlineLevel="0" collapsed="false">
      <c r="A5852" s="1" t="s">
        <v>5887</v>
      </c>
      <c r="B5852" s="1" t="s">
        <v>74</v>
      </c>
      <c r="C5852" s="1" t="n">
        <v>439000</v>
      </c>
      <c r="D5852" s="1" t="n">
        <v>413.8</v>
      </c>
      <c r="E5852" s="1" t="n">
        <v>0.027</v>
      </c>
      <c r="F5852" s="1" t="n">
        <v>0.0938</v>
      </c>
    </row>
    <row r="5853" customFormat="false" ht="15" hidden="false" customHeight="false" outlineLevel="0" collapsed="false">
      <c r="A5853" s="1" t="s">
        <v>5888</v>
      </c>
      <c r="B5853" s="1" t="s">
        <v>41</v>
      </c>
      <c r="C5853" s="1" t="n">
        <v>765000</v>
      </c>
      <c r="D5853" s="1" t="n">
        <v>1688.8</v>
      </c>
      <c r="F5853" s="1" t="n">
        <v>0.0938</v>
      </c>
    </row>
    <row r="5854" customFormat="false" ht="15" hidden="false" customHeight="false" outlineLevel="0" collapsed="false">
      <c r="A5854" s="1" t="s">
        <v>5889</v>
      </c>
      <c r="B5854" s="1" t="s">
        <v>74</v>
      </c>
      <c r="C5854" s="1" t="n">
        <v>776000</v>
      </c>
      <c r="D5854" s="1" t="n">
        <v>145430.9</v>
      </c>
      <c r="E5854" s="1" t="n">
        <v>0.0126</v>
      </c>
      <c r="F5854" s="1" t="n">
        <v>0.0462</v>
      </c>
    </row>
    <row r="5855" customFormat="false" ht="15" hidden="false" customHeight="false" outlineLevel="0" collapsed="false">
      <c r="A5855" s="1" t="s">
        <v>5890</v>
      </c>
      <c r="B5855" s="1" t="s">
        <v>88</v>
      </c>
      <c r="C5855" s="1" t="n">
        <v>404000</v>
      </c>
      <c r="D5855" s="1" t="n">
        <v>603.8</v>
      </c>
      <c r="E5855" s="1" t="n">
        <v>0.0419</v>
      </c>
      <c r="F5855" s="1" t="n">
        <v>0.0938</v>
      </c>
    </row>
    <row r="5856" customFormat="false" ht="15" hidden="false" customHeight="false" outlineLevel="0" collapsed="false">
      <c r="A5856" s="1" t="s">
        <v>5891</v>
      </c>
      <c r="B5856" s="1" t="s">
        <v>71</v>
      </c>
      <c r="C5856" s="1" t="n">
        <v>377000</v>
      </c>
      <c r="D5856" s="1" t="n">
        <v>2361.8</v>
      </c>
      <c r="E5856" s="1" t="n">
        <v>0.0114</v>
      </c>
      <c r="F5856" s="1" t="n">
        <v>0.1015</v>
      </c>
    </row>
    <row r="5857" customFormat="false" ht="15" hidden="false" customHeight="false" outlineLevel="0" collapsed="false">
      <c r="A5857" s="1" t="s">
        <v>5892</v>
      </c>
      <c r="B5857" s="1" t="s">
        <v>26</v>
      </c>
      <c r="C5857" s="1" t="n">
        <v>586000</v>
      </c>
      <c r="D5857" s="1" t="n">
        <v>3377.6</v>
      </c>
      <c r="E5857" s="1" t="n">
        <v>0.0442</v>
      </c>
      <c r="F5857" s="1" t="n">
        <v>0.0538</v>
      </c>
    </row>
    <row r="5858" customFormat="false" ht="15" hidden="false" customHeight="false" outlineLevel="0" collapsed="false">
      <c r="A5858" s="1" t="s">
        <v>5893</v>
      </c>
      <c r="B5858" s="1" t="s">
        <v>26</v>
      </c>
      <c r="C5858" s="1" t="n">
        <v>643000</v>
      </c>
      <c r="D5858" s="1" t="n">
        <v>3582.8</v>
      </c>
      <c r="E5858" s="1" t="n">
        <v>0.0185</v>
      </c>
      <c r="F5858" s="1" t="n">
        <v>0.1067</v>
      </c>
    </row>
    <row r="5859" customFormat="false" ht="15" hidden="false" customHeight="false" outlineLevel="0" collapsed="false">
      <c r="A5859" s="1" t="s">
        <v>5894</v>
      </c>
      <c r="B5859" s="1" t="s">
        <v>26</v>
      </c>
      <c r="C5859" s="1" t="n">
        <v>382000</v>
      </c>
      <c r="D5859" s="1" t="n">
        <v>16028.1</v>
      </c>
      <c r="E5859" s="1" t="n">
        <v>0.0279</v>
      </c>
      <c r="F5859" s="1" t="n">
        <v>0.0951</v>
      </c>
    </row>
    <row r="5860" customFormat="false" ht="15" hidden="false" customHeight="false" outlineLevel="0" collapsed="false">
      <c r="A5860" s="1" t="s">
        <v>5895</v>
      </c>
      <c r="B5860" s="1" t="s">
        <v>81</v>
      </c>
      <c r="C5860" s="1" t="n">
        <v>850000</v>
      </c>
      <c r="D5860" s="1" t="n">
        <v>23036.8</v>
      </c>
      <c r="E5860" s="1" t="n">
        <v>0.0416</v>
      </c>
      <c r="F5860" s="1" t="n">
        <v>0.0518</v>
      </c>
    </row>
    <row r="5861" customFormat="false" ht="15" hidden="false" customHeight="false" outlineLevel="0" collapsed="false">
      <c r="A5861" s="1" t="s">
        <v>5896</v>
      </c>
      <c r="B5861" s="1" t="s">
        <v>26</v>
      </c>
      <c r="C5861" s="1" t="n">
        <v>431000</v>
      </c>
      <c r="D5861" s="1" t="n">
        <v>2465173.5</v>
      </c>
      <c r="E5861" s="1" t="n">
        <v>0.0136</v>
      </c>
      <c r="F5861" s="1" t="n">
        <v>0.0736</v>
      </c>
    </row>
    <row r="5862" customFormat="false" ht="15" hidden="false" customHeight="false" outlineLevel="0" collapsed="false">
      <c r="A5862" s="1" t="s">
        <v>5897</v>
      </c>
      <c r="B5862" s="1" t="s">
        <v>24</v>
      </c>
      <c r="C5862" s="1" t="n">
        <v>449000</v>
      </c>
      <c r="D5862" s="1" t="n">
        <v>985975.9</v>
      </c>
      <c r="E5862" s="1" t="n">
        <v>0.0121</v>
      </c>
      <c r="F5862" s="1" t="n">
        <v>0.1027</v>
      </c>
    </row>
    <row r="5863" customFormat="false" ht="15" hidden="false" customHeight="false" outlineLevel="0" collapsed="false">
      <c r="A5863" s="1" t="s">
        <v>5898</v>
      </c>
      <c r="B5863" s="1" t="s">
        <v>41</v>
      </c>
      <c r="C5863" s="1" t="n">
        <v>538000</v>
      </c>
      <c r="D5863" s="1" t="n">
        <v>289.5</v>
      </c>
      <c r="E5863" s="1" t="n">
        <v>0.0342</v>
      </c>
      <c r="F5863" s="1" t="n">
        <v>0.1226</v>
      </c>
    </row>
    <row r="5864" customFormat="false" ht="15" hidden="false" customHeight="false" outlineLevel="0" collapsed="false">
      <c r="A5864" s="1" t="s">
        <v>5899</v>
      </c>
      <c r="B5864" s="1" t="s">
        <v>26</v>
      </c>
      <c r="C5864" s="1" t="n">
        <v>579000</v>
      </c>
      <c r="D5864" s="1" t="n">
        <v>10525.9</v>
      </c>
      <c r="E5864" s="1" t="n">
        <v>0.0586</v>
      </c>
      <c r="F5864" s="1" t="n">
        <v>0.0759</v>
      </c>
    </row>
    <row r="5865" customFormat="false" ht="15" hidden="false" customHeight="false" outlineLevel="0" collapsed="false">
      <c r="A5865" s="1" t="s">
        <v>5900</v>
      </c>
      <c r="B5865" s="1" t="s">
        <v>81</v>
      </c>
      <c r="C5865" s="1" t="n">
        <v>407000</v>
      </c>
      <c r="D5865" s="1" t="n">
        <v>752.4</v>
      </c>
      <c r="E5865" s="1" t="n">
        <v>0.0261</v>
      </c>
      <c r="F5865" s="1" t="n">
        <v>0.0759</v>
      </c>
    </row>
    <row r="5866" customFormat="false" ht="15" hidden="false" customHeight="false" outlineLevel="0" collapsed="false">
      <c r="A5866" s="1" t="s">
        <v>5901</v>
      </c>
      <c r="B5866" s="1" t="s">
        <v>41</v>
      </c>
      <c r="C5866" s="1" t="n">
        <v>644000</v>
      </c>
      <c r="D5866" s="1" t="n">
        <v>732.2</v>
      </c>
      <c r="E5866" s="1" t="n">
        <v>0.0286</v>
      </c>
      <c r="F5866" s="1" t="n">
        <v>0.1372</v>
      </c>
    </row>
    <row r="5867" customFormat="false" ht="15" hidden="false" customHeight="false" outlineLevel="0" collapsed="false">
      <c r="A5867" s="1" t="s">
        <v>5902</v>
      </c>
      <c r="B5867" s="1" t="s">
        <v>41</v>
      </c>
      <c r="C5867" s="1" t="n">
        <v>411000</v>
      </c>
      <c r="D5867" s="1" t="n">
        <v>4.1</v>
      </c>
      <c r="E5867" s="1" t="n">
        <v>0.01</v>
      </c>
      <c r="F5867" s="1" t="n">
        <v>0.3024</v>
      </c>
    </row>
    <row r="5868" customFormat="false" ht="15" hidden="false" customHeight="false" outlineLevel="0" collapsed="false">
      <c r="A5868" s="1" t="s">
        <v>5903</v>
      </c>
      <c r="B5868" s="1" t="s">
        <v>74</v>
      </c>
      <c r="C5868" s="1" t="n">
        <v>380000</v>
      </c>
      <c r="D5868" s="1" t="n">
        <v>569.2</v>
      </c>
      <c r="E5868" s="1" t="n">
        <v>0.0928</v>
      </c>
      <c r="F5868" s="1" t="n">
        <v>0.0759</v>
      </c>
    </row>
    <row r="5869" customFormat="false" ht="15" hidden="false" customHeight="false" outlineLevel="0" collapsed="false">
      <c r="A5869" s="1" t="s">
        <v>5904</v>
      </c>
      <c r="B5869" s="1" t="s">
        <v>26</v>
      </c>
      <c r="C5869" s="1" t="n">
        <v>495000</v>
      </c>
      <c r="D5869" s="1" t="n">
        <v>1122</v>
      </c>
      <c r="E5869" s="1" t="n">
        <v>0.0085</v>
      </c>
      <c r="F5869" s="1" t="n">
        <v>0.0822</v>
      </c>
    </row>
    <row r="5870" customFormat="false" ht="15" hidden="false" customHeight="false" outlineLevel="0" collapsed="false">
      <c r="A5870" s="1" t="s">
        <v>5905</v>
      </c>
      <c r="B5870" s="1" t="s">
        <v>26</v>
      </c>
      <c r="C5870" s="1" t="n">
        <v>1970000</v>
      </c>
      <c r="D5870" s="1" t="n">
        <v>2440446.3</v>
      </c>
      <c r="E5870" s="1" t="n">
        <v>0.0416</v>
      </c>
      <c r="F5870" s="1" t="n">
        <v>0.0845</v>
      </c>
    </row>
    <row r="5871" customFormat="false" ht="15" hidden="false" customHeight="false" outlineLevel="0" collapsed="false">
      <c r="A5871" s="1" t="s">
        <v>5906</v>
      </c>
      <c r="B5871" s="1" t="s">
        <v>26</v>
      </c>
      <c r="C5871" s="1" t="n">
        <v>1720000</v>
      </c>
      <c r="D5871" s="1" t="n">
        <v>368479.1</v>
      </c>
      <c r="E5871" s="1" t="n">
        <v>0.0271</v>
      </c>
      <c r="F5871" s="1" t="n">
        <v>0.0854</v>
      </c>
    </row>
    <row r="5872" customFormat="false" ht="15" hidden="false" customHeight="false" outlineLevel="0" collapsed="false">
      <c r="A5872" s="1" t="s">
        <v>5907</v>
      </c>
      <c r="B5872" s="1" t="s">
        <v>88</v>
      </c>
      <c r="C5872" s="1" t="n">
        <v>707000</v>
      </c>
      <c r="D5872" s="1" t="n">
        <v>14</v>
      </c>
      <c r="E5872" s="1" t="n">
        <v>0.0216</v>
      </c>
      <c r="F5872" s="1" t="n">
        <v>0.1592</v>
      </c>
    </row>
    <row r="5873" customFormat="false" ht="15" hidden="false" customHeight="false" outlineLevel="0" collapsed="false">
      <c r="A5873" s="1" t="s">
        <v>5908</v>
      </c>
      <c r="B5873" s="1" t="s">
        <v>214</v>
      </c>
      <c r="C5873" s="1" t="n">
        <v>384000</v>
      </c>
      <c r="D5873" s="1" t="n">
        <v>3803.6</v>
      </c>
      <c r="E5873" s="1" t="n">
        <v>0.0203</v>
      </c>
      <c r="F5873" s="1" t="n">
        <v>0.1067</v>
      </c>
    </row>
    <row r="5874" customFormat="false" ht="15" hidden="false" customHeight="false" outlineLevel="0" collapsed="false">
      <c r="A5874" s="1" t="s">
        <v>5909</v>
      </c>
      <c r="B5874" s="1" t="s">
        <v>26</v>
      </c>
      <c r="C5874" s="1" t="n">
        <v>777000</v>
      </c>
      <c r="D5874" s="1" t="n">
        <v>395702.3</v>
      </c>
      <c r="E5874" s="1" t="n">
        <v>0.0064</v>
      </c>
      <c r="F5874" s="1" t="n">
        <v>0.0828</v>
      </c>
    </row>
    <row r="5875" customFormat="false" ht="15" hidden="false" customHeight="false" outlineLevel="0" collapsed="false">
      <c r="A5875" s="1" t="s">
        <v>5910</v>
      </c>
      <c r="B5875" s="1" t="s">
        <v>53</v>
      </c>
      <c r="C5875" s="1" t="n">
        <v>381000</v>
      </c>
      <c r="D5875" s="1" t="n">
        <v>14702</v>
      </c>
      <c r="E5875" s="1" t="n">
        <v>0.0435</v>
      </c>
      <c r="F5875" s="1" t="n">
        <v>0.0951</v>
      </c>
    </row>
    <row r="5876" customFormat="false" ht="15" hidden="false" customHeight="false" outlineLevel="0" collapsed="false">
      <c r="A5876" s="1" t="s">
        <v>5911</v>
      </c>
      <c r="B5876" s="1" t="s">
        <v>214</v>
      </c>
      <c r="C5876" s="1" t="n">
        <v>1290000</v>
      </c>
      <c r="D5876" s="1" t="n">
        <v>9974.1</v>
      </c>
      <c r="F5876" s="1" t="n">
        <v>0.0409</v>
      </c>
    </row>
    <row r="5877" customFormat="false" ht="15" hidden="false" customHeight="false" outlineLevel="0" collapsed="false">
      <c r="A5877" s="1" t="s">
        <v>5912</v>
      </c>
      <c r="B5877" s="1" t="s">
        <v>21</v>
      </c>
      <c r="C5877" s="1" t="n">
        <v>497000</v>
      </c>
      <c r="D5877" s="1" t="n">
        <v>50154.6</v>
      </c>
      <c r="E5877" s="1" t="n">
        <v>0.0462</v>
      </c>
      <c r="F5877" s="1" t="n">
        <v>0.0759</v>
      </c>
    </row>
    <row r="5878" customFormat="false" ht="15" hidden="false" customHeight="false" outlineLevel="0" collapsed="false">
      <c r="A5878" s="1" t="s">
        <v>5913</v>
      </c>
      <c r="B5878" s="1" t="s">
        <v>26</v>
      </c>
      <c r="C5878" s="1" t="n">
        <v>456000</v>
      </c>
      <c r="D5878" s="1" t="n">
        <v>5974.8</v>
      </c>
      <c r="E5878" s="1" t="n">
        <v>0.0423</v>
      </c>
      <c r="F5878" s="1" t="n">
        <v>0.0938</v>
      </c>
    </row>
    <row r="5879" customFormat="false" ht="15" hidden="false" customHeight="false" outlineLevel="0" collapsed="false">
      <c r="A5879" s="1" t="s">
        <v>5914</v>
      </c>
      <c r="B5879" s="1" t="s">
        <v>88</v>
      </c>
      <c r="C5879" s="1" t="n">
        <v>360000</v>
      </c>
      <c r="D5879" s="1" t="n">
        <v>217.5</v>
      </c>
      <c r="E5879" s="1" t="n">
        <v>0.0612</v>
      </c>
      <c r="F5879" s="1" t="n">
        <v>0.0951</v>
      </c>
    </row>
    <row r="5880" customFormat="false" ht="15" hidden="false" customHeight="false" outlineLevel="0" collapsed="false">
      <c r="A5880" s="1" t="s">
        <v>5915</v>
      </c>
      <c r="B5880" s="1" t="s">
        <v>26</v>
      </c>
      <c r="C5880" s="1" t="n">
        <v>383000</v>
      </c>
      <c r="D5880" s="1" t="n">
        <v>1168.1</v>
      </c>
      <c r="E5880" s="1" t="n">
        <v>0.0164</v>
      </c>
      <c r="F5880" s="1" t="n">
        <v>0.3391</v>
      </c>
    </row>
    <row r="5881" customFormat="false" ht="15" hidden="false" customHeight="false" outlineLevel="0" collapsed="false">
      <c r="A5881" s="1" t="s">
        <v>5916</v>
      </c>
      <c r="B5881" s="1" t="s">
        <v>62</v>
      </c>
      <c r="C5881" s="1" t="n">
        <v>559000</v>
      </c>
      <c r="D5881" s="1" t="n">
        <v>1476</v>
      </c>
      <c r="E5881" s="1" t="n">
        <v>0.0093</v>
      </c>
      <c r="F5881" s="1" t="n">
        <v>0.0811</v>
      </c>
    </row>
    <row r="5882" customFormat="false" ht="15" hidden="false" customHeight="false" outlineLevel="0" collapsed="false">
      <c r="A5882" s="1" t="s">
        <v>5917</v>
      </c>
      <c r="B5882" s="1" t="s">
        <v>35</v>
      </c>
      <c r="C5882" s="1" t="n">
        <v>388000</v>
      </c>
      <c r="D5882" s="1" t="n">
        <v>25161.2</v>
      </c>
      <c r="E5882" s="1" t="n">
        <v>0.0515</v>
      </c>
      <c r="F5882" s="1" t="n">
        <v>0.0951</v>
      </c>
    </row>
    <row r="5883" customFormat="false" ht="15" hidden="false" customHeight="false" outlineLevel="0" collapsed="false">
      <c r="A5883" s="1" t="s">
        <v>5918</v>
      </c>
      <c r="B5883" s="1" t="s">
        <v>92</v>
      </c>
      <c r="C5883" s="1" t="n">
        <v>408000</v>
      </c>
      <c r="D5883" s="1" t="n">
        <v>5382.6</v>
      </c>
      <c r="E5883" s="1" t="n">
        <v>0.0141</v>
      </c>
      <c r="F5883" s="1" t="n">
        <v>0.0462</v>
      </c>
    </row>
    <row r="5884" customFormat="false" ht="15" hidden="false" customHeight="false" outlineLevel="0" collapsed="false">
      <c r="A5884" s="1" t="s">
        <v>5919</v>
      </c>
      <c r="B5884" s="1" t="s">
        <v>81</v>
      </c>
      <c r="C5884" s="1" t="n">
        <v>590000</v>
      </c>
      <c r="D5884" s="1" t="n">
        <v>35328.2</v>
      </c>
      <c r="E5884" s="1" t="n">
        <v>0.035</v>
      </c>
      <c r="F5884" s="1" t="n">
        <v>0.0759</v>
      </c>
    </row>
    <row r="5885" customFormat="false" ht="15" hidden="false" customHeight="false" outlineLevel="0" collapsed="false">
      <c r="A5885" s="1" t="s">
        <v>5920</v>
      </c>
      <c r="B5885" s="1" t="s">
        <v>88</v>
      </c>
      <c r="C5885" s="1" t="n">
        <v>418000</v>
      </c>
      <c r="D5885" s="1" t="n">
        <v>2188.6</v>
      </c>
      <c r="E5885" s="1" t="n">
        <v>0.0517</v>
      </c>
      <c r="F5885" s="1" t="n">
        <v>0.0938</v>
      </c>
    </row>
    <row r="5886" customFormat="false" ht="15" hidden="false" customHeight="false" outlineLevel="0" collapsed="false">
      <c r="A5886" s="1" t="s">
        <v>5921</v>
      </c>
      <c r="B5886" s="1" t="s">
        <v>81</v>
      </c>
      <c r="C5886" s="1" t="n">
        <v>390000</v>
      </c>
      <c r="D5886" s="1" t="n">
        <v>10091.9</v>
      </c>
      <c r="E5886" s="1" t="n">
        <v>0.0179</v>
      </c>
      <c r="F5886" s="1" t="n">
        <v>0.1053</v>
      </c>
    </row>
    <row r="5887" customFormat="false" ht="15" hidden="false" customHeight="false" outlineLevel="0" collapsed="false">
      <c r="A5887" s="1" t="s">
        <v>5922</v>
      </c>
      <c r="B5887" s="1" t="s">
        <v>26</v>
      </c>
      <c r="C5887" s="1" t="n">
        <v>516000</v>
      </c>
      <c r="D5887" s="1" t="n">
        <v>7520.9</v>
      </c>
      <c r="E5887" s="1" t="n">
        <v>0.0326</v>
      </c>
      <c r="F5887" s="1" t="n">
        <v>0.0546</v>
      </c>
    </row>
    <row r="5888" customFormat="false" ht="15" hidden="false" customHeight="false" outlineLevel="0" collapsed="false">
      <c r="A5888" s="1" t="s">
        <v>5923</v>
      </c>
      <c r="B5888" s="1" t="s">
        <v>26</v>
      </c>
      <c r="C5888" s="1" t="n">
        <v>478000</v>
      </c>
      <c r="D5888" s="1" t="n">
        <v>28797.5</v>
      </c>
      <c r="E5888" s="1" t="n">
        <v>0.0063</v>
      </c>
      <c r="F5888" s="1" t="n">
        <v>0.0811</v>
      </c>
    </row>
    <row r="5889" customFormat="false" ht="15" hidden="false" customHeight="false" outlineLevel="0" collapsed="false">
      <c r="A5889" s="1" t="s">
        <v>5924</v>
      </c>
      <c r="B5889" s="1" t="s">
        <v>71</v>
      </c>
      <c r="C5889" s="1" t="n">
        <v>566000</v>
      </c>
      <c r="D5889" s="1" t="n">
        <v>119424.5</v>
      </c>
      <c r="E5889" s="1" t="n">
        <v>0.0574</v>
      </c>
      <c r="F5889" s="1" t="n">
        <v>0.0759</v>
      </c>
    </row>
    <row r="5890" customFormat="false" ht="15" hidden="false" customHeight="false" outlineLevel="0" collapsed="false">
      <c r="A5890" s="1" t="s">
        <v>5925</v>
      </c>
      <c r="B5890" s="1" t="s">
        <v>74</v>
      </c>
      <c r="C5890" s="1" t="n">
        <v>394000</v>
      </c>
      <c r="D5890" s="1" t="n">
        <v>13463.7</v>
      </c>
      <c r="E5890" s="1" t="n">
        <v>0.0137</v>
      </c>
      <c r="F5890" s="1" t="n">
        <v>0.0462</v>
      </c>
    </row>
    <row r="5891" customFormat="false" ht="15" hidden="false" customHeight="false" outlineLevel="0" collapsed="false">
      <c r="A5891" s="1" t="s">
        <v>5926</v>
      </c>
      <c r="B5891" s="1" t="s">
        <v>81</v>
      </c>
      <c r="C5891" s="1" t="n">
        <v>440000</v>
      </c>
      <c r="D5891" s="1" t="n">
        <v>19725.1</v>
      </c>
      <c r="E5891" s="1" t="n">
        <v>0.0328</v>
      </c>
      <c r="F5891" s="1" t="n">
        <v>0.0938</v>
      </c>
    </row>
    <row r="5892" customFormat="false" ht="15" hidden="false" customHeight="false" outlineLevel="0" collapsed="false">
      <c r="A5892" s="1" t="s">
        <v>5927</v>
      </c>
      <c r="B5892" s="1" t="s">
        <v>71</v>
      </c>
      <c r="C5892" s="1" t="n">
        <v>450000</v>
      </c>
      <c r="D5892" s="1" t="n">
        <v>11470</v>
      </c>
      <c r="E5892" s="1" t="n">
        <v>0.064</v>
      </c>
      <c r="F5892" s="1" t="n">
        <v>0.0538</v>
      </c>
    </row>
    <row r="5893" customFormat="false" ht="15" hidden="false" customHeight="false" outlineLevel="0" collapsed="false">
      <c r="A5893" s="1" t="s">
        <v>5928</v>
      </c>
      <c r="B5893" s="1" t="s">
        <v>88</v>
      </c>
      <c r="C5893" s="1" t="n">
        <v>445000</v>
      </c>
      <c r="D5893" s="1" t="n">
        <v>13254.5</v>
      </c>
      <c r="E5893" s="1" t="n">
        <v>0.0245</v>
      </c>
      <c r="F5893" s="1" t="n">
        <v>0.0803</v>
      </c>
    </row>
    <row r="5894" customFormat="false" ht="15" hidden="false" customHeight="false" outlineLevel="0" collapsed="false">
      <c r="A5894" s="1" t="s">
        <v>5929</v>
      </c>
      <c r="B5894" s="1" t="s">
        <v>88</v>
      </c>
      <c r="C5894" s="1" t="n">
        <v>447000</v>
      </c>
      <c r="D5894" s="1" t="n">
        <v>2084</v>
      </c>
      <c r="E5894" s="1" t="n">
        <v>0.0469</v>
      </c>
      <c r="F5894" s="1" t="n">
        <v>0.0759</v>
      </c>
    </row>
    <row r="5895" customFormat="false" ht="15" hidden="false" customHeight="false" outlineLevel="0" collapsed="false">
      <c r="A5895" s="1" t="s">
        <v>5930</v>
      </c>
      <c r="B5895" s="1" t="s">
        <v>50</v>
      </c>
      <c r="C5895" s="1" t="n">
        <v>437000</v>
      </c>
      <c r="D5895" s="1" t="n">
        <v>25540.1</v>
      </c>
      <c r="E5895" s="1" t="n">
        <v>0.032</v>
      </c>
      <c r="F5895" s="1" t="n">
        <v>0.0759</v>
      </c>
    </row>
    <row r="5896" customFormat="false" ht="15" hidden="false" customHeight="false" outlineLevel="0" collapsed="false">
      <c r="A5896" s="1" t="s">
        <v>5931</v>
      </c>
      <c r="B5896" s="1" t="s">
        <v>88</v>
      </c>
      <c r="C5896" s="1" t="n">
        <v>402000</v>
      </c>
      <c r="D5896" s="1" t="n">
        <v>12269.8</v>
      </c>
      <c r="E5896" s="1" t="n">
        <v>0.0502</v>
      </c>
      <c r="F5896" s="1" t="n">
        <v>0.0644</v>
      </c>
    </row>
    <row r="5897" customFormat="false" ht="15" hidden="false" customHeight="false" outlineLevel="0" collapsed="false">
      <c r="A5897" s="1" t="s">
        <v>5932</v>
      </c>
      <c r="B5897" s="1" t="s">
        <v>88</v>
      </c>
      <c r="C5897" s="1" t="n">
        <v>457000</v>
      </c>
      <c r="D5897" s="1" t="n">
        <v>16815.1</v>
      </c>
      <c r="E5897" s="1" t="n">
        <v>0.0387</v>
      </c>
      <c r="F5897" s="1" t="n">
        <v>0.0938</v>
      </c>
    </row>
    <row r="5898" customFormat="false" ht="15" hidden="false" customHeight="false" outlineLevel="0" collapsed="false">
      <c r="A5898" s="1" t="s">
        <v>5933</v>
      </c>
      <c r="B5898" s="1" t="s">
        <v>50</v>
      </c>
      <c r="C5898" s="1" t="n">
        <v>467000</v>
      </c>
      <c r="D5898" s="1" t="n">
        <v>169.7</v>
      </c>
      <c r="E5898" s="1" t="n">
        <v>0.0025</v>
      </c>
      <c r="F5898" s="1" t="n">
        <v>0.2688</v>
      </c>
    </row>
    <row r="5899" customFormat="false" ht="15" hidden="false" customHeight="false" outlineLevel="0" collapsed="false">
      <c r="A5899" s="1" t="s">
        <v>5934</v>
      </c>
      <c r="B5899" s="1" t="s">
        <v>88</v>
      </c>
      <c r="C5899" s="1" t="n">
        <v>510000</v>
      </c>
      <c r="D5899" s="1" t="n">
        <v>5236.1</v>
      </c>
      <c r="E5899" s="1" t="n">
        <v>0.0274</v>
      </c>
      <c r="F5899" s="1" t="n">
        <v>0.0938</v>
      </c>
    </row>
    <row r="5900" customFormat="false" ht="15" hidden="false" customHeight="false" outlineLevel="0" collapsed="false">
      <c r="A5900" s="1" t="s">
        <v>5935</v>
      </c>
      <c r="B5900" s="1" t="s">
        <v>214</v>
      </c>
      <c r="C5900" s="1" t="n">
        <v>387000</v>
      </c>
      <c r="D5900" s="1" t="n">
        <v>108022.1</v>
      </c>
      <c r="E5900" s="1" t="n">
        <v>0.0198</v>
      </c>
      <c r="F5900" s="1" t="n">
        <v>0.0432</v>
      </c>
    </row>
    <row r="5901" customFormat="false" ht="15" hidden="false" customHeight="false" outlineLevel="0" collapsed="false">
      <c r="A5901" s="1" t="s">
        <v>5936</v>
      </c>
      <c r="B5901" s="1" t="s">
        <v>62</v>
      </c>
      <c r="C5901" s="1" t="n">
        <v>370000</v>
      </c>
      <c r="D5901" s="1" t="n">
        <v>15841.1</v>
      </c>
      <c r="E5901" s="1" t="n">
        <v>0.0335</v>
      </c>
      <c r="F5901" s="1" t="n">
        <v>0.0546</v>
      </c>
    </row>
    <row r="5902" customFormat="false" ht="15" hidden="false" customHeight="false" outlineLevel="0" collapsed="false">
      <c r="A5902" s="1" t="s">
        <v>5937</v>
      </c>
      <c r="B5902" s="1" t="s">
        <v>92</v>
      </c>
      <c r="C5902" s="1" t="n">
        <v>694000</v>
      </c>
      <c r="D5902" s="1" t="n">
        <v>31487.9</v>
      </c>
      <c r="E5902" s="1" t="n">
        <v>0.023</v>
      </c>
      <c r="F5902" s="1" t="n">
        <v>0.0409</v>
      </c>
    </row>
    <row r="5903" customFormat="false" ht="15" hidden="false" customHeight="false" outlineLevel="0" collapsed="false">
      <c r="A5903" s="1" t="s">
        <v>5938</v>
      </c>
      <c r="B5903" s="1" t="s">
        <v>92</v>
      </c>
      <c r="C5903" s="1" t="n">
        <v>393000</v>
      </c>
      <c r="D5903" s="1" t="n">
        <v>11860</v>
      </c>
      <c r="E5903" s="1" t="n">
        <v>0.0293</v>
      </c>
      <c r="F5903" s="1" t="n">
        <v>0.0938</v>
      </c>
    </row>
    <row r="5904" customFormat="false" ht="15" hidden="false" customHeight="false" outlineLevel="0" collapsed="false">
      <c r="A5904" s="1" t="s">
        <v>5939</v>
      </c>
      <c r="B5904" s="1" t="s">
        <v>71</v>
      </c>
      <c r="C5904" s="1" t="n">
        <v>573000</v>
      </c>
      <c r="D5904" s="1" t="n">
        <v>42866.1</v>
      </c>
      <c r="E5904" s="1" t="n">
        <v>0.0445</v>
      </c>
      <c r="F5904" s="1" t="n">
        <v>0.0938</v>
      </c>
    </row>
    <row r="5905" customFormat="false" ht="15" hidden="false" customHeight="false" outlineLevel="0" collapsed="false">
      <c r="A5905" s="1" t="s">
        <v>5940</v>
      </c>
      <c r="B5905" s="1" t="s">
        <v>41</v>
      </c>
      <c r="C5905" s="1" t="n">
        <v>369000</v>
      </c>
      <c r="D5905" s="1" t="n">
        <v>6979.5</v>
      </c>
      <c r="E5905" s="1" t="n">
        <v>0.037</v>
      </c>
      <c r="F5905" s="1" t="n">
        <v>0.0951</v>
      </c>
    </row>
    <row r="5906" customFormat="false" ht="15" hidden="false" customHeight="false" outlineLevel="0" collapsed="false">
      <c r="A5906" s="1" t="s">
        <v>5941</v>
      </c>
      <c r="B5906" s="1" t="s">
        <v>88</v>
      </c>
      <c r="C5906" s="1" t="n">
        <v>368000</v>
      </c>
      <c r="D5906" s="1" t="n">
        <v>313.4</v>
      </c>
      <c r="E5906" s="1" t="n">
        <v>0.0438</v>
      </c>
      <c r="F5906" s="1" t="n">
        <v>0.0951</v>
      </c>
    </row>
    <row r="5907" customFormat="false" ht="15" hidden="false" customHeight="false" outlineLevel="0" collapsed="false">
      <c r="A5907" s="1" t="s">
        <v>5942</v>
      </c>
      <c r="B5907" s="1" t="s">
        <v>26</v>
      </c>
      <c r="C5907" s="1" t="n">
        <v>541000</v>
      </c>
      <c r="D5907" s="1" t="n">
        <v>455662.3</v>
      </c>
      <c r="E5907" s="1" t="n">
        <v>0.0197</v>
      </c>
      <c r="F5907" s="1" t="n">
        <v>0.0854</v>
      </c>
    </row>
    <row r="5908" customFormat="false" ht="15" hidden="false" customHeight="false" outlineLevel="0" collapsed="false">
      <c r="A5908" s="1" t="s">
        <v>5943</v>
      </c>
      <c r="B5908" s="1" t="s">
        <v>26</v>
      </c>
      <c r="C5908" s="1" t="n">
        <v>2490000</v>
      </c>
      <c r="D5908" s="1" t="n">
        <v>17840.5</v>
      </c>
      <c r="E5908" s="1" t="n">
        <v>0.0112</v>
      </c>
      <c r="F5908" s="1" t="n">
        <v>0.0584</v>
      </c>
    </row>
    <row r="5909" customFormat="false" ht="15" hidden="false" customHeight="false" outlineLevel="0" collapsed="false">
      <c r="A5909" s="1" t="s">
        <v>5944</v>
      </c>
      <c r="B5909" s="1" t="s">
        <v>26</v>
      </c>
      <c r="C5909" s="1" t="n">
        <v>444000</v>
      </c>
      <c r="D5909" s="1" t="n">
        <v>99766</v>
      </c>
      <c r="E5909" s="1" t="n">
        <v>0.034</v>
      </c>
      <c r="F5909" s="1" t="n">
        <v>0.0409</v>
      </c>
    </row>
    <row r="5910" customFormat="false" ht="15" hidden="false" customHeight="false" outlineLevel="0" collapsed="false">
      <c r="A5910" s="1" t="s">
        <v>5945</v>
      </c>
      <c r="B5910" s="1" t="s">
        <v>24</v>
      </c>
      <c r="C5910" s="1" t="n">
        <v>408000</v>
      </c>
      <c r="D5910" s="1" t="n">
        <v>8122.1</v>
      </c>
      <c r="E5910" s="1" t="n">
        <v>0.0292</v>
      </c>
      <c r="F5910" s="1" t="n">
        <v>0.0759</v>
      </c>
    </row>
    <row r="5911" customFormat="false" ht="15" hidden="false" customHeight="false" outlineLevel="0" collapsed="false">
      <c r="A5911" s="1" t="s">
        <v>5946</v>
      </c>
      <c r="B5911" s="1" t="s">
        <v>88</v>
      </c>
      <c r="C5911" s="1" t="n">
        <v>439000</v>
      </c>
      <c r="D5911" s="1" t="n">
        <v>16834.7</v>
      </c>
      <c r="E5911" s="1" t="n">
        <v>0.0204</v>
      </c>
      <c r="F5911" s="1" t="n">
        <v>0.1067</v>
      </c>
    </row>
    <row r="5912" customFormat="false" ht="15" hidden="false" customHeight="false" outlineLevel="0" collapsed="false">
      <c r="A5912" s="1" t="s">
        <v>5947</v>
      </c>
      <c r="B5912" s="1" t="s">
        <v>81</v>
      </c>
      <c r="C5912" s="1" t="n">
        <v>564000</v>
      </c>
      <c r="D5912" s="1" t="n">
        <v>240422.4</v>
      </c>
      <c r="E5912" s="1" t="n">
        <v>0.0588</v>
      </c>
      <c r="F5912" s="1" t="n">
        <v>0.0759</v>
      </c>
    </row>
    <row r="5913" customFormat="false" ht="15" hidden="false" customHeight="false" outlineLevel="0" collapsed="false">
      <c r="A5913" s="1" t="s">
        <v>5948</v>
      </c>
      <c r="B5913" s="1" t="s">
        <v>41</v>
      </c>
      <c r="C5913" s="1" t="n">
        <v>561000</v>
      </c>
      <c r="D5913" s="1" t="n">
        <v>165</v>
      </c>
      <c r="E5913" s="1" t="n">
        <v>0.0335</v>
      </c>
      <c r="F5913" s="1" t="n">
        <v>0.0938</v>
      </c>
    </row>
    <row r="5914" customFormat="false" ht="15" hidden="false" customHeight="false" outlineLevel="0" collapsed="false">
      <c r="A5914" s="1" t="s">
        <v>5949</v>
      </c>
      <c r="B5914" s="1" t="s">
        <v>26</v>
      </c>
      <c r="C5914" s="1" t="n">
        <v>383000</v>
      </c>
      <c r="D5914" s="1" t="n">
        <v>67022.9</v>
      </c>
      <c r="E5914" s="1" t="n">
        <v>0.0405</v>
      </c>
      <c r="F5914" s="1" t="n">
        <v>0.0951</v>
      </c>
    </row>
    <row r="5915" customFormat="false" ht="15" hidden="false" customHeight="false" outlineLevel="0" collapsed="false">
      <c r="A5915" s="1" t="s">
        <v>5950</v>
      </c>
      <c r="B5915" s="1" t="s">
        <v>26</v>
      </c>
      <c r="C5915" s="1" t="n">
        <v>546000</v>
      </c>
      <c r="D5915" s="1" t="n">
        <v>10129.3</v>
      </c>
      <c r="E5915" s="1" t="n">
        <v>0.0923</v>
      </c>
      <c r="F5915" s="1" t="n">
        <v>0.0759</v>
      </c>
    </row>
    <row r="5916" customFormat="false" ht="15" hidden="false" customHeight="false" outlineLevel="0" collapsed="false">
      <c r="A5916" s="1" t="s">
        <v>5951</v>
      </c>
      <c r="B5916" s="1" t="s">
        <v>88</v>
      </c>
      <c r="C5916" s="1" t="n">
        <v>432000</v>
      </c>
      <c r="D5916" s="1" t="n">
        <v>8855.7</v>
      </c>
      <c r="E5916" s="1" t="n">
        <v>0.0312</v>
      </c>
      <c r="F5916" s="1" t="n">
        <v>0.0938</v>
      </c>
    </row>
    <row r="5917" customFormat="false" ht="15" hidden="false" customHeight="false" outlineLevel="0" collapsed="false">
      <c r="A5917" s="1" t="s">
        <v>5952</v>
      </c>
      <c r="B5917" s="1" t="s">
        <v>62</v>
      </c>
      <c r="C5917" s="1" t="n">
        <v>363000</v>
      </c>
      <c r="D5917" s="1" t="n">
        <v>7359.6</v>
      </c>
      <c r="E5917" s="1" t="n">
        <v>0.0207</v>
      </c>
      <c r="F5917" s="1" t="n">
        <v>0.0951</v>
      </c>
    </row>
    <row r="5918" customFormat="false" ht="15" hidden="false" customHeight="false" outlineLevel="0" collapsed="false">
      <c r="A5918" s="1" t="s">
        <v>5953</v>
      </c>
      <c r="B5918" s="1" t="s">
        <v>195</v>
      </c>
      <c r="C5918" s="1" t="n">
        <v>576000</v>
      </c>
      <c r="D5918" s="1" t="n">
        <v>475757.5</v>
      </c>
      <c r="E5918" s="1" t="n">
        <v>0.044</v>
      </c>
      <c r="F5918" s="1" t="n">
        <v>0.0409</v>
      </c>
    </row>
    <row r="5919" customFormat="false" ht="15" hidden="false" customHeight="false" outlineLevel="0" collapsed="false">
      <c r="A5919" s="1" t="s">
        <v>5954</v>
      </c>
      <c r="B5919" s="1" t="s">
        <v>88</v>
      </c>
      <c r="C5919" s="1" t="n">
        <v>817000</v>
      </c>
      <c r="D5919" s="1" t="n">
        <v>24532.7</v>
      </c>
      <c r="E5919" s="1" t="n">
        <v>0.0403</v>
      </c>
      <c r="F5919" s="1" t="n">
        <v>0.0938</v>
      </c>
    </row>
    <row r="5920" customFormat="false" ht="15" hidden="false" customHeight="false" outlineLevel="0" collapsed="false">
      <c r="A5920" s="1" t="s">
        <v>5955</v>
      </c>
      <c r="B5920" s="1" t="s">
        <v>62</v>
      </c>
      <c r="C5920" s="1" t="n">
        <v>475000</v>
      </c>
      <c r="D5920" s="1" t="n">
        <v>1362.2</v>
      </c>
      <c r="E5920" s="1" t="n">
        <v>0.0474</v>
      </c>
      <c r="F5920" s="1" t="n">
        <v>0.0938</v>
      </c>
    </row>
    <row r="5921" customFormat="false" ht="15" hidden="false" customHeight="false" outlineLevel="0" collapsed="false">
      <c r="A5921" s="1" t="s">
        <v>5956</v>
      </c>
      <c r="B5921" s="1" t="s">
        <v>24</v>
      </c>
      <c r="C5921" s="1" t="n">
        <v>397000</v>
      </c>
      <c r="D5921" s="1" t="n">
        <v>406.8</v>
      </c>
      <c r="E5921" s="1" t="n">
        <v>0.0867</v>
      </c>
      <c r="F5921" s="1" t="n">
        <v>0.0938</v>
      </c>
    </row>
    <row r="5922" customFormat="false" ht="15" hidden="false" customHeight="false" outlineLevel="0" collapsed="false">
      <c r="A5922" s="1" t="s">
        <v>5957</v>
      </c>
      <c r="B5922" s="1" t="s">
        <v>50</v>
      </c>
      <c r="C5922" s="1" t="n">
        <v>448000</v>
      </c>
      <c r="D5922" s="1" t="n">
        <v>9633.8</v>
      </c>
      <c r="E5922" s="1" t="n">
        <v>0.0905</v>
      </c>
      <c r="F5922" s="1" t="n">
        <v>0.0759</v>
      </c>
    </row>
    <row r="5923" customFormat="false" ht="15" hidden="false" customHeight="false" outlineLevel="0" collapsed="false">
      <c r="A5923" s="1" t="s">
        <v>5958</v>
      </c>
      <c r="B5923" s="1" t="s">
        <v>26</v>
      </c>
      <c r="C5923" s="1" t="n">
        <v>374000</v>
      </c>
      <c r="D5923" s="1" t="n">
        <v>85162.7</v>
      </c>
      <c r="E5923" s="1" t="n">
        <v>0.0171</v>
      </c>
      <c r="F5923" s="1" t="n">
        <v>0.1325</v>
      </c>
    </row>
    <row r="5924" customFormat="false" ht="15" hidden="false" customHeight="false" outlineLevel="0" collapsed="false">
      <c r="A5924" s="1" t="s">
        <v>5959</v>
      </c>
      <c r="B5924" s="1" t="s">
        <v>41</v>
      </c>
      <c r="C5924" s="1" t="n">
        <v>612000</v>
      </c>
      <c r="D5924" s="1" t="n">
        <v>7716.6</v>
      </c>
      <c r="E5924" s="1" t="n">
        <v>0.0163</v>
      </c>
      <c r="F5924" s="1" t="n">
        <v>0.1053</v>
      </c>
    </row>
    <row r="5925" customFormat="false" ht="15" hidden="false" customHeight="false" outlineLevel="0" collapsed="false">
      <c r="A5925" s="1" t="s">
        <v>5960</v>
      </c>
      <c r="B5925" s="1" t="s">
        <v>92</v>
      </c>
      <c r="C5925" s="1" t="n">
        <v>713000</v>
      </c>
      <c r="D5925" s="1" t="n">
        <v>20168.3</v>
      </c>
      <c r="E5925" s="1" t="n">
        <v>0.037</v>
      </c>
      <c r="F5925" s="1" t="n">
        <v>0.0938</v>
      </c>
    </row>
    <row r="5926" customFormat="false" ht="15" hidden="false" customHeight="false" outlineLevel="0" collapsed="false">
      <c r="A5926" s="1" t="s">
        <v>5961</v>
      </c>
      <c r="B5926" s="1" t="s">
        <v>26</v>
      </c>
      <c r="C5926" s="1" t="n">
        <v>378000</v>
      </c>
      <c r="D5926" s="1" t="n">
        <v>388291.4</v>
      </c>
      <c r="E5926" s="1" t="n">
        <v>0.0262</v>
      </c>
      <c r="F5926" s="1" t="n">
        <v>0.0951</v>
      </c>
    </row>
    <row r="5927" customFormat="false" ht="15" hidden="false" customHeight="false" outlineLevel="0" collapsed="false">
      <c r="A5927" s="1" t="s">
        <v>5962</v>
      </c>
      <c r="B5927" s="1" t="s">
        <v>92</v>
      </c>
      <c r="C5927" s="1" t="n">
        <v>451000</v>
      </c>
      <c r="D5927" s="1" t="n">
        <v>80631.2</v>
      </c>
      <c r="E5927" s="1" t="n">
        <v>0.0273</v>
      </c>
      <c r="F5927" s="1" t="n">
        <v>0.0409</v>
      </c>
    </row>
    <row r="5928" customFormat="false" ht="15" hidden="false" customHeight="false" outlineLevel="0" collapsed="false">
      <c r="A5928" s="1" t="s">
        <v>5963</v>
      </c>
      <c r="B5928" s="1" t="s">
        <v>62</v>
      </c>
      <c r="C5928" s="1" t="n">
        <v>601000</v>
      </c>
      <c r="D5928" s="1" t="n">
        <v>92926.1</v>
      </c>
      <c r="E5928" s="1" t="n">
        <v>0.0382</v>
      </c>
      <c r="F5928" s="1" t="n">
        <v>0.0538</v>
      </c>
    </row>
    <row r="5929" customFormat="false" ht="15" hidden="false" customHeight="false" outlineLevel="0" collapsed="false">
      <c r="A5929" s="1" t="s">
        <v>5964</v>
      </c>
      <c r="B5929" s="1" t="s">
        <v>81</v>
      </c>
      <c r="C5929" s="1" t="n">
        <v>420000</v>
      </c>
      <c r="D5929" s="1" t="n">
        <v>23781.6</v>
      </c>
      <c r="E5929" s="1" t="n">
        <v>0.0239</v>
      </c>
      <c r="F5929" s="1" t="n">
        <v>0.0409</v>
      </c>
    </row>
    <row r="5930" customFormat="false" ht="15" hidden="false" customHeight="false" outlineLevel="0" collapsed="false">
      <c r="A5930" s="1" t="s">
        <v>5965</v>
      </c>
      <c r="B5930" s="1" t="s">
        <v>50</v>
      </c>
      <c r="C5930" s="1" t="n">
        <v>360000</v>
      </c>
      <c r="D5930" s="1" t="n">
        <v>2481.1</v>
      </c>
      <c r="E5930" s="1" t="n">
        <v>0.0409</v>
      </c>
      <c r="F5930" s="1" t="n">
        <v>0.0518</v>
      </c>
    </row>
    <row r="5931" customFormat="false" ht="15" hidden="false" customHeight="false" outlineLevel="0" collapsed="false">
      <c r="A5931" s="1" t="s">
        <v>5966</v>
      </c>
      <c r="B5931" s="1" t="s">
        <v>214</v>
      </c>
      <c r="C5931" s="1" t="n">
        <v>382000</v>
      </c>
      <c r="D5931" s="1" t="n">
        <v>3528</v>
      </c>
      <c r="E5931" s="1" t="n">
        <v>0.0061</v>
      </c>
      <c r="F5931" s="1" t="n">
        <v>0.0654</v>
      </c>
    </row>
    <row r="5932" customFormat="false" ht="15" hidden="false" customHeight="false" outlineLevel="0" collapsed="false">
      <c r="A5932" s="1" t="s">
        <v>5967</v>
      </c>
      <c r="B5932" s="1" t="s">
        <v>53</v>
      </c>
      <c r="C5932" s="1" t="n">
        <v>392000</v>
      </c>
      <c r="D5932" s="1" t="n">
        <v>2924.4</v>
      </c>
      <c r="E5932" s="1" t="n">
        <v>0.0242</v>
      </c>
      <c r="F5932" s="1" t="n">
        <v>0.0951</v>
      </c>
    </row>
    <row r="5933" customFormat="false" ht="15" hidden="false" customHeight="false" outlineLevel="0" collapsed="false">
      <c r="A5933" s="1" t="s">
        <v>5968</v>
      </c>
      <c r="B5933" s="1" t="s">
        <v>92</v>
      </c>
      <c r="C5933" s="1" t="n">
        <v>410000</v>
      </c>
      <c r="D5933" s="1" t="n">
        <v>5403.3</v>
      </c>
      <c r="E5933" s="1" t="n">
        <v>0.0165</v>
      </c>
      <c r="F5933" s="1" t="n">
        <v>0.0854</v>
      </c>
    </row>
    <row r="5934" customFormat="false" ht="15" hidden="false" customHeight="false" outlineLevel="0" collapsed="false">
      <c r="A5934" s="1" t="s">
        <v>5969</v>
      </c>
      <c r="B5934" s="1" t="s">
        <v>74</v>
      </c>
      <c r="C5934" s="1" t="n">
        <v>434000</v>
      </c>
      <c r="D5934" s="1" t="n">
        <v>2933</v>
      </c>
      <c r="E5934" s="1" t="n">
        <v>0.0628</v>
      </c>
      <c r="F5934" s="1" t="n">
        <v>0.0759</v>
      </c>
    </row>
    <row r="5935" customFormat="false" ht="15" hidden="false" customHeight="false" outlineLevel="0" collapsed="false">
      <c r="A5935" s="1" t="s">
        <v>5970</v>
      </c>
      <c r="B5935" s="1" t="s">
        <v>26</v>
      </c>
      <c r="C5935" s="1" t="n">
        <v>534000</v>
      </c>
      <c r="D5935" s="1" t="n">
        <v>203114.2</v>
      </c>
      <c r="E5935" s="1" t="n">
        <v>0.0251</v>
      </c>
      <c r="F5935" s="1" t="n">
        <v>0.051</v>
      </c>
    </row>
    <row r="5936" customFormat="false" ht="15" hidden="false" customHeight="false" outlineLevel="0" collapsed="false">
      <c r="A5936" s="1" t="s">
        <v>5971</v>
      </c>
      <c r="B5936" s="1" t="s">
        <v>41</v>
      </c>
      <c r="C5936" s="1" t="n">
        <v>515000</v>
      </c>
      <c r="D5936" s="1" t="n">
        <v>17664.3</v>
      </c>
      <c r="E5936" s="1" t="n">
        <v>0.0149</v>
      </c>
      <c r="F5936" s="1" t="n">
        <v>0.1309</v>
      </c>
    </row>
    <row r="5937" customFormat="false" ht="15" hidden="false" customHeight="false" outlineLevel="0" collapsed="false">
      <c r="A5937" s="1" t="s">
        <v>5972</v>
      </c>
      <c r="B5937" s="1" t="s">
        <v>26</v>
      </c>
      <c r="C5937" s="1" t="n">
        <v>408000</v>
      </c>
      <c r="D5937" s="1" t="n">
        <v>15111.9</v>
      </c>
      <c r="E5937" s="1" t="n">
        <v>0.1022</v>
      </c>
      <c r="F5937" s="1" t="n">
        <v>0.0759</v>
      </c>
    </row>
    <row r="5938" customFormat="false" ht="15" hidden="false" customHeight="false" outlineLevel="0" collapsed="false">
      <c r="A5938" s="1" t="s">
        <v>5973</v>
      </c>
      <c r="B5938" s="1" t="s">
        <v>50</v>
      </c>
      <c r="C5938" s="1" t="n">
        <v>403000</v>
      </c>
      <c r="D5938" s="1" t="n">
        <v>51735.1</v>
      </c>
      <c r="E5938" s="1" t="n">
        <v>0.1197</v>
      </c>
      <c r="F5938" s="1" t="n">
        <v>0.0672</v>
      </c>
    </row>
    <row r="5939" customFormat="false" ht="15" hidden="false" customHeight="false" outlineLevel="0" collapsed="false">
      <c r="A5939" s="1" t="s">
        <v>5974</v>
      </c>
      <c r="B5939" s="1" t="s">
        <v>41</v>
      </c>
      <c r="C5939" s="1" t="n">
        <v>388000</v>
      </c>
      <c r="D5939" s="1" t="n">
        <v>25267.3</v>
      </c>
      <c r="E5939" s="1" t="n">
        <v>0.0256</v>
      </c>
      <c r="F5939" s="1" t="n">
        <v>0.0759</v>
      </c>
    </row>
    <row r="5940" customFormat="false" ht="15" hidden="false" customHeight="false" outlineLevel="0" collapsed="false">
      <c r="A5940" s="1" t="s">
        <v>5975</v>
      </c>
      <c r="B5940" s="1" t="s">
        <v>26</v>
      </c>
      <c r="C5940" s="1" t="n">
        <v>724000</v>
      </c>
      <c r="D5940" s="1" t="n">
        <v>86823.4</v>
      </c>
      <c r="E5940" s="1" t="n">
        <v>0.0247</v>
      </c>
      <c r="F5940" s="1" t="n">
        <v>0.0759</v>
      </c>
    </row>
    <row r="5941" customFormat="false" ht="15" hidden="false" customHeight="false" outlineLevel="0" collapsed="false">
      <c r="A5941" s="1" t="s">
        <v>5976</v>
      </c>
      <c r="B5941" s="1" t="s">
        <v>81</v>
      </c>
      <c r="C5941" s="1" t="n">
        <v>387000</v>
      </c>
      <c r="D5941" s="1" t="n">
        <v>2129.7</v>
      </c>
      <c r="E5941" s="1" t="n">
        <v>0.0196</v>
      </c>
      <c r="F5941" s="1" t="n">
        <v>0.0672</v>
      </c>
    </row>
    <row r="5942" customFormat="false" ht="15" hidden="false" customHeight="false" outlineLevel="0" collapsed="false">
      <c r="A5942" s="1" t="s">
        <v>5977</v>
      </c>
      <c r="B5942" s="1" t="s">
        <v>287</v>
      </c>
      <c r="C5942" s="1" t="n">
        <v>384000</v>
      </c>
      <c r="D5942" s="1" t="n">
        <v>52408.2</v>
      </c>
      <c r="E5942" s="1" t="n">
        <v>0.033</v>
      </c>
      <c r="F5942" s="1" t="n">
        <v>0.0951</v>
      </c>
    </row>
    <row r="5943" customFormat="false" ht="15" hidden="false" customHeight="false" outlineLevel="0" collapsed="false">
      <c r="A5943" s="1" t="s">
        <v>5978</v>
      </c>
      <c r="B5943" s="1" t="s">
        <v>195</v>
      </c>
      <c r="C5943" s="1" t="n">
        <v>375000</v>
      </c>
      <c r="D5943" s="1" t="n">
        <v>3423</v>
      </c>
      <c r="E5943" s="1" t="n">
        <v>0.0214</v>
      </c>
      <c r="F5943" s="1" t="n">
        <v>0.0546</v>
      </c>
    </row>
    <row r="5944" customFormat="false" ht="15" hidden="false" customHeight="false" outlineLevel="0" collapsed="false">
      <c r="A5944" s="1" t="s">
        <v>5979</v>
      </c>
      <c r="B5944" s="1" t="s">
        <v>71</v>
      </c>
      <c r="C5944" s="1" t="n">
        <v>404000</v>
      </c>
      <c r="D5944" s="1" t="n">
        <v>2397.6</v>
      </c>
      <c r="E5944" s="1" t="n">
        <v>0.0274</v>
      </c>
      <c r="F5944" s="1" t="n">
        <v>0.0759</v>
      </c>
    </row>
    <row r="5945" customFormat="false" ht="15" hidden="false" customHeight="false" outlineLevel="0" collapsed="false">
      <c r="A5945" s="1" t="s">
        <v>5980</v>
      </c>
      <c r="B5945" s="1" t="s">
        <v>24</v>
      </c>
      <c r="C5945" s="1" t="n">
        <v>471000</v>
      </c>
      <c r="D5945" s="1" t="n">
        <v>204813.8</v>
      </c>
      <c r="E5945" s="1" t="n">
        <v>0.0188</v>
      </c>
      <c r="F5945" s="1" t="n">
        <v>0.095</v>
      </c>
    </row>
    <row r="5946" customFormat="false" ht="15" hidden="false" customHeight="false" outlineLevel="0" collapsed="false">
      <c r="A5946" s="1" t="s">
        <v>5981</v>
      </c>
      <c r="B5946" s="1" t="s">
        <v>21</v>
      </c>
      <c r="C5946" s="1" t="n">
        <v>1530000</v>
      </c>
      <c r="D5946" s="1" t="n">
        <v>5286.8</v>
      </c>
      <c r="E5946" s="1" t="n">
        <v>0.0041</v>
      </c>
      <c r="F5946" s="1" t="n">
        <v>0.1262</v>
      </c>
    </row>
    <row r="5947" customFormat="false" ht="15" hidden="false" customHeight="false" outlineLevel="0" collapsed="false">
      <c r="A5947" s="1" t="s">
        <v>5982</v>
      </c>
      <c r="B5947" s="1" t="s">
        <v>62</v>
      </c>
      <c r="C5947" s="1" t="n">
        <v>1330000</v>
      </c>
      <c r="D5947" s="1" t="n">
        <v>58700.5</v>
      </c>
      <c r="E5947" s="1" t="n">
        <v>0.016</v>
      </c>
      <c r="F5947" s="1" t="n">
        <v>0.0462</v>
      </c>
    </row>
    <row r="5948" customFormat="false" ht="15" hidden="false" customHeight="false" outlineLevel="0" collapsed="false">
      <c r="A5948" s="1" t="s">
        <v>5983</v>
      </c>
      <c r="B5948" s="1" t="s">
        <v>62</v>
      </c>
      <c r="C5948" s="1" t="n">
        <v>691000</v>
      </c>
      <c r="D5948" s="1" t="n">
        <v>307.8</v>
      </c>
      <c r="E5948" s="1" t="n">
        <v>0.2243</v>
      </c>
      <c r="F5948" s="1" t="n">
        <v>0.0759</v>
      </c>
    </row>
    <row r="5949" customFormat="false" ht="15" hidden="false" customHeight="false" outlineLevel="0" collapsed="false">
      <c r="A5949" s="1" t="s">
        <v>5984</v>
      </c>
      <c r="B5949" s="1" t="s">
        <v>214</v>
      </c>
      <c r="C5949" s="1" t="n">
        <v>373000</v>
      </c>
      <c r="D5949" s="1" t="n">
        <v>105953.4</v>
      </c>
      <c r="E5949" s="1" t="n">
        <v>0.0211</v>
      </c>
      <c r="F5949" s="1" t="n">
        <v>0.0518</v>
      </c>
    </row>
    <row r="5950" customFormat="false" ht="15" hidden="false" customHeight="false" outlineLevel="0" collapsed="false">
      <c r="A5950" s="1" t="s">
        <v>5985</v>
      </c>
      <c r="B5950" s="1" t="s">
        <v>62</v>
      </c>
      <c r="C5950" s="1" t="n">
        <v>484000</v>
      </c>
      <c r="D5950" s="1" t="n">
        <v>37233.2</v>
      </c>
      <c r="E5950" s="1" t="n">
        <v>0.0674</v>
      </c>
      <c r="F5950" s="1" t="n">
        <v>0.0432</v>
      </c>
    </row>
    <row r="5951" customFormat="false" ht="15" hidden="false" customHeight="false" outlineLevel="0" collapsed="false">
      <c r="A5951" s="1" t="s">
        <v>5986</v>
      </c>
      <c r="B5951" s="1" t="s">
        <v>88</v>
      </c>
      <c r="C5951" s="1" t="n">
        <v>358000</v>
      </c>
      <c r="D5951" s="1" t="n">
        <v>643.1</v>
      </c>
      <c r="E5951" s="1" t="n">
        <v>0.0053</v>
      </c>
      <c r="F5951" s="1" t="n">
        <v>0.0811</v>
      </c>
    </row>
    <row r="5952" customFormat="false" ht="15" hidden="false" customHeight="false" outlineLevel="0" collapsed="false">
      <c r="A5952" s="1" t="s">
        <v>5987</v>
      </c>
      <c r="B5952" s="1" t="s">
        <v>74</v>
      </c>
      <c r="C5952" s="1" t="n">
        <v>398000</v>
      </c>
      <c r="D5952" s="1" t="n">
        <v>1774.9</v>
      </c>
      <c r="E5952" s="1" t="n">
        <v>0.0239</v>
      </c>
      <c r="F5952" s="1" t="n">
        <v>0.0938</v>
      </c>
    </row>
    <row r="5953" customFormat="false" ht="15" hidden="false" customHeight="false" outlineLevel="0" collapsed="false">
      <c r="A5953" s="1" t="s">
        <v>5988</v>
      </c>
      <c r="B5953" s="1" t="s">
        <v>287</v>
      </c>
      <c r="C5953" s="1" t="n">
        <v>408000</v>
      </c>
      <c r="D5953" s="1" t="n">
        <v>94222.3</v>
      </c>
      <c r="E5953" s="1" t="n">
        <v>0.04</v>
      </c>
      <c r="F5953" s="1" t="n">
        <v>0.0546</v>
      </c>
    </row>
    <row r="5954" customFormat="false" ht="15" hidden="false" customHeight="false" outlineLevel="0" collapsed="false">
      <c r="A5954" s="1" t="s">
        <v>5989</v>
      </c>
      <c r="B5954" s="1" t="s">
        <v>24</v>
      </c>
      <c r="C5954" s="1" t="n">
        <v>1070000</v>
      </c>
      <c r="D5954" s="1" t="n">
        <v>10405.3</v>
      </c>
      <c r="E5954" s="1" t="n">
        <v>0.0181</v>
      </c>
      <c r="F5954" s="1" t="n">
        <v>0.0576</v>
      </c>
    </row>
    <row r="5955" customFormat="false" ht="15" hidden="false" customHeight="false" outlineLevel="0" collapsed="false">
      <c r="A5955" s="1" t="s">
        <v>5990</v>
      </c>
      <c r="B5955" s="1" t="s">
        <v>88</v>
      </c>
      <c r="C5955" s="1" t="n">
        <v>496000</v>
      </c>
      <c r="D5955" s="1" t="n">
        <v>5911.5</v>
      </c>
      <c r="E5955" s="1" t="n">
        <v>0.0741</v>
      </c>
      <c r="F5955" s="1" t="n">
        <v>0.0759</v>
      </c>
    </row>
    <row r="5956" customFormat="false" ht="15" hidden="false" customHeight="false" outlineLevel="0" collapsed="false">
      <c r="A5956" s="1" t="s">
        <v>5991</v>
      </c>
      <c r="B5956" s="1" t="s">
        <v>88</v>
      </c>
      <c r="C5956" s="1" t="n">
        <v>421000</v>
      </c>
      <c r="D5956" s="1" t="n">
        <v>3131</v>
      </c>
      <c r="E5956" s="1" t="n">
        <v>0.0207</v>
      </c>
      <c r="F5956" s="1" t="n">
        <v>0.0759</v>
      </c>
    </row>
    <row r="5957" customFormat="false" ht="15" hidden="false" customHeight="false" outlineLevel="0" collapsed="false">
      <c r="A5957" s="1" t="s">
        <v>5992</v>
      </c>
      <c r="B5957" s="1" t="s">
        <v>41</v>
      </c>
      <c r="C5957" s="1" t="n">
        <v>558000</v>
      </c>
      <c r="D5957" s="1" t="n">
        <v>9992.6</v>
      </c>
      <c r="E5957" s="1" t="n">
        <v>0.0531</v>
      </c>
      <c r="F5957" s="1" t="n">
        <v>0.051</v>
      </c>
    </row>
    <row r="5958" customFormat="false" ht="15" hidden="false" customHeight="false" outlineLevel="0" collapsed="false">
      <c r="A5958" s="1" t="s">
        <v>5993</v>
      </c>
      <c r="B5958" s="1" t="s">
        <v>41</v>
      </c>
      <c r="C5958" s="1" t="n">
        <v>364000</v>
      </c>
      <c r="D5958" s="1" t="n">
        <v>492.7</v>
      </c>
      <c r="E5958" s="1" t="n">
        <v>0.013</v>
      </c>
      <c r="F5958" s="1" t="n">
        <v>0.1135</v>
      </c>
    </row>
    <row r="5959" customFormat="false" ht="15" hidden="false" customHeight="false" outlineLevel="0" collapsed="false">
      <c r="A5959" s="1" t="s">
        <v>5994</v>
      </c>
      <c r="B5959" s="1" t="s">
        <v>26</v>
      </c>
      <c r="C5959" s="1" t="n">
        <v>655000</v>
      </c>
      <c r="D5959" s="1" t="n">
        <v>396873.8</v>
      </c>
      <c r="E5959" s="1" t="n">
        <v>0.025</v>
      </c>
      <c r="F5959" s="1" t="n">
        <v>0.0759</v>
      </c>
    </row>
    <row r="5960" customFormat="false" ht="15" hidden="false" customHeight="false" outlineLevel="0" collapsed="false">
      <c r="A5960" s="1" t="s">
        <v>5995</v>
      </c>
      <c r="B5960" s="1" t="s">
        <v>214</v>
      </c>
      <c r="C5960" s="1" t="n">
        <v>564000</v>
      </c>
      <c r="D5960" s="1" t="n">
        <v>13602.8</v>
      </c>
      <c r="E5960" s="1" t="n">
        <v>0.0143</v>
      </c>
      <c r="F5960" s="1" t="n">
        <v>0.1168</v>
      </c>
    </row>
    <row r="5961" customFormat="false" ht="15" hidden="false" customHeight="false" outlineLevel="0" collapsed="false">
      <c r="A5961" s="1" t="s">
        <v>5996</v>
      </c>
      <c r="B5961" s="1" t="s">
        <v>26</v>
      </c>
      <c r="C5961" s="1" t="n">
        <v>1470000</v>
      </c>
      <c r="D5961" s="1" t="n">
        <v>1858541.6</v>
      </c>
      <c r="E5961" s="1" t="n">
        <v>0.0165</v>
      </c>
      <c r="F5961" s="1" t="n">
        <v>0.0462</v>
      </c>
    </row>
    <row r="5962" customFormat="false" ht="15" hidden="false" customHeight="false" outlineLevel="0" collapsed="false">
      <c r="A5962" s="1" t="s">
        <v>5997</v>
      </c>
      <c r="B5962" s="1" t="s">
        <v>26</v>
      </c>
      <c r="C5962" s="1" t="n">
        <v>363000</v>
      </c>
      <c r="D5962" s="1" t="n">
        <v>807.5</v>
      </c>
      <c r="E5962" s="1" t="n">
        <v>0.0289</v>
      </c>
      <c r="F5962" s="1" t="n">
        <v>0.1325</v>
      </c>
    </row>
    <row r="5963" customFormat="false" ht="15" hidden="false" customHeight="false" outlineLevel="0" collapsed="false">
      <c r="A5963" s="1" t="s">
        <v>5998</v>
      </c>
      <c r="B5963" s="1" t="s">
        <v>88</v>
      </c>
      <c r="C5963" s="1" t="n">
        <v>388000</v>
      </c>
      <c r="D5963" s="1" t="n">
        <v>5712.9</v>
      </c>
      <c r="E5963" s="1" t="n">
        <v>0.034</v>
      </c>
      <c r="F5963" s="1" t="n">
        <v>0.0951</v>
      </c>
    </row>
    <row r="5964" customFormat="false" ht="15" hidden="false" customHeight="false" outlineLevel="0" collapsed="false">
      <c r="A5964" s="1" t="s">
        <v>5999</v>
      </c>
      <c r="B5964" s="1" t="s">
        <v>92</v>
      </c>
      <c r="C5964" s="1" t="n">
        <v>365000</v>
      </c>
      <c r="D5964" s="1" t="n">
        <v>1615.4</v>
      </c>
      <c r="E5964" s="1" t="n">
        <v>0.006</v>
      </c>
      <c r="F5964" s="1" t="n">
        <v>0.0654</v>
      </c>
    </row>
    <row r="5965" customFormat="false" ht="15" hidden="false" customHeight="false" outlineLevel="0" collapsed="false">
      <c r="A5965" s="1" t="s">
        <v>6000</v>
      </c>
      <c r="B5965" s="1" t="s">
        <v>62</v>
      </c>
      <c r="C5965" s="1" t="n">
        <v>425000</v>
      </c>
      <c r="D5965" s="1" t="n">
        <v>8201.7</v>
      </c>
      <c r="E5965" s="1" t="n">
        <v>0.0585</v>
      </c>
      <c r="F5965" s="1" t="n">
        <v>0.0759</v>
      </c>
    </row>
    <row r="5966" customFormat="false" ht="15" hidden="false" customHeight="false" outlineLevel="0" collapsed="false">
      <c r="A5966" s="1" t="s">
        <v>6001</v>
      </c>
      <c r="B5966" s="1" t="s">
        <v>287</v>
      </c>
      <c r="C5966" s="1" t="n">
        <v>537000</v>
      </c>
      <c r="D5966" s="1" t="n">
        <v>103480.8</v>
      </c>
      <c r="E5966" s="1" t="n">
        <v>0.0158</v>
      </c>
      <c r="F5966" s="1" t="n">
        <v>0.1604</v>
      </c>
    </row>
    <row r="5967" customFormat="false" ht="15" hidden="false" customHeight="false" outlineLevel="0" collapsed="false">
      <c r="A5967" s="1" t="s">
        <v>6002</v>
      </c>
      <c r="B5967" s="1" t="s">
        <v>26</v>
      </c>
      <c r="C5967" s="1" t="n">
        <v>2610000</v>
      </c>
      <c r="D5967" s="1" t="n">
        <v>39443.8</v>
      </c>
      <c r="E5967" s="1" t="n">
        <v>0.0209</v>
      </c>
      <c r="F5967" s="1" t="n">
        <v>0.051</v>
      </c>
    </row>
    <row r="5968" customFormat="false" ht="15" hidden="false" customHeight="false" outlineLevel="0" collapsed="false">
      <c r="A5968" s="1" t="s">
        <v>6003</v>
      </c>
      <c r="B5968" s="1" t="s">
        <v>50</v>
      </c>
      <c r="C5968" s="1" t="n">
        <v>438000</v>
      </c>
      <c r="D5968" s="1" t="n">
        <v>16129.8</v>
      </c>
      <c r="E5968" s="1" t="n">
        <v>0.082</v>
      </c>
      <c r="F5968" s="1" t="n">
        <v>0.0938</v>
      </c>
    </row>
    <row r="5969" customFormat="false" ht="15" hidden="false" customHeight="false" outlineLevel="0" collapsed="false">
      <c r="A5969" s="1" t="s">
        <v>6004</v>
      </c>
      <c r="B5969" s="1" t="s">
        <v>21</v>
      </c>
      <c r="C5969" s="1" t="n">
        <v>440000</v>
      </c>
      <c r="D5969" s="1" t="n">
        <v>2137.3</v>
      </c>
      <c r="E5969" s="1" t="n">
        <v>0.0226</v>
      </c>
      <c r="F5969" s="1" t="n">
        <v>0.0409</v>
      </c>
    </row>
    <row r="5970" customFormat="false" ht="15" hidden="false" customHeight="false" outlineLevel="0" collapsed="false">
      <c r="A5970" s="1" t="s">
        <v>6005</v>
      </c>
      <c r="B5970" s="1" t="s">
        <v>74</v>
      </c>
      <c r="C5970" s="1" t="n">
        <v>354000</v>
      </c>
      <c r="D5970" s="1" t="n">
        <v>80678.4</v>
      </c>
      <c r="E5970" s="1" t="n">
        <v>0.0403</v>
      </c>
      <c r="F5970" s="1" t="n">
        <v>0.0951</v>
      </c>
    </row>
    <row r="5971" customFormat="false" ht="15" hidden="false" customHeight="false" outlineLevel="0" collapsed="false">
      <c r="A5971" s="1" t="s">
        <v>6006</v>
      </c>
      <c r="B5971" s="1" t="s">
        <v>24</v>
      </c>
      <c r="C5971" s="1" t="n">
        <v>369000</v>
      </c>
      <c r="D5971" s="1" t="n">
        <v>931</v>
      </c>
      <c r="E5971" s="1" t="n">
        <v>0.0062</v>
      </c>
      <c r="F5971" s="1" t="n">
        <v>0.0822</v>
      </c>
    </row>
    <row r="5972" customFormat="false" ht="15" hidden="false" customHeight="false" outlineLevel="0" collapsed="false">
      <c r="A5972" s="1" t="s">
        <v>6007</v>
      </c>
      <c r="B5972" s="1" t="s">
        <v>26</v>
      </c>
      <c r="C5972" s="1" t="n">
        <v>357000</v>
      </c>
      <c r="D5972" s="1" t="n">
        <v>33282.9</v>
      </c>
      <c r="E5972" s="1" t="n">
        <v>0.0437</v>
      </c>
      <c r="F5972" s="1" t="n">
        <v>0.0951</v>
      </c>
    </row>
    <row r="5973" customFormat="false" ht="15" hidden="false" customHeight="false" outlineLevel="0" collapsed="false">
      <c r="A5973" s="1" t="s">
        <v>6008</v>
      </c>
      <c r="B5973" s="1" t="s">
        <v>88</v>
      </c>
      <c r="C5973" s="1" t="n">
        <v>352000</v>
      </c>
      <c r="D5973" s="1" t="n">
        <v>2931.2</v>
      </c>
      <c r="E5973" s="1" t="n">
        <v>0.0284</v>
      </c>
      <c r="F5973" s="1" t="n">
        <v>0.0679</v>
      </c>
    </row>
    <row r="5974" customFormat="false" ht="15" hidden="false" customHeight="false" outlineLevel="0" collapsed="false">
      <c r="A5974" s="1" t="s">
        <v>6009</v>
      </c>
      <c r="B5974" s="1" t="s">
        <v>24</v>
      </c>
      <c r="C5974" s="1" t="n">
        <v>746000</v>
      </c>
      <c r="D5974" s="1" t="n">
        <v>267587.5</v>
      </c>
      <c r="E5974" s="1" t="n">
        <v>0.0035</v>
      </c>
      <c r="F5974" s="1" t="n">
        <v>0.0654</v>
      </c>
    </row>
    <row r="5975" customFormat="false" ht="15" hidden="false" customHeight="false" outlineLevel="0" collapsed="false">
      <c r="A5975" s="1" t="s">
        <v>6010</v>
      </c>
      <c r="B5975" s="1" t="s">
        <v>62</v>
      </c>
      <c r="C5975" s="1" t="n">
        <v>387000</v>
      </c>
      <c r="D5975" s="1" t="n">
        <v>1891.6</v>
      </c>
      <c r="E5975" s="1" t="n">
        <v>0.0125</v>
      </c>
      <c r="F5975" s="1" t="n">
        <v>0.0821</v>
      </c>
    </row>
    <row r="5976" customFormat="false" ht="15" hidden="false" customHeight="false" outlineLevel="0" collapsed="false">
      <c r="A5976" s="1" t="s">
        <v>6011</v>
      </c>
      <c r="B5976" s="1" t="s">
        <v>41</v>
      </c>
      <c r="C5976" s="1" t="n">
        <v>690000</v>
      </c>
      <c r="D5976" s="1" t="n">
        <v>323</v>
      </c>
      <c r="E5976" s="1" t="n">
        <v>0.0236</v>
      </c>
      <c r="F5976" s="1" t="n">
        <v>0.0938</v>
      </c>
    </row>
    <row r="5977" customFormat="false" ht="15" hidden="false" customHeight="false" outlineLevel="0" collapsed="false">
      <c r="A5977" s="1" t="s">
        <v>6012</v>
      </c>
      <c r="B5977" s="1" t="s">
        <v>53</v>
      </c>
      <c r="C5977" s="1" t="n">
        <v>435000</v>
      </c>
      <c r="D5977" s="1" t="n">
        <v>31802.4</v>
      </c>
      <c r="E5977" s="1" t="n">
        <v>0.006</v>
      </c>
      <c r="F5977" s="1" t="n">
        <v>0.1187</v>
      </c>
    </row>
    <row r="5978" customFormat="false" ht="15" hidden="false" customHeight="false" outlineLevel="0" collapsed="false">
      <c r="A5978" s="1" t="s">
        <v>6013</v>
      </c>
      <c r="B5978" s="1" t="s">
        <v>74</v>
      </c>
      <c r="C5978" s="1" t="n">
        <v>396000</v>
      </c>
      <c r="D5978" s="1" t="n">
        <v>6920.1</v>
      </c>
      <c r="E5978" s="1" t="n">
        <v>0.0118</v>
      </c>
      <c r="F5978" s="1" t="n">
        <v>0.0726</v>
      </c>
    </row>
    <row r="5979" customFormat="false" ht="15" hidden="false" customHeight="false" outlineLevel="0" collapsed="false">
      <c r="A5979" s="1" t="s">
        <v>6014</v>
      </c>
      <c r="B5979" s="1" t="s">
        <v>88</v>
      </c>
      <c r="C5979" s="1" t="n">
        <v>158000</v>
      </c>
      <c r="D5979" s="1" t="n">
        <v>4134.1</v>
      </c>
      <c r="E5979" s="1" t="n">
        <v>0.0413</v>
      </c>
      <c r="F5979" s="1" t="n">
        <v>0.0759</v>
      </c>
    </row>
    <row r="5980" customFormat="false" ht="15" hidden="false" customHeight="false" outlineLevel="0" collapsed="false">
      <c r="A5980" s="1" t="s">
        <v>6015</v>
      </c>
      <c r="B5980" s="1" t="s">
        <v>92</v>
      </c>
      <c r="C5980" s="1" t="n">
        <v>381000</v>
      </c>
      <c r="D5980" s="1" t="n">
        <v>446525.1</v>
      </c>
      <c r="E5980" s="1" t="n">
        <v>0.0213</v>
      </c>
      <c r="F5980" s="1" t="n">
        <v>0.0409</v>
      </c>
    </row>
    <row r="5981" customFormat="false" ht="15" hidden="false" customHeight="false" outlineLevel="0" collapsed="false">
      <c r="A5981" s="1" t="s">
        <v>6016</v>
      </c>
      <c r="B5981" s="1" t="s">
        <v>88</v>
      </c>
      <c r="C5981" s="1" t="n">
        <v>388000</v>
      </c>
      <c r="D5981" s="1" t="n">
        <v>325.2</v>
      </c>
      <c r="E5981" s="1" t="n">
        <v>0.0251</v>
      </c>
      <c r="F5981" s="1" t="n">
        <v>0.0938</v>
      </c>
    </row>
    <row r="5982" customFormat="false" ht="15" hidden="false" customHeight="false" outlineLevel="0" collapsed="false">
      <c r="A5982" s="1" t="s">
        <v>6017</v>
      </c>
      <c r="B5982" s="1" t="s">
        <v>41</v>
      </c>
      <c r="C5982" s="1" t="n">
        <v>400000</v>
      </c>
      <c r="D5982" s="1" t="n">
        <v>30663.3</v>
      </c>
      <c r="E5982" s="1" t="n">
        <v>0.0844</v>
      </c>
      <c r="F5982" s="1" t="n">
        <v>0.0938</v>
      </c>
    </row>
    <row r="5983" customFormat="false" ht="15" hidden="false" customHeight="false" outlineLevel="0" collapsed="false">
      <c r="A5983" s="1" t="s">
        <v>6018</v>
      </c>
      <c r="B5983" s="1" t="s">
        <v>214</v>
      </c>
      <c r="C5983" s="1" t="n">
        <v>708000</v>
      </c>
      <c r="D5983" s="1" t="n">
        <v>6123</v>
      </c>
      <c r="E5983" s="1" t="n">
        <v>0.0664</v>
      </c>
      <c r="F5983" s="1" t="n">
        <v>0.0409</v>
      </c>
    </row>
    <row r="5984" customFormat="false" ht="15" hidden="false" customHeight="false" outlineLevel="0" collapsed="false">
      <c r="A5984" s="1" t="s">
        <v>6019</v>
      </c>
      <c r="B5984" s="1" t="s">
        <v>41</v>
      </c>
      <c r="C5984" s="1" t="n">
        <v>530000</v>
      </c>
      <c r="D5984" s="1" t="n">
        <v>594.3</v>
      </c>
      <c r="E5984" s="1" t="n">
        <v>0.0228</v>
      </c>
      <c r="F5984" s="1" t="n">
        <v>0.0759</v>
      </c>
    </row>
    <row r="5985" customFormat="false" ht="15" hidden="false" customHeight="false" outlineLevel="0" collapsed="false">
      <c r="A5985" s="1" t="s">
        <v>6020</v>
      </c>
      <c r="B5985" s="1" t="s">
        <v>88</v>
      </c>
      <c r="C5985" s="1" t="n">
        <v>418000</v>
      </c>
      <c r="D5985" s="1" t="n">
        <v>450.3</v>
      </c>
      <c r="E5985" s="1" t="n">
        <v>0.0057</v>
      </c>
      <c r="F5985" s="1" t="n">
        <v>0.1113</v>
      </c>
    </row>
    <row r="5986" customFormat="false" ht="15" hidden="false" customHeight="false" outlineLevel="0" collapsed="false">
      <c r="A5986" s="1" t="s">
        <v>6021</v>
      </c>
      <c r="B5986" s="1" t="s">
        <v>214</v>
      </c>
      <c r="C5986" s="1" t="n">
        <v>408000</v>
      </c>
      <c r="D5986" s="1" t="n">
        <v>100639.4</v>
      </c>
      <c r="E5986" s="1" t="n">
        <v>0.0416</v>
      </c>
      <c r="F5986" s="1" t="n">
        <v>0.0951</v>
      </c>
    </row>
    <row r="5987" customFormat="false" ht="15" hidden="false" customHeight="false" outlineLevel="0" collapsed="false">
      <c r="A5987" s="1" t="s">
        <v>6022</v>
      </c>
      <c r="B5987" s="1" t="s">
        <v>24</v>
      </c>
      <c r="C5987" s="1" t="n">
        <v>442000</v>
      </c>
      <c r="D5987" s="1" t="n">
        <v>1122209.3</v>
      </c>
      <c r="E5987" s="1" t="n">
        <v>0.034</v>
      </c>
      <c r="F5987" s="1" t="n">
        <v>0.0951</v>
      </c>
    </row>
    <row r="5988" customFormat="false" ht="15" hidden="false" customHeight="false" outlineLevel="0" collapsed="false">
      <c r="A5988" s="1" t="s">
        <v>6023</v>
      </c>
      <c r="B5988" s="1" t="s">
        <v>81</v>
      </c>
      <c r="C5988" s="1" t="n">
        <v>419000</v>
      </c>
      <c r="D5988" s="1" t="n">
        <v>819.9</v>
      </c>
      <c r="E5988" s="1" t="n">
        <v>0.0204</v>
      </c>
      <c r="F5988" s="1" t="n">
        <v>0.0584</v>
      </c>
    </row>
    <row r="5989" customFormat="false" ht="15" hidden="false" customHeight="false" outlineLevel="0" collapsed="false">
      <c r="A5989" s="1" t="s">
        <v>6024</v>
      </c>
      <c r="B5989" s="1" t="s">
        <v>88</v>
      </c>
      <c r="C5989" s="1" t="n">
        <v>364000</v>
      </c>
      <c r="D5989" s="1" t="n">
        <v>748.1</v>
      </c>
      <c r="E5989" s="1" t="n">
        <v>0.0201</v>
      </c>
      <c r="F5989" s="1" t="n">
        <v>0.0951</v>
      </c>
    </row>
    <row r="5990" customFormat="false" ht="15" hidden="false" customHeight="false" outlineLevel="0" collapsed="false">
      <c r="A5990" s="1" t="s">
        <v>6025</v>
      </c>
      <c r="B5990" s="1" t="s">
        <v>74</v>
      </c>
      <c r="C5990" s="1" t="n">
        <v>384000</v>
      </c>
      <c r="D5990" s="1" t="n">
        <v>2097.9</v>
      </c>
      <c r="E5990" s="1" t="n">
        <v>0.0604</v>
      </c>
      <c r="F5990" s="1" t="n">
        <v>0.0409</v>
      </c>
    </row>
    <row r="5991" customFormat="false" ht="15" hidden="false" customHeight="false" outlineLevel="0" collapsed="false">
      <c r="A5991" s="1" t="s">
        <v>6026</v>
      </c>
      <c r="B5991" s="1" t="s">
        <v>88</v>
      </c>
      <c r="C5991" s="1" t="n">
        <v>358000</v>
      </c>
      <c r="D5991" s="1" t="n">
        <v>2848.1</v>
      </c>
      <c r="E5991" s="1" t="n">
        <v>0.0565</v>
      </c>
      <c r="F5991" s="1" t="n">
        <v>0.0951</v>
      </c>
    </row>
    <row r="5992" customFormat="false" ht="15" hidden="false" customHeight="false" outlineLevel="0" collapsed="false">
      <c r="A5992" s="1" t="s">
        <v>6027</v>
      </c>
      <c r="B5992" s="1" t="s">
        <v>26</v>
      </c>
      <c r="C5992" s="1" t="n">
        <v>383000</v>
      </c>
      <c r="D5992" s="1" t="n">
        <v>4149.4</v>
      </c>
      <c r="E5992" s="1" t="n">
        <v>0.0422</v>
      </c>
      <c r="F5992" s="1" t="n">
        <v>0.0759</v>
      </c>
    </row>
    <row r="5993" customFormat="false" ht="15" hidden="false" customHeight="false" outlineLevel="0" collapsed="false">
      <c r="A5993" s="1" t="s">
        <v>6028</v>
      </c>
      <c r="B5993" s="1" t="s">
        <v>74</v>
      </c>
      <c r="C5993" s="1" t="n">
        <v>376000</v>
      </c>
      <c r="D5993" s="1" t="n">
        <v>592</v>
      </c>
      <c r="E5993" s="1" t="n">
        <v>0.2908</v>
      </c>
      <c r="F5993" s="1" t="n">
        <v>0.625</v>
      </c>
    </row>
    <row r="5994" customFormat="false" ht="15" hidden="false" customHeight="false" outlineLevel="0" collapsed="false">
      <c r="A5994" s="1" t="s">
        <v>6029</v>
      </c>
      <c r="B5994" s="1" t="s">
        <v>88</v>
      </c>
      <c r="C5994" s="1" t="n">
        <v>371000</v>
      </c>
      <c r="D5994" s="1" t="n">
        <v>11578.4</v>
      </c>
      <c r="E5994" s="1" t="n">
        <v>0.0271</v>
      </c>
      <c r="F5994" s="1" t="n">
        <v>0.117</v>
      </c>
    </row>
    <row r="5995" customFormat="false" ht="15" hidden="false" customHeight="false" outlineLevel="0" collapsed="false">
      <c r="A5995" s="1" t="s">
        <v>6030</v>
      </c>
      <c r="B5995" s="1" t="s">
        <v>26</v>
      </c>
      <c r="C5995" s="1" t="n">
        <v>487000</v>
      </c>
      <c r="D5995" s="1" t="n">
        <v>1278365.6</v>
      </c>
      <c r="E5995" s="1" t="n">
        <v>0.0118</v>
      </c>
      <c r="F5995" s="1" t="n">
        <v>0.0736</v>
      </c>
    </row>
    <row r="5996" customFormat="false" ht="15" hidden="false" customHeight="false" outlineLevel="0" collapsed="false">
      <c r="A5996" s="1" t="s">
        <v>6031</v>
      </c>
      <c r="B5996" s="1" t="s">
        <v>88</v>
      </c>
      <c r="C5996" s="1" t="n">
        <v>421000</v>
      </c>
      <c r="D5996" s="1" t="n">
        <v>1444.4</v>
      </c>
      <c r="E5996" s="1" t="n">
        <v>0.0418</v>
      </c>
      <c r="F5996" s="1" t="n">
        <v>0.0938</v>
      </c>
    </row>
    <row r="5997" customFormat="false" ht="15" hidden="false" customHeight="false" outlineLevel="0" collapsed="false">
      <c r="A5997" s="1" t="s">
        <v>6032</v>
      </c>
      <c r="B5997" s="1" t="s">
        <v>26</v>
      </c>
      <c r="C5997" s="1" t="n">
        <v>464000</v>
      </c>
      <c r="D5997" s="1" t="n">
        <v>4014.5</v>
      </c>
      <c r="E5997" s="1" t="n">
        <v>0.0261</v>
      </c>
      <c r="F5997" s="1" t="n">
        <v>0.0725</v>
      </c>
    </row>
    <row r="5998" customFormat="false" ht="15" hidden="false" customHeight="false" outlineLevel="0" collapsed="false">
      <c r="A5998" s="1" t="s">
        <v>6033</v>
      </c>
      <c r="B5998" s="1" t="s">
        <v>26</v>
      </c>
      <c r="C5998" s="1" t="n">
        <v>598000</v>
      </c>
      <c r="D5998" s="1" t="n">
        <v>151026.9</v>
      </c>
      <c r="E5998" s="1" t="n">
        <v>0.0345</v>
      </c>
      <c r="F5998" s="1" t="n">
        <v>0.051</v>
      </c>
    </row>
    <row r="5999" customFormat="false" ht="15" hidden="false" customHeight="false" outlineLevel="0" collapsed="false">
      <c r="A5999" s="1" t="s">
        <v>6034</v>
      </c>
      <c r="B5999" s="1" t="s">
        <v>26</v>
      </c>
      <c r="C5999" s="1" t="n">
        <v>384000</v>
      </c>
      <c r="D5999" s="1" t="n">
        <v>21658.7</v>
      </c>
      <c r="E5999" s="1" t="n">
        <v>0.0315</v>
      </c>
      <c r="F5999" s="1" t="n">
        <v>0.1243</v>
      </c>
    </row>
    <row r="6000" customFormat="false" ht="15" hidden="false" customHeight="false" outlineLevel="0" collapsed="false">
      <c r="A6000" s="1" t="s">
        <v>6035</v>
      </c>
      <c r="B6000" s="1" t="s">
        <v>53</v>
      </c>
      <c r="C6000" s="1" t="n">
        <v>414000</v>
      </c>
      <c r="D6000" s="1" t="n">
        <v>573921.3</v>
      </c>
      <c r="E6000" s="1" t="n">
        <v>0.0773</v>
      </c>
      <c r="F6000" s="1" t="n">
        <v>0.0518</v>
      </c>
    </row>
    <row r="6001" customFormat="false" ht="15" hidden="false" customHeight="false" outlineLevel="0" collapsed="false">
      <c r="A6001" s="1" t="s">
        <v>6036</v>
      </c>
      <c r="B6001" s="1" t="s">
        <v>88</v>
      </c>
      <c r="C6001" s="1" t="n">
        <v>365000</v>
      </c>
      <c r="D6001" s="1" t="n">
        <v>2786.4</v>
      </c>
      <c r="E6001" s="1" t="n">
        <v>0.0278</v>
      </c>
      <c r="F6001" s="1" t="n">
        <v>0.0759</v>
      </c>
    </row>
    <row r="6002" customFormat="false" ht="15" hidden="false" customHeight="false" outlineLevel="0" collapsed="false">
      <c r="A6002" s="1" t="s">
        <v>6037</v>
      </c>
      <c r="B6002" s="1" t="s">
        <v>74</v>
      </c>
      <c r="C6002" s="1" t="n">
        <v>470000</v>
      </c>
      <c r="D6002" s="1" t="n">
        <v>872.5</v>
      </c>
      <c r="E6002" s="1" t="n">
        <v>0.0132</v>
      </c>
      <c r="F6002" s="1" t="n">
        <v>0.0462</v>
      </c>
    </row>
    <row r="6003" customFormat="false" ht="15" hidden="false" customHeight="false" outlineLevel="0" collapsed="false">
      <c r="A6003" s="1" t="s">
        <v>6038</v>
      </c>
      <c r="B6003" s="1" t="s">
        <v>287</v>
      </c>
      <c r="C6003" s="1" t="n">
        <v>470000</v>
      </c>
      <c r="D6003" s="1" t="n">
        <v>1643165.4</v>
      </c>
      <c r="F6003" s="1" t="n">
        <v>0.0518</v>
      </c>
    </row>
    <row r="6004" customFormat="false" ht="15" hidden="false" customHeight="false" outlineLevel="0" collapsed="false">
      <c r="A6004" s="1" t="s">
        <v>6039</v>
      </c>
      <c r="B6004" s="1" t="s">
        <v>21</v>
      </c>
      <c r="C6004" s="1" t="n">
        <v>367000</v>
      </c>
      <c r="D6004" s="1" t="n">
        <v>31183.5</v>
      </c>
      <c r="E6004" s="1" t="n">
        <v>0.0297</v>
      </c>
      <c r="F6004" s="1" t="n">
        <v>0.0951</v>
      </c>
    </row>
    <row r="6005" customFormat="false" ht="15" hidden="false" customHeight="false" outlineLevel="0" collapsed="false">
      <c r="A6005" s="1" t="s">
        <v>6040</v>
      </c>
      <c r="B6005" s="1" t="s">
        <v>26</v>
      </c>
      <c r="C6005" s="1" t="n">
        <v>374000</v>
      </c>
      <c r="D6005" s="1" t="n">
        <v>17891.5</v>
      </c>
      <c r="E6005" s="1" t="n">
        <v>0.0153</v>
      </c>
      <c r="F6005" s="1" t="n">
        <v>0.0462</v>
      </c>
    </row>
    <row r="6006" customFormat="false" ht="15" hidden="false" customHeight="false" outlineLevel="0" collapsed="false">
      <c r="A6006" s="1" t="s">
        <v>6041</v>
      </c>
      <c r="B6006" s="1" t="s">
        <v>214</v>
      </c>
      <c r="C6006" s="1" t="n">
        <v>719000</v>
      </c>
      <c r="D6006" s="1" t="n">
        <v>559376.8</v>
      </c>
      <c r="E6006" s="1" t="n">
        <v>0.0162</v>
      </c>
      <c r="F6006" s="1" t="n">
        <v>0.0462</v>
      </c>
    </row>
    <row r="6007" customFormat="false" ht="15" hidden="false" customHeight="false" outlineLevel="0" collapsed="false">
      <c r="A6007" s="1" t="s">
        <v>6042</v>
      </c>
      <c r="B6007" s="1" t="s">
        <v>214</v>
      </c>
      <c r="C6007" s="1" t="n">
        <v>361000</v>
      </c>
      <c r="D6007" s="1" t="n">
        <v>281317.2</v>
      </c>
      <c r="E6007" s="1" t="n">
        <v>0.0169</v>
      </c>
      <c r="F6007" s="1" t="n">
        <v>0.0585</v>
      </c>
    </row>
    <row r="6008" customFormat="false" ht="15" hidden="false" customHeight="false" outlineLevel="0" collapsed="false">
      <c r="A6008" s="1" t="s">
        <v>6043</v>
      </c>
      <c r="B6008" s="1" t="s">
        <v>24</v>
      </c>
      <c r="C6008" s="1" t="n">
        <v>360000</v>
      </c>
      <c r="D6008" s="1" t="n">
        <v>6270</v>
      </c>
      <c r="E6008" s="1" t="n">
        <v>0.0507</v>
      </c>
      <c r="F6008" s="1" t="n">
        <v>0.1184</v>
      </c>
    </row>
    <row r="6009" customFormat="false" ht="15" hidden="false" customHeight="false" outlineLevel="0" collapsed="false">
      <c r="A6009" s="1" t="s">
        <v>6044</v>
      </c>
      <c r="B6009" s="1" t="s">
        <v>88</v>
      </c>
      <c r="C6009" s="1" t="n">
        <v>437000</v>
      </c>
      <c r="D6009" s="1" t="n">
        <v>204.6</v>
      </c>
      <c r="E6009" s="1" t="n">
        <v>0.0897</v>
      </c>
      <c r="F6009" s="1" t="n">
        <v>0.1516</v>
      </c>
    </row>
    <row r="6010" customFormat="false" ht="15" hidden="false" customHeight="false" outlineLevel="0" collapsed="false">
      <c r="A6010" s="1" t="s">
        <v>6045</v>
      </c>
      <c r="B6010" s="1" t="s">
        <v>88</v>
      </c>
      <c r="C6010" s="1" t="n">
        <v>850000</v>
      </c>
      <c r="D6010" s="1" t="n">
        <v>43095.4</v>
      </c>
      <c r="E6010" s="1" t="n">
        <v>0.0437</v>
      </c>
      <c r="F6010" s="1" t="n">
        <v>0.0759</v>
      </c>
    </row>
    <row r="6011" customFormat="false" ht="15" hidden="false" customHeight="false" outlineLevel="0" collapsed="false">
      <c r="A6011" s="1" t="s">
        <v>6046</v>
      </c>
      <c r="B6011" s="1" t="s">
        <v>88</v>
      </c>
      <c r="C6011" s="1" t="n">
        <v>374000</v>
      </c>
      <c r="D6011" s="1" t="n">
        <v>3581.9</v>
      </c>
      <c r="F6011" s="1" t="n">
        <v>0.0938</v>
      </c>
    </row>
    <row r="6012" customFormat="false" ht="15" hidden="false" customHeight="false" outlineLevel="0" collapsed="false">
      <c r="A6012" s="1" t="s">
        <v>6047</v>
      </c>
      <c r="B6012" s="1" t="s">
        <v>26</v>
      </c>
      <c r="C6012" s="1" t="n">
        <v>379000</v>
      </c>
      <c r="D6012" s="1" t="n">
        <v>9575.4</v>
      </c>
      <c r="E6012" s="1" t="n">
        <v>0.0486</v>
      </c>
      <c r="F6012" s="1" t="n">
        <v>0.0951</v>
      </c>
    </row>
    <row r="6013" customFormat="false" ht="15" hidden="false" customHeight="false" outlineLevel="0" collapsed="false">
      <c r="A6013" s="1" t="s">
        <v>6048</v>
      </c>
      <c r="B6013" s="1" t="s">
        <v>287</v>
      </c>
      <c r="C6013" s="1" t="n">
        <v>562000</v>
      </c>
      <c r="D6013" s="1" t="n">
        <v>20986.9</v>
      </c>
      <c r="E6013" s="1" t="n">
        <v>0.0268</v>
      </c>
      <c r="F6013" s="1" t="n">
        <v>0.0409</v>
      </c>
    </row>
    <row r="6014" customFormat="false" ht="15" hidden="false" customHeight="false" outlineLevel="0" collapsed="false">
      <c r="A6014" s="1" t="s">
        <v>6049</v>
      </c>
      <c r="B6014" s="1" t="s">
        <v>81</v>
      </c>
      <c r="C6014" s="1" t="n">
        <v>520000</v>
      </c>
      <c r="D6014" s="1" t="n">
        <v>45577.8</v>
      </c>
      <c r="E6014" s="1" t="n">
        <v>0.021</v>
      </c>
      <c r="F6014" s="1" t="n">
        <v>0.0833</v>
      </c>
    </row>
    <row r="6015" customFormat="false" ht="15" hidden="false" customHeight="false" outlineLevel="0" collapsed="false">
      <c r="A6015" s="1" t="s">
        <v>6050</v>
      </c>
      <c r="B6015" s="1" t="s">
        <v>92</v>
      </c>
      <c r="C6015" s="1" t="n">
        <v>659000</v>
      </c>
      <c r="D6015" s="1" t="n">
        <v>37511.4</v>
      </c>
      <c r="E6015" s="1" t="n">
        <v>0.0148</v>
      </c>
      <c r="F6015" s="1" t="n">
        <v>0.0576</v>
      </c>
    </row>
    <row r="6016" customFormat="false" ht="15" hidden="false" customHeight="false" outlineLevel="0" collapsed="false">
      <c r="A6016" s="1" t="s">
        <v>6051</v>
      </c>
      <c r="B6016" s="1" t="s">
        <v>26</v>
      </c>
      <c r="C6016" s="1" t="n">
        <v>516000</v>
      </c>
      <c r="D6016" s="1" t="n">
        <v>24727.5</v>
      </c>
      <c r="E6016" s="1" t="n">
        <v>0.0539</v>
      </c>
      <c r="F6016" s="1" t="n">
        <v>0.0409</v>
      </c>
    </row>
    <row r="6017" customFormat="false" ht="15" hidden="false" customHeight="false" outlineLevel="0" collapsed="false">
      <c r="A6017" s="1" t="s">
        <v>6052</v>
      </c>
      <c r="B6017" s="1" t="s">
        <v>26</v>
      </c>
      <c r="C6017" s="1" t="n">
        <v>387000</v>
      </c>
      <c r="D6017" s="1" t="n">
        <v>1502.4</v>
      </c>
      <c r="E6017" s="1" t="n">
        <v>0.0215</v>
      </c>
      <c r="F6017" s="1" t="n">
        <v>0.0951</v>
      </c>
    </row>
    <row r="6018" customFormat="false" ht="15" hidden="false" customHeight="false" outlineLevel="0" collapsed="false">
      <c r="A6018" s="1" t="s">
        <v>6053</v>
      </c>
      <c r="B6018" s="1" t="s">
        <v>26</v>
      </c>
      <c r="C6018" s="1" t="n">
        <v>452000</v>
      </c>
      <c r="D6018" s="1" t="n">
        <v>6554.1</v>
      </c>
      <c r="E6018" s="1" t="n">
        <v>0.0604</v>
      </c>
      <c r="F6018" s="1" t="n">
        <v>0.0759</v>
      </c>
    </row>
    <row r="6019" customFormat="false" ht="15" hidden="false" customHeight="false" outlineLevel="0" collapsed="false">
      <c r="A6019" s="1" t="s">
        <v>6054</v>
      </c>
      <c r="B6019" s="1" t="s">
        <v>88</v>
      </c>
      <c r="C6019" s="1" t="n">
        <v>600000</v>
      </c>
      <c r="D6019" s="1" t="n">
        <v>29429.9</v>
      </c>
      <c r="E6019" s="1" t="n">
        <v>0.0363</v>
      </c>
      <c r="F6019" s="1" t="n">
        <v>0.0409</v>
      </c>
    </row>
    <row r="6020" customFormat="false" ht="15" hidden="false" customHeight="false" outlineLevel="0" collapsed="false">
      <c r="A6020" s="1" t="s">
        <v>6055</v>
      </c>
      <c r="B6020" s="1" t="s">
        <v>24</v>
      </c>
      <c r="C6020" s="1" t="n">
        <v>618000</v>
      </c>
      <c r="D6020" s="1" t="n">
        <v>18492.7</v>
      </c>
      <c r="E6020" s="1" t="n">
        <v>0.0277</v>
      </c>
      <c r="F6020" s="1" t="n">
        <v>0.0938</v>
      </c>
    </row>
    <row r="6021" customFormat="false" ht="15" hidden="false" customHeight="false" outlineLevel="0" collapsed="false">
      <c r="A6021" s="1" t="s">
        <v>6056</v>
      </c>
      <c r="B6021" s="1" t="s">
        <v>88</v>
      </c>
      <c r="C6021" s="1" t="n">
        <v>521000</v>
      </c>
      <c r="D6021" s="1" t="n">
        <v>3865.8</v>
      </c>
      <c r="E6021" s="1" t="n">
        <v>0.0436</v>
      </c>
      <c r="F6021" s="1" t="n">
        <v>0.0951</v>
      </c>
    </row>
    <row r="6022" customFormat="false" ht="15" hidden="false" customHeight="false" outlineLevel="0" collapsed="false">
      <c r="A6022" s="1" t="s">
        <v>6057</v>
      </c>
      <c r="B6022" s="1" t="s">
        <v>195</v>
      </c>
      <c r="C6022" s="1" t="n">
        <v>376000</v>
      </c>
      <c r="D6022" s="1" t="n">
        <v>552237.2</v>
      </c>
      <c r="E6022" s="1" t="n">
        <v>0.0297</v>
      </c>
      <c r="F6022" s="1" t="n">
        <v>0.0518</v>
      </c>
    </row>
    <row r="6023" customFormat="false" ht="15" hidden="false" customHeight="false" outlineLevel="0" collapsed="false">
      <c r="A6023" s="1" t="s">
        <v>6058</v>
      </c>
      <c r="B6023" s="1" t="s">
        <v>88</v>
      </c>
      <c r="C6023" s="1" t="n">
        <v>385000</v>
      </c>
      <c r="D6023" s="1" t="n">
        <v>2268.9</v>
      </c>
      <c r="E6023" s="1" t="n">
        <v>0.0242</v>
      </c>
      <c r="F6023" s="1" t="n">
        <v>0.0951</v>
      </c>
    </row>
    <row r="6024" customFormat="false" ht="15" hidden="false" customHeight="false" outlineLevel="0" collapsed="false">
      <c r="A6024" s="1" t="s">
        <v>6059</v>
      </c>
      <c r="B6024" s="1" t="s">
        <v>26</v>
      </c>
      <c r="C6024" s="1" t="n">
        <v>502000</v>
      </c>
      <c r="D6024" s="1" t="n">
        <v>58218.9</v>
      </c>
      <c r="E6024" s="1" t="n">
        <v>0.0707</v>
      </c>
      <c r="F6024" s="1" t="n">
        <v>0.0951</v>
      </c>
    </row>
    <row r="6025" customFormat="false" ht="15" hidden="false" customHeight="false" outlineLevel="0" collapsed="false">
      <c r="A6025" s="1" t="s">
        <v>6060</v>
      </c>
      <c r="B6025" s="1" t="s">
        <v>26</v>
      </c>
      <c r="C6025" s="1" t="n">
        <v>519000</v>
      </c>
      <c r="D6025" s="1" t="n">
        <v>10186.5</v>
      </c>
      <c r="E6025" s="1" t="n">
        <v>0.0348</v>
      </c>
      <c r="F6025" s="1" t="n">
        <v>0.0759</v>
      </c>
    </row>
    <row r="6026" customFormat="false" ht="15" hidden="false" customHeight="false" outlineLevel="0" collapsed="false">
      <c r="A6026" s="1" t="s">
        <v>6061</v>
      </c>
      <c r="B6026" s="1" t="s">
        <v>287</v>
      </c>
      <c r="C6026" s="1" t="n">
        <v>462000</v>
      </c>
      <c r="D6026" s="1" t="n">
        <v>4299.6</v>
      </c>
      <c r="E6026" s="1" t="n">
        <v>0.022</v>
      </c>
      <c r="F6026" s="1" t="n">
        <v>0.0584</v>
      </c>
    </row>
    <row r="6027" customFormat="false" ht="15" hidden="false" customHeight="false" outlineLevel="0" collapsed="false">
      <c r="A6027" s="1" t="s">
        <v>6062</v>
      </c>
      <c r="B6027" s="1" t="s">
        <v>50</v>
      </c>
      <c r="C6027" s="1" t="n">
        <v>542000</v>
      </c>
      <c r="D6027" s="1" t="n">
        <v>8108.4</v>
      </c>
      <c r="E6027" s="1" t="n">
        <v>0.0364</v>
      </c>
      <c r="F6027" s="1" t="n">
        <v>0.0951</v>
      </c>
    </row>
    <row r="6028" customFormat="false" ht="15" hidden="false" customHeight="false" outlineLevel="0" collapsed="false">
      <c r="A6028" s="1" t="s">
        <v>6063</v>
      </c>
      <c r="B6028" s="1" t="s">
        <v>41</v>
      </c>
      <c r="C6028" s="1" t="n">
        <v>379000</v>
      </c>
      <c r="D6028" s="1" t="n">
        <v>12731</v>
      </c>
      <c r="E6028" s="1" t="n">
        <v>0.0281</v>
      </c>
      <c r="F6028" s="1" t="n">
        <v>0.0518</v>
      </c>
    </row>
    <row r="6029" customFormat="false" ht="15" hidden="false" customHeight="false" outlineLevel="0" collapsed="false">
      <c r="A6029" s="1" t="s">
        <v>6064</v>
      </c>
      <c r="B6029" s="1" t="s">
        <v>53</v>
      </c>
      <c r="C6029" s="1" t="n">
        <v>686000</v>
      </c>
      <c r="D6029" s="1" t="n">
        <v>5180</v>
      </c>
      <c r="E6029" s="1" t="n">
        <v>0.0392</v>
      </c>
      <c r="F6029" s="1" t="n">
        <v>0.1516</v>
      </c>
    </row>
    <row r="6030" customFormat="false" ht="15" hidden="false" customHeight="false" outlineLevel="0" collapsed="false">
      <c r="A6030" s="1" t="s">
        <v>6065</v>
      </c>
      <c r="B6030" s="1" t="s">
        <v>26</v>
      </c>
      <c r="C6030" s="1" t="n">
        <v>362000</v>
      </c>
      <c r="D6030" s="1" t="n">
        <v>9724.3</v>
      </c>
      <c r="E6030" s="1" t="n">
        <v>0.0446</v>
      </c>
      <c r="F6030" s="1" t="n">
        <v>0.0951</v>
      </c>
    </row>
    <row r="6031" customFormat="false" ht="15" hidden="false" customHeight="false" outlineLevel="0" collapsed="false">
      <c r="A6031" s="1" t="s">
        <v>6066</v>
      </c>
      <c r="B6031" s="1" t="s">
        <v>74</v>
      </c>
      <c r="C6031" s="1" t="n">
        <v>354000</v>
      </c>
      <c r="D6031" s="1" t="n">
        <v>2053.9</v>
      </c>
      <c r="E6031" s="1" t="n">
        <v>0.0256</v>
      </c>
      <c r="F6031" s="1" t="n">
        <v>0.0951</v>
      </c>
    </row>
    <row r="6032" customFormat="false" ht="15" hidden="false" customHeight="false" outlineLevel="0" collapsed="false">
      <c r="A6032" s="1" t="s">
        <v>6067</v>
      </c>
      <c r="B6032" s="1" t="s">
        <v>26</v>
      </c>
      <c r="C6032" s="1" t="n">
        <v>954000</v>
      </c>
      <c r="D6032" s="1" t="n">
        <v>5366.1</v>
      </c>
      <c r="E6032" s="1" t="n">
        <v>0.0227</v>
      </c>
      <c r="F6032" s="1" t="n">
        <v>0.0576</v>
      </c>
    </row>
    <row r="6033" customFormat="false" ht="15" hidden="false" customHeight="false" outlineLevel="0" collapsed="false">
      <c r="A6033" s="1" t="s">
        <v>6068</v>
      </c>
      <c r="B6033" s="1" t="s">
        <v>88</v>
      </c>
      <c r="C6033" s="1" t="n">
        <v>385000</v>
      </c>
      <c r="D6033" s="1" t="n">
        <v>3190.6</v>
      </c>
      <c r="F6033" s="1" t="n">
        <v>0.0644</v>
      </c>
    </row>
    <row r="6034" customFormat="false" ht="15" hidden="false" customHeight="false" outlineLevel="0" collapsed="false">
      <c r="A6034" s="1" t="s">
        <v>6069</v>
      </c>
      <c r="B6034" s="1" t="s">
        <v>490</v>
      </c>
      <c r="C6034" s="1" t="n">
        <v>449000</v>
      </c>
      <c r="D6034" s="1" t="n">
        <v>3389.3</v>
      </c>
      <c r="E6034" s="1" t="n">
        <v>0.0223</v>
      </c>
      <c r="F6034" s="1" t="n">
        <v>0.051</v>
      </c>
    </row>
    <row r="6035" customFormat="false" ht="15" hidden="false" customHeight="false" outlineLevel="0" collapsed="false">
      <c r="A6035" s="1" t="s">
        <v>6070</v>
      </c>
      <c r="B6035" s="1" t="s">
        <v>26</v>
      </c>
      <c r="C6035" s="1" t="n">
        <v>422000</v>
      </c>
      <c r="D6035" s="1" t="n">
        <v>43301.1</v>
      </c>
      <c r="E6035" s="1" t="n">
        <v>0.0292</v>
      </c>
      <c r="F6035" s="1" t="n">
        <v>0.0938</v>
      </c>
    </row>
    <row r="6036" customFormat="false" ht="15" hidden="false" customHeight="false" outlineLevel="0" collapsed="false">
      <c r="A6036" s="1" t="s">
        <v>6071</v>
      </c>
      <c r="B6036" s="1" t="s">
        <v>214</v>
      </c>
      <c r="C6036" s="1" t="n">
        <v>376000</v>
      </c>
      <c r="D6036" s="1" t="n">
        <v>18282.9</v>
      </c>
      <c r="E6036" s="1" t="n">
        <v>0.0377</v>
      </c>
      <c r="F6036" s="1" t="n">
        <v>0.0845</v>
      </c>
    </row>
    <row r="6037" customFormat="false" ht="15" hidden="false" customHeight="false" outlineLevel="0" collapsed="false">
      <c r="A6037" s="1" t="s">
        <v>6072</v>
      </c>
      <c r="B6037" s="1" t="s">
        <v>74</v>
      </c>
      <c r="C6037" s="1" t="n">
        <v>354000</v>
      </c>
      <c r="D6037" s="1" t="n">
        <v>3818.4</v>
      </c>
      <c r="E6037" s="1" t="n">
        <v>0.0142</v>
      </c>
      <c r="F6037" s="1" t="n">
        <v>0.1067</v>
      </c>
    </row>
    <row r="6038" customFormat="false" ht="15" hidden="false" customHeight="false" outlineLevel="0" collapsed="false">
      <c r="A6038" s="1" t="s">
        <v>6073</v>
      </c>
      <c r="B6038" s="1" t="s">
        <v>50</v>
      </c>
      <c r="C6038" s="1" t="n">
        <v>415000</v>
      </c>
      <c r="D6038" s="1" t="n">
        <v>119.8</v>
      </c>
      <c r="E6038" s="1" t="n">
        <v>0.019</v>
      </c>
      <c r="F6038" s="1" t="n">
        <v>0.1119</v>
      </c>
    </row>
    <row r="6039" customFormat="false" ht="15" hidden="false" customHeight="false" outlineLevel="0" collapsed="false">
      <c r="A6039" s="1" t="s">
        <v>6074</v>
      </c>
      <c r="B6039" s="1" t="s">
        <v>26</v>
      </c>
      <c r="C6039" s="1" t="n">
        <v>405000</v>
      </c>
      <c r="D6039" s="1" t="n">
        <v>963.8</v>
      </c>
      <c r="E6039" s="1" t="n">
        <v>0.0545</v>
      </c>
      <c r="F6039" s="1" t="n">
        <v>0.0938</v>
      </c>
    </row>
    <row r="6040" customFormat="false" ht="15" hidden="false" customHeight="false" outlineLevel="0" collapsed="false">
      <c r="A6040" s="1" t="s">
        <v>6075</v>
      </c>
      <c r="B6040" s="1" t="s">
        <v>50</v>
      </c>
      <c r="C6040" s="1" t="n">
        <v>378000</v>
      </c>
      <c r="D6040" s="1" t="n">
        <v>1744.8</v>
      </c>
      <c r="E6040" s="1" t="n">
        <v>0.016</v>
      </c>
      <c r="F6040" s="1" t="n">
        <v>0.095</v>
      </c>
    </row>
    <row r="6041" customFormat="false" ht="15" hidden="false" customHeight="false" outlineLevel="0" collapsed="false">
      <c r="A6041" s="1" t="s">
        <v>6076</v>
      </c>
      <c r="B6041" s="1" t="s">
        <v>26</v>
      </c>
      <c r="C6041" s="1" t="n">
        <v>354000</v>
      </c>
      <c r="D6041" s="1" t="n">
        <v>1580.7</v>
      </c>
      <c r="E6041" s="1" t="n">
        <v>0.0288</v>
      </c>
      <c r="F6041" s="1" t="n">
        <v>0.0518</v>
      </c>
    </row>
    <row r="6042" customFormat="false" ht="15" hidden="false" customHeight="false" outlineLevel="0" collapsed="false">
      <c r="A6042" s="1" t="s">
        <v>6077</v>
      </c>
      <c r="B6042" s="1" t="s">
        <v>71</v>
      </c>
      <c r="C6042" s="1" t="n">
        <v>370000</v>
      </c>
      <c r="D6042" s="1" t="n">
        <v>125558</v>
      </c>
      <c r="E6042" s="1" t="n">
        <v>0.0782</v>
      </c>
      <c r="F6042" s="1" t="n">
        <v>0.0951</v>
      </c>
    </row>
    <row r="6043" customFormat="false" ht="15" hidden="false" customHeight="false" outlineLevel="0" collapsed="false">
      <c r="A6043" s="1" t="s">
        <v>6078</v>
      </c>
      <c r="B6043" s="1" t="s">
        <v>50</v>
      </c>
      <c r="C6043" s="1" t="n">
        <v>369000</v>
      </c>
      <c r="D6043" s="1" t="n">
        <v>9834.1</v>
      </c>
      <c r="E6043" s="1" t="n">
        <v>0.0371</v>
      </c>
      <c r="F6043" s="1" t="n">
        <v>0.0759</v>
      </c>
    </row>
    <row r="6044" customFormat="false" ht="15" hidden="false" customHeight="false" outlineLevel="0" collapsed="false">
      <c r="A6044" s="1" t="s">
        <v>6079</v>
      </c>
      <c r="B6044" s="1" t="s">
        <v>26</v>
      </c>
      <c r="C6044" s="1" t="n">
        <v>405000</v>
      </c>
      <c r="D6044" s="1" t="n">
        <v>2681.8</v>
      </c>
      <c r="E6044" s="1" t="n">
        <v>0.078</v>
      </c>
      <c r="F6044" s="1" t="n">
        <v>0.0759</v>
      </c>
    </row>
    <row r="6045" customFormat="false" ht="15" hidden="false" customHeight="false" outlineLevel="0" collapsed="false">
      <c r="A6045" s="1" t="s">
        <v>6080</v>
      </c>
      <c r="B6045" s="1" t="s">
        <v>26</v>
      </c>
      <c r="C6045" s="1" t="n">
        <v>350000</v>
      </c>
      <c r="D6045" s="1" t="n">
        <v>5592.8</v>
      </c>
      <c r="E6045" s="1" t="n">
        <v>0.0285</v>
      </c>
      <c r="F6045" s="1" t="n">
        <v>0.0951</v>
      </c>
    </row>
    <row r="6046" customFormat="false" ht="15" hidden="false" customHeight="false" outlineLevel="0" collapsed="false">
      <c r="A6046" s="1" t="s">
        <v>6081</v>
      </c>
      <c r="B6046" s="1" t="s">
        <v>92</v>
      </c>
      <c r="C6046" s="1" t="n">
        <v>356000</v>
      </c>
      <c r="D6046" s="1" t="n">
        <v>2887.4</v>
      </c>
      <c r="E6046" s="1" t="n">
        <v>0.0275</v>
      </c>
      <c r="F6046" s="1" t="n">
        <v>0.0951</v>
      </c>
    </row>
    <row r="6047" customFormat="false" ht="15" hidden="false" customHeight="false" outlineLevel="0" collapsed="false">
      <c r="A6047" s="1" t="s">
        <v>6082</v>
      </c>
      <c r="B6047" s="1" t="s">
        <v>92</v>
      </c>
      <c r="C6047" s="1" t="n">
        <v>504000</v>
      </c>
      <c r="D6047" s="1" t="n">
        <v>12385.3</v>
      </c>
      <c r="E6047" s="1" t="n">
        <v>0.0268</v>
      </c>
      <c r="F6047" s="1" t="n">
        <v>0.0938</v>
      </c>
    </row>
    <row r="6048" customFormat="false" ht="15" hidden="false" customHeight="false" outlineLevel="0" collapsed="false">
      <c r="A6048" s="1" t="s">
        <v>6083</v>
      </c>
      <c r="B6048" s="1" t="s">
        <v>88</v>
      </c>
      <c r="C6048" s="1" t="n">
        <v>392000</v>
      </c>
      <c r="D6048" s="1" t="n">
        <v>5918.9</v>
      </c>
      <c r="E6048" s="1" t="n">
        <v>0.0352</v>
      </c>
      <c r="F6048" s="1" t="n">
        <v>0.0759</v>
      </c>
    </row>
    <row r="6049" customFormat="false" ht="15" hidden="false" customHeight="false" outlineLevel="0" collapsed="false">
      <c r="A6049" s="1" t="s">
        <v>6084</v>
      </c>
      <c r="B6049" s="1" t="s">
        <v>88</v>
      </c>
      <c r="C6049" s="1" t="n">
        <v>457000</v>
      </c>
      <c r="D6049" s="1" t="n">
        <v>6048</v>
      </c>
      <c r="E6049" s="1" t="n">
        <v>0.044</v>
      </c>
      <c r="F6049" s="1" t="n">
        <v>0.0938</v>
      </c>
    </row>
    <row r="6050" customFormat="false" ht="15" hidden="false" customHeight="false" outlineLevel="0" collapsed="false">
      <c r="A6050" s="1" t="s">
        <v>6085</v>
      </c>
      <c r="B6050" s="1" t="s">
        <v>88</v>
      </c>
      <c r="C6050" s="1" t="n">
        <v>389000</v>
      </c>
      <c r="D6050" s="1" t="n">
        <v>2833</v>
      </c>
      <c r="E6050" s="1" t="n">
        <v>0.0234</v>
      </c>
      <c r="F6050" s="1" t="n">
        <v>0.117</v>
      </c>
    </row>
    <row r="6051" customFormat="false" ht="15" hidden="false" customHeight="false" outlineLevel="0" collapsed="false">
      <c r="A6051" s="1" t="s">
        <v>6086</v>
      </c>
      <c r="B6051" s="1" t="s">
        <v>81</v>
      </c>
      <c r="C6051" s="1" t="n">
        <v>441000</v>
      </c>
      <c r="D6051" s="1" t="n">
        <v>20387.6</v>
      </c>
      <c r="E6051" s="1" t="n">
        <v>0.0196</v>
      </c>
      <c r="F6051" s="1" t="n">
        <v>0.1053</v>
      </c>
    </row>
    <row r="6052" customFormat="false" ht="15" hidden="false" customHeight="false" outlineLevel="0" collapsed="false">
      <c r="A6052" s="1" t="s">
        <v>6087</v>
      </c>
      <c r="B6052" s="1" t="s">
        <v>24</v>
      </c>
      <c r="C6052" s="1" t="n">
        <v>464000</v>
      </c>
      <c r="D6052" s="1" t="n">
        <v>1070230.9</v>
      </c>
      <c r="E6052" s="1" t="n">
        <v>0.0228</v>
      </c>
      <c r="F6052" s="1" t="n">
        <v>0.0585</v>
      </c>
    </row>
    <row r="6053" customFormat="false" ht="15" hidden="false" customHeight="false" outlineLevel="0" collapsed="false">
      <c r="A6053" s="1" t="s">
        <v>6088</v>
      </c>
      <c r="B6053" s="1" t="s">
        <v>26</v>
      </c>
      <c r="C6053" s="1" t="n">
        <v>393000</v>
      </c>
      <c r="D6053" s="1" t="n">
        <v>51334.7</v>
      </c>
      <c r="E6053" s="1" t="n">
        <v>0.014</v>
      </c>
      <c r="F6053" s="1" t="n">
        <v>0.0616</v>
      </c>
    </row>
    <row r="6054" customFormat="false" ht="15" hidden="false" customHeight="false" outlineLevel="0" collapsed="false">
      <c r="A6054" s="1" t="s">
        <v>6089</v>
      </c>
      <c r="B6054" s="1" t="s">
        <v>30</v>
      </c>
      <c r="C6054" s="1" t="n">
        <v>358000</v>
      </c>
      <c r="D6054" s="1" t="n">
        <v>3502.2</v>
      </c>
      <c r="E6054" s="1" t="n">
        <v>0.0098</v>
      </c>
      <c r="F6054" s="1" t="n">
        <v>0.0654</v>
      </c>
    </row>
    <row r="6055" customFormat="false" ht="15" hidden="false" customHeight="false" outlineLevel="0" collapsed="false">
      <c r="A6055" s="1" t="s">
        <v>6090</v>
      </c>
      <c r="B6055" s="1" t="s">
        <v>81</v>
      </c>
      <c r="C6055" s="1" t="n">
        <v>359000</v>
      </c>
      <c r="D6055" s="1" t="n">
        <v>12290.8</v>
      </c>
      <c r="E6055" s="1" t="n">
        <v>0.0186</v>
      </c>
      <c r="F6055" s="1" t="n">
        <v>0.1067</v>
      </c>
    </row>
    <row r="6056" customFormat="false" ht="15" hidden="false" customHeight="false" outlineLevel="0" collapsed="false">
      <c r="A6056" s="1" t="s">
        <v>6091</v>
      </c>
      <c r="B6056" s="1" t="s">
        <v>92</v>
      </c>
      <c r="C6056" s="1" t="n">
        <v>358000</v>
      </c>
      <c r="D6056" s="1" t="n">
        <v>40509.8</v>
      </c>
      <c r="E6056" s="1" t="n">
        <v>0.0172</v>
      </c>
      <c r="F6056" s="1" t="n">
        <v>0.1067</v>
      </c>
    </row>
    <row r="6057" customFormat="false" ht="15" hidden="false" customHeight="false" outlineLevel="0" collapsed="false">
      <c r="A6057" s="1" t="s">
        <v>6092</v>
      </c>
      <c r="B6057" s="1" t="s">
        <v>26</v>
      </c>
      <c r="C6057" s="1" t="n">
        <v>520000</v>
      </c>
      <c r="D6057" s="1" t="n">
        <v>657.2</v>
      </c>
      <c r="E6057" s="1" t="n">
        <v>0.036</v>
      </c>
      <c r="F6057" s="1" t="n">
        <v>0.1226</v>
      </c>
    </row>
    <row r="6058" customFormat="false" ht="15" hidden="false" customHeight="false" outlineLevel="0" collapsed="false">
      <c r="A6058" s="1" t="s">
        <v>6093</v>
      </c>
      <c r="B6058" s="1" t="s">
        <v>26</v>
      </c>
      <c r="C6058" s="1" t="n">
        <v>418000</v>
      </c>
      <c r="D6058" s="1" t="n">
        <v>39165.6</v>
      </c>
      <c r="E6058" s="1" t="n">
        <v>0.057</v>
      </c>
      <c r="F6058" s="1" t="n">
        <v>0.0951</v>
      </c>
    </row>
    <row r="6059" customFormat="false" ht="15" hidden="false" customHeight="false" outlineLevel="0" collapsed="false">
      <c r="A6059" s="1" t="s">
        <v>6094</v>
      </c>
      <c r="B6059" s="1" t="s">
        <v>26</v>
      </c>
      <c r="C6059" s="1" t="n">
        <v>361000</v>
      </c>
      <c r="D6059" s="1" t="n">
        <v>5924.7</v>
      </c>
      <c r="E6059" s="1" t="n">
        <v>0.0136</v>
      </c>
      <c r="F6059" s="1" t="n">
        <v>0.1067</v>
      </c>
    </row>
    <row r="6060" customFormat="false" ht="15" hidden="false" customHeight="false" outlineLevel="0" collapsed="false">
      <c r="A6060" s="1" t="s">
        <v>6095</v>
      </c>
      <c r="B6060" s="1" t="s">
        <v>81</v>
      </c>
      <c r="C6060" s="1" t="n">
        <v>475000</v>
      </c>
      <c r="D6060" s="1" t="n">
        <v>65816.1</v>
      </c>
      <c r="E6060" s="1" t="n">
        <v>0.0423</v>
      </c>
      <c r="F6060" s="1" t="n">
        <v>0.0938</v>
      </c>
    </row>
    <row r="6061" customFormat="false" ht="15" hidden="false" customHeight="false" outlineLevel="0" collapsed="false">
      <c r="A6061" s="1" t="s">
        <v>6096</v>
      </c>
      <c r="B6061" s="1" t="s">
        <v>21</v>
      </c>
      <c r="C6061" s="1" t="n">
        <v>422000</v>
      </c>
      <c r="D6061" s="1" t="n">
        <v>411.9</v>
      </c>
      <c r="E6061" s="1" t="n">
        <v>0.0158</v>
      </c>
      <c r="F6061" s="1" t="n">
        <v>0.1806</v>
      </c>
    </row>
    <row r="6062" customFormat="false" ht="15" hidden="false" customHeight="false" outlineLevel="0" collapsed="false">
      <c r="A6062" s="1" t="s">
        <v>6097</v>
      </c>
      <c r="B6062" s="1" t="s">
        <v>74</v>
      </c>
      <c r="C6062" s="1" t="n">
        <v>949000</v>
      </c>
      <c r="D6062" s="1" t="n">
        <v>99179.5</v>
      </c>
      <c r="E6062" s="1" t="n">
        <v>0.0399</v>
      </c>
      <c r="F6062" s="1" t="n">
        <v>0.0759</v>
      </c>
    </row>
    <row r="6063" customFormat="false" ht="15" hidden="false" customHeight="false" outlineLevel="0" collapsed="false">
      <c r="A6063" s="1" t="s">
        <v>6098</v>
      </c>
      <c r="B6063" s="1" t="s">
        <v>28</v>
      </c>
      <c r="C6063" s="1" t="n">
        <v>434000</v>
      </c>
      <c r="D6063" s="1" t="n">
        <v>4027.5</v>
      </c>
      <c r="E6063" s="1" t="n">
        <v>0.0141</v>
      </c>
      <c r="F6063" s="1" t="n">
        <v>0.0576</v>
      </c>
    </row>
    <row r="6064" customFormat="false" ht="15" hidden="false" customHeight="false" outlineLevel="0" collapsed="false">
      <c r="A6064" s="1" t="s">
        <v>6099</v>
      </c>
      <c r="B6064" s="1" t="s">
        <v>32</v>
      </c>
      <c r="C6064" s="1" t="n">
        <v>379000</v>
      </c>
      <c r="D6064" s="1" t="n">
        <v>5908.9</v>
      </c>
      <c r="E6064" s="1" t="n">
        <v>0.0756</v>
      </c>
      <c r="F6064" s="1" t="n">
        <v>0.0759</v>
      </c>
    </row>
    <row r="6065" customFormat="false" ht="15" hidden="false" customHeight="false" outlineLevel="0" collapsed="false">
      <c r="A6065" s="1" t="s">
        <v>6100</v>
      </c>
      <c r="B6065" s="1" t="s">
        <v>195</v>
      </c>
      <c r="C6065" s="1" t="n">
        <v>375000</v>
      </c>
      <c r="D6065" s="1" t="n">
        <v>3759.4</v>
      </c>
      <c r="E6065" s="1" t="n">
        <v>0.0287</v>
      </c>
      <c r="F6065" s="1" t="n">
        <v>0.0759</v>
      </c>
    </row>
    <row r="6066" customFormat="false" ht="15" hidden="false" customHeight="false" outlineLevel="0" collapsed="false">
      <c r="A6066" s="1" t="s">
        <v>6101</v>
      </c>
      <c r="B6066" s="1" t="s">
        <v>24</v>
      </c>
      <c r="C6066" s="1" t="n">
        <v>367000</v>
      </c>
      <c r="D6066" s="1" t="n">
        <v>133131</v>
      </c>
      <c r="E6066" s="1" t="n">
        <v>0.0285</v>
      </c>
      <c r="F6066" s="1" t="n">
        <v>0.0951</v>
      </c>
    </row>
    <row r="6067" customFormat="false" ht="15" hidden="false" customHeight="false" outlineLevel="0" collapsed="false">
      <c r="A6067" s="1" t="s">
        <v>6102</v>
      </c>
      <c r="B6067" s="1" t="s">
        <v>92</v>
      </c>
      <c r="C6067" s="1" t="n">
        <v>399000</v>
      </c>
      <c r="D6067" s="1" t="n">
        <v>36925.6</v>
      </c>
      <c r="E6067" s="1" t="n">
        <v>0.0153</v>
      </c>
      <c r="F6067" s="1" t="n">
        <v>0.0462</v>
      </c>
    </row>
    <row r="6068" customFormat="false" ht="15" hidden="false" customHeight="false" outlineLevel="0" collapsed="false">
      <c r="A6068" s="1" t="s">
        <v>6103</v>
      </c>
      <c r="B6068" s="1" t="s">
        <v>81</v>
      </c>
      <c r="C6068" s="1" t="n">
        <v>431000</v>
      </c>
      <c r="D6068" s="1" t="n">
        <v>7600.4</v>
      </c>
      <c r="E6068" s="1" t="n">
        <v>0.021</v>
      </c>
      <c r="F6068" s="1" t="n">
        <v>0.0938</v>
      </c>
    </row>
    <row r="6069" customFormat="false" ht="15" hidden="false" customHeight="false" outlineLevel="0" collapsed="false">
      <c r="A6069" s="1" t="s">
        <v>6104</v>
      </c>
      <c r="B6069" s="1" t="s">
        <v>50</v>
      </c>
      <c r="C6069" s="1" t="n">
        <v>588000</v>
      </c>
      <c r="D6069" s="1" t="n">
        <v>1791.2</v>
      </c>
      <c r="E6069" s="1" t="n">
        <v>0.0227</v>
      </c>
      <c r="F6069" s="1" t="n">
        <v>0.0518</v>
      </c>
    </row>
    <row r="6070" customFormat="false" ht="15" hidden="false" customHeight="false" outlineLevel="0" collapsed="false">
      <c r="A6070" s="1" t="s">
        <v>6105</v>
      </c>
      <c r="B6070" s="1" t="s">
        <v>30</v>
      </c>
      <c r="C6070" s="1" t="n">
        <v>384000</v>
      </c>
      <c r="D6070" s="1" t="n">
        <v>17521.7</v>
      </c>
      <c r="E6070" s="1" t="n">
        <v>0.0136</v>
      </c>
      <c r="F6070" s="1" t="n">
        <v>0.0585</v>
      </c>
    </row>
    <row r="6071" customFormat="false" ht="15" hidden="false" customHeight="false" outlineLevel="0" collapsed="false">
      <c r="A6071" s="1" t="s">
        <v>6106</v>
      </c>
      <c r="B6071" s="1" t="s">
        <v>41</v>
      </c>
      <c r="C6071" s="1" t="n">
        <v>483000</v>
      </c>
      <c r="D6071" s="1" t="n">
        <v>45910.7</v>
      </c>
      <c r="E6071" s="1" t="n">
        <v>0.0454</v>
      </c>
      <c r="F6071" s="1" t="n">
        <v>0.0951</v>
      </c>
    </row>
    <row r="6072" customFormat="false" ht="15" hidden="false" customHeight="false" outlineLevel="0" collapsed="false">
      <c r="A6072" s="1" t="s">
        <v>6107</v>
      </c>
      <c r="B6072" s="1" t="s">
        <v>35</v>
      </c>
      <c r="C6072" s="1" t="n">
        <v>354000</v>
      </c>
      <c r="D6072" s="1" t="n">
        <v>2498.3</v>
      </c>
      <c r="E6072" s="1" t="n">
        <v>0.0219</v>
      </c>
      <c r="F6072" s="1" t="n">
        <v>0.0845</v>
      </c>
    </row>
    <row r="6073" customFormat="false" ht="15" hidden="false" customHeight="false" outlineLevel="0" collapsed="false">
      <c r="A6073" s="1" t="s">
        <v>6108</v>
      </c>
      <c r="B6073" s="1" t="s">
        <v>62</v>
      </c>
      <c r="C6073" s="1" t="n">
        <v>670000</v>
      </c>
      <c r="D6073" s="1" t="n">
        <v>2583.4</v>
      </c>
      <c r="F6073" s="1" t="n">
        <v>0.0672</v>
      </c>
    </row>
    <row r="6074" customFormat="false" ht="15" hidden="false" customHeight="false" outlineLevel="0" collapsed="false">
      <c r="A6074" s="1" t="s">
        <v>6109</v>
      </c>
      <c r="B6074" s="1" t="s">
        <v>26</v>
      </c>
      <c r="C6074" s="1" t="n">
        <v>658000</v>
      </c>
      <c r="D6074" s="1" t="n">
        <v>30203.9</v>
      </c>
      <c r="E6074" s="1" t="n">
        <v>0.0399</v>
      </c>
      <c r="F6074" s="1" t="n">
        <v>0.0759</v>
      </c>
    </row>
    <row r="6075" customFormat="false" ht="15" hidden="false" customHeight="false" outlineLevel="0" collapsed="false">
      <c r="A6075" s="1" t="s">
        <v>6110</v>
      </c>
      <c r="B6075" s="1" t="s">
        <v>214</v>
      </c>
      <c r="C6075" s="1" t="n">
        <v>360000</v>
      </c>
      <c r="D6075" s="1" t="n">
        <v>1114.7</v>
      </c>
      <c r="E6075" s="1" t="n">
        <v>0.0101</v>
      </c>
      <c r="F6075" s="1" t="n">
        <v>0.1015</v>
      </c>
    </row>
    <row r="6076" customFormat="false" ht="15" hidden="false" customHeight="false" outlineLevel="0" collapsed="false">
      <c r="A6076" s="1" t="s">
        <v>6111</v>
      </c>
      <c r="B6076" s="1" t="s">
        <v>88</v>
      </c>
      <c r="C6076" s="1" t="n">
        <v>458000</v>
      </c>
      <c r="D6076" s="1" t="n">
        <v>529.7</v>
      </c>
      <c r="E6076" s="1" t="n">
        <v>0.0149</v>
      </c>
      <c r="F6076" s="1" t="n">
        <v>0.0576</v>
      </c>
    </row>
    <row r="6077" customFormat="false" ht="15" hidden="false" customHeight="false" outlineLevel="0" collapsed="false">
      <c r="A6077" s="1" t="s">
        <v>6112</v>
      </c>
      <c r="B6077" s="1" t="s">
        <v>62</v>
      </c>
      <c r="C6077" s="1" t="n">
        <v>354000</v>
      </c>
      <c r="D6077" s="1" t="n">
        <v>4129.5</v>
      </c>
      <c r="E6077" s="1" t="n">
        <v>0.0274</v>
      </c>
      <c r="F6077" s="1" t="n">
        <v>0.0546</v>
      </c>
    </row>
    <row r="6078" customFormat="false" ht="15" hidden="false" customHeight="false" outlineLevel="0" collapsed="false">
      <c r="A6078" s="1" t="s">
        <v>6113</v>
      </c>
      <c r="B6078" s="1" t="s">
        <v>26</v>
      </c>
      <c r="C6078" s="1" t="n">
        <v>483000</v>
      </c>
      <c r="D6078" s="1" t="n">
        <v>3368751.8</v>
      </c>
      <c r="E6078" s="1" t="n">
        <v>0.0126</v>
      </c>
      <c r="F6078" s="1" t="n">
        <v>0.1698</v>
      </c>
    </row>
    <row r="6079" customFormat="false" ht="15" hidden="false" customHeight="false" outlineLevel="0" collapsed="false">
      <c r="A6079" s="1" t="s">
        <v>6114</v>
      </c>
      <c r="B6079" s="1" t="s">
        <v>214</v>
      </c>
      <c r="C6079" s="1" t="n">
        <v>1270000</v>
      </c>
      <c r="D6079" s="1" t="n">
        <v>380069.4</v>
      </c>
      <c r="E6079" s="1" t="n">
        <v>0.0096</v>
      </c>
      <c r="F6079" s="1" t="n">
        <v>0.0822</v>
      </c>
    </row>
    <row r="6080" customFormat="false" ht="15" hidden="false" customHeight="false" outlineLevel="0" collapsed="false">
      <c r="A6080" s="1" t="s">
        <v>6115</v>
      </c>
      <c r="B6080" s="1" t="s">
        <v>26</v>
      </c>
      <c r="C6080" s="1" t="n">
        <v>403000</v>
      </c>
      <c r="D6080" s="1" t="n">
        <v>514716.1</v>
      </c>
      <c r="E6080" s="1" t="n">
        <v>0.0115</v>
      </c>
      <c r="F6080" s="1" t="n">
        <v>0.1327</v>
      </c>
    </row>
    <row r="6081" customFormat="false" ht="15" hidden="false" customHeight="false" outlineLevel="0" collapsed="false">
      <c r="A6081" s="1" t="s">
        <v>6116</v>
      </c>
      <c r="B6081" s="1" t="s">
        <v>214</v>
      </c>
      <c r="C6081" s="1" t="n">
        <v>400000</v>
      </c>
      <c r="D6081" s="1" t="n">
        <v>1877.6</v>
      </c>
      <c r="E6081" s="1" t="n">
        <v>0.0022</v>
      </c>
      <c r="F6081" s="1" t="n">
        <v>0.0811</v>
      </c>
    </row>
    <row r="6082" customFormat="false" ht="15" hidden="false" customHeight="false" outlineLevel="0" collapsed="false">
      <c r="A6082" s="1" t="s">
        <v>6117</v>
      </c>
      <c r="B6082" s="1" t="s">
        <v>24</v>
      </c>
      <c r="C6082" s="1" t="n">
        <v>666000</v>
      </c>
      <c r="D6082" s="1" t="n">
        <v>14569.8</v>
      </c>
      <c r="E6082" s="1" t="n">
        <v>0.033</v>
      </c>
      <c r="F6082" s="1" t="n">
        <v>0.0759</v>
      </c>
    </row>
    <row r="6083" customFormat="false" ht="15" hidden="false" customHeight="false" outlineLevel="0" collapsed="false">
      <c r="A6083" s="1" t="s">
        <v>6118</v>
      </c>
      <c r="B6083" s="1" t="s">
        <v>74</v>
      </c>
      <c r="C6083" s="1" t="n">
        <v>387000</v>
      </c>
      <c r="D6083" s="1" t="n">
        <v>8427.5</v>
      </c>
      <c r="E6083" s="1" t="n">
        <v>0.0762</v>
      </c>
      <c r="F6083" s="1" t="n">
        <v>0.0951</v>
      </c>
    </row>
    <row r="6084" customFormat="false" ht="15" hidden="false" customHeight="false" outlineLevel="0" collapsed="false">
      <c r="A6084" s="1" t="s">
        <v>6119</v>
      </c>
      <c r="B6084" s="1" t="s">
        <v>81</v>
      </c>
      <c r="C6084" s="1" t="n">
        <v>381000</v>
      </c>
      <c r="D6084" s="1" t="n">
        <v>42739.8</v>
      </c>
      <c r="E6084" s="1" t="n">
        <v>0.0481</v>
      </c>
      <c r="F6084" s="1" t="n">
        <v>0.0951</v>
      </c>
    </row>
    <row r="6085" customFormat="false" ht="15" hidden="false" customHeight="false" outlineLevel="0" collapsed="false">
      <c r="A6085" s="1" t="s">
        <v>6120</v>
      </c>
      <c r="B6085" s="1" t="s">
        <v>26</v>
      </c>
      <c r="C6085" s="1" t="n">
        <v>457000</v>
      </c>
      <c r="D6085" s="1" t="n">
        <v>15446.4</v>
      </c>
      <c r="E6085" s="1" t="n">
        <v>0.0185</v>
      </c>
      <c r="F6085" s="1" t="n">
        <v>0.0854</v>
      </c>
    </row>
    <row r="6086" customFormat="false" ht="15" hidden="false" customHeight="false" outlineLevel="0" collapsed="false">
      <c r="A6086" s="1" t="s">
        <v>6121</v>
      </c>
      <c r="B6086" s="1" t="s">
        <v>53</v>
      </c>
      <c r="C6086" s="1" t="n">
        <v>810000</v>
      </c>
      <c r="D6086" s="1" t="n">
        <v>11777.5</v>
      </c>
      <c r="E6086" s="1" t="n">
        <v>0.0468</v>
      </c>
      <c r="F6086" s="1" t="n">
        <v>0.0938</v>
      </c>
    </row>
    <row r="6087" customFormat="false" ht="15" hidden="false" customHeight="false" outlineLevel="0" collapsed="false">
      <c r="A6087" s="1" t="s">
        <v>6122</v>
      </c>
      <c r="B6087" s="1" t="s">
        <v>26</v>
      </c>
      <c r="C6087" s="1" t="n">
        <v>734000</v>
      </c>
      <c r="D6087" s="1" t="n">
        <v>3995.6</v>
      </c>
      <c r="E6087" s="1" t="n">
        <v>0.0123</v>
      </c>
      <c r="F6087" s="1" t="n">
        <v>0.0811</v>
      </c>
    </row>
    <row r="6088" customFormat="false" ht="15" hidden="false" customHeight="false" outlineLevel="0" collapsed="false">
      <c r="A6088" s="1" t="s">
        <v>6123</v>
      </c>
      <c r="B6088" s="1" t="s">
        <v>24</v>
      </c>
      <c r="C6088" s="1" t="n">
        <v>966000</v>
      </c>
      <c r="D6088" s="1" t="n">
        <v>169240.8</v>
      </c>
      <c r="E6088" s="1" t="n">
        <v>0.0388</v>
      </c>
      <c r="F6088" s="1" t="n">
        <v>0.0759</v>
      </c>
    </row>
    <row r="6089" customFormat="false" ht="15" hidden="false" customHeight="false" outlineLevel="0" collapsed="false">
      <c r="A6089" s="1" t="s">
        <v>6124</v>
      </c>
      <c r="B6089" s="1" t="s">
        <v>92</v>
      </c>
      <c r="C6089" s="1" t="n">
        <v>570000</v>
      </c>
      <c r="D6089" s="1" t="n">
        <v>5521.4</v>
      </c>
      <c r="E6089" s="1" t="n">
        <v>0.0248</v>
      </c>
      <c r="F6089" s="1" t="n">
        <v>0.0759</v>
      </c>
    </row>
    <row r="6090" customFormat="false" ht="15" hidden="false" customHeight="false" outlineLevel="0" collapsed="false">
      <c r="A6090" s="1" t="s">
        <v>6125</v>
      </c>
      <c r="B6090" s="1" t="s">
        <v>28</v>
      </c>
      <c r="C6090" s="1" t="n">
        <v>419000</v>
      </c>
      <c r="D6090" s="1" t="n">
        <v>3600.1</v>
      </c>
      <c r="E6090" s="1" t="n">
        <v>0.0157</v>
      </c>
      <c r="F6090" s="1" t="n">
        <v>0.0854</v>
      </c>
    </row>
    <row r="6091" customFormat="false" ht="15" hidden="false" customHeight="false" outlineLevel="0" collapsed="false">
      <c r="A6091" s="1" t="s">
        <v>6126</v>
      </c>
      <c r="B6091" s="1" t="s">
        <v>26</v>
      </c>
      <c r="C6091" s="1" t="n">
        <v>384000</v>
      </c>
      <c r="D6091" s="1" t="n">
        <v>45766.6</v>
      </c>
      <c r="E6091" s="1" t="n">
        <v>0.0778</v>
      </c>
      <c r="F6091" s="1" t="n">
        <v>0.0759</v>
      </c>
    </row>
    <row r="6092" customFormat="false" ht="15" hidden="false" customHeight="false" outlineLevel="0" collapsed="false">
      <c r="A6092" s="1" t="s">
        <v>6127</v>
      </c>
      <c r="B6092" s="1" t="s">
        <v>26</v>
      </c>
      <c r="C6092" s="1" t="n">
        <v>508000</v>
      </c>
      <c r="D6092" s="1" t="n">
        <v>57602.4</v>
      </c>
      <c r="E6092" s="1" t="n">
        <v>0.0499</v>
      </c>
      <c r="F6092" s="1" t="n">
        <v>0.0759</v>
      </c>
    </row>
    <row r="6093" customFormat="false" ht="15" hidden="false" customHeight="false" outlineLevel="0" collapsed="false">
      <c r="A6093" s="1" t="s">
        <v>6128</v>
      </c>
      <c r="B6093" s="1" t="s">
        <v>88</v>
      </c>
      <c r="C6093" s="1" t="n">
        <v>471000</v>
      </c>
      <c r="D6093" s="1" t="n">
        <v>1505</v>
      </c>
      <c r="E6093" s="1" t="n">
        <v>0.0146</v>
      </c>
      <c r="F6093" s="1" t="n">
        <v>0.1176</v>
      </c>
    </row>
    <row r="6094" customFormat="false" ht="15" hidden="false" customHeight="false" outlineLevel="0" collapsed="false">
      <c r="A6094" s="1" t="s">
        <v>6129</v>
      </c>
      <c r="B6094" s="1" t="s">
        <v>41</v>
      </c>
      <c r="C6094" s="1" t="n">
        <v>372000</v>
      </c>
      <c r="D6094" s="1" t="n">
        <v>17506.4</v>
      </c>
      <c r="E6094" s="1" t="n">
        <v>0.0176</v>
      </c>
      <c r="F6094" s="1" t="n">
        <v>0.131</v>
      </c>
    </row>
    <row r="6095" customFormat="false" ht="15" hidden="false" customHeight="false" outlineLevel="0" collapsed="false">
      <c r="A6095" s="1" t="s">
        <v>6130</v>
      </c>
      <c r="B6095" s="1" t="s">
        <v>214</v>
      </c>
      <c r="C6095" s="1" t="n">
        <v>372000</v>
      </c>
      <c r="D6095" s="1" t="n">
        <v>800.1</v>
      </c>
      <c r="E6095" s="1" t="n">
        <v>0.0217</v>
      </c>
      <c r="F6095" s="1" t="n">
        <v>0.139</v>
      </c>
    </row>
    <row r="6096" customFormat="false" ht="15" hidden="false" customHeight="false" outlineLevel="0" collapsed="false">
      <c r="A6096" s="1" t="s">
        <v>6131</v>
      </c>
      <c r="B6096" s="1" t="s">
        <v>28</v>
      </c>
      <c r="C6096" s="1" t="n">
        <v>343000</v>
      </c>
      <c r="D6096" s="1" t="n">
        <v>33576.5</v>
      </c>
      <c r="E6096" s="1" t="n">
        <v>0.0197</v>
      </c>
      <c r="F6096" s="1" t="n">
        <v>0.0585</v>
      </c>
    </row>
    <row r="6097" customFormat="false" ht="15" hidden="false" customHeight="false" outlineLevel="0" collapsed="false">
      <c r="A6097" s="1" t="s">
        <v>6132</v>
      </c>
      <c r="B6097" s="1" t="s">
        <v>21</v>
      </c>
      <c r="C6097" s="1" t="n">
        <v>466000</v>
      </c>
      <c r="D6097" s="1" t="n">
        <v>15920.4</v>
      </c>
      <c r="E6097" s="1" t="n">
        <v>0.0989</v>
      </c>
      <c r="F6097" s="1" t="n">
        <v>0.0759</v>
      </c>
    </row>
    <row r="6098" customFormat="false" ht="15" hidden="false" customHeight="false" outlineLevel="0" collapsed="false">
      <c r="A6098" s="1" t="s">
        <v>6133</v>
      </c>
      <c r="B6098" s="1" t="s">
        <v>88</v>
      </c>
      <c r="C6098" s="1" t="n">
        <v>413000</v>
      </c>
      <c r="D6098" s="1" t="n">
        <v>5092.9</v>
      </c>
      <c r="E6098" s="1" t="n">
        <v>0.0226</v>
      </c>
      <c r="F6098" s="1" t="n">
        <v>0.0649</v>
      </c>
    </row>
    <row r="6099" customFormat="false" ht="15" hidden="false" customHeight="false" outlineLevel="0" collapsed="false">
      <c r="A6099" s="1" t="s">
        <v>6134</v>
      </c>
      <c r="B6099" s="1" t="s">
        <v>26</v>
      </c>
      <c r="C6099" s="1" t="n">
        <v>394000</v>
      </c>
      <c r="D6099" s="1" t="n">
        <v>5856.5</v>
      </c>
      <c r="E6099" s="1" t="n">
        <v>0.0374</v>
      </c>
      <c r="F6099" s="1" t="n">
        <v>0.0759</v>
      </c>
    </row>
    <row r="6100" customFormat="false" ht="15" hidden="false" customHeight="false" outlineLevel="0" collapsed="false">
      <c r="A6100" s="1" t="s">
        <v>6135</v>
      </c>
      <c r="B6100" s="1" t="s">
        <v>92</v>
      </c>
      <c r="C6100" s="1" t="n">
        <v>411000</v>
      </c>
      <c r="D6100" s="1" t="n">
        <v>2049.2</v>
      </c>
      <c r="E6100" s="1" t="n">
        <v>0.0182</v>
      </c>
      <c r="F6100" s="1" t="n">
        <v>0.0937</v>
      </c>
    </row>
    <row r="6101" customFormat="false" ht="15" hidden="false" customHeight="false" outlineLevel="0" collapsed="false">
      <c r="A6101" s="1" t="s">
        <v>6136</v>
      </c>
      <c r="B6101" s="1" t="s">
        <v>41</v>
      </c>
      <c r="C6101" s="1" t="n">
        <v>368000</v>
      </c>
      <c r="D6101" s="1" t="n">
        <v>1339.5</v>
      </c>
      <c r="E6101" s="1" t="n">
        <v>0.0199</v>
      </c>
      <c r="F6101" s="1" t="n">
        <v>0.1067</v>
      </c>
    </row>
    <row r="6102" customFormat="false" ht="15" hidden="false" customHeight="false" outlineLevel="0" collapsed="false">
      <c r="A6102" s="1" t="s">
        <v>6137</v>
      </c>
      <c r="B6102" s="1" t="s">
        <v>62</v>
      </c>
      <c r="C6102" s="1" t="n">
        <v>357000</v>
      </c>
      <c r="D6102" s="1" t="n">
        <v>1244.5</v>
      </c>
      <c r="E6102" s="1" t="n">
        <v>0.0267</v>
      </c>
      <c r="F6102" s="1" t="n">
        <v>0.4046</v>
      </c>
    </row>
    <row r="6103" customFormat="false" ht="15" hidden="false" customHeight="false" outlineLevel="0" collapsed="false">
      <c r="A6103" s="1" t="s">
        <v>6138</v>
      </c>
      <c r="B6103" s="1" t="s">
        <v>74</v>
      </c>
      <c r="C6103" s="1" t="n">
        <v>408000</v>
      </c>
      <c r="D6103" s="1" t="n">
        <v>7334.9</v>
      </c>
      <c r="E6103" s="1" t="n">
        <v>0.0312</v>
      </c>
      <c r="F6103" s="1" t="n">
        <v>0.0759</v>
      </c>
    </row>
    <row r="6104" customFormat="false" ht="15" hidden="false" customHeight="false" outlineLevel="0" collapsed="false">
      <c r="A6104" s="1" t="s">
        <v>6139</v>
      </c>
      <c r="B6104" s="1" t="s">
        <v>26</v>
      </c>
      <c r="C6104" s="1" t="n">
        <v>349000</v>
      </c>
      <c r="D6104" s="1" t="n">
        <v>7122.5</v>
      </c>
      <c r="E6104" s="1" t="n">
        <v>0.0442</v>
      </c>
      <c r="F6104" s="1" t="n">
        <v>0.0759</v>
      </c>
    </row>
    <row r="6105" customFormat="false" ht="15" hidden="false" customHeight="false" outlineLevel="0" collapsed="false">
      <c r="A6105" s="1" t="s">
        <v>6140</v>
      </c>
      <c r="B6105" s="1" t="s">
        <v>21</v>
      </c>
      <c r="C6105" s="1" t="n">
        <v>479000</v>
      </c>
      <c r="D6105" s="1" t="n">
        <v>109689</v>
      </c>
      <c r="E6105" s="1" t="n">
        <v>0.0255</v>
      </c>
      <c r="F6105" s="1" t="n">
        <v>0.0462</v>
      </c>
    </row>
    <row r="6106" customFormat="false" ht="15" hidden="false" customHeight="false" outlineLevel="0" collapsed="false">
      <c r="A6106" s="1" t="s">
        <v>6141</v>
      </c>
      <c r="B6106" s="1" t="s">
        <v>74</v>
      </c>
      <c r="C6106" s="1" t="n">
        <v>505000</v>
      </c>
      <c r="D6106" s="1" t="n">
        <v>33266.6</v>
      </c>
      <c r="E6106" s="1" t="n">
        <v>0.0387</v>
      </c>
      <c r="F6106" s="1" t="n">
        <v>0.0759</v>
      </c>
    </row>
    <row r="6107" customFormat="false" ht="15" hidden="false" customHeight="false" outlineLevel="0" collapsed="false">
      <c r="A6107" s="1" t="s">
        <v>6142</v>
      </c>
      <c r="B6107" s="1" t="s">
        <v>92</v>
      </c>
      <c r="C6107" s="1" t="n">
        <v>601000</v>
      </c>
      <c r="D6107" s="1" t="n">
        <v>10014.6</v>
      </c>
      <c r="E6107" s="1" t="n">
        <v>0.0316</v>
      </c>
      <c r="F6107" s="1" t="n">
        <v>0.0759</v>
      </c>
    </row>
    <row r="6108" customFormat="false" ht="15" hidden="false" customHeight="false" outlineLevel="0" collapsed="false">
      <c r="A6108" s="1" t="s">
        <v>6143</v>
      </c>
      <c r="B6108" s="1" t="s">
        <v>50</v>
      </c>
      <c r="C6108" s="1" t="n">
        <v>442000</v>
      </c>
      <c r="D6108" s="1" t="n">
        <v>26788.6</v>
      </c>
      <c r="E6108" s="1" t="n">
        <v>0.0324</v>
      </c>
      <c r="F6108" s="1" t="n">
        <v>0.0845</v>
      </c>
    </row>
    <row r="6109" customFormat="false" ht="15" hidden="false" customHeight="false" outlineLevel="0" collapsed="false">
      <c r="A6109" s="1" t="s">
        <v>6144</v>
      </c>
      <c r="B6109" s="1" t="s">
        <v>92</v>
      </c>
      <c r="C6109" s="1" t="n">
        <v>1060000</v>
      </c>
      <c r="D6109" s="1" t="n">
        <v>148151.6</v>
      </c>
      <c r="E6109" s="1" t="n">
        <v>0.043</v>
      </c>
      <c r="F6109" s="1" t="n">
        <v>0.0432</v>
      </c>
    </row>
    <row r="6110" customFormat="false" ht="15" hidden="false" customHeight="false" outlineLevel="0" collapsed="false">
      <c r="A6110" s="1" t="s">
        <v>6145</v>
      </c>
      <c r="B6110" s="1" t="s">
        <v>41</v>
      </c>
      <c r="C6110" s="1" t="n">
        <v>396000</v>
      </c>
      <c r="D6110" s="1" t="n">
        <v>45.7</v>
      </c>
      <c r="E6110" s="1" t="n">
        <v>0.0231</v>
      </c>
      <c r="F6110" s="1" t="n">
        <v>0.4982</v>
      </c>
    </row>
    <row r="6111" customFormat="false" ht="15" hidden="false" customHeight="false" outlineLevel="0" collapsed="false">
      <c r="A6111" s="1" t="s">
        <v>6146</v>
      </c>
      <c r="B6111" s="1" t="s">
        <v>24</v>
      </c>
      <c r="C6111" s="1" t="n">
        <v>527000</v>
      </c>
      <c r="D6111" s="1" t="n">
        <v>84428.1</v>
      </c>
      <c r="E6111" s="1" t="n">
        <v>0.0183</v>
      </c>
      <c r="F6111" s="1" t="n">
        <v>0.0462</v>
      </c>
    </row>
    <row r="6112" customFormat="false" ht="15" hidden="false" customHeight="false" outlineLevel="0" collapsed="false">
      <c r="A6112" s="1" t="s">
        <v>6147</v>
      </c>
      <c r="B6112" s="1" t="s">
        <v>26</v>
      </c>
      <c r="C6112" s="1" t="n">
        <v>435000</v>
      </c>
      <c r="D6112" s="1" t="n">
        <v>66172.7</v>
      </c>
      <c r="E6112" s="1" t="n">
        <v>0.0356</v>
      </c>
      <c r="F6112" s="1" t="n">
        <v>0.0759</v>
      </c>
    </row>
    <row r="6113" customFormat="false" ht="15" hidden="false" customHeight="false" outlineLevel="0" collapsed="false">
      <c r="A6113" s="1" t="s">
        <v>6148</v>
      </c>
      <c r="B6113" s="1" t="s">
        <v>74</v>
      </c>
      <c r="C6113" s="1" t="n">
        <v>459000</v>
      </c>
      <c r="D6113" s="1" t="n">
        <v>27672.3</v>
      </c>
      <c r="E6113" s="1" t="n">
        <v>0.0476</v>
      </c>
      <c r="F6113" s="1" t="n">
        <v>0.0759</v>
      </c>
    </row>
    <row r="6114" customFormat="false" ht="15" hidden="false" customHeight="false" outlineLevel="0" collapsed="false">
      <c r="A6114" s="1" t="s">
        <v>6149</v>
      </c>
      <c r="B6114" s="1" t="s">
        <v>88</v>
      </c>
      <c r="C6114" s="1" t="n">
        <v>348000</v>
      </c>
      <c r="D6114" s="1" t="n">
        <v>430</v>
      </c>
      <c r="E6114" s="1" t="n">
        <v>0.005</v>
      </c>
      <c r="F6114" s="1" t="n">
        <v>0.0811</v>
      </c>
    </row>
    <row r="6115" customFormat="false" ht="15" hidden="false" customHeight="false" outlineLevel="0" collapsed="false">
      <c r="A6115" s="1" t="s">
        <v>6150</v>
      </c>
      <c r="B6115" s="1" t="s">
        <v>26</v>
      </c>
      <c r="C6115" s="1" t="n">
        <v>428000</v>
      </c>
      <c r="D6115" s="1" t="n">
        <v>8038.7</v>
      </c>
      <c r="E6115" s="1" t="n">
        <v>0.0466</v>
      </c>
      <c r="F6115" s="1" t="n">
        <v>0.0759</v>
      </c>
    </row>
    <row r="6116" customFormat="false" ht="15" hidden="false" customHeight="false" outlineLevel="0" collapsed="false">
      <c r="A6116" s="1" t="s">
        <v>6151</v>
      </c>
      <c r="B6116" s="1" t="s">
        <v>92</v>
      </c>
      <c r="C6116" s="1" t="n">
        <v>510000</v>
      </c>
      <c r="D6116" s="1" t="n">
        <v>6487.5</v>
      </c>
      <c r="F6116" s="1" t="n">
        <v>0.0951</v>
      </c>
    </row>
    <row r="6117" customFormat="false" ht="15" hidden="false" customHeight="false" outlineLevel="0" collapsed="false">
      <c r="A6117" s="1" t="s">
        <v>6152</v>
      </c>
      <c r="B6117" s="1" t="s">
        <v>24</v>
      </c>
      <c r="C6117" s="1" t="n">
        <v>673000</v>
      </c>
      <c r="D6117" s="1" t="n">
        <v>1369.5</v>
      </c>
      <c r="E6117" s="1" t="n">
        <v>0.0144</v>
      </c>
      <c r="F6117" s="1" t="n">
        <v>0.0584</v>
      </c>
    </row>
    <row r="6118" customFormat="false" ht="15" hidden="false" customHeight="false" outlineLevel="0" collapsed="false">
      <c r="A6118" s="1" t="s">
        <v>6153</v>
      </c>
      <c r="B6118" s="1" t="s">
        <v>214</v>
      </c>
      <c r="C6118" s="1" t="n">
        <v>431000</v>
      </c>
      <c r="D6118" s="1" t="n">
        <v>1314.3</v>
      </c>
      <c r="E6118" s="1" t="n">
        <v>0.0195</v>
      </c>
      <c r="F6118" s="1" t="n">
        <v>0.1066</v>
      </c>
    </row>
    <row r="6119" customFormat="false" ht="15" hidden="false" customHeight="false" outlineLevel="0" collapsed="false">
      <c r="A6119" s="1" t="s">
        <v>6154</v>
      </c>
      <c r="B6119" s="1" t="s">
        <v>287</v>
      </c>
      <c r="C6119" s="1" t="n">
        <v>358000</v>
      </c>
      <c r="D6119" s="1" t="n">
        <v>660.5</v>
      </c>
      <c r="E6119" s="1" t="n">
        <v>0.0108</v>
      </c>
      <c r="F6119" s="1" t="n">
        <v>0.0822</v>
      </c>
    </row>
    <row r="6120" customFormat="false" ht="15" hidden="false" customHeight="false" outlineLevel="0" collapsed="false">
      <c r="A6120" s="1" t="s">
        <v>6155</v>
      </c>
      <c r="B6120" s="1" t="s">
        <v>92</v>
      </c>
      <c r="C6120" s="1" t="n">
        <v>369000</v>
      </c>
      <c r="D6120" s="1" t="n">
        <v>112618.1</v>
      </c>
      <c r="E6120" s="1" t="n">
        <v>0.0422</v>
      </c>
      <c r="F6120" s="1" t="n">
        <v>0.0951</v>
      </c>
    </row>
    <row r="6121" customFormat="false" ht="15" hidden="false" customHeight="false" outlineLevel="0" collapsed="false">
      <c r="A6121" s="1" t="s">
        <v>6156</v>
      </c>
      <c r="B6121" s="1" t="s">
        <v>92</v>
      </c>
      <c r="C6121" s="1" t="n">
        <v>552000</v>
      </c>
      <c r="D6121" s="1" t="n">
        <v>175664.4</v>
      </c>
      <c r="E6121" s="1" t="n">
        <v>0.0367</v>
      </c>
      <c r="F6121" s="1" t="n">
        <v>0.0409</v>
      </c>
    </row>
    <row r="6122" customFormat="false" ht="15" hidden="false" customHeight="false" outlineLevel="0" collapsed="false">
      <c r="A6122" s="1" t="s">
        <v>6157</v>
      </c>
      <c r="B6122" s="1" t="s">
        <v>26</v>
      </c>
      <c r="C6122" s="1" t="n">
        <v>554000</v>
      </c>
      <c r="D6122" s="1" t="n">
        <v>34779.5</v>
      </c>
      <c r="E6122" s="1" t="n">
        <v>0.0506</v>
      </c>
      <c r="F6122" s="1" t="n">
        <v>0.0938</v>
      </c>
    </row>
    <row r="6123" customFormat="false" ht="15" hidden="false" customHeight="false" outlineLevel="0" collapsed="false">
      <c r="A6123" s="1" t="s">
        <v>6158</v>
      </c>
      <c r="B6123" s="1" t="s">
        <v>214</v>
      </c>
      <c r="C6123" s="1" t="n">
        <v>458000</v>
      </c>
      <c r="D6123" s="1" t="n">
        <v>19390.3</v>
      </c>
      <c r="E6123" s="1" t="n">
        <v>0.0355</v>
      </c>
      <c r="F6123" s="1" t="n">
        <v>0.0951</v>
      </c>
    </row>
    <row r="6124" customFormat="false" ht="15" hidden="false" customHeight="false" outlineLevel="0" collapsed="false">
      <c r="A6124" s="1" t="s">
        <v>6159</v>
      </c>
      <c r="B6124" s="1" t="s">
        <v>24</v>
      </c>
      <c r="C6124" s="1" t="n">
        <v>458000</v>
      </c>
      <c r="D6124" s="1" t="n">
        <v>878.5</v>
      </c>
      <c r="E6124" s="1" t="n">
        <v>0.0276</v>
      </c>
      <c r="F6124" s="1" t="n">
        <v>0.1226</v>
      </c>
    </row>
    <row r="6125" customFormat="false" ht="15" hidden="false" customHeight="false" outlineLevel="0" collapsed="false">
      <c r="A6125" s="1" t="s">
        <v>6160</v>
      </c>
      <c r="B6125" s="1" t="s">
        <v>41</v>
      </c>
      <c r="C6125" s="1" t="n">
        <v>339000</v>
      </c>
      <c r="D6125" s="1" t="n">
        <v>1554</v>
      </c>
      <c r="F6125" s="1" t="n">
        <v>0.0518</v>
      </c>
    </row>
    <row r="6126" customFormat="false" ht="15" hidden="false" customHeight="false" outlineLevel="0" collapsed="false">
      <c r="A6126" s="1" t="s">
        <v>6161</v>
      </c>
      <c r="B6126" s="1" t="s">
        <v>62</v>
      </c>
      <c r="C6126" s="1" t="n">
        <v>606000</v>
      </c>
      <c r="D6126" s="1" t="n">
        <v>10279.8</v>
      </c>
      <c r="E6126" s="1" t="n">
        <v>0.009</v>
      </c>
      <c r="F6126" s="1" t="n">
        <v>0.1015</v>
      </c>
    </row>
    <row r="6127" customFormat="false" ht="15" hidden="false" customHeight="false" outlineLevel="0" collapsed="false">
      <c r="A6127" s="1" t="s">
        <v>6162</v>
      </c>
      <c r="B6127" s="1" t="s">
        <v>24</v>
      </c>
      <c r="C6127" s="1" t="n">
        <v>428000</v>
      </c>
      <c r="D6127" s="1" t="n">
        <v>558.2</v>
      </c>
      <c r="F6127" s="1" t="n">
        <v>0.0938</v>
      </c>
    </row>
    <row r="6128" customFormat="false" ht="15" hidden="false" customHeight="false" outlineLevel="0" collapsed="false">
      <c r="A6128" s="1" t="s">
        <v>6163</v>
      </c>
      <c r="B6128" s="1" t="s">
        <v>26</v>
      </c>
      <c r="C6128" s="1" t="n">
        <v>1220000</v>
      </c>
      <c r="D6128" s="1" t="n">
        <v>198302</v>
      </c>
      <c r="E6128" s="1" t="n">
        <v>0.0404</v>
      </c>
      <c r="F6128" s="1" t="n">
        <v>0.0759</v>
      </c>
    </row>
    <row r="6129" customFormat="false" ht="15" hidden="false" customHeight="false" outlineLevel="0" collapsed="false">
      <c r="A6129" s="1" t="s">
        <v>6164</v>
      </c>
      <c r="B6129" s="1" t="s">
        <v>35</v>
      </c>
      <c r="C6129" s="1" t="n">
        <v>1040000</v>
      </c>
      <c r="D6129" s="1" t="n">
        <v>636.9</v>
      </c>
      <c r="E6129" s="1" t="n">
        <v>0.01</v>
      </c>
      <c r="F6129" s="1" t="n">
        <v>0.0811</v>
      </c>
    </row>
    <row r="6130" customFormat="false" ht="15" hidden="false" customHeight="false" outlineLevel="0" collapsed="false">
      <c r="A6130" s="1" t="s">
        <v>6165</v>
      </c>
      <c r="B6130" s="1" t="s">
        <v>26</v>
      </c>
      <c r="C6130" s="1" t="n">
        <v>347000</v>
      </c>
      <c r="D6130" s="1" t="n">
        <v>760.6</v>
      </c>
      <c r="E6130" s="1" t="n">
        <v>0.0231</v>
      </c>
      <c r="F6130" s="1" t="n">
        <v>0.0854</v>
      </c>
    </row>
    <row r="6131" customFormat="false" ht="15" hidden="false" customHeight="false" outlineLevel="0" collapsed="false">
      <c r="A6131" s="1" t="s">
        <v>6166</v>
      </c>
      <c r="B6131" s="1" t="s">
        <v>74</v>
      </c>
      <c r="C6131" s="1" t="n">
        <v>712000</v>
      </c>
      <c r="D6131" s="1" t="n">
        <v>83478.1</v>
      </c>
      <c r="E6131" s="1" t="n">
        <v>0.0478</v>
      </c>
      <c r="F6131" s="1" t="n">
        <v>0.0759</v>
      </c>
    </row>
    <row r="6132" customFormat="false" ht="15" hidden="false" customHeight="false" outlineLevel="0" collapsed="false">
      <c r="A6132" s="1" t="s">
        <v>6167</v>
      </c>
      <c r="B6132" s="1" t="s">
        <v>41</v>
      </c>
      <c r="C6132" s="1" t="n">
        <v>394000</v>
      </c>
      <c r="D6132" s="1" t="n">
        <v>649.6</v>
      </c>
      <c r="E6132" s="1" t="n">
        <v>0.0181</v>
      </c>
      <c r="F6132" s="1" t="n">
        <v>0.1372</v>
      </c>
    </row>
    <row r="6133" customFormat="false" ht="15" hidden="false" customHeight="false" outlineLevel="0" collapsed="false">
      <c r="A6133" s="1" t="s">
        <v>6168</v>
      </c>
      <c r="B6133" s="1" t="s">
        <v>88</v>
      </c>
      <c r="C6133" s="1" t="n">
        <v>364000</v>
      </c>
      <c r="D6133" s="1" t="n">
        <v>584.8</v>
      </c>
      <c r="E6133" s="1" t="n">
        <v>0.0725</v>
      </c>
      <c r="F6133" s="1" t="n">
        <v>0.0759</v>
      </c>
    </row>
    <row r="6134" customFormat="false" ht="15" hidden="false" customHeight="false" outlineLevel="0" collapsed="false">
      <c r="A6134" s="1" t="s">
        <v>6169</v>
      </c>
      <c r="B6134" s="1" t="s">
        <v>62</v>
      </c>
      <c r="C6134" s="1" t="n">
        <v>353000</v>
      </c>
      <c r="D6134" s="1" t="n">
        <v>1193.6</v>
      </c>
      <c r="E6134" s="1" t="n">
        <v>0.0171</v>
      </c>
      <c r="F6134" s="1" t="n">
        <v>0.0462</v>
      </c>
    </row>
    <row r="6135" customFormat="false" ht="15" hidden="false" customHeight="false" outlineLevel="0" collapsed="false">
      <c r="A6135" s="1" t="s">
        <v>6170</v>
      </c>
      <c r="B6135" s="1" t="s">
        <v>74</v>
      </c>
      <c r="C6135" s="1" t="n">
        <v>356000</v>
      </c>
      <c r="D6135" s="1" t="n">
        <v>3923.3</v>
      </c>
      <c r="E6135" s="1" t="n">
        <v>0.0887</v>
      </c>
      <c r="F6135" s="1" t="n">
        <v>0.0759</v>
      </c>
    </row>
    <row r="6136" customFormat="false" ht="15" hidden="false" customHeight="false" outlineLevel="0" collapsed="false">
      <c r="A6136" s="1" t="s">
        <v>6171</v>
      </c>
      <c r="B6136" s="1" t="s">
        <v>92</v>
      </c>
      <c r="C6136" s="1" t="n">
        <v>379000</v>
      </c>
      <c r="D6136" s="1" t="n">
        <v>275.3</v>
      </c>
      <c r="E6136" s="1" t="n">
        <v>0.0266</v>
      </c>
      <c r="F6136" s="1" t="n">
        <v>0.0854</v>
      </c>
    </row>
    <row r="6137" customFormat="false" ht="15" hidden="false" customHeight="false" outlineLevel="0" collapsed="false">
      <c r="A6137" s="1" t="s">
        <v>6172</v>
      </c>
      <c r="B6137" s="1" t="s">
        <v>26</v>
      </c>
      <c r="C6137" s="1" t="n">
        <v>611000</v>
      </c>
      <c r="D6137" s="1" t="n">
        <v>33894.7</v>
      </c>
      <c r="E6137" s="1" t="n">
        <v>0.0251</v>
      </c>
      <c r="F6137" s="1" t="n">
        <v>0.0759</v>
      </c>
    </row>
    <row r="6138" customFormat="false" ht="15" hidden="false" customHeight="false" outlineLevel="0" collapsed="false">
      <c r="A6138" s="1" t="s">
        <v>6173</v>
      </c>
      <c r="B6138" s="1" t="s">
        <v>92</v>
      </c>
      <c r="C6138" s="1" t="n">
        <v>442000</v>
      </c>
      <c r="D6138" s="1" t="n">
        <v>63343.4</v>
      </c>
      <c r="E6138" s="1" t="n">
        <v>0.0233</v>
      </c>
      <c r="F6138" s="1" t="n">
        <v>0.0518</v>
      </c>
    </row>
    <row r="6139" customFormat="false" ht="15" hidden="false" customHeight="false" outlineLevel="0" collapsed="false">
      <c r="A6139" s="1" t="s">
        <v>6174</v>
      </c>
      <c r="B6139" s="1" t="s">
        <v>88</v>
      </c>
      <c r="C6139" s="1" t="n">
        <v>396000</v>
      </c>
      <c r="D6139" s="1" t="n">
        <v>47330.1</v>
      </c>
      <c r="E6139" s="1" t="n">
        <v>0.0289</v>
      </c>
      <c r="F6139" s="1" t="n">
        <v>0.0951</v>
      </c>
    </row>
    <row r="6140" customFormat="false" ht="15" hidden="false" customHeight="false" outlineLevel="0" collapsed="false">
      <c r="A6140" s="1" t="s">
        <v>6175</v>
      </c>
      <c r="B6140" s="1" t="s">
        <v>88</v>
      </c>
      <c r="C6140" s="1" t="n">
        <v>372000</v>
      </c>
      <c r="D6140" s="1" t="n">
        <v>4194.3</v>
      </c>
      <c r="E6140" s="1" t="n">
        <v>0.0389</v>
      </c>
      <c r="F6140" s="1" t="n">
        <v>0.0759</v>
      </c>
    </row>
    <row r="6141" customFormat="false" ht="15" hidden="false" customHeight="false" outlineLevel="0" collapsed="false">
      <c r="A6141" s="1" t="s">
        <v>6176</v>
      </c>
      <c r="B6141" s="1" t="s">
        <v>26</v>
      </c>
      <c r="C6141" s="1" t="n">
        <v>372000</v>
      </c>
      <c r="D6141" s="1" t="n">
        <v>6428.9</v>
      </c>
      <c r="E6141" s="1" t="n">
        <v>0.055</v>
      </c>
      <c r="F6141" s="1" t="n">
        <v>0.0759</v>
      </c>
    </row>
    <row r="6142" customFormat="false" ht="15" hidden="false" customHeight="false" outlineLevel="0" collapsed="false">
      <c r="A6142" s="1" t="s">
        <v>6177</v>
      </c>
      <c r="B6142" s="1" t="s">
        <v>24</v>
      </c>
      <c r="C6142" s="1" t="n">
        <v>579000</v>
      </c>
      <c r="D6142" s="1" t="n">
        <v>79870.2</v>
      </c>
      <c r="E6142" s="1" t="n">
        <v>0.0589</v>
      </c>
      <c r="F6142" s="1" t="n">
        <v>0.0951</v>
      </c>
    </row>
    <row r="6143" customFormat="false" ht="15" hidden="false" customHeight="false" outlineLevel="0" collapsed="false">
      <c r="A6143" s="1" t="s">
        <v>6178</v>
      </c>
      <c r="B6143" s="1" t="s">
        <v>41</v>
      </c>
      <c r="C6143" s="1" t="n">
        <v>568000</v>
      </c>
      <c r="D6143" s="1" t="n">
        <v>3739.3</v>
      </c>
      <c r="F6143" s="1" t="n">
        <v>0.0938</v>
      </c>
    </row>
    <row r="6144" customFormat="false" ht="15" hidden="false" customHeight="false" outlineLevel="0" collapsed="false">
      <c r="A6144" s="1" t="s">
        <v>6179</v>
      </c>
      <c r="B6144" s="1" t="s">
        <v>26</v>
      </c>
      <c r="C6144" s="1" t="n">
        <v>351000</v>
      </c>
      <c r="D6144" s="1" t="n">
        <v>27393.8</v>
      </c>
      <c r="E6144" s="1" t="n">
        <v>0.0258</v>
      </c>
      <c r="F6144" s="1" t="n">
        <v>0.0951</v>
      </c>
    </row>
    <row r="6145" customFormat="false" ht="15" hidden="false" customHeight="false" outlineLevel="0" collapsed="false">
      <c r="A6145" s="1" t="s">
        <v>6180</v>
      </c>
      <c r="B6145" s="1" t="s">
        <v>26</v>
      </c>
      <c r="C6145" s="1" t="n">
        <v>654000</v>
      </c>
      <c r="D6145" s="1" t="n">
        <v>35547.7</v>
      </c>
      <c r="E6145" s="1" t="n">
        <v>0.033</v>
      </c>
      <c r="F6145" s="1" t="n">
        <v>0.0759</v>
      </c>
    </row>
    <row r="6146" customFormat="false" ht="15" hidden="false" customHeight="false" outlineLevel="0" collapsed="false">
      <c r="A6146" s="1" t="s">
        <v>6181</v>
      </c>
      <c r="B6146" s="1" t="s">
        <v>88</v>
      </c>
      <c r="C6146" s="1" t="n">
        <v>577000</v>
      </c>
      <c r="D6146" s="1" t="n">
        <v>78018.1</v>
      </c>
      <c r="E6146" s="1" t="n">
        <v>0.0523</v>
      </c>
      <c r="F6146" s="1" t="n">
        <v>0.0759</v>
      </c>
    </row>
    <row r="6147" customFormat="false" ht="15" hidden="false" customHeight="false" outlineLevel="0" collapsed="false">
      <c r="A6147" s="1" t="s">
        <v>6182</v>
      </c>
      <c r="B6147" s="1" t="s">
        <v>81</v>
      </c>
      <c r="C6147" s="1" t="n">
        <v>808000</v>
      </c>
      <c r="D6147" s="1" t="n">
        <v>271271.5</v>
      </c>
      <c r="E6147" s="1" t="n">
        <v>0.0192</v>
      </c>
      <c r="F6147" s="1" t="n">
        <v>0.0757</v>
      </c>
    </row>
    <row r="6148" customFormat="false" ht="15" hidden="false" customHeight="false" outlineLevel="0" collapsed="false">
      <c r="A6148" s="1" t="s">
        <v>6183</v>
      </c>
      <c r="B6148" s="1" t="s">
        <v>62</v>
      </c>
      <c r="C6148" s="1" t="n">
        <v>399000</v>
      </c>
      <c r="D6148" s="1" t="n">
        <v>5571.5</v>
      </c>
      <c r="E6148" s="1" t="n">
        <v>0.0249</v>
      </c>
      <c r="F6148" s="1" t="n">
        <v>0.0854</v>
      </c>
    </row>
    <row r="6149" customFormat="false" ht="15" hidden="false" customHeight="false" outlineLevel="0" collapsed="false">
      <c r="A6149" s="1" t="s">
        <v>6184</v>
      </c>
      <c r="B6149" s="1" t="s">
        <v>71</v>
      </c>
      <c r="C6149" s="1" t="n">
        <v>543000</v>
      </c>
      <c r="D6149" s="1" t="n">
        <v>3124.3</v>
      </c>
      <c r="E6149" s="1" t="n">
        <v>0.0421</v>
      </c>
      <c r="F6149" s="1" t="n">
        <v>0.0938</v>
      </c>
    </row>
    <row r="6150" customFormat="false" ht="15" hidden="false" customHeight="false" outlineLevel="0" collapsed="false">
      <c r="A6150" s="1" t="s">
        <v>6185</v>
      </c>
      <c r="B6150" s="1" t="s">
        <v>81</v>
      </c>
      <c r="C6150" s="1" t="n">
        <v>498000</v>
      </c>
      <c r="D6150" s="1" t="n">
        <v>9262.3</v>
      </c>
      <c r="E6150" s="1" t="n">
        <v>0.0284</v>
      </c>
      <c r="F6150" s="1" t="n">
        <v>0.0938</v>
      </c>
    </row>
    <row r="6151" customFormat="false" ht="15" hidden="false" customHeight="false" outlineLevel="0" collapsed="false">
      <c r="A6151" s="1" t="s">
        <v>6186</v>
      </c>
      <c r="B6151" s="1" t="s">
        <v>32</v>
      </c>
      <c r="C6151" s="1" t="n">
        <v>389000</v>
      </c>
      <c r="D6151" s="1" t="n">
        <v>35657.8</v>
      </c>
      <c r="E6151" s="1" t="n">
        <v>0.0287</v>
      </c>
      <c r="F6151" s="1" t="n">
        <v>0.0951</v>
      </c>
    </row>
    <row r="6152" customFormat="false" ht="15" hidden="false" customHeight="false" outlineLevel="0" collapsed="false">
      <c r="A6152" s="1" t="s">
        <v>6187</v>
      </c>
      <c r="B6152" s="1" t="s">
        <v>88</v>
      </c>
      <c r="C6152" s="1" t="n">
        <v>344000</v>
      </c>
      <c r="D6152" s="1" t="n">
        <v>5675.7</v>
      </c>
      <c r="E6152" s="1" t="n">
        <v>0.0443</v>
      </c>
      <c r="F6152" s="1" t="n">
        <v>0.117</v>
      </c>
    </row>
    <row r="6153" customFormat="false" ht="15" hidden="false" customHeight="false" outlineLevel="0" collapsed="false">
      <c r="A6153" s="1" t="s">
        <v>6188</v>
      </c>
      <c r="B6153" s="1" t="s">
        <v>74</v>
      </c>
      <c r="C6153" s="1" t="n">
        <v>345000</v>
      </c>
      <c r="D6153" s="1" t="n">
        <v>655</v>
      </c>
      <c r="E6153" s="1" t="n">
        <v>0.0175</v>
      </c>
      <c r="F6153" s="1" t="n">
        <v>0.0726</v>
      </c>
    </row>
    <row r="6154" customFormat="false" ht="15" hidden="false" customHeight="false" outlineLevel="0" collapsed="false">
      <c r="A6154" s="1" t="s">
        <v>6189</v>
      </c>
      <c r="B6154" s="1" t="s">
        <v>26</v>
      </c>
      <c r="C6154" s="1" t="n">
        <v>342000</v>
      </c>
      <c r="D6154" s="1" t="n">
        <v>2617.3</v>
      </c>
      <c r="E6154" s="1" t="n">
        <v>0.2306</v>
      </c>
      <c r="F6154" s="1" t="n">
        <v>0.5324</v>
      </c>
    </row>
    <row r="6155" customFormat="false" ht="15" hidden="false" customHeight="false" outlineLevel="0" collapsed="false">
      <c r="A6155" s="1" t="s">
        <v>6190</v>
      </c>
      <c r="B6155" s="1" t="s">
        <v>88</v>
      </c>
      <c r="C6155" s="1" t="n">
        <v>344000</v>
      </c>
      <c r="D6155" s="1" t="n">
        <v>2713.8</v>
      </c>
      <c r="E6155" s="1" t="n">
        <v>0.0529</v>
      </c>
      <c r="F6155" s="1" t="n">
        <v>0.0938</v>
      </c>
    </row>
    <row r="6156" customFormat="false" ht="15" hidden="false" customHeight="false" outlineLevel="0" collapsed="false">
      <c r="A6156" s="1" t="s">
        <v>6191</v>
      </c>
      <c r="B6156" s="1" t="s">
        <v>26</v>
      </c>
      <c r="C6156" s="1" t="n">
        <v>398000</v>
      </c>
      <c r="D6156" s="1" t="n">
        <v>11371</v>
      </c>
      <c r="E6156" s="1" t="n">
        <v>0.0188</v>
      </c>
      <c r="F6156" s="1" t="n">
        <v>0.1387</v>
      </c>
    </row>
    <row r="6157" customFormat="false" ht="15" hidden="false" customHeight="false" outlineLevel="0" collapsed="false">
      <c r="A6157" s="1" t="s">
        <v>6192</v>
      </c>
      <c r="B6157" s="1" t="s">
        <v>88</v>
      </c>
      <c r="C6157" s="1" t="n">
        <v>1210000</v>
      </c>
      <c r="D6157" s="1" t="n">
        <v>9874.3</v>
      </c>
      <c r="E6157" s="1" t="n">
        <v>0.0212</v>
      </c>
      <c r="F6157" s="1" t="n">
        <v>0.0938</v>
      </c>
    </row>
    <row r="6158" customFormat="false" ht="15" hidden="false" customHeight="false" outlineLevel="0" collapsed="false">
      <c r="A6158" s="1" t="s">
        <v>6193</v>
      </c>
      <c r="B6158" s="1" t="s">
        <v>71</v>
      </c>
      <c r="C6158" s="1" t="n">
        <v>352000</v>
      </c>
      <c r="D6158" s="1" t="n">
        <v>610.3</v>
      </c>
      <c r="E6158" s="1" t="n">
        <v>0.0168</v>
      </c>
      <c r="F6158" s="1" t="n">
        <v>0.0854</v>
      </c>
    </row>
    <row r="6159" customFormat="false" ht="15" hidden="false" customHeight="false" outlineLevel="0" collapsed="false">
      <c r="A6159" s="1" t="s">
        <v>6194</v>
      </c>
      <c r="B6159" s="1" t="s">
        <v>88</v>
      </c>
      <c r="C6159" s="1" t="n">
        <v>523000</v>
      </c>
      <c r="D6159" s="1" t="n">
        <v>3815.4</v>
      </c>
      <c r="E6159" s="1" t="n">
        <v>0.044</v>
      </c>
      <c r="F6159" s="1" t="n">
        <v>0.0938</v>
      </c>
    </row>
    <row r="6160" customFormat="false" ht="15" hidden="false" customHeight="false" outlineLevel="0" collapsed="false">
      <c r="A6160" s="1" t="s">
        <v>6195</v>
      </c>
      <c r="B6160" s="1" t="s">
        <v>26</v>
      </c>
      <c r="C6160" s="1" t="n">
        <v>359000</v>
      </c>
      <c r="D6160" s="1" t="n">
        <v>5795.4</v>
      </c>
      <c r="E6160" s="1" t="n">
        <v>0.0113</v>
      </c>
      <c r="F6160" s="1" t="n">
        <v>0.1058</v>
      </c>
    </row>
    <row r="6161" customFormat="false" ht="15" hidden="false" customHeight="false" outlineLevel="0" collapsed="false">
      <c r="A6161" s="1" t="s">
        <v>6196</v>
      </c>
      <c r="B6161" s="1" t="s">
        <v>214</v>
      </c>
      <c r="C6161" s="1" t="n">
        <v>548000</v>
      </c>
      <c r="D6161" s="1" t="n">
        <v>4146.4</v>
      </c>
      <c r="E6161" s="1" t="n">
        <v>0.0326</v>
      </c>
      <c r="F6161" s="1" t="n">
        <v>0.0759</v>
      </c>
    </row>
    <row r="6162" customFormat="false" ht="15" hidden="false" customHeight="false" outlineLevel="0" collapsed="false">
      <c r="A6162" s="1" t="s">
        <v>6197</v>
      </c>
      <c r="B6162" s="1" t="s">
        <v>26</v>
      </c>
      <c r="C6162" s="1" t="n">
        <v>610000</v>
      </c>
      <c r="D6162" s="1" t="n">
        <v>10037.2</v>
      </c>
      <c r="E6162" s="1" t="n">
        <v>0.1013</v>
      </c>
      <c r="F6162" s="1" t="n">
        <v>0.0938</v>
      </c>
    </row>
    <row r="6163" customFormat="false" ht="15" hidden="false" customHeight="false" outlineLevel="0" collapsed="false">
      <c r="A6163" s="1" t="s">
        <v>6198</v>
      </c>
      <c r="B6163" s="1" t="s">
        <v>24</v>
      </c>
      <c r="C6163" s="1" t="n">
        <v>2900000</v>
      </c>
      <c r="D6163" s="1" t="n">
        <v>23956</v>
      </c>
      <c r="E6163" s="1" t="n">
        <v>0.002</v>
      </c>
      <c r="F6163" s="1" t="n">
        <v>0.0654</v>
      </c>
    </row>
    <row r="6164" customFormat="false" ht="15" hidden="false" customHeight="false" outlineLevel="0" collapsed="false">
      <c r="A6164" s="1" t="s">
        <v>6199</v>
      </c>
      <c r="B6164" s="1" t="s">
        <v>28</v>
      </c>
      <c r="C6164" s="1" t="n">
        <v>4930000</v>
      </c>
      <c r="D6164" s="1" t="n">
        <v>413975.6</v>
      </c>
      <c r="E6164" s="1" t="n">
        <v>0.009</v>
      </c>
      <c r="F6164" s="1" t="n">
        <v>0.0654</v>
      </c>
    </row>
    <row r="6165" customFormat="false" ht="15" hidden="false" customHeight="false" outlineLevel="0" collapsed="false">
      <c r="A6165" s="1" t="s">
        <v>6200</v>
      </c>
      <c r="B6165" s="1" t="s">
        <v>74</v>
      </c>
      <c r="C6165" s="1" t="n">
        <v>563000</v>
      </c>
      <c r="D6165" s="1" t="n">
        <v>711414.9</v>
      </c>
      <c r="E6165" s="1" t="n">
        <v>0.0421</v>
      </c>
      <c r="F6165" s="1" t="n">
        <v>0.0951</v>
      </c>
    </row>
    <row r="6166" customFormat="false" ht="15" hidden="false" customHeight="false" outlineLevel="0" collapsed="false">
      <c r="A6166" s="1" t="s">
        <v>6201</v>
      </c>
      <c r="B6166" s="1" t="s">
        <v>26</v>
      </c>
      <c r="C6166" s="1" t="n">
        <v>397000</v>
      </c>
      <c r="D6166" s="1" t="n">
        <v>1987</v>
      </c>
      <c r="E6166" s="1" t="n">
        <v>0.0096</v>
      </c>
      <c r="F6166" s="1" t="n">
        <v>0.0654</v>
      </c>
    </row>
    <row r="6167" customFormat="false" ht="15" hidden="false" customHeight="false" outlineLevel="0" collapsed="false">
      <c r="A6167" s="1" t="s">
        <v>6202</v>
      </c>
      <c r="B6167" s="1" t="s">
        <v>26</v>
      </c>
      <c r="C6167" s="1" t="n">
        <v>355000</v>
      </c>
      <c r="D6167" s="1" t="n">
        <v>5132.1</v>
      </c>
      <c r="E6167" s="1" t="n">
        <v>0.0262</v>
      </c>
      <c r="F6167" s="1" t="n">
        <v>0.0951</v>
      </c>
    </row>
    <row r="6168" customFormat="false" ht="15" hidden="false" customHeight="false" outlineLevel="0" collapsed="false">
      <c r="A6168" s="1" t="s">
        <v>6203</v>
      </c>
      <c r="B6168" s="1" t="s">
        <v>71</v>
      </c>
      <c r="C6168" s="1" t="n">
        <v>645000</v>
      </c>
      <c r="D6168" s="1" t="n">
        <v>796.4</v>
      </c>
      <c r="E6168" s="1" t="n">
        <v>0.021</v>
      </c>
      <c r="F6168" s="1" t="n">
        <v>0.1242</v>
      </c>
    </row>
    <row r="6169" customFormat="false" ht="15" hidden="false" customHeight="false" outlineLevel="0" collapsed="false">
      <c r="A6169" s="1" t="s">
        <v>6204</v>
      </c>
      <c r="B6169" s="1" t="s">
        <v>24</v>
      </c>
      <c r="C6169" s="1" t="n">
        <v>426000</v>
      </c>
      <c r="D6169" s="1" t="n">
        <v>953.3</v>
      </c>
      <c r="E6169" s="1" t="n">
        <v>0.0299</v>
      </c>
      <c r="F6169" s="1" t="n">
        <v>0.3126</v>
      </c>
    </row>
    <row r="6170" customFormat="false" ht="15" hidden="false" customHeight="false" outlineLevel="0" collapsed="false">
      <c r="A6170" s="1" t="s">
        <v>6205</v>
      </c>
      <c r="B6170" s="1" t="s">
        <v>26</v>
      </c>
      <c r="C6170" s="1" t="n">
        <v>364000</v>
      </c>
      <c r="D6170" s="1" t="n">
        <v>10603.6</v>
      </c>
      <c r="E6170" s="1" t="n">
        <v>0.143</v>
      </c>
      <c r="F6170" s="1" t="n">
        <v>0.0938</v>
      </c>
    </row>
    <row r="6171" customFormat="false" ht="15" hidden="false" customHeight="false" outlineLevel="0" collapsed="false">
      <c r="A6171" s="1" t="s">
        <v>6206</v>
      </c>
      <c r="B6171" s="1" t="s">
        <v>214</v>
      </c>
      <c r="C6171" s="1" t="n">
        <v>587000</v>
      </c>
      <c r="D6171" s="1" t="n">
        <v>82718.8</v>
      </c>
      <c r="E6171" s="1" t="n">
        <v>0.0098</v>
      </c>
      <c r="F6171" s="1" t="n">
        <v>0.1315</v>
      </c>
    </row>
    <row r="6172" customFormat="false" ht="15" hidden="false" customHeight="false" outlineLevel="0" collapsed="false">
      <c r="A6172" s="1" t="s">
        <v>6207</v>
      </c>
      <c r="B6172" s="1" t="s">
        <v>92</v>
      </c>
      <c r="C6172" s="1" t="n">
        <v>347000</v>
      </c>
      <c r="D6172" s="1" t="n">
        <v>2907</v>
      </c>
      <c r="E6172" s="1" t="n">
        <v>0.0145</v>
      </c>
      <c r="F6172" s="1" t="n">
        <v>0.0462</v>
      </c>
    </row>
    <row r="6173" customFormat="false" ht="15" hidden="false" customHeight="false" outlineLevel="0" collapsed="false">
      <c r="A6173" s="1" t="s">
        <v>6208</v>
      </c>
      <c r="B6173" s="1" t="s">
        <v>32</v>
      </c>
      <c r="C6173" s="1" t="n">
        <v>372000</v>
      </c>
      <c r="D6173" s="1" t="n">
        <v>6017.9</v>
      </c>
      <c r="E6173" s="1" t="n">
        <v>0.0359</v>
      </c>
      <c r="F6173" s="1" t="n">
        <v>0.0409</v>
      </c>
    </row>
    <row r="6174" customFormat="false" ht="15" hidden="false" customHeight="false" outlineLevel="0" collapsed="false">
      <c r="A6174" s="1" t="s">
        <v>6209</v>
      </c>
      <c r="B6174" s="1" t="s">
        <v>81</v>
      </c>
      <c r="C6174" s="1" t="n">
        <v>347000</v>
      </c>
      <c r="D6174" s="1" t="n">
        <v>1305.1</v>
      </c>
      <c r="E6174" s="1" t="n">
        <v>0.0373</v>
      </c>
      <c r="F6174" s="1" t="n">
        <v>0.0759</v>
      </c>
    </row>
    <row r="6175" customFormat="false" ht="15" hidden="false" customHeight="false" outlineLevel="0" collapsed="false">
      <c r="A6175" s="1" t="s">
        <v>6210</v>
      </c>
      <c r="B6175" s="1" t="s">
        <v>53</v>
      </c>
      <c r="C6175" s="1" t="n">
        <v>400000</v>
      </c>
      <c r="D6175" s="1" t="n">
        <v>5487.3</v>
      </c>
      <c r="E6175" s="1" t="n">
        <v>0.0696</v>
      </c>
      <c r="F6175" s="1" t="n">
        <v>0.0951</v>
      </c>
    </row>
    <row r="6176" customFormat="false" ht="15" hidden="false" customHeight="false" outlineLevel="0" collapsed="false">
      <c r="A6176" s="1" t="s">
        <v>6211</v>
      </c>
      <c r="B6176" s="1" t="s">
        <v>71</v>
      </c>
      <c r="C6176" s="1" t="n">
        <v>345000</v>
      </c>
      <c r="D6176" s="1" t="n">
        <v>1885.3</v>
      </c>
      <c r="E6176" s="1" t="n">
        <v>0.0264</v>
      </c>
      <c r="F6176" s="1" t="n">
        <v>0.0951</v>
      </c>
    </row>
    <row r="6177" customFormat="false" ht="15" hidden="false" customHeight="false" outlineLevel="0" collapsed="false">
      <c r="A6177" s="1" t="s">
        <v>6212</v>
      </c>
      <c r="B6177" s="1" t="s">
        <v>74</v>
      </c>
      <c r="C6177" s="1" t="n">
        <v>406000</v>
      </c>
      <c r="D6177" s="1" t="n">
        <v>29168.3</v>
      </c>
      <c r="E6177" s="1" t="n">
        <v>0.0423</v>
      </c>
      <c r="F6177" s="1" t="n">
        <v>0.0672</v>
      </c>
    </row>
    <row r="6178" customFormat="false" ht="15" hidden="false" customHeight="false" outlineLevel="0" collapsed="false">
      <c r="A6178" s="1" t="s">
        <v>6213</v>
      </c>
      <c r="B6178" s="1" t="s">
        <v>88</v>
      </c>
      <c r="C6178" s="1" t="n">
        <v>574000</v>
      </c>
      <c r="D6178" s="1" t="n">
        <v>47159.7</v>
      </c>
      <c r="E6178" s="1" t="n">
        <v>0.014</v>
      </c>
      <c r="F6178" s="1" t="n">
        <v>0.0462</v>
      </c>
    </row>
    <row r="6179" customFormat="false" ht="15" hidden="false" customHeight="false" outlineLevel="0" collapsed="false">
      <c r="A6179" s="1" t="s">
        <v>6214</v>
      </c>
      <c r="B6179" s="1" t="s">
        <v>41</v>
      </c>
      <c r="C6179" s="1" t="n">
        <v>440000</v>
      </c>
      <c r="D6179" s="1" t="n">
        <v>97668.3</v>
      </c>
      <c r="E6179" s="1" t="n">
        <v>0.0055</v>
      </c>
      <c r="F6179" s="1" t="n">
        <v>0.0811</v>
      </c>
    </row>
    <row r="6180" customFormat="false" ht="15" hidden="false" customHeight="false" outlineLevel="0" collapsed="false">
      <c r="A6180" s="1" t="s">
        <v>6215</v>
      </c>
      <c r="B6180" s="1" t="s">
        <v>74</v>
      </c>
      <c r="C6180" s="1" t="n">
        <v>1700000</v>
      </c>
      <c r="D6180" s="1" t="n">
        <v>4459.7</v>
      </c>
      <c r="E6180" s="1" t="n">
        <v>0.0081</v>
      </c>
      <c r="F6180" s="1" t="n">
        <v>0.0654</v>
      </c>
    </row>
    <row r="6181" customFormat="false" ht="15" hidden="false" customHeight="false" outlineLevel="0" collapsed="false">
      <c r="A6181" s="1" t="s">
        <v>6216</v>
      </c>
      <c r="B6181" s="1" t="s">
        <v>26</v>
      </c>
      <c r="C6181" s="1" t="n">
        <v>347000</v>
      </c>
      <c r="D6181" s="1" t="n">
        <v>9335.5</v>
      </c>
      <c r="E6181" s="1" t="n">
        <v>0.0306</v>
      </c>
      <c r="F6181" s="1" t="n">
        <v>0.0951</v>
      </c>
    </row>
    <row r="6182" customFormat="false" ht="15" hidden="false" customHeight="false" outlineLevel="0" collapsed="false">
      <c r="A6182" s="1" t="s">
        <v>6217</v>
      </c>
      <c r="B6182" s="1" t="s">
        <v>53</v>
      </c>
      <c r="C6182" s="1" t="n">
        <v>741000</v>
      </c>
      <c r="D6182" s="1" t="n">
        <v>269596.8</v>
      </c>
      <c r="E6182" s="1" t="n">
        <v>0.0749</v>
      </c>
      <c r="F6182" s="1" t="n">
        <v>0.0759</v>
      </c>
    </row>
    <row r="6183" customFormat="false" ht="15" hidden="false" customHeight="false" outlineLevel="0" collapsed="false">
      <c r="A6183" s="1" t="s">
        <v>6218</v>
      </c>
      <c r="B6183" s="1" t="s">
        <v>26</v>
      </c>
      <c r="C6183" s="1" t="n">
        <v>451000</v>
      </c>
      <c r="D6183" s="1" t="n">
        <v>1325</v>
      </c>
      <c r="E6183" s="1" t="n">
        <v>0.0134</v>
      </c>
      <c r="F6183" s="1" t="n">
        <v>0.1617</v>
      </c>
    </row>
    <row r="6184" customFormat="false" ht="15" hidden="false" customHeight="false" outlineLevel="0" collapsed="false">
      <c r="A6184" s="1" t="s">
        <v>6219</v>
      </c>
      <c r="B6184" s="1" t="s">
        <v>24</v>
      </c>
      <c r="C6184" s="1" t="n">
        <v>414000</v>
      </c>
      <c r="D6184" s="1" t="n">
        <v>625.6</v>
      </c>
      <c r="E6184" s="1" t="n">
        <v>0.137</v>
      </c>
      <c r="F6184" s="1" t="n">
        <v>0.0938</v>
      </c>
    </row>
    <row r="6185" customFormat="false" ht="15" hidden="false" customHeight="false" outlineLevel="0" collapsed="false">
      <c r="A6185" s="1" t="s">
        <v>6220</v>
      </c>
      <c r="B6185" s="1" t="s">
        <v>53</v>
      </c>
      <c r="C6185" s="1" t="n">
        <v>427000</v>
      </c>
      <c r="D6185" s="1" t="n">
        <v>2066.8</v>
      </c>
      <c r="E6185" s="1" t="n">
        <v>0.015</v>
      </c>
      <c r="F6185" s="1" t="n">
        <v>0.1053</v>
      </c>
    </row>
    <row r="6186" customFormat="false" ht="15" hidden="false" customHeight="false" outlineLevel="0" collapsed="false">
      <c r="A6186" s="1" t="s">
        <v>6221</v>
      </c>
      <c r="B6186" s="1" t="s">
        <v>30</v>
      </c>
      <c r="C6186" s="1" t="n">
        <v>397000</v>
      </c>
      <c r="D6186" s="1" t="n">
        <v>10339.9</v>
      </c>
      <c r="E6186" s="1" t="n">
        <v>0.0118</v>
      </c>
      <c r="F6186" s="1" t="n">
        <v>0.0736</v>
      </c>
    </row>
    <row r="6187" customFormat="false" ht="15" hidden="false" customHeight="false" outlineLevel="0" collapsed="false">
      <c r="A6187" s="1" t="s">
        <v>6222</v>
      </c>
      <c r="B6187" s="1" t="s">
        <v>41</v>
      </c>
      <c r="C6187" s="1" t="n">
        <v>340000</v>
      </c>
      <c r="D6187" s="1" t="n">
        <v>347.9</v>
      </c>
      <c r="E6187" s="1" t="n">
        <v>0.0415</v>
      </c>
      <c r="F6187" s="1" t="n">
        <v>0.0951</v>
      </c>
    </row>
    <row r="6188" customFormat="false" ht="15" hidden="false" customHeight="false" outlineLevel="0" collapsed="false">
      <c r="A6188" s="1" t="s">
        <v>6223</v>
      </c>
      <c r="B6188" s="1" t="s">
        <v>41</v>
      </c>
      <c r="C6188" s="1" t="n">
        <v>332000</v>
      </c>
      <c r="D6188" s="1" t="n">
        <v>7501.8</v>
      </c>
      <c r="E6188" s="1" t="n">
        <v>0.0564</v>
      </c>
      <c r="F6188" s="1" t="n">
        <v>0.0951</v>
      </c>
    </row>
    <row r="6189" customFormat="false" ht="15" hidden="false" customHeight="false" outlineLevel="0" collapsed="false">
      <c r="A6189" s="1" t="s">
        <v>6224</v>
      </c>
      <c r="B6189" s="1" t="s">
        <v>92</v>
      </c>
      <c r="C6189" s="1" t="n">
        <v>746000</v>
      </c>
      <c r="D6189" s="1" t="n">
        <v>63548.5</v>
      </c>
      <c r="E6189" s="1" t="n">
        <v>0.0191</v>
      </c>
      <c r="F6189" s="1" t="n">
        <v>0.0462</v>
      </c>
    </row>
    <row r="6190" customFormat="false" ht="15" hidden="false" customHeight="false" outlineLevel="0" collapsed="false">
      <c r="A6190" s="1" t="s">
        <v>6225</v>
      </c>
      <c r="B6190" s="1" t="s">
        <v>92</v>
      </c>
      <c r="C6190" s="1" t="n">
        <v>391000</v>
      </c>
      <c r="D6190" s="1" t="n">
        <v>23315.9</v>
      </c>
      <c r="E6190" s="1" t="n">
        <v>0.0403</v>
      </c>
      <c r="F6190" s="1" t="n">
        <v>0.0951</v>
      </c>
    </row>
    <row r="6191" customFormat="false" ht="15" hidden="false" customHeight="false" outlineLevel="0" collapsed="false">
      <c r="A6191" s="1" t="s">
        <v>6226</v>
      </c>
      <c r="B6191" s="1" t="s">
        <v>30</v>
      </c>
      <c r="C6191" s="1" t="n">
        <v>499000</v>
      </c>
      <c r="D6191" s="1" t="n">
        <v>63216.6</v>
      </c>
      <c r="E6191" s="1" t="n">
        <v>0.0261</v>
      </c>
      <c r="F6191" s="1" t="n">
        <v>0.0845</v>
      </c>
    </row>
    <row r="6192" customFormat="false" ht="15" hidden="false" customHeight="false" outlineLevel="0" collapsed="false">
      <c r="A6192" s="1" t="s">
        <v>6227</v>
      </c>
      <c r="B6192" s="1" t="s">
        <v>50</v>
      </c>
      <c r="C6192" s="1" t="n">
        <v>516000</v>
      </c>
      <c r="D6192" s="1" t="n">
        <v>58.4</v>
      </c>
      <c r="E6192" s="1" t="n">
        <v>0.0283</v>
      </c>
      <c r="F6192" s="1" t="n">
        <v>0.1253</v>
      </c>
    </row>
    <row r="6193" customFormat="false" ht="15" hidden="false" customHeight="false" outlineLevel="0" collapsed="false">
      <c r="A6193" s="1" t="s">
        <v>6228</v>
      </c>
      <c r="B6193" s="1" t="s">
        <v>26</v>
      </c>
      <c r="C6193" s="1" t="n">
        <v>1040000</v>
      </c>
      <c r="D6193" s="1" t="n">
        <v>391959.9</v>
      </c>
      <c r="E6193" s="1" t="n">
        <v>0.0878</v>
      </c>
      <c r="F6193" s="1" t="n">
        <v>0.0759</v>
      </c>
    </row>
    <row r="6194" customFormat="false" ht="15" hidden="false" customHeight="false" outlineLevel="0" collapsed="false">
      <c r="A6194" s="1" t="s">
        <v>6229</v>
      </c>
      <c r="B6194" s="1" t="s">
        <v>74</v>
      </c>
      <c r="C6194" s="1" t="n">
        <v>349000</v>
      </c>
      <c r="D6194" s="1" t="n">
        <v>71389.6</v>
      </c>
      <c r="E6194" s="1" t="n">
        <v>0.0069</v>
      </c>
      <c r="F6194" s="1" t="n">
        <v>0.0822</v>
      </c>
    </row>
    <row r="6195" customFormat="false" ht="15" hidden="false" customHeight="false" outlineLevel="0" collapsed="false">
      <c r="A6195" s="1" t="s">
        <v>6230</v>
      </c>
      <c r="B6195" s="1" t="s">
        <v>26</v>
      </c>
      <c r="C6195" s="1" t="n">
        <v>434000</v>
      </c>
      <c r="D6195" s="1" t="n">
        <v>20221.8</v>
      </c>
      <c r="E6195" s="1" t="n">
        <v>0.0171</v>
      </c>
      <c r="F6195" s="1" t="n">
        <v>0.0922</v>
      </c>
    </row>
    <row r="6196" customFormat="false" ht="15" hidden="false" customHeight="false" outlineLevel="0" collapsed="false">
      <c r="A6196" s="1" t="s">
        <v>6231</v>
      </c>
      <c r="B6196" s="1" t="s">
        <v>26</v>
      </c>
      <c r="C6196" s="1" t="n">
        <v>575000</v>
      </c>
      <c r="D6196" s="1" t="n">
        <v>2391394.8</v>
      </c>
      <c r="E6196" s="1" t="n">
        <v>0.0392</v>
      </c>
      <c r="F6196" s="1" t="n">
        <v>0.0518</v>
      </c>
    </row>
    <row r="6197" customFormat="false" ht="15" hidden="false" customHeight="false" outlineLevel="0" collapsed="false">
      <c r="A6197" s="1" t="s">
        <v>6232</v>
      </c>
      <c r="B6197" s="1" t="s">
        <v>26</v>
      </c>
      <c r="C6197" s="1" t="n">
        <v>358000</v>
      </c>
      <c r="D6197" s="1" t="n">
        <v>9915.4</v>
      </c>
      <c r="E6197" s="1" t="n">
        <v>0.0433</v>
      </c>
      <c r="F6197" s="1" t="n">
        <v>0.0951</v>
      </c>
    </row>
    <row r="6198" customFormat="false" ht="15" hidden="false" customHeight="false" outlineLevel="0" collapsed="false">
      <c r="A6198" s="1" t="s">
        <v>6233</v>
      </c>
      <c r="B6198" s="1" t="s">
        <v>74</v>
      </c>
      <c r="C6198" s="1" t="n">
        <v>355000</v>
      </c>
      <c r="D6198" s="1" t="n">
        <v>803.1</v>
      </c>
      <c r="E6198" s="1" t="n">
        <v>0.0713</v>
      </c>
      <c r="F6198" s="1" t="n">
        <v>0.0951</v>
      </c>
    </row>
    <row r="6199" customFormat="false" ht="15" hidden="false" customHeight="false" outlineLevel="0" collapsed="false">
      <c r="A6199" s="1" t="s">
        <v>6234</v>
      </c>
      <c r="B6199" s="1" t="s">
        <v>24</v>
      </c>
      <c r="C6199" s="1" t="n">
        <v>755000</v>
      </c>
      <c r="D6199" s="1" t="n">
        <v>31305.4</v>
      </c>
      <c r="E6199" s="1" t="n">
        <v>0.0519</v>
      </c>
      <c r="F6199" s="1" t="n">
        <v>0.0938</v>
      </c>
    </row>
    <row r="6200" customFormat="false" ht="15" hidden="false" customHeight="false" outlineLevel="0" collapsed="false">
      <c r="A6200" s="1" t="s">
        <v>6235</v>
      </c>
      <c r="B6200" s="1" t="s">
        <v>26</v>
      </c>
      <c r="C6200" s="1" t="n">
        <v>380000</v>
      </c>
      <c r="D6200" s="1" t="n">
        <v>1021.8</v>
      </c>
      <c r="E6200" s="1" t="n">
        <v>0.0431</v>
      </c>
      <c r="F6200" s="1" t="n">
        <v>0.0759</v>
      </c>
    </row>
    <row r="6201" customFormat="false" ht="15" hidden="false" customHeight="false" outlineLevel="0" collapsed="false">
      <c r="A6201" s="1" t="s">
        <v>6236</v>
      </c>
      <c r="B6201" s="1" t="s">
        <v>88</v>
      </c>
      <c r="C6201" s="1" t="n">
        <v>606000</v>
      </c>
      <c r="D6201" s="1" t="n">
        <v>2175.5</v>
      </c>
      <c r="E6201" s="1" t="n">
        <v>0.065</v>
      </c>
      <c r="F6201" s="1" t="n">
        <v>0.0938</v>
      </c>
    </row>
    <row r="6202" customFormat="false" ht="15" hidden="false" customHeight="false" outlineLevel="0" collapsed="false">
      <c r="A6202" s="1" t="s">
        <v>6237</v>
      </c>
      <c r="B6202" s="1" t="s">
        <v>26</v>
      </c>
      <c r="C6202" s="1" t="n">
        <v>490000</v>
      </c>
      <c r="D6202" s="1" t="n">
        <v>660.3</v>
      </c>
      <c r="F6202" s="1" t="n">
        <v>0.0409</v>
      </c>
    </row>
    <row r="6203" customFormat="false" ht="15" hidden="false" customHeight="false" outlineLevel="0" collapsed="false">
      <c r="A6203" s="1" t="s">
        <v>6238</v>
      </c>
      <c r="B6203" s="1" t="s">
        <v>26</v>
      </c>
      <c r="C6203" s="1" t="n">
        <v>357000</v>
      </c>
      <c r="D6203" s="1" t="n">
        <v>19982</v>
      </c>
      <c r="E6203" s="1" t="n">
        <v>0.001</v>
      </c>
      <c r="F6203" s="1" t="n">
        <v>0.0822</v>
      </c>
    </row>
    <row r="6204" customFormat="false" ht="15" hidden="false" customHeight="false" outlineLevel="0" collapsed="false">
      <c r="A6204" s="1" t="s">
        <v>6239</v>
      </c>
      <c r="B6204" s="1" t="s">
        <v>35</v>
      </c>
      <c r="C6204" s="1" t="n">
        <v>692000</v>
      </c>
      <c r="D6204" s="1" t="n">
        <v>247261.8</v>
      </c>
      <c r="E6204" s="1" t="n">
        <v>0.0302</v>
      </c>
      <c r="F6204" s="1" t="n">
        <v>0.0672</v>
      </c>
    </row>
    <row r="6205" customFormat="false" ht="15" hidden="false" customHeight="false" outlineLevel="0" collapsed="false">
      <c r="A6205" s="1" t="s">
        <v>6240</v>
      </c>
      <c r="B6205" s="1" t="s">
        <v>41</v>
      </c>
      <c r="C6205" s="1" t="n">
        <v>607000</v>
      </c>
      <c r="D6205" s="1" t="n">
        <v>38029</v>
      </c>
      <c r="E6205" s="1" t="n">
        <v>0.0192</v>
      </c>
      <c r="F6205" s="1" t="n">
        <v>0.0576</v>
      </c>
    </row>
    <row r="6206" customFormat="false" ht="15" hidden="false" customHeight="false" outlineLevel="0" collapsed="false">
      <c r="A6206" s="1" t="s">
        <v>6241</v>
      </c>
      <c r="B6206" s="1" t="s">
        <v>26</v>
      </c>
      <c r="C6206" s="1" t="n">
        <v>457000</v>
      </c>
      <c r="D6206" s="1" t="n">
        <v>1622.3</v>
      </c>
      <c r="E6206" s="1" t="n">
        <v>0.0189</v>
      </c>
      <c r="F6206" s="1" t="n">
        <v>0.0585</v>
      </c>
    </row>
    <row r="6207" customFormat="false" ht="15" hidden="false" customHeight="false" outlineLevel="0" collapsed="false">
      <c r="A6207" s="1" t="s">
        <v>6242</v>
      </c>
      <c r="B6207" s="1" t="s">
        <v>26</v>
      </c>
      <c r="C6207" s="1" t="n">
        <v>369000</v>
      </c>
      <c r="D6207" s="1" t="n">
        <v>3640.5</v>
      </c>
      <c r="E6207" s="1" t="n">
        <v>0.0112</v>
      </c>
      <c r="F6207" s="1" t="n">
        <v>0.1187</v>
      </c>
    </row>
    <row r="6208" customFormat="false" ht="15" hidden="false" customHeight="false" outlineLevel="0" collapsed="false">
      <c r="A6208" s="1" t="s">
        <v>6243</v>
      </c>
      <c r="B6208" s="1" t="s">
        <v>81</v>
      </c>
      <c r="C6208" s="1" t="n">
        <v>575000</v>
      </c>
      <c r="D6208" s="1" t="n">
        <v>156010.8</v>
      </c>
      <c r="E6208" s="1" t="n">
        <v>0.0185</v>
      </c>
      <c r="F6208" s="1" t="n">
        <v>0.0462</v>
      </c>
    </row>
    <row r="6209" customFormat="false" ht="15" hidden="false" customHeight="false" outlineLevel="0" collapsed="false">
      <c r="A6209" s="1" t="s">
        <v>6244</v>
      </c>
      <c r="B6209" s="1" t="s">
        <v>88</v>
      </c>
      <c r="C6209" s="1" t="n">
        <v>609000</v>
      </c>
      <c r="D6209" s="1" t="n">
        <v>33210.5</v>
      </c>
      <c r="E6209" s="1" t="n">
        <v>0.0191</v>
      </c>
      <c r="F6209" s="1" t="n">
        <v>0.131</v>
      </c>
    </row>
    <row r="6210" customFormat="false" ht="15" hidden="false" customHeight="false" outlineLevel="0" collapsed="false">
      <c r="A6210" s="1" t="s">
        <v>6245</v>
      </c>
      <c r="B6210" s="1" t="s">
        <v>26</v>
      </c>
      <c r="C6210" s="1" t="n">
        <v>457000</v>
      </c>
      <c r="D6210" s="1" t="n">
        <v>35991.7</v>
      </c>
      <c r="E6210" s="1" t="n">
        <v>0.0313</v>
      </c>
      <c r="F6210" s="1" t="n">
        <v>0.0672</v>
      </c>
    </row>
    <row r="6211" customFormat="false" ht="15" hidden="false" customHeight="false" outlineLevel="0" collapsed="false">
      <c r="A6211" s="1" t="s">
        <v>6246</v>
      </c>
      <c r="B6211" s="1" t="s">
        <v>74</v>
      </c>
      <c r="C6211" s="1" t="n">
        <v>463000</v>
      </c>
      <c r="D6211" s="1" t="n">
        <v>2479</v>
      </c>
      <c r="E6211" s="1" t="n">
        <v>0.0387</v>
      </c>
      <c r="F6211" s="1" t="n">
        <v>0.0951</v>
      </c>
    </row>
    <row r="6212" customFormat="false" ht="15" hidden="false" customHeight="false" outlineLevel="0" collapsed="false">
      <c r="A6212" s="1" t="s">
        <v>6247</v>
      </c>
      <c r="B6212" s="1" t="s">
        <v>26</v>
      </c>
      <c r="C6212" s="1" t="n">
        <v>1050000</v>
      </c>
      <c r="D6212" s="1" t="n">
        <v>43423.9</v>
      </c>
      <c r="E6212" s="1" t="n">
        <v>0.0328</v>
      </c>
      <c r="F6212" s="1" t="n">
        <v>0.0759</v>
      </c>
    </row>
    <row r="6213" customFormat="false" ht="15" hidden="false" customHeight="false" outlineLevel="0" collapsed="false">
      <c r="A6213" s="1" t="s">
        <v>6248</v>
      </c>
      <c r="B6213" s="1" t="s">
        <v>30</v>
      </c>
      <c r="C6213" s="1" t="n">
        <v>487000</v>
      </c>
      <c r="D6213" s="1" t="n">
        <v>34681.4</v>
      </c>
      <c r="E6213" s="1" t="n">
        <v>0.0092</v>
      </c>
      <c r="F6213" s="1" t="n">
        <v>0.0811</v>
      </c>
    </row>
    <row r="6214" customFormat="false" ht="15" hidden="false" customHeight="false" outlineLevel="0" collapsed="false">
      <c r="A6214" s="1" t="s">
        <v>6249</v>
      </c>
      <c r="B6214" s="1" t="s">
        <v>74</v>
      </c>
      <c r="C6214" s="1" t="n">
        <v>386000</v>
      </c>
      <c r="D6214" s="1" t="n">
        <v>3384.6</v>
      </c>
      <c r="E6214" s="1" t="n">
        <v>0.0561</v>
      </c>
      <c r="F6214" s="1" t="n">
        <v>0.0759</v>
      </c>
    </row>
    <row r="6215" customFormat="false" ht="15" hidden="false" customHeight="false" outlineLevel="0" collapsed="false">
      <c r="A6215" s="1" t="s">
        <v>6250</v>
      </c>
      <c r="B6215" s="1" t="s">
        <v>92</v>
      </c>
      <c r="C6215" s="1" t="n">
        <v>427000</v>
      </c>
      <c r="D6215" s="1" t="n">
        <v>4172.4</v>
      </c>
      <c r="E6215" s="1" t="n">
        <v>0.0103</v>
      </c>
      <c r="F6215" s="1" t="n">
        <v>0.0726</v>
      </c>
    </row>
    <row r="6216" customFormat="false" ht="15" hidden="false" customHeight="false" outlineLevel="0" collapsed="false">
      <c r="A6216" s="1" t="s">
        <v>6251</v>
      </c>
      <c r="B6216" s="1" t="s">
        <v>26</v>
      </c>
      <c r="C6216" s="1" t="n">
        <v>373000</v>
      </c>
      <c r="D6216" s="1" t="n">
        <v>9099.9</v>
      </c>
      <c r="E6216" s="1" t="n">
        <v>0.0322</v>
      </c>
      <c r="F6216" s="1" t="n">
        <v>0.0518</v>
      </c>
    </row>
    <row r="6217" customFormat="false" ht="15" hidden="false" customHeight="false" outlineLevel="0" collapsed="false">
      <c r="A6217" s="1" t="s">
        <v>6252</v>
      </c>
      <c r="B6217" s="1" t="s">
        <v>74</v>
      </c>
      <c r="C6217" s="1" t="n">
        <v>685000</v>
      </c>
      <c r="D6217" s="1" t="n">
        <v>1167.1</v>
      </c>
      <c r="E6217" s="1" t="n">
        <v>0.0523</v>
      </c>
      <c r="F6217" s="1" t="n">
        <v>0.0938</v>
      </c>
    </row>
    <row r="6218" customFormat="false" ht="15" hidden="false" customHeight="false" outlineLevel="0" collapsed="false">
      <c r="A6218" s="1" t="s">
        <v>6253</v>
      </c>
      <c r="B6218" s="1" t="s">
        <v>26</v>
      </c>
      <c r="C6218" s="1" t="n">
        <v>350000</v>
      </c>
      <c r="D6218" s="1" t="n">
        <v>948.2</v>
      </c>
      <c r="E6218" s="1" t="n">
        <v>0.0382</v>
      </c>
      <c r="F6218" s="1" t="n">
        <v>0.0759</v>
      </c>
    </row>
    <row r="6219" customFormat="false" ht="15" hidden="false" customHeight="false" outlineLevel="0" collapsed="false">
      <c r="A6219" s="1" t="s">
        <v>6254</v>
      </c>
      <c r="B6219" s="1" t="s">
        <v>26</v>
      </c>
      <c r="C6219" s="1" t="n">
        <v>785000</v>
      </c>
      <c r="D6219" s="1" t="n">
        <v>4749.6</v>
      </c>
      <c r="E6219" s="1" t="n">
        <v>0.0115</v>
      </c>
      <c r="F6219" s="1" t="n">
        <v>0.0854</v>
      </c>
    </row>
    <row r="6220" customFormat="false" ht="15" hidden="false" customHeight="false" outlineLevel="0" collapsed="false">
      <c r="A6220" s="1" t="s">
        <v>6255</v>
      </c>
      <c r="B6220" s="1" t="s">
        <v>53</v>
      </c>
      <c r="C6220" s="1" t="n">
        <v>336000</v>
      </c>
      <c r="D6220" s="1" t="n">
        <v>1122.9</v>
      </c>
      <c r="E6220" s="1" t="n">
        <v>0.012</v>
      </c>
      <c r="F6220" s="1" t="n">
        <v>0.1327</v>
      </c>
    </row>
    <row r="6221" customFormat="false" ht="15" hidden="false" customHeight="false" outlineLevel="0" collapsed="false">
      <c r="A6221" s="1" t="s">
        <v>6256</v>
      </c>
      <c r="B6221" s="1" t="s">
        <v>287</v>
      </c>
      <c r="C6221" s="1" t="n">
        <v>565000</v>
      </c>
      <c r="D6221" s="1" t="n">
        <v>3096.7</v>
      </c>
      <c r="E6221" s="1" t="n">
        <v>0.0273</v>
      </c>
      <c r="F6221" s="1" t="n">
        <v>0.0938</v>
      </c>
    </row>
    <row r="6222" customFormat="false" ht="15" hidden="false" customHeight="false" outlineLevel="0" collapsed="false">
      <c r="A6222" s="1" t="s">
        <v>6257</v>
      </c>
      <c r="B6222" s="1" t="s">
        <v>50</v>
      </c>
      <c r="C6222" s="1" t="n">
        <v>383000</v>
      </c>
      <c r="D6222" s="1" t="n">
        <v>1574.7</v>
      </c>
      <c r="E6222" s="1" t="n">
        <v>0.0254</v>
      </c>
      <c r="F6222" s="1" t="n">
        <v>0.0938</v>
      </c>
    </row>
    <row r="6223" customFormat="false" ht="15" hidden="false" customHeight="false" outlineLevel="0" collapsed="false">
      <c r="A6223" s="1" t="s">
        <v>6258</v>
      </c>
      <c r="B6223" s="1" t="s">
        <v>214</v>
      </c>
      <c r="C6223" s="1" t="n">
        <v>494000</v>
      </c>
      <c r="D6223" s="1" t="n">
        <v>9074.9</v>
      </c>
      <c r="F6223" s="1" t="n">
        <v>0.0759</v>
      </c>
    </row>
    <row r="6224" customFormat="false" ht="15" hidden="false" customHeight="false" outlineLevel="0" collapsed="false">
      <c r="A6224" s="1" t="s">
        <v>6259</v>
      </c>
      <c r="B6224" s="1" t="s">
        <v>41</v>
      </c>
      <c r="C6224" s="1" t="n">
        <v>337000</v>
      </c>
      <c r="D6224" s="1" t="n">
        <v>555.8</v>
      </c>
      <c r="E6224" s="1" t="n">
        <v>0.0462</v>
      </c>
      <c r="F6224" s="1" t="n">
        <v>0.117</v>
      </c>
    </row>
    <row r="6225" customFormat="false" ht="15" hidden="false" customHeight="false" outlineLevel="0" collapsed="false">
      <c r="A6225" s="1" t="s">
        <v>6260</v>
      </c>
      <c r="B6225" s="1" t="s">
        <v>88</v>
      </c>
      <c r="C6225" s="1" t="n">
        <v>1100000</v>
      </c>
      <c r="D6225" s="1" t="n">
        <v>39625.9</v>
      </c>
      <c r="E6225" s="1" t="n">
        <v>0.0255</v>
      </c>
      <c r="F6225" s="1" t="n">
        <v>0.1066</v>
      </c>
    </row>
    <row r="6226" customFormat="false" ht="15" hidden="false" customHeight="false" outlineLevel="0" collapsed="false">
      <c r="A6226" s="1" t="s">
        <v>6261</v>
      </c>
      <c r="B6226" s="1" t="s">
        <v>62</v>
      </c>
      <c r="C6226" s="1" t="n">
        <v>374000</v>
      </c>
      <c r="D6226" s="1" t="n">
        <v>6150.4</v>
      </c>
      <c r="E6226" s="1" t="n">
        <v>0.0436</v>
      </c>
      <c r="F6226" s="1" t="n">
        <v>0.0951</v>
      </c>
    </row>
    <row r="6227" customFormat="false" ht="15" hidden="false" customHeight="false" outlineLevel="0" collapsed="false">
      <c r="A6227" s="1" t="s">
        <v>6262</v>
      </c>
      <c r="B6227" s="1" t="s">
        <v>26</v>
      </c>
      <c r="C6227" s="1" t="n">
        <v>358000</v>
      </c>
      <c r="D6227" s="1" t="n">
        <v>12810.8</v>
      </c>
      <c r="E6227" s="1" t="n">
        <v>0.078</v>
      </c>
      <c r="F6227" s="1" t="n">
        <v>0.0759</v>
      </c>
    </row>
    <row r="6228" customFormat="false" ht="15" hidden="false" customHeight="false" outlineLevel="0" collapsed="false">
      <c r="A6228" s="1" t="s">
        <v>6263</v>
      </c>
      <c r="B6228" s="1" t="s">
        <v>88</v>
      </c>
      <c r="C6228" s="1" t="n">
        <v>715000</v>
      </c>
      <c r="D6228" s="1" t="n">
        <v>2800.5</v>
      </c>
      <c r="E6228" s="1" t="n">
        <v>0.0812</v>
      </c>
      <c r="F6228" s="1" t="n">
        <v>0.0938</v>
      </c>
    </row>
    <row r="6229" customFormat="false" ht="15" hidden="false" customHeight="false" outlineLevel="0" collapsed="false">
      <c r="A6229" s="1" t="s">
        <v>6264</v>
      </c>
      <c r="B6229" s="1" t="s">
        <v>74</v>
      </c>
      <c r="C6229" s="1" t="n">
        <v>519000</v>
      </c>
      <c r="D6229" s="1" t="n">
        <v>53135.2</v>
      </c>
      <c r="E6229" s="1" t="n">
        <v>0.0369</v>
      </c>
      <c r="F6229" s="1" t="n">
        <v>0.0938</v>
      </c>
    </row>
    <row r="6230" customFormat="false" ht="15" hidden="false" customHeight="false" outlineLevel="0" collapsed="false">
      <c r="A6230" s="1" t="s">
        <v>6265</v>
      </c>
      <c r="B6230" s="1" t="s">
        <v>26</v>
      </c>
      <c r="C6230" s="1" t="n">
        <v>347000</v>
      </c>
      <c r="D6230" s="1" t="n">
        <v>1746.8</v>
      </c>
      <c r="E6230" s="1" t="n">
        <v>0.0146</v>
      </c>
      <c r="F6230" s="1" t="n">
        <v>0.1067</v>
      </c>
    </row>
    <row r="6231" customFormat="false" ht="15" hidden="false" customHeight="false" outlineLevel="0" collapsed="false">
      <c r="A6231" s="1" t="s">
        <v>6266</v>
      </c>
      <c r="B6231" s="1" t="s">
        <v>74</v>
      </c>
      <c r="C6231" s="1" t="n">
        <v>506000</v>
      </c>
      <c r="D6231" s="1" t="n">
        <v>39567.4</v>
      </c>
      <c r="E6231" s="1" t="n">
        <v>0.0349</v>
      </c>
      <c r="F6231" s="1" t="n">
        <v>0.0759</v>
      </c>
    </row>
    <row r="6232" customFormat="false" ht="15" hidden="false" customHeight="false" outlineLevel="0" collapsed="false">
      <c r="A6232" s="1" t="s">
        <v>6267</v>
      </c>
      <c r="B6232" s="1" t="s">
        <v>26</v>
      </c>
      <c r="C6232" s="1" t="n">
        <v>434000</v>
      </c>
      <c r="D6232" s="1" t="n">
        <v>25818.5</v>
      </c>
      <c r="E6232" s="1" t="n">
        <v>0.0145</v>
      </c>
      <c r="F6232" s="1" t="n">
        <v>0.0462</v>
      </c>
    </row>
    <row r="6233" customFormat="false" ht="15" hidden="false" customHeight="false" outlineLevel="0" collapsed="false">
      <c r="A6233" s="1" t="s">
        <v>6268</v>
      </c>
      <c r="B6233" s="1" t="s">
        <v>71</v>
      </c>
      <c r="C6233" s="1" t="n">
        <v>386000</v>
      </c>
      <c r="D6233" s="1" t="n">
        <v>7365.4</v>
      </c>
      <c r="E6233" s="1" t="n">
        <v>0.037</v>
      </c>
      <c r="F6233" s="1" t="n">
        <v>0.0759</v>
      </c>
    </row>
    <row r="6234" customFormat="false" ht="15" hidden="false" customHeight="false" outlineLevel="0" collapsed="false">
      <c r="A6234" s="1" t="s">
        <v>6269</v>
      </c>
      <c r="B6234" s="1" t="s">
        <v>26</v>
      </c>
      <c r="C6234" s="1" t="n">
        <v>329000</v>
      </c>
      <c r="D6234" s="1" t="n">
        <v>253835.8</v>
      </c>
      <c r="E6234" s="1" t="n">
        <v>0.0521</v>
      </c>
      <c r="F6234" s="1" t="n">
        <v>0.0951</v>
      </c>
    </row>
    <row r="6235" customFormat="false" ht="15" hidden="false" customHeight="false" outlineLevel="0" collapsed="false">
      <c r="A6235" s="1" t="s">
        <v>6270</v>
      </c>
      <c r="B6235" s="1" t="s">
        <v>24</v>
      </c>
      <c r="C6235" s="1" t="n">
        <v>497000</v>
      </c>
      <c r="D6235" s="1" t="n">
        <v>2036191.3</v>
      </c>
      <c r="E6235" s="1" t="n">
        <v>0.0291</v>
      </c>
      <c r="F6235" s="1" t="n">
        <v>0.0951</v>
      </c>
    </row>
    <row r="6236" customFormat="false" ht="15" hidden="false" customHeight="false" outlineLevel="0" collapsed="false">
      <c r="A6236" s="1" t="s">
        <v>6271</v>
      </c>
      <c r="B6236" s="1" t="s">
        <v>287</v>
      </c>
      <c r="C6236" s="1" t="n">
        <v>347000</v>
      </c>
      <c r="D6236" s="1" t="n">
        <v>71898.2</v>
      </c>
      <c r="E6236" s="1" t="n">
        <v>0.0261</v>
      </c>
      <c r="F6236" s="1" t="n">
        <v>0.0409</v>
      </c>
    </row>
    <row r="6237" customFormat="false" ht="15" hidden="false" customHeight="false" outlineLevel="0" collapsed="false">
      <c r="A6237" s="1" t="s">
        <v>6272</v>
      </c>
      <c r="B6237" s="1" t="s">
        <v>195</v>
      </c>
      <c r="C6237" s="1" t="n">
        <v>345000</v>
      </c>
      <c r="D6237" s="1" t="n">
        <v>1142.3</v>
      </c>
      <c r="E6237" s="1" t="n">
        <v>0.0171</v>
      </c>
      <c r="F6237" s="1" t="n">
        <v>0.0462</v>
      </c>
    </row>
    <row r="6238" customFormat="false" ht="15" hidden="false" customHeight="false" outlineLevel="0" collapsed="false">
      <c r="A6238" s="1" t="s">
        <v>6273</v>
      </c>
      <c r="B6238" s="1" t="s">
        <v>24</v>
      </c>
      <c r="C6238" s="1" t="n">
        <v>515000</v>
      </c>
      <c r="D6238" s="1" t="n">
        <v>29182</v>
      </c>
      <c r="E6238" s="1" t="n">
        <v>0.0407</v>
      </c>
      <c r="F6238" s="1" t="n">
        <v>0.0759</v>
      </c>
    </row>
    <row r="6239" customFormat="false" ht="15" hidden="false" customHeight="false" outlineLevel="0" collapsed="false">
      <c r="A6239" s="1" t="s">
        <v>6274</v>
      </c>
      <c r="B6239" s="1" t="s">
        <v>41</v>
      </c>
      <c r="C6239" s="1" t="n">
        <v>364000</v>
      </c>
      <c r="D6239" s="1" t="n">
        <v>601.2</v>
      </c>
      <c r="E6239" s="1" t="n">
        <v>0.0249</v>
      </c>
      <c r="F6239" s="1" t="n">
        <v>0.1372</v>
      </c>
    </row>
    <row r="6240" customFormat="false" ht="15" hidden="false" customHeight="false" outlineLevel="0" collapsed="false">
      <c r="A6240" s="1" t="s">
        <v>6275</v>
      </c>
      <c r="B6240" s="1" t="s">
        <v>41</v>
      </c>
      <c r="C6240" s="1" t="n">
        <v>683000</v>
      </c>
      <c r="D6240" s="1" t="n">
        <v>8774.2</v>
      </c>
      <c r="E6240" s="1" t="n">
        <v>0.0486</v>
      </c>
      <c r="F6240" s="1" t="n">
        <v>0.0938</v>
      </c>
    </row>
    <row r="6241" customFormat="false" ht="15" hidden="false" customHeight="false" outlineLevel="0" collapsed="false">
      <c r="A6241" s="1" t="s">
        <v>6276</v>
      </c>
      <c r="B6241" s="1" t="s">
        <v>41</v>
      </c>
      <c r="C6241" s="1" t="n">
        <v>417000</v>
      </c>
      <c r="D6241" s="1" t="n">
        <v>3133.1</v>
      </c>
      <c r="E6241" s="1" t="n">
        <v>0.0276</v>
      </c>
      <c r="F6241" s="1" t="n">
        <v>0.0951</v>
      </c>
    </row>
    <row r="6242" customFormat="false" ht="15" hidden="false" customHeight="false" outlineLevel="0" collapsed="false">
      <c r="A6242" s="1" t="s">
        <v>6277</v>
      </c>
      <c r="B6242" s="1" t="s">
        <v>92</v>
      </c>
      <c r="C6242" s="1" t="n">
        <v>458000</v>
      </c>
      <c r="D6242" s="1" t="n">
        <v>180168.7</v>
      </c>
      <c r="E6242" s="1" t="n">
        <v>0.0255</v>
      </c>
      <c r="F6242" s="1" t="n">
        <v>0.0759</v>
      </c>
    </row>
    <row r="6243" customFormat="false" ht="15" hidden="false" customHeight="false" outlineLevel="0" collapsed="false">
      <c r="A6243" s="1" t="s">
        <v>6278</v>
      </c>
      <c r="B6243" s="1" t="s">
        <v>41</v>
      </c>
      <c r="C6243" s="1" t="n">
        <v>504000</v>
      </c>
      <c r="D6243" s="1" t="n">
        <v>36401</v>
      </c>
      <c r="E6243" s="1" t="n">
        <v>0.0369</v>
      </c>
      <c r="F6243" s="1" t="n">
        <v>0.0938</v>
      </c>
    </row>
    <row r="6244" customFormat="false" ht="15" hidden="false" customHeight="false" outlineLevel="0" collapsed="false">
      <c r="A6244" s="1" t="s">
        <v>6279</v>
      </c>
      <c r="B6244" s="1" t="s">
        <v>26</v>
      </c>
      <c r="C6244" s="1" t="n">
        <v>438000</v>
      </c>
      <c r="D6244" s="1" t="n">
        <v>10050.4</v>
      </c>
      <c r="E6244" s="1" t="n">
        <v>0.0757</v>
      </c>
      <c r="F6244" s="1" t="n">
        <v>0.0759</v>
      </c>
    </row>
    <row r="6245" customFormat="false" ht="15" hidden="false" customHeight="false" outlineLevel="0" collapsed="false">
      <c r="A6245" s="1" t="s">
        <v>6280</v>
      </c>
      <c r="B6245" s="1" t="s">
        <v>92</v>
      </c>
      <c r="C6245" s="1" t="n">
        <v>1480000</v>
      </c>
      <c r="D6245" s="1" t="n">
        <v>339873.1</v>
      </c>
      <c r="E6245" s="1" t="n">
        <v>0.0153</v>
      </c>
      <c r="F6245" s="1" t="n">
        <v>0.0462</v>
      </c>
    </row>
    <row r="6246" customFormat="false" ht="15" hidden="false" customHeight="false" outlineLevel="0" collapsed="false">
      <c r="A6246" s="1" t="s">
        <v>6281</v>
      </c>
      <c r="B6246" s="1" t="s">
        <v>62</v>
      </c>
      <c r="C6246" s="1" t="n">
        <v>362000</v>
      </c>
      <c r="D6246" s="1" t="n">
        <v>139578.1</v>
      </c>
      <c r="E6246" s="1" t="n">
        <v>0.0412</v>
      </c>
      <c r="F6246" s="1" t="n">
        <v>0.0518</v>
      </c>
    </row>
    <row r="6247" customFormat="false" ht="15" hidden="false" customHeight="false" outlineLevel="0" collapsed="false">
      <c r="A6247" s="1" t="s">
        <v>6282</v>
      </c>
      <c r="B6247" s="1" t="s">
        <v>214</v>
      </c>
      <c r="C6247" s="1" t="n">
        <v>337000</v>
      </c>
      <c r="D6247" s="1" t="n">
        <v>249564.5</v>
      </c>
      <c r="E6247" s="1" t="n">
        <v>0.0475</v>
      </c>
      <c r="F6247" s="1" t="n">
        <v>0.0951</v>
      </c>
    </row>
    <row r="6248" customFormat="false" ht="15" hidden="false" customHeight="false" outlineLevel="0" collapsed="false">
      <c r="A6248" s="1" t="s">
        <v>6283</v>
      </c>
      <c r="B6248" s="1" t="s">
        <v>62</v>
      </c>
      <c r="C6248" s="1" t="n">
        <v>331000</v>
      </c>
      <c r="D6248" s="1" t="n">
        <v>1796.1</v>
      </c>
      <c r="E6248" s="1" t="n">
        <v>0.0362</v>
      </c>
      <c r="F6248" s="1" t="n">
        <v>0.0518</v>
      </c>
    </row>
    <row r="6249" customFormat="false" ht="15" hidden="false" customHeight="false" outlineLevel="0" collapsed="false">
      <c r="A6249" s="1" t="s">
        <v>6284</v>
      </c>
      <c r="B6249" s="1" t="s">
        <v>88</v>
      </c>
      <c r="C6249" s="1" t="n">
        <v>448000</v>
      </c>
      <c r="D6249" s="1" t="n">
        <v>54070.4</v>
      </c>
      <c r="E6249" s="1" t="n">
        <v>0.075</v>
      </c>
      <c r="F6249" s="1" t="n">
        <v>0.0759</v>
      </c>
    </row>
    <row r="6250" customFormat="false" ht="15" hidden="false" customHeight="false" outlineLevel="0" collapsed="false">
      <c r="A6250" s="1" t="s">
        <v>6285</v>
      </c>
      <c r="B6250" s="1" t="s">
        <v>74</v>
      </c>
      <c r="C6250" s="1" t="n">
        <v>719000</v>
      </c>
      <c r="D6250" s="1" t="n">
        <v>16223.9</v>
      </c>
      <c r="E6250" s="1" t="n">
        <v>0.03</v>
      </c>
      <c r="F6250" s="1" t="n">
        <v>0.0759</v>
      </c>
    </row>
    <row r="6251" customFormat="false" ht="15" hidden="false" customHeight="false" outlineLevel="0" collapsed="false">
      <c r="A6251" s="1" t="s">
        <v>6286</v>
      </c>
      <c r="B6251" s="1" t="s">
        <v>30</v>
      </c>
      <c r="C6251" s="1" t="n">
        <v>350000</v>
      </c>
      <c r="D6251" s="1" t="n">
        <v>27614.7</v>
      </c>
      <c r="E6251" s="1" t="n">
        <v>0.0384</v>
      </c>
      <c r="F6251" s="1" t="n">
        <v>0.0759</v>
      </c>
    </row>
    <row r="6252" customFormat="false" ht="15" hidden="false" customHeight="false" outlineLevel="0" collapsed="false">
      <c r="A6252" s="1" t="s">
        <v>6287</v>
      </c>
      <c r="B6252" s="1" t="s">
        <v>214</v>
      </c>
      <c r="C6252" s="1" t="n">
        <v>141000</v>
      </c>
      <c r="D6252" s="1" t="n">
        <v>19532</v>
      </c>
      <c r="E6252" s="1" t="n">
        <v>0.092</v>
      </c>
      <c r="F6252" s="1" t="n">
        <v>0.0951</v>
      </c>
    </row>
    <row r="6253" customFormat="false" ht="15" hidden="false" customHeight="false" outlineLevel="0" collapsed="false">
      <c r="A6253" s="1" t="s">
        <v>6288</v>
      </c>
      <c r="B6253" s="1" t="s">
        <v>88</v>
      </c>
      <c r="C6253" s="1" t="n">
        <v>356000</v>
      </c>
      <c r="D6253" s="1" t="n">
        <v>4234.7</v>
      </c>
      <c r="E6253" s="1" t="n">
        <v>0.0158</v>
      </c>
      <c r="F6253" s="1" t="n">
        <v>0.0854</v>
      </c>
    </row>
    <row r="6254" customFormat="false" ht="15" hidden="false" customHeight="false" outlineLevel="0" collapsed="false">
      <c r="A6254" s="1" t="s">
        <v>6289</v>
      </c>
      <c r="B6254" s="1" t="s">
        <v>62</v>
      </c>
      <c r="C6254" s="1" t="n">
        <v>335000</v>
      </c>
      <c r="D6254" s="1" t="n">
        <v>11038.3</v>
      </c>
      <c r="E6254" s="1" t="n">
        <v>0.0676</v>
      </c>
      <c r="F6254" s="1" t="n">
        <v>0.0951</v>
      </c>
    </row>
    <row r="6255" customFormat="false" ht="15" hidden="false" customHeight="false" outlineLevel="0" collapsed="false">
      <c r="A6255" s="1" t="s">
        <v>6290</v>
      </c>
      <c r="B6255" s="1" t="s">
        <v>24</v>
      </c>
      <c r="C6255" s="1" t="n">
        <v>433000</v>
      </c>
      <c r="D6255" s="1" t="n">
        <v>1780.2</v>
      </c>
      <c r="E6255" s="1" t="n">
        <v>0.0052</v>
      </c>
      <c r="F6255" s="1" t="n">
        <v>0.0811</v>
      </c>
    </row>
    <row r="6256" customFormat="false" ht="15" hidden="false" customHeight="false" outlineLevel="0" collapsed="false">
      <c r="A6256" s="1" t="s">
        <v>6291</v>
      </c>
      <c r="B6256" s="1" t="s">
        <v>26</v>
      </c>
      <c r="C6256" s="1" t="n">
        <v>712000</v>
      </c>
      <c r="D6256" s="1" t="n">
        <v>40705.1</v>
      </c>
      <c r="E6256" s="1" t="n">
        <v>0.0155</v>
      </c>
      <c r="F6256" s="1" t="n">
        <v>0.1327</v>
      </c>
    </row>
    <row r="6257" customFormat="false" ht="15" hidden="false" customHeight="false" outlineLevel="0" collapsed="false">
      <c r="A6257" s="1" t="s">
        <v>6292</v>
      </c>
      <c r="B6257" s="1" t="s">
        <v>50</v>
      </c>
      <c r="C6257" s="1" t="n">
        <v>540000</v>
      </c>
      <c r="D6257" s="1" t="n">
        <v>22761.6</v>
      </c>
      <c r="F6257" s="1" t="n">
        <v>0.0951</v>
      </c>
    </row>
    <row r="6258" customFormat="false" ht="15" hidden="false" customHeight="false" outlineLevel="0" collapsed="false">
      <c r="A6258" s="1" t="s">
        <v>6293</v>
      </c>
      <c r="B6258" s="1" t="s">
        <v>71</v>
      </c>
      <c r="C6258" s="1" t="n">
        <v>444000</v>
      </c>
      <c r="D6258" s="1" t="n">
        <v>26278.7</v>
      </c>
      <c r="E6258" s="1" t="n">
        <v>0.0647</v>
      </c>
      <c r="F6258" s="1" t="n">
        <v>0.0759</v>
      </c>
    </row>
    <row r="6259" customFormat="false" ht="15" hidden="false" customHeight="false" outlineLevel="0" collapsed="false">
      <c r="A6259" s="1" t="s">
        <v>6294</v>
      </c>
      <c r="B6259" s="1" t="s">
        <v>32</v>
      </c>
      <c r="C6259" s="1" t="n">
        <v>445000</v>
      </c>
      <c r="D6259" s="1" t="n">
        <v>2425</v>
      </c>
      <c r="E6259" s="1" t="n">
        <v>0.0309</v>
      </c>
      <c r="F6259" s="1" t="n">
        <v>0.0538</v>
      </c>
    </row>
    <row r="6260" customFormat="false" ht="15" hidden="false" customHeight="false" outlineLevel="0" collapsed="false">
      <c r="A6260" s="1" t="s">
        <v>6295</v>
      </c>
      <c r="B6260" s="1" t="s">
        <v>26</v>
      </c>
      <c r="C6260" s="1" t="n">
        <v>335000</v>
      </c>
      <c r="D6260" s="1" t="n">
        <v>41385.7</v>
      </c>
      <c r="E6260" s="1" t="n">
        <v>0.0889</v>
      </c>
      <c r="F6260" s="1" t="n">
        <v>0.0951</v>
      </c>
    </row>
    <row r="6261" customFormat="false" ht="15" hidden="false" customHeight="false" outlineLevel="0" collapsed="false">
      <c r="A6261" s="1" t="s">
        <v>6296</v>
      </c>
      <c r="B6261" s="1" t="s">
        <v>53</v>
      </c>
      <c r="C6261" s="1" t="n">
        <v>352000</v>
      </c>
      <c r="D6261" s="1" t="n">
        <v>17143.1</v>
      </c>
      <c r="E6261" s="1" t="n">
        <v>0.0495</v>
      </c>
      <c r="F6261" s="1" t="n">
        <v>0.0938</v>
      </c>
    </row>
    <row r="6262" customFormat="false" ht="15" hidden="false" customHeight="false" outlineLevel="0" collapsed="false">
      <c r="A6262" s="1" t="s">
        <v>6297</v>
      </c>
      <c r="B6262" s="1" t="s">
        <v>214</v>
      </c>
      <c r="C6262" s="1" t="n">
        <v>408000</v>
      </c>
      <c r="D6262" s="1" t="n">
        <v>8480.3</v>
      </c>
      <c r="E6262" s="1" t="n">
        <v>0.0474</v>
      </c>
      <c r="F6262" s="1" t="n">
        <v>0.0951</v>
      </c>
    </row>
    <row r="6263" customFormat="false" ht="15" hidden="false" customHeight="false" outlineLevel="0" collapsed="false">
      <c r="A6263" s="1" t="s">
        <v>6298</v>
      </c>
      <c r="B6263" s="1" t="s">
        <v>74</v>
      </c>
      <c r="C6263" s="1" t="n">
        <v>570000</v>
      </c>
      <c r="D6263" s="1" t="n">
        <v>93951.2</v>
      </c>
      <c r="E6263" s="1" t="n">
        <v>0.0248</v>
      </c>
      <c r="F6263" s="1" t="n">
        <v>0.0951</v>
      </c>
    </row>
    <row r="6264" customFormat="false" ht="15" hidden="false" customHeight="false" outlineLevel="0" collapsed="false">
      <c r="A6264" s="1" t="s">
        <v>6299</v>
      </c>
      <c r="B6264" s="1" t="s">
        <v>88</v>
      </c>
      <c r="C6264" s="1" t="n">
        <v>616000</v>
      </c>
      <c r="D6264" s="1" t="n">
        <v>4467.5</v>
      </c>
      <c r="E6264" s="1" t="n">
        <v>0.0617</v>
      </c>
      <c r="F6264" s="1" t="n">
        <v>0.0759</v>
      </c>
    </row>
    <row r="6265" customFormat="false" ht="15" hidden="false" customHeight="false" outlineLevel="0" collapsed="false">
      <c r="A6265" s="1" t="s">
        <v>6300</v>
      </c>
      <c r="B6265" s="1" t="s">
        <v>26</v>
      </c>
      <c r="C6265" s="1" t="n">
        <v>431000</v>
      </c>
      <c r="D6265" s="1" t="n">
        <v>7534.2</v>
      </c>
      <c r="E6265" s="1" t="n">
        <v>0.0471</v>
      </c>
      <c r="F6265" s="1" t="n">
        <v>0.0951</v>
      </c>
    </row>
    <row r="6266" customFormat="false" ht="15" hidden="false" customHeight="false" outlineLevel="0" collapsed="false">
      <c r="A6266" s="1" t="s">
        <v>6301</v>
      </c>
      <c r="B6266" s="1" t="s">
        <v>62</v>
      </c>
      <c r="C6266" s="1" t="n">
        <v>416000</v>
      </c>
      <c r="D6266" s="1" t="n">
        <v>4156.8</v>
      </c>
      <c r="E6266" s="1" t="n">
        <v>0.0096</v>
      </c>
      <c r="F6266" s="1" t="n">
        <v>0.0811</v>
      </c>
    </row>
    <row r="6267" customFormat="false" ht="15" hidden="false" customHeight="false" outlineLevel="0" collapsed="false">
      <c r="A6267" s="1" t="s">
        <v>6302</v>
      </c>
      <c r="B6267" s="1" t="s">
        <v>41</v>
      </c>
      <c r="C6267" s="1" t="n">
        <v>648000</v>
      </c>
      <c r="D6267" s="1" t="n">
        <v>17956.1</v>
      </c>
      <c r="E6267" s="1" t="n">
        <v>0.0243</v>
      </c>
      <c r="F6267" s="1" t="n">
        <v>0.1053</v>
      </c>
    </row>
    <row r="6268" customFormat="false" ht="15" hidden="false" customHeight="false" outlineLevel="0" collapsed="false">
      <c r="A6268" s="1" t="s">
        <v>6303</v>
      </c>
      <c r="B6268" s="1" t="s">
        <v>26</v>
      </c>
      <c r="C6268" s="1" t="n">
        <v>383000</v>
      </c>
      <c r="D6268" s="1" t="n">
        <v>758.8</v>
      </c>
      <c r="E6268" s="1" t="n">
        <v>0.0632</v>
      </c>
      <c r="F6268" s="1" t="n">
        <v>0.1454</v>
      </c>
    </row>
    <row r="6269" customFormat="false" ht="15" hidden="false" customHeight="false" outlineLevel="0" collapsed="false">
      <c r="A6269" s="1" t="s">
        <v>6304</v>
      </c>
      <c r="B6269" s="1" t="s">
        <v>26</v>
      </c>
      <c r="C6269" s="1" t="n">
        <v>473000</v>
      </c>
      <c r="D6269" s="1" t="n">
        <v>1588.3</v>
      </c>
      <c r="E6269" s="1" t="n">
        <v>0.0103</v>
      </c>
      <c r="F6269" s="1" t="n">
        <v>0.0811</v>
      </c>
    </row>
    <row r="6270" customFormat="false" ht="15" hidden="false" customHeight="false" outlineLevel="0" collapsed="false">
      <c r="A6270" s="1" t="s">
        <v>6305</v>
      </c>
      <c r="B6270" s="1" t="s">
        <v>214</v>
      </c>
      <c r="C6270" s="1" t="n">
        <v>352000</v>
      </c>
      <c r="D6270" s="1" t="n">
        <v>19855</v>
      </c>
      <c r="E6270" s="1" t="n">
        <v>0.0241</v>
      </c>
      <c r="F6270" s="1" t="n">
        <v>0.0409</v>
      </c>
    </row>
    <row r="6271" customFormat="false" ht="15" hidden="false" customHeight="false" outlineLevel="0" collapsed="false">
      <c r="A6271" s="1" t="s">
        <v>6306</v>
      </c>
      <c r="B6271" s="1" t="s">
        <v>32</v>
      </c>
      <c r="C6271" s="1" t="n">
        <v>473000</v>
      </c>
      <c r="D6271" s="1" t="n">
        <v>7785.3</v>
      </c>
      <c r="E6271" s="1" t="n">
        <v>0.0116</v>
      </c>
      <c r="F6271" s="1" t="n">
        <v>0.0654</v>
      </c>
    </row>
    <row r="6272" customFormat="false" ht="15" hidden="false" customHeight="false" outlineLevel="0" collapsed="false">
      <c r="A6272" s="1" t="s">
        <v>6307</v>
      </c>
      <c r="B6272" s="1" t="s">
        <v>74</v>
      </c>
      <c r="C6272" s="1" t="n">
        <v>343000</v>
      </c>
      <c r="D6272" s="1" t="n">
        <v>5966.3</v>
      </c>
      <c r="E6272" s="1" t="n">
        <v>0.0253</v>
      </c>
      <c r="F6272" s="1" t="n">
        <v>0.0951</v>
      </c>
    </row>
    <row r="6273" customFormat="false" ht="15" hidden="false" customHeight="false" outlineLevel="0" collapsed="false">
      <c r="A6273" s="1" t="s">
        <v>6308</v>
      </c>
      <c r="B6273" s="1" t="s">
        <v>88</v>
      </c>
      <c r="C6273" s="1" t="n">
        <v>346000</v>
      </c>
      <c r="D6273" s="1" t="n">
        <v>714</v>
      </c>
      <c r="E6273" s="1" t="n">
        <v>0.0656</v>
      </c>
      <c r="F6273" s="1" t="n">
        <v>0.0938</v>
      </c>
    </row>
    <row r="6274" customFormat="false" ht="15" hidden="false" customHeight="false" outlineLevel="0" collapsed="false">
      <c r="A6274" s="1" t="s">
        <v>6309</v>
      </c>
      <c r="B6274" s="1" t="s">
        <v>62</v>
      </c>
      <c r="C6274" s="1" t="n">
        <v>598000</v>
      </c>
      <c r="D6274" s="1" t="n">
        <v>14101.2</v>
      </c>
      <c r="E6274" s="1" t="n">
        <v>0.0385</v>
      </c>
      <c r="F6274" s="1" t="n">
        <v>0.0845</v>
      </c>
    </row>
    <row r="6275" customFormat="false" ht="15" hidden="false" customHeight="false" outlineLevel="0" collapsed="false">
      <c r="A6275" s="1" t="s">
        <v>6310</v>
      </c>
      <c r="B6275" s="1" t="s">
        <v>26</v>
      </c>
      <c r="C6275" s="1" t="n">
        <v>457000</v>
      </c>
      <c r="D6275" s="1" t="n">
        <v>3077.4</v>
      </c>
      <c r="E6275" s="1" t="n">
        <v>0.0207</v>
      </c>
      <c r="F6275" s="1" t="n">
        <v>0.0576</v>
      </c>
    </row>
    <row r="6276" customFormat="false" ht="15" hidden="false" customHeight="false" outlineLevel="0" collapsed="false">
      <c r="A6276" s="1" t="s">
        <v>6311</v>
      </c>
      <c r="B6276" s="1" t="s">
        <v>28</v>
      </c>
      <c r="C6276" s="1" t="n">
        <v>488000</v>
      </c>
      <c r="D6276" s="1" t="n">
        <v>10412.9</v>
      </c>
      <c r="E6276" s="1" t="n">
        <v>0.0295</v>
      </c>
      <c r="F6276" s="1" t="n">
        <v>0.0759</v>
      </c>
    </row>
    <row r="6277" customFormat="false" ht="15" hidden="false" customHeight="false" outlineLevel="0" collapsed="false">
      <c r="A6277" s="1" t="s">
        <v>6312</v>
      </c>
      <c r="B6277" s="1" t="s">
        <v>92</v>
      </c>
      <c r="C6277" s="1" t="n">
        <v>338000</v>
      </c>
      <c r="D6277" s="1" t="n">
        <v>127259.5</v>
      </c>
      <c r="E6277" s="1" t="n">
        <v>0.0299</v>
      </c>
      <c r="F6277" s="1" t="n">
        <v>0.0518</v>
      </c>
    </row>
    <row r="6278" customFormat="false" ht="15" hidden="false" customHeight="false" outlineLevel="0" collapsed="false">
      <c r="A6278" s="1" t="s">
        <v>6313</v>
      </c>
      <c r="B6278" s="1" t="s">
        <v>53</v>
      </c>
      <c r="C6278" s="1" t="n">
        <v>888000</v>
      </c>
      <c r="D6278" s="1" t="n">
        <v>1603144.3</v>
      </c>
      <c r="E6278" s="1" t="n">
        <v>0.0102</v>
      </c>
      <c r="F6278" s="1" t="n">
        <v>0.0822</v>
      </c>
    </row>
    <row r="6279" customFormat="false" ht="15" hidden="false" customHeight="false" outlineLevel="0" collapsed="false">
      <c r="A6279" s="1" t="s">
        <v>6314</v>
      </c>
      <c r="B6279" s="1" t="s">
        <v>26</v>
      </c>
      <c r="C6279" s="1" t="n">
        <v>656000</v>
      </c>
      <c r="D6279" s="1" t="n">
        <v>56812.6</v>
      </c>
      <c r="E6279" s="1" t="n">
        <v>0.0576</v>
      </c>
      <c r="F6279" s="1" t="n">
        <v>0.0759</v>
      </c>
    </row>
    <row r="6280" customFormat="false" ht="15" hidden="false" customHeight="false" outlineLevel="0" collapsed="false">
      <c r="A6280" s="1" t="s">
        <v>6315</v>
      </c>
      <c r="B6280" s="1" t="s">
        <v>74</v>
      </c>
      <c r="C6280" s="1" t="n">
        <v>629000</v>
      </c>
      <c r="D6280" s="1" t="n">
        <v>15712.6</v>
      </c>
      <c r="E6280" s="1" t="n">
        <v>0.0192</v>
      </c>
      <c r="F6280" s="1" t="n">
        <v>0.0576</v>
      </c>
    </row>
    <row r="6281" customFormat="false" ht="15" hidden="false" customHeight="false" outlineLevel="0" collapsed="false">
      <c r="A6281" s="1" t="s">
        <v>6316</v>
      </c>
      <c r="B6281" s="1" t="s">
        <v>26</v>
      </c>
      <c r="C6281" s="1" t="n">
        <v>365000</v>
      </c>
      <c r="D6281" s="1" t="n">
        <v>25656.8</v>
      </c>
      <c r="E6281" s="1" t="n">
        <v>0.0143</v>
      </c>
      <c r="F6281" s="1" t="n">
        <v>0.0576</v>
      </c>
    </row>
    <row r="6282" customFormat="false" ht="15" hidden="false" customHeight="false" outlineLevel="0" collapsed="false">
      <c r="A6282" s="1" t="s">
        <v>6317</v>
      </c>
      <c r="B6282" s="1" t="s">
        <v>74</v>
      </c>
      <c r="C6282" s="1" t="n">
        <v>405000</v>
      </c>
      <c r="D6282" s="1" t="n">
        <v>2591.9</v>
      </c>
      <c r="E6282" s="1" t="n">
        <v>0.0674</v>
      </c>
      <c r="F6282" s="1" t="n">
        <v>0.0951</v>
      </c>
    </row>
    <row r="6283" customFormat="false" ht="15" hidden="false" customHeight="false" outlineLevel="0" collapsed="false">
      <c r="A6283" s="1" t="s">
        <v>6318</v>
      </c>
      <c r="B6283" s="1" t="s">
        <v>53</v>
      </c>
      <c r="C6283" s="1" t="n">
        <v>732000</v>
      </c>
      <c r="D6283" s="1" t="n">
        <v>1380.8</v>
      </c>
      <c r="E6283" s="1" t="n">
        <v>0.0097</v>
      </c>
      <c r="F6283" s="1" t="n">
        <v>0.0654</v>
      </c>
    </row>
    <row r="6284" customFormat="false" ht="15" hidden="false" customHeight="false" outlineLevel="0" collapsed="false">
      <c r="A6284" s="1" t="s">
        <v>6319</v>
      </c>
      <c r="B6284" s="1" t="s">
        <v>26</v>
      </c>
      <c r="C6284" s="1" t="n">
        <v>1270000</v>
      </c>
      <c r="D6284" s="1" t="n">
        <v>49618.7</v>
      </c>
      <c r="E6284" s="1" t="n">
        <v>0.0045</v>
      </c>
      <c r="F6284" s="1" t="n">
        <v>0.0811</v>
      </c>
    </row>
    <row r="6285" customFormat="false" ht="15" hidden="false" customHeight="false" outlineLevel="0" collapsed="false">
      <c r="A6285" s="1" t="s">
        <v>6320</v>
      </c>
      <c r="B6285" s="1" t="s">
        <v>88</v>
      </c>
      <c r="C6285" s="1" t="n">
        <v>953000</v>
      </c>
      <c r="D6285" s="1" t="n">
        <v>2970.4</v>
      </c>
      <c r="E6285" s="1" t="n">
        <v>0.0951</v>
      </c>
      <c r="F6285" s="1" t="n">
        <v>0.0938</v>
      </c>
    </row>
    <row r="6286" customFormat="false" ht="15" hidden="false" customHeight="false" outlineLevel="0" collapsed="false">
      <c r="A6286" s="1" t="s">
        <v>6321</v>
      </c>
      <c r="B6286" s="1" t="s">
        <v>26</v>
      </c>
      <c r="C6286" s="1" t="n">
        <v>388000</v>
      </c>
      <c r="D6286" s="1" t="n">
        <v>82223</v>
      </c>
      <c r="E6286" s="1" t="n">
        <v>0.0578</v>
      </c>
      <c r="F6286" s="1" t="n">
        <v>0.0951</v>
      </c>
    </row>
    <row r="6287" customFormat="false" ht="15" hidden="false" customHeight="false" outlineLevel="0" collapsed="false">
      <c r="A6287" s="1" t="s">
        <v>6322</v>
      </c>
      <c r="B6287" s="1" t="s">
        <v>53</v>
      </c>
      <c r="C6287" s="1" t="n">
        <v>430000</v>
      </c>
      <c r="F6287" s="1" t="n">
        <v>0.0759</v>
      </c>
    </row>
    <row r="6288" customFormat="false" ht="15" hidden="false" customHeight="false" outlineLevel="0" collapsed="false">
      <c r="A6288" s="1" t="s">
        <v>6323</v>
      </c>
      <c r="B6288" s="1" t="s">
        <v>195</v>
      </c>
      <c r="C6288" s="1" t="n">
        <v>472000</v>
      </c>
      <c r="D6288" s="1" t="n">
        <v>22315.2</v>
      </c>
      <c r="E6288" s="1" t="n">
        <v>0.0792</v>
      </c>
      <c r="F6288" s="1" t="n">
        <v>0.0938</v>
      </c>
    </row>
    <row r="6289" customFormat="false" ht="15" hidden="false" customHeight="false" outlineLevel="0" collapsed="false">
      <c r="A6289" s="1" t="s">
        <v>6324</v>
      </c>
      <c r="B6289" s="1" t="s">
        <v>62</v>
      </c>
      <c r="C6289" s="1" t="n">
        <v>792000</v>
      </c>
      <c r="D6289" s="1" t="n">
        <v>3845.6</v>
      </c>
      <c r="E6289" s="1" t="n">
        <v>0.019</v>
      </c>
      <c r="F6289" s="1" t="n">
        <v>0.0462</v>
      </c>
    </row>
    <row r="6290" customFormat="false" ht="15" hidden="false" customHeight="false" outlineLevel="0" collapsed="false">
      <c r="A6290" s="1" t="s">
        <v>6325</v>
      </c>
      <c r="B6290" s="1" t="s">
        <v>88</v>
      </c>
      <c r="C6290" s="1" t="n">
        <v>334000</v>
      </c>
      <c r="D6290" s="1" t="n">
        <v>446.9</v>
      </c>
      <c r="E6290" s="1" t="n">
        <v>0.0221</v>
      </c>
      <c r="F6290" s="1" t="n">
        <v>0.0644</v>
      </c>
    </row>
    <row r="6291" customFormat="false" ht="15" hidden="false" customHeight="false" outlineLevel="0" collapsed="false">
      <c r="A6291" s="1" t="s">
        <v>6326</v>
      </c>
      <c r="B6291" s="1" t="s">
        <v>74</v>
      </c>
      <c r="C6291" s="1" t="n">
        <v>349000</v>
      </c>
      <c r="D6291" s="1" t="n">
        <v>1100.8</v>
      </c>
      <c r="E6291" s="1" t="n">
        <v>0.0168</v>
      </c>
      <c r="F6291" s="1" t="n">
        <v>0.1067</v>
      </c>
    </row>
    <row r="6292" customFormat="false" ht="15" hidden="false" customHeight="false" outlineLevel="0" collapsed="false">
      <c r="A6292" s="1" t="s">
        <v>6327</v>
      </c>
      <c r="B6292" s="1" t="s">
        <v>24</v>
      </c>
      <c r="C6292" s="1" t="n">
        <v>542000</v>
      </c>
      <c r="D6292" s="1" t="n">
        <v>4527.4</v>
      </c>
      <c r="E6292" s="1" t="n">
        <v>0.0467</v>
      </c>
      <c r="F6292" s="1" t="n">
        <v>0.0759</v>
      </c>
    </row>
    <row r="6293" customFormat="false" ht="15" hidden="false" customHeight="false" outlineLevel="0" collapsed="false">
      <c r="A6293" s="1" t="s">
        <v>6328</v>
      </c>
      <c r="B6293" s="1" t="s">
        <v>26</v>
      </c>
      <c r="C6293" s="1" t="n">
        <v>977000</v>
      </c>
      <c r="D6293" s="1" t="n">
        <v>3422.6</v>
      </c>
      <c r="E6293" s="1" t="n">
        <v>0.0101</v>
      </c>
      <c r="F6293" s="1" t="n">
        <v>0.0811</v>
      </c>
    </row>
    <row r="6294" customFormat="false" ht="15" hidden="false" customHeight="false" outlineLevel="0" collapsed="false">
      <c r="A6294" s="1" t="s">
        <v>6329</v>
      </c>
      <c r="B6294" s="1" t="s">
        <v>30</v>
      </c>
      <c r="C6294" s="1" t="n">
        <v>332000</v>
      </c>
      <c r="D6294" s="1" t="n">
        <v>78805.4</v>
      </c>
      <c r="E6294" s="1" t="n">
        <v>0.0243</v>
      </c>
      <c r="F6294" s="1" t="n">
        <v>0.0518</v>
      </c>
    </row>
    <row r="6295" customFormat="false" ht="15" hidden="false" customHeight="false" outlineLevel="0" collapsed="false">
      <c r="A6295" s="1" t="s">
        <v>6330</v>
      </c>
      <c r="B6295" s="1" t="s">
        <v>26</v>
      </c>
      <c r="C6295" s="1" t="n">
        <v>476000</v>
      </c>
      <c r="D6295" s="1" t="n">
        <v>226000.8</v>
      </c>
      <c r="E6295" s="1" t="n">
        <v>0.0195</v>
      </c>
      <c r="F6295" s="1" t="n">
        <v>0.0726</v>
      </c>
    </row>
    <row r="6296" customFormat="false" ht="15" hidden="false" customHeight="false" outlineLevel="0" collapsed="false">
      <c r="A6296" s="1" t="s">
        <v>6331</v>
      </c>
      <c r="B6296" s="1" t="s">
        <v>92</v>
      </c>
      <c r="C6296" s="1" t="n">
        <v>383000</v>
      </c>
      <c r="D6296" s="1" t="n">
        <v>1104.5</v>
      </c>
      <c r="E6296" s="1" t="n">
        <v>0.029</v>
      </c>
      <c r="F6296" s="1" t="n">
        <v>0.0759</v>
      </c>
    </row>
    <row r="6297" customFormat="false" ht="15" hidden="false" customHeight="false" outlineLevel="0" collapsed="false">
      <c r="A6297" s="1" t="s">
        <v>6332</v>
      </c>
      <c r="B6297" s="1" t="s">
        <v>26</v>
      </c>
      <c r="C6297" s="1" t="n">
        <v>1150000</v>
      </c>
      <c r="D6297" s="1" t="n">
        <v>14443.8</v>
      </c>
      <c r="F6297" s="1" t="n">
        <v>0.051</v>
      </c>
    </row>
    <row r="6298" customFormat="false" ht="15" hidden="false" customHeight="false" outlineLevel="0" collapsed="false">
      <c r="A6298" s="1" t="s">
        <v>6333</v>
      </c>
      <c r="B6298" s="1" t="s">
        <v>24</v>
      </c>
      <c r="C6298" s="1" t="n">
        <v>1110000</v>
      </c>
      <c r="D6298" s="1" t="n">
        <v>801696.1</v>
      </c>
      <c r="E6298" s="1" t="n">
        <v>0.0266</v>
      </c>
      <c r="F6298" s="1" t="n">
        <v>0.0759</v>
      </c>
    </row>
    <row r="6299" customFormat="false" ht="15" hidden="false" customHeight="false" outlineLevel="0" collapsed="false">
      <c r="A6299" s="1" t="s">
        <v>6334</v>
      </c>
      <c r="B6299" s="1" t="s">
        <v>24</v>
      </c>
      <c r="C6299" s="1" t="n">
        <v>609000</v>
      </c>
      <c r="D6299" s="1" t="n">
        <v>702.4</v>
      </c>
      <c r="E6299" s="1" t="n">
        <v>0.0123</v>
      </c>
      <c r="F6299" s="1" t="n">
        <v>0.339</v>
      </c>
    </row>
    <row r="6300" customFormat="false" ht="15" hidden="false" customHeight="false" outlineLevel="0" collapsed="false">
      <c r="A6300" s="1" t="s">
        <v>6335</v>
      </c>
      <c r="B6300" s="1" t="s">
        <v>26</v>
      </c>
      <c r="C6300" s="1" t="n">
        <v>408000</v>
      </c>
      <c r="D6300" s="1" t="n">
        <v>116044.2</v>
      </c>
      <c r="E6300" s="1" t="n">
        <v>0.0473</v>
      </c>
      <c r="F6300" s="1" t="n">
        <v>0.0938</v>
      </c>
    </row>
    <row r="6301" customFormat="false" ht="15" hidden="false" customHeight="false" outlineLevel="0" collapsed="false">
      <c r="A6301" s="1" t="s">
        <v>6336</v>
      </c>
      <c r="B6301" s="1" t="s">
        <v>88</v>
      </c>
      <c r="C6301" s="1" t="n">
        <v>440000</v>
      </c>
      <c r="D6301" s="1" t="n">
        <v>31822.8</v>
      </c>
      <c r="E6301" s="1" t="n">
        <v>0.0374</v>
      </c>
      <c r="F6301" s="1" t="n">
        <v>0.0938</v>
      </c>
    </row>
    <row r="6302" customFormat="false" ht="15" hidden="false" customHeight="false" outlineLevel="0" collapsed="false">
      <c r="A6302" s="1" t="s">
        <v>6337</v>
      </c>
      <c r="B6302" s="1" t="s">
        <v>41</v>
      </c>
      <c r="C6302" s="1" t="n">
        <v>1170000</v>
      </c>
      <c r="D6302" s="1" t="n">
        <v>3402.6</v>
      </c>
      <c r="E6302" s="1" t="n">
        <v>0.0093</v>
      </c>
      <c r="F6302" s="1" t="n">
        <v>0.0811</v>
      </c>
    </row>
    <row r="6303" customFormat="false" ht="15" hidden="false" customHeight="false" outlineLevel="0" collapsed="false">
      <c r="A6303" s="1" t="s">
        <v>6338</v>
      </c>
      <c r="B6303" s="1" t="s">
        <v>214</v>
      </c>
      <c r="C6303" s="1" t="n">
        <v>762000</v>
      </c>
      <c r="D6303" s="1" t="n">
        <v>23968.9</v>
      </c>
      <c r="E6303" s="1" t="n">
        <v>0.0268</v>
      </c>
      <c r="F6303" s="1" t="n">
        <v>0.0546</v>
      </c>
    </row>
    <row r="6304" customFormat="false" ht="15" hidden="false" customHeight="false" outlineLevel="0" collapsed="false">
      <c r="A6304" s="1" t="s">
        <v>6339</v>
      </c>
      <c r="B6304" s="1" t="s">
        <v>74</v>
      </c>
      <c r="C6304" s="1" t="n">
        <v>513000</v>
      </c>
      <c r="D6304" s="1" t="n">
        <v>5445.3</v>
      </c>
      <c r="E6304" s="1" t="n">
        <v>0.0462</v>
      </c>
      <c r="F6304" s="1" t="n">
        <v>0.0759</v>
      </c>
    </row>
    <row r="6305" customFormat="false" ht="15" hidden="false" customHeight="false" outlineLevel="0" collapsed="false">
      <c r="A6305" s="1" t="s">
        <v>6340</v>
      </c>
      <c r="B6305" s="1" t="s">
        <v>92</v>
      </c>
      <c r="C6305" s="1" t="n">
        <v>339000</v>
      </c>
      <c r="D6305" s="1" t="n">
        <v>51170.6</v>
      </c>
      <c r="E6305" s="1" t="n">
        <v>0.0104</v>
      </c>
      <c r="F6305" s="1" t="n">
        <v>0.0736</v>
      </c>
    </row>
    <row r="6306" customFormat="false" ht="15" hidden="false" customHeight="false" outlineLevel="0" collapsed="false">
      <c r="A6306" s="1" t="s">
        <v>6341</v>
      </c>
      <c r="B6306" s="1" t="s">
        <v>26</v>
      </c>
      <c r="C6306" s="1" t="n">
        <v>614000</v>
      </c>
      <c r="D6306" s="1" t="n">
        <v>1099932.7</v>
      </c>
      <c r="E6306" s="1" t="n">
        <v>0.0364</v>
      </c>
      <c r="F6306" s="1" t="n">
        <v>0.0409</v>
      </c>
    </row>
    <row r="6307" customFormat="false" ht="15" hidden="false" customHeight="false" outlineLevel="0" collapsed="false">
      <c r="A6307" s="1" t="s">
        <v>6342</v>
      </c>
      <c r="B6307" s="1" t="s">
        <v>88</v>
      </c>
      <c r="C6307" s="1" t="n">
        <v>336000</v>
      </c>
      <c r="D6307" s="1" t="n">
        <v>691.8</v>
      </c>
      <c r="E6307" s="1" t="n">
        <v>0.0086</v>
      </c>
      <c r="F6307" s="1" t="n">
        <v>0.227</v>
      </c>
    </row>
    <row r="6308" customFormat="false" ht="15" hidden="false" customHeight="false" outlineLevel="0" collapsed="false">
      <c r="A6308" s="1" t="s">
        <v>6343</v>
      </c>
      <c r="B6308" s="1" t="s">
        <v>88</v>
      </c>
      <c r="C6308" s="1" t="n">
        <v>429000</v>
      </c>
      <c r="D6308" s="1" t="n">
        <v>3308.6</v>
      </c>
      <c r="E6308" s="1" t="n">
        <v>0.0319</v>
      </c>
      <c r="F6308" s="1" t="n">
        <v>0.0938</v>
      </c>
    </row>
    <row r="6309" customFormat="false" ht="15" hidden="false" customHeight="false" outlineLevel="0" collapsed="false">
      <c r="A6309" s="1" t="s">
        <v>6344</v>
      </c>
      <c r="B6309" s="1" t="s">
        <v>35</v>
      </c>
      <c r="C6309" s="1" t="n">
        <v>456000</v>
      </c>
      <c r="D6309" s="1" t="n">
        <v>187364.2</v>
      </c>
      <c r="E6309" s="1" t="n">
        <v>0.0268</v>
      </c>
      <c r="F6309" s="1" t="n">
        <v>0.0845</v>
      </c>
    </row>
    <row r="6310" customFormat="false" ht="15" hidden="false" customHeight="false" outlineLevel="0" collapsed="false">
      <c r="A6310" s="1" t="s">
        <v>6345</v>
      </c>
      <c r="B6310" s="1" t="s">
        <v>195</v>
      </c>
      <c r="C6310" s="1" t="n">
        <v>412000</v>
      </c>
      <c r="F6310" s="1" t="n">
        <v>0.0759</v>
      </c>
    </row>
    <row r="6311" customFormat="false" ht="15" hidden="false" customHeight="false" outlineLevel="0" collapsed="false">
      <c r="A6311" s="1" t="s">
        <v>6346</v>
      </c>
      <c r="B6311" s="1" t="s">
        <v>88</v>
      </c>
      <c r="C6311" s="1" t="n">
        <v>585000</v>
      </c>
      <c r="D6311" s="1" t="n">
        <v>34217.6</v>
      </c>
      <c r="E6311" s="1" t="n">
        <v>0.0177</v>
      </c>
      <c r="F6311" s="1" t="n">
        <v>0.131</v>
      </c>
    </row>
    <row r="6312" customFormat="false" ht="15" hidden="false" customHeight="false" outlineLevel="0" collapsed="false">
      <c r="A6312" s="1" t="s">
        <v>6347</v>
      </c>
      <c r="B6312" s="1" t="s">
        <v>71</v>
      </c>
      <c r="C6312" s="1" t="n">
        <v>340000</v>
      </c>
      <c r="D6312" s="1" t="n">
        <v>36.3</v>
      </c>
      <c r="E6312" s="1" t="n">
        <v>0.0138</v>
      </c>
      <c r="F6312" s="1" t="n">
        <v>0.2807</v>
      </c>
    </row>
    <row r="6313" customFormat="false" ht="15" hidden="false" customHeight="false" outlineLevel="0" collapsed="false">
      <c r="A6313" s="1" t="s">
        <v>6348</v>
      </c>
      <c r="B6313" s="1" t="s">
        <v>26</v>
      </c>
      <c r="C6313" s="1" t="n">
        <v>387000</v>
      </c>
      <c r="D6313" s="1" t="n">
        <v>13932.8</v>
      </c>
      <c r="E6313" s="1" t="n">
        <v>0.0152</v>
      </c>
      <c r="F6313" s="1" t="n">
        <v>0.0462</v>
      </c>
    </row>
    <row r="6314" customFormat="false" ht="15" hidden="false" customHeight="false" outlineLevel="0" collapsed="false">
      <c r="A6314" s="1" t="s">
        <v>6349</v>
      </c>
      <c r="B6314" s="1" t="s">
        <v>50</v>
      </c>
      <c r="C6314" s="1" t="n">
        <v>418000</v>
      </c>
      <c r="D6314" s="1" t="n">
        <v>59895.5</v>
      </c>
      <c r="E6314" s="1" t="n">
        <v>0.0485</v>
      </c>
      <c r="F6314" s="1" t="n">
        <v>0.0938</v>
      </c>
    </row>
    <row r="6315" customFormat="false" ht="15" hidden="false" customHeight="false" outlineLevel="0" collapsed="false">
      <c r="A6315" s="1" t="s">
        <v>6350</v>
      </c>
      <c r="B6315" s="1" t="s">
        <v>53</v>
      </c>
      <c r="C6315" s="1" t="n">
        <v>353000</v>
      </c>
      <c r="D6315" s="1" t="n">
        <v>155670.8</v>
      </c>
      <c r="E6315" s="1" t="n">
        <v>0.0492</v>
      </c>
      <c r="F6315" s="1" t="n">
        <v>0.0951</v>
      </c>
    </row>
    <row r="6316" customFormat="false" ht="15" hidden="false" customHeight="false" outlineLevel="0" collapsed="false">
      <c r="A6316" s="1" t="s">
        <v>6351</v>
      </c>
      <c r="B6316" s="1" t="s">
        <v>74</v>
      </c>
      <c r="C6316" s="1" t="n">
        <v>396000</v>
      </c>
      <c r="D6316" s="1" t="n">
        <v>1329.8</v>
      </c>
      <c r="E6316" s="1" t="n">
        <v>0.0684</v>
      </c>
      <c r="F6316" s="1" t="n">
        <v>0.3256</v>
      </c>
    </row>
    <row r="6317" customFormat="false" ht="15" hidden="false" customHeight="false" outlineLevel="0" collapsed="false">
      <c r="A6317" s="1" t="s">
        <v>6352</v>
      </c>
      <c r="B6317" s="1" t="s">
        <v>21</v>
      </c>
      <c r="C6317" s="1" t="n">
        <v>725000</v>
      </c>
      <c r="D6317" s="1" t="n">
        <v>18503.8</v>
      </c>
      <c r="E6317" s="1" t="n">
        <v>0.0075</v>
      </c>
      <c r="F6317" s="1" t="n">
        <v>0.0811</v>
      </c>
    </row>
    <row r="6318" customFormat="false" ht="15" hidden="false" customHeight="false" outlineLevel="0" collapsed="false">
      <c r="A6318" s="1" t="s">
        <v>6353</v>
      </c>
      <c r="B6318" s="1" t="s">
        <v>195</v>
      </c>
      <c r="C6318" s="1" t="n">
        <v>423000</v>
      </c>
      <c r="D6318" s="1" t="n">
        <v>27409.2</v>
      </c>
      <c r="E6318" s="1" t="n">
        <v>0.0189</v>
      </c>
      <c r="F6318" s="1" t="n">
        <v>0.0462</v>
      </c>
    </row>
    <row r="6319" customFormat="false" ht="15" hidden="false" customHeight="false" outlineLevel="0" collapsed="false">
      <c r="A6319" s="1" t="s">
        <v>6354</v>
      </c>
      <c r="B6319" s="1" t="s">
        <v>88</v>
      </c>
      <c r="C6319" s="1" t="n">
        <v>356000</v>
      </c>
      <c r="D6319" s="1" t="n">
        <v>1792.6</v>
      </c>
      <c r="E6319" s="1" t="n">
        <v>0.0612</v>
      </c>
      <c r="F6319" s="1" t="n">
        <v>0.0951</v>
      </c>
    </row>
    <row r="6320" customFormat="false" ht="15" hidden="false" customHeight="false" outlineLevel="0" collapsed="false">
      <c r="A6320" s="1" t="s">
        <v>6355</v>
      </c>
      <c r="B6320" s="1" t="s">
        <v>26</v>
      </c>
      <c r="C6320" s="1" t="n">
        <v>336000</v>
      </c>
      <c r="D6320" s="1" t="n">
        <v>15840.5</v>
      </c>
      <c r="E6320" s="1" t="n">
        <v>0.0423</v>
      </c>
      <c r="F6320" s="1" t="n">
        <v>0.0951</v>
      </c>
    </row>
    <row r="6321" customFormat="false" ht="15" hidden="false" customHeight="false" outlineLevel="0" collapsed="false">
      <c r="A6321" s="1" t="s">
        <v>6356</v>
      </c>
      <c r="B6321" s="1" t="s">
        <v>26</v>
      </c>
      <c r="C6321" s="1" t="n">
        <v>334000</v>
      </c>
      <c r="D6321" s="1" t="n">
        <v>2799.3</v>
      </c>
      <c r="E6321" s="1" t="n">
        <v>0.0152</v>
      </c>
      <c r="F6321" s="1" t="n">
        <v>0.0736</v>
      </c>
    </row>
    <row r="6322" customFormat="false" ht="15" hidden="false" customHeight="false" outlineLevel="0" collapsed="false">
      <c r="A6322" s="1" t="s">
        <v>6357</v>
      </c>
      <c r="B6322" s="1" t="s">
        <v>41</v>
      </c>
      <c r="C6322" s="1" t="n">
        <v>360000</v>
      </c>
      <c r="D6322" s="1" t="n">
        <v>13544.2</v>
      </c>
      <c r="E6322" s="1" t="n">
        <v>0.0938</v>
      </c>
      <c r="F6322" s="1" t="n">
        <v>0.0938</v>
      </c>
    </row>
    <row r="6323" customFormat="false" ht="15" hidden="false" customHeight="false" outlineLevel="0" collapsed="false">
      <c r="A6323" s="1" t="s">
        <v>6358</v>
      </c>
      <c r="B6323" s="1" t="s">
        <v>88</v>
      </c>
      <c r="C6323" s="1" t="n">
        <v>357000</v>
      </c>
      <c r="D6323" s="1" t="n">
        <v>309.3</v>
      </c>
      <c r="E6323" s="1" t="n">
        <v>0.0131</v>
      </c>
      <c r="F6323" s="1" t="n">
        <v>0.0462</v>
      </c>
    </row>
    <row r="6324" customFormat="false" ht="15" hidden="false" customHeight="false" outlineLevel="0" collapsed="false">
      <c r="A6324" s="1" t="s">
        <v>6359</v>
      </c>
      <c r="B6324" s="1" t="s">
        <v>53</v>
      </c>
      <c r="C6324" s="1" t="n">
        <v>501000</v>
      </c>
      <c r="D6324" s="1" t="n">
        <v>5592.7</v>
      </c>
      <c r="E6324" s="1" t="n">
        <v>0.0311</v>
      </c>
      <c r="F6324" s="1" t="n">
        <v>0.0432</v>
      </c>
    </row>
    <row r="6325" customFormat="false" ht="15" hidden="false" customHeight="false" outlineLevel="0" collapsed="false">
      <c r="A6325" s="1" t="s">
        <v>6360</v>
      </c>
      <c r="B6325" s="1" t="s">
        <v>88</v>
      </c>
      <c r="C6325" s="1" t="n">
        <v>336000</v>
      </c>
      <c r="D6325" s="1" t="n">
        <v>164.7</v>
      </c>
      <c r="E6325" s="1" t="n">
        <v>0.0188</v>
      </c>
      <c r="F6325" s="1" t="n">
        <v>0.0585</v>
      </c>
    </row>
    <row r="6326" customFormat="false" ht="15" hidden="false" customHeight="false" outlineLevel="0" collapsed="false">
      <c r="A6326" s="1" t="s">
        <v>6361</v>
      </c>
      <c r="B6326" s="1" t="s">
        <v>214</v>
      </c>
      <c r="C6326" s="1" t="n">
        <v>336000</v>
      </c>
      <c r="D6326" s="1" t="n">
        <v>171.2</v>
      </c>
      <c r="E6326" s="1" t="n">
        <v>0.0187</v>
      </c>
      <c r="F6326" s="1" t="n">
        <v>0.1709</v>
      </c>
    </row>
    <row r="6327" customFormat="false" ht="15" hidden="false" customHeight="false" outlineLevel="0" collapsed="false">
      <c r="A6327" s="1" t="s">
        <v>6362</v>
      </c>
      <c r="B6327" s="1" t="s">
        <v>32</v>
      </c>
      <c r="C6327" s="1" t="n">
        <v>402000</v>
      </c>
      <c r="D6327" s="1" t="n">
        <v>36560.3</v>
      </c>
      <c r="E6327" s="1" t="n">
        <v>0.0265</v>
      </c>
      <c r="F6327" s="1" t="n">
        <v>0.0518</v>
      </c>
    </row>
    <row r="6328" customFormat="false" ht="15" hidden="false" customHeight="false" outlineLevel="0" collapsed="false">
      <c r="A6328" s="1" t="s">
        <v>6363</v>
      </c>
      <c r="B6328" s="1" t="s">
        <v>24</v>
      </c>
      <c r="C6328" s="1" t="n">
        <v>419000</v>
      </c>
      <c r="D6328" s="1" t="n">
        <v>10651.3</v>
      </c>
      <c r="E6328" s="1" t="n">
        <v>0.0158</v>
      </c>
      <c r="F6328" s="1" t="n">
        <v>0.0854</v>
      </c>
    </row>
    <row r="6329" customFormat="false" ht="15" hidden="false" customHeight="false" outlineLevel="0" collapsed="false">
      <c r="A6329" s="1" t="s">
        <v>6364</v>
      </c>
      <c r="B6329" s="1" t="s">
        <v>24</v>
      </c>
      <c r="C6329" s="1" t="n">
        <v>338000</v>
      </c>
      <c r="D6329" s="1" t="n">
        <v>918.2</v>
      </c>
      <c r="E6329" s="1" t="n">
        <v>0.0483</v>
      </c>
      <c r="F6329" s="1" t="n">
        <v>0.0951</v>
      </c>
    </row>
    <row r="6330" customFormat="false" ht="15" hidden="false" customHeight="false" outlineLevel="0" collapsed="false">
      <c r="A6330" s="1" t="s">
        <v>6365</v>
      </c>
      <c r="B6330" s="1" t="s">
        <v>53</v>
      </c>
      <c r="C6330" s="1" t="n">
        <v>667000</v>
      </c>
      <c r="D6330" s="1" t="n">
        <v>75707.4</v>
      </c>
      <c r="E6330" s="1" t="n">
        <v>0.0097</v>
      </c>
      <c r="F6330" s="1" t="n">
        <v>0.0654</v>
      </c>
    </row>
    <row r="6331" customFormat="false" ht="15" hidden="false" customHeight="false" outlineLevel="0" collapsed="false">
      <c r="A6331" s="1" t="s">
        <v>6366</v>
      </c>
      <c r="B6331" s="1" t="s">
        <v>88</v>
      </c>
      <c r="C6331" s="1" t="n">
        <v>349000</v>
      </c>
      <c r="D6331" s="1" t="n">
        <v>9935.2</v>
      </c>
      <c r="E6331" s="1" t="n">
        <v>0.0707</v>
      </c>
      <c r="F6331" s="1" t="n">
        <v>0.0759</v>
      </c>
    </row>
    <row r="6332" customFormat="false" ht="15" hidden="false" customHeight="false" outlineLevel="0" collapsed="false">
      <c r="A6332" s="1" t="s">
        <v>6367</v>
      </c>
      <c r="B6332" s="1" t="s">
        <v>287</v>
      </c>
      <c r="C6332" s="1" t="n">
        <v>426000</v>
      </c>
      <c r="D6332" s="1" t="n">
        <v>2968.7</v>
      </c>
      <c r="E6332" s="1" t="n">
        <v>0.0125</v>
      </c>
      <c r="F6332" s="1" t="n">
        <v>0.0949</v>
      </c>
    </row>
    <row r="6333" customFormat="false" ht="15" hidden="false" customHeight="false" outlineLevel="0" collapsed="false">
      <c r="A6333" s="1" t="s">
        <v>6368</v>
      </c>
      <c r="B6333" s="1" t="s">
        <v>214</v>
      </c>
      <c r="C6333" s="1" t="n">
        <v>646000</v>
      </c>
      <c r="D6333" s="1" t="n">
        <v>7525</v>
      </c>
      <c r="E6333" s="1" t="n">
        <v>0.0068</v>
      </c>
      <c r="F6333" s="1" t="n">
        <v>0.0811</v>
      </c>
    </row>
    <row r="6334" customFormat="false" ht="15" hidden="false" customHeight="false" outlineLevel="0" collapsed="false">
      <c r="A6334" s="1" t="s">
        <v>6369</v>
      </c>
      <c r="B6334" s="1" t="s">
        <v>92</v>
      </c>
      <c r="C6334" s="1" t="n">
        <v>679000</v>
      </c>
      <c r="D6334" s="1" t="n">
        <v>10212.3</v>
      </c>
      <c r="E6334" s="1" t="n">
        <v>0.0227</v>
      </c>
      <c r="F6334" s="1" t="n">
        <v>0.0462</v>
      </c>
    </row>
    <row r="6335" customFormat="false" ht="15" hidden="false" customHeight="false" outlineLevel="0" collapsed="false">
      <c r="A6335" s="1" t="s">
        <v>6370</v>
      </c>
      <c r="B6335" s="1" t="s">
        <v>24</v>
      </c>
      <c r="C6335" s="1" t="n">
        <v>457000</v>
      </c>
      <c r="D6335" s="1" t="n">
        <v>1262</v>
      </c>
      <c r="E6335" s="1" t="n">
        <v>0.0103</v>
      </c>
      <c r="F6335" s="1" t="n">
        <v>0.0654</v>
      </c>
    </row>
    <row r="6336" customFormat="false" ht="15" hidden="false" customHeight="false" outlineLevel="0" collapsed="false">
      <c r="A6336" s="1" t="s">
        <v>6371</v>
      </c>
      <c r="B6336" s="1" t="s">
        <v>26</v>
      </c>
      <c r="C6336" s="1" t="n">
        <v>599000</v>
      </c>
      <c r="D6336" s="1" t="n">
        <v>1873531.2</v>
      </c>
      <c r="E6336" s="1" t="n">
        <v>0.0328</v>
      </c>
      <c r="F6336" s="1" t="n">
        <v>0.0951</v>
      </c>
    </row>
    <row r="6337" customFormat="false" ht="15" hidden="false" customHeight="false" outlineLevel="0" collapsed="false">
      <c r="A6337" s="1" t="s">
        <v>6372</v>
      </c>
      <c r="B6337" s="1" t="s">
        <v>41</v>
      </c>
      <c r="C6337" s="1" t="n">
        <v>328000</v>
      </c>
      <c r="D6337" s="1" t="n">
        <v>1113.2</v>
      </c>
      <c r="E6337" s="1" t="n">
        <v>0.0735</v>
      </c>
      <c r="F6337" s="1" t="n">
        <v>0.0951</v>
      </c>
    </row>
    <row r="6338" customFormat="false" ht="15" hidden="false" customHeight="false" outlineLevel="0" collapsed="false">
      <c r="A6338" s="1" t="s">
        <v>6373</v>
      </c>
      <c r="B6338" s="1" t="s">
        <v>26</v>
      </c>
      <c r="C6338" s="1" t="n">
        <v>504000</v>
      </c>
      <c r="D6338" s="1" t="n">
        <v>740.7</v>
      </c>
      <c r="E6338" s="1" t="n">
        <v>0.032</v>
      </c>
      <c r="F6338" s="1" t="n">
        <v>0.051</v>
      </c>
    </row>
    <row r="6339" customFormat="false" ht="15" hidden="false" customHeight="false" outlineLevel="0" collapsed="false">
      <c r="A6339" s="1" t="s">
        <v>6374</v>
      </c>
      <c r="B6339" s="1" t="s">
        <v>287</v>
      </c>
      <c r="C6339" s="1" t="n">
        <v>330000</v>
      </c>
      <c r="D6339" s="1" t="n">
        <v>364.8</v>
      </c>
      <c r="E6339" s="1" t="n">
        <v>0.0151</v>
      </c>
      <c r="F6339" s="1" t="n">
        <v>0.3328</v>
      </c>
    </row>
    <row r="6340" customFormat="false" ht="15" hidden="false" customHeight="false" outlineLevel="0" collapsed="false">
      <c r="A6340" s="1" t="s">
        <v>6375</v>
      </c>
      <c r="B6340" s="1" t="s">
        <v>26</v>
      </c>
      <c r="C6340" s="1" t="n">
        <v>371000</v>
      </c>
      <c r="D6340" s="1" t="n">
        <v>49007</v>
      </c>
      <c r="E6340" s="1" t="n">
        <v>0.0094</v>
      </c>
      <c r="F6340" s="1" t="n">
        <v>0.0811</v>
      </c>
    </row>
    <row r="6341" customFormat="false" ht="15" hidden="false" customHeight="false" outlineLevel="0" collapsed="false">
      <c r="A6341" s="1" t="s">
        <v>6376</v>
      </c>
      <c r="B6341" s="1" t="s">
        <v>41</v>
      </c>
      <c r="C6341" s="1" t="n">
        <v>342000</v>
      </c>
      <c r="D6341" s="1" t="n">
        <v>10202.2</v>
      </c>
      <c r="E6341" s="1" t="n">
        <v>0.0501</v>
      </c>
      <c r="F6341" s="1" t="n">
        <v>0.0518</v>
      </c>
    </row>
    <row r="6342" customFormat="false" ht="15" hidden="false" customHeight="false" outlineLevel="0" collapsed="false">
      <c r="A6342" s="1" t="s">
        <v>6377</v>
      </c>
      <c r="B6342" s="1" t="s">
        <v>24</v>
      </c>
      <c r="C6342" s="1" t="n">
        <v>455000</v>
      </c>
      <c r="D6342" s="1" t="n">
        <v>64169.8</v>
      </c>
      <c r="E6342" s="1" t="n">
        <v>0.1016</v>
      </c>
      <c r="F6342" s="1" t="n">
        <v>0.0759</v>
      </c>
    </row>
    <row r="6343" customFormat="false" ht="15" hidden="false" customHeight="false" outlineLevel="0" collapsed="false">
      <c r="A6343" s="1" t="s">
        <v>6378</v>
      </c>
      <c r="B6343" s="1" t="s">
        <v>41</v>
      </c>
      <c r="C6343" s="1" t="n">
        <v>372000</v>
      </c>
      <c r="D6343" s="1" t="n">
        <v>1614.7</v>
      </c>
      <c r="E6343" s="1" t="n">
        <v>0.0283</v>
      </c>
      <c r="F6343" s="1" t="n">
        <v>0.0951</v>
      </c>
    </row>
    <row r="6344" customFormat="false" ht="15" hidden="false" customHeight="false" outlineLevel="0" collapsed="false">
      <c r="A6344" s="1" t="s">
        <v>6379</v>
      </c>
      <c r="B6344" s="1" t="s">
        <v>62</v>
      </c>
      <c r="C6344" s="1" t="n">
        <v>691000</v>
      </c>
      <c r="D6344" s="1" t="n">
        <v>46555.2</v>
      </c>
      <c r="E6344" s="1" t="n">
        <v>0.0696</v>
      </c>
      <c r="F6344" s="1" t="n">
        <v>0.0759</v>
      </c>
    </row>
    <row r="6345" customFormat="false" ht="15" hidden="false" customHeight="false" outlineLevel="0" collapsed="false">
      <c r="A6345" s="1" t="s">
        <v>6380</v>
      </c>
      <c r="B6345" s="1" t="s">
        <v>71</v>
      </c>
      <c r="C6345" s="1" t="n">
        <v>397000</v>
      </c>
      <c r="D6345" s="1" t="n">
        <v>16687.4</v>
      </c>
      <c r="E6345" s="1" t="n">
        <v>0.0715</v>
      </c>
      <c r="F6345" s="1" t="n">
        <v>0.0938</v>
      </c>
    </row>
    <row r="6346" customFormat="false" ht="15" hidden="false" customHeight="false" outlineLevel="0" collapsed="false">
      <c r="A6346" s="1" t="s">
        <v>6381</v>
      </c>
      <c r="B6346" s="1" t="s">
        <v>71</v>
      </c>
      <c r="C6346" s="1" t="n">
        <v>488000</v>
      </c>
      <c r="D6346" s="1" t="n">
        <v>8613.1</v>
      </c>
      <c r="E6346" s="1" t="n">
        <v>0.0779</v>
      </c>
      <c r="F6346" s="1" t="n">
        <v>0.0759</v>
      </c>
    </row>
    <row r="6347" customFormat="false" ht="15" hidden="false" customHeight="false" outlineLevel="0" collapsed="false">
      <c r="A6347" s="1" t="s">
        <v>6382</v>
      </c>
      <c r="B6347" s="1" t="s">
        <v>32</v>
      </c>
      <c r="C6347" s="1" t="n">
        <v>638000</v>
      </c>
      <c r="D6347" s="1" t="n">
        <v>295561.3</v>
      </c>
      <c r="E6347" s="1" t="n">
        <v>0.0181</v>
      </c>
      <c r="F6347" s="1" t="n">
        <v>0.095</v>
      </c>
    </row>
    <row r="6348" customFormat="false" ht="15" hidden="false" customHeight="false" outlineLevel="0" collapsed="false">
      <c r="A6348" s="1" t="s">
        <v>6383</v>
      </c>
      <c r="B6348" s="1" t="s">
        <v>26</v>
      </c>
      <c r="C6348" s="1" t="n">
        <v>422000</v>
      </c>
      <c r="D6348" s="1" t="n">
        <v>491604.3</v>
      </c>
      <c r="E6348" s="1" t="n">
        <v>0.0554</v>
      </c>
      <c r="F6348" s="1" t="n">
        <v>0.0759</v>
      </c>
    </row>
    <row r="6349" customFormat="false" ht="15" hidden="false" customHeight="false" outlineLevel="0" collapsed="false">
      <c r="A6349" s="1" t="s">
        <v>6384</v>
      </c>
      <c r="B6349" s="1" t="s">
        <v>214</v>
      </c>
      <c r="C6349" s="1" t="n">
        <v>472000</v>
      </c>
      <c r="D6349" s="1" t="n">
        <v>27589.7</v>
      </c>
      <c r="E6349" s="1" t="n">
        <v>0.0415</v>
      </c>
      <c r="F6349" s="1" t="n">
        <v>0.0845</v>
      </c>
    </row>
    <row r="6350" customFormat="false" ht="15" hidden="false" customHeight="false" outlineLevel="0" collapsed="false">
      <c r="A6350" s="1" t="s">
        <v>6385</v>
      </c>
      <c r="B6350" s="1" t="s">
        <v>26</v>
      </c>
      <c r="C6350" s="1" t="n">
        <v>397000</v>
      </c>
      <c r="D6350" s="1" t="n">
        <v>19079.2</v>
      </c>
      <c r="E6350" s="1" t="n">
        <v>0.0529</v>
      </c>
      <c r="F6350" s="1" t="n">
        <v>0.0951</v>
      </c>
    </row>
    <row r="6351" customFormat="false" ht="15" hidden="false" customHeight="false" outlineLevel="0" collapsed="false">
      <c r="A6351" s="1" t="s">
        <v>6386</v>
      </c>
      <c r="B6351" s="1" t="s">
        <v>53</v>
      </c>
      <c r="C6351" s="1" t="n">
        <v>391000</v>
      </c>
      <c r="D6351" s="1" t="n">
        <v>1219385.5</v>
      </c>
      <c r="E6351" s="1" t="n">
        <v>0.0204</v>
      </c>
      <c r="F6351" s="1" t="n">
        <v>0.1067</v>
      </c>
    </row>
    <row r="6352" customFormat="false" ht="15" hidden="false" customHeight="false" outlineLevel="0" collapsed="false">
      <c r="A6352" s="1" t="s">
        <v>6387</v>
      </c>
      <c r="B6352" s="1" t="s">
        <v>24</v>
      </c>
      <c r="C6352" s="1" t="n">
        <v>420000</v>
      </c>
      <c r="D6352" s="1" t="n">
        <v>9563.9</v>
      </c>
      <c r="E6352" s="1" t="n">
        <v>0.023</v>
      </c>
      <c r="F6352" s="1" t="n">
        <v>0.0759</v>
      </c>
    </row>
    <row r="6353" customFormat="false" ht="15" hidden="false" customHeight="false" outlineLevel="0" collapsed="false">
      <c r="A6353" s="1" t="s">
        <v>6388</v>
      </c>
      <c r="B6353" s="1" t="s">
        <v>92</v>
      </c>
      <c r="C6353" s="1" t="n">
        <v>519000</v>
      </c>
      <c r="D6353" s="1" t="n">
        <v>15762.9</v>
      </c>
      <c r="E6353" s="1" t="n">
        <v>0.0075</v>
      </c>
      <c r="F6353" s="1" t="n">
        <v>0.0811</v>
      </c>
    </row>
    <row r="6354" customFormat="false" ht="15" hidden="false" customHeight="false" outlineLevel="0" collapsed="false">
      <c r="A6354" s="1" t="s">
        <v>6389</v>
      </c>
      <c r="B6354" s="1" t="s">
        <v>41</v>
      </c>
      <c r="C6354" s="1" t="n">
        <v>374000</v>
      </c>
      <c r="D6354" s="1" t="n">
        <v>1967.6</v>
      </c>
      <c r="E6354" s="1" t="n">
        <v>0.0172</v>
      </c>
      <c r="F6354" s="1" t="n">
        <v>0.0909</v>
      </c>
    </row>
    <row r="6355" customFormat="false" ht="15" hidden="false" customHeight="false" outlineLevel="0" collapsed="false">
      <c r="A6355" s="1" t="s">
        <v>6390</v>
      </c>
      <c r="B6355" s="1" t="s">
        <v>287</v>
      </c>
      <c r="C6355" s="1" t="n">
        <v>427000</v>
      </c>
      <c r="D6355" s="1" t="n">
        <v>881243.2</v>
      </c>
      <c r="E6355" s="1" t="n">
        <v>0.011</v>
      </c>
      <c r="F6355" s="1" t="n">
        <v>0.0822</v>
      </c>
    </row>
    <row r="6356" customFormat="false" ht="15" hidden="false" customHeight="false" outlineLevel="0" collapsed="false">
      <c r="A6356" s="1" t="s">
        <v>6391</v>
      </c>
      <c r="B6356" s="1" t="s">
        <v>88</v>
      </c>
      <c r="C6356" s="1" t="n">
        <v>483000</v>
      </c>
      <c r="D6356" s="1" t="n">
        <v>6928.2</v>
      </c>
      <c r="E6356" s="1" t="n">
        <v>0.0494</v>
      </c>
      <c r="F6356" s="1" t="n">
        <v>0.0759</v>
      </c>
    </row>
    <row r="6357" customFormat="false" ht="15" hidden="false" customHeight="false" outlineLevel="0" collapsed="false">
      <c r="A6357" s="1" t="s">
        <v>6392</v>
      </c>
      <c r="B6357" s="1" t="s">
        <v>88</v>
      </c>
      <c r="C6357" s="1" t="n">
        <v>695000</v>
      </c>
      <c r="D6357" s="1" t="n">
        <v>5582.6</v>
      </c>
      <c r="E6357" s="1" t="n">
        <v>0.0273</v>
      </c>
      <c r="F6357" s="1" t="n">
        <v>0.117</v>
      </c>
    </row>
    <row r="6358" customFormat="false" ht="15" hidden="false" customHeight="false" outlineLevel="0" collapsed="false">
      <c r="A6358" s="1" t="s">
        <v>6393</v>
      </c>
      <c r="B6358" s="1" t="s">
        <v>50</v>
      </c>
      <c r="C6358" s="1" t="n">
        <v>357000</v>
      </c>
      <c r="D6358" s="1" t="n">
        <v>85.6</v>
      </c>
      <c r="E6358" s="1" t="n">
        <v>0.0435</v>
      </c>
      <c r="F6358" s="1" t="n">
        <v>0.0938</v>
      </c>
    </row>
    <row r="6359" customFormat="false" ht="15" hidden="false" customHeight="false" outlineLevel="0" collapsed="false">
      <c r="A6359" s="1" t="s">
        <v>6394</v>
      </c>
      <c r="B6359" s="1" t="s">
        <v>88</v>
      </c>
      <c r="C6359" s="1" t="n">
        <v>319000</v>
      </c>
      <c r="D6359" s="1" t="n">
        <v>1278.9</v>
      </c>
      <c r="E6359" s="1" t="n">
        <v>0.0386</v>
      </c>
      <c r="F6359" s="1" t="n">
        <v>0.117</v>
      </c>
    </row>
    <row r="6360" customFormat="false" ht="15" hidden="false" customHeight="false" outlineLevel="0" collapsed="false">
      <c r="A6360" s="1" t="s">
        <v>6395</v>
      </c>
      <c r="B6360" s="1" t="s">
        <v>35</v>
      </c>
      <c r="C6360" s="1" t="n">
        <v>340000</v>
      </c>
      <c r="D6360" s="1" t="n">
        <v>647.8</v>
      </c>
      <c r="E6360" s="1" t="n">
        <v>0.0152</v>
      </c>
      <c r="F6360" s="1" t="n">
        <v>0.0462</v>
      </c>
    </row>
    <row r="6361" customFormat="false" ht="15" hidden="false" customHeight="false" outlineLevel="0" collapsed="false">
      <c r="A6361" s="1" t="s">
        <v>6396</v>
      </c>
      <c r="B6361" s="1" t="s">
        <v>50</v>
      </c>
      <c r="C6361" s="1" t="n">
        <v>406000</v>
      </c>
      <c r="D6361" s="1" t="n">
        <v>3150.4</v>
      </c>
      <c r="E6361" s="1" t="n">
        <v>0.0491</v>
      </c>
      <c r="F6361" s="1" t="n">
        <v>0.0759</v>
      </c>
    </row>
    <row r="6362" customFormat="false" ht="15" hidden="false" customHeight="false" outlineLevel="0" collapsed="false">
      <c r="A6362" s="1" t="s">
        <v>6397</v>
      </c>
      <c r="B6362" s="1" t="s">
        <v>24</v>
      </c>
      <c r="C6362" s="1" t="n">
        <v>351000</v>
      </c>
      <c r="D6362" s="1" t="n">
        <v>10679.7</v>
      </c>
      <c r="E6362" s="1" t="n">
        <v>0.0203</v>
      </c>
      <c r="F6362" s="1" t="n">
        <v>0.0951</v>
      </c>
    </row>
    <row r="6363" customFormat="false" ht="15" hidden="false" customHeight="false" outlineLevel="0" collapsed="false">
      <c r="A6363" s="1" t="s">
        <v>6398</v>
      </c>
      <c r="B6363" s="1" t="s">
        <v>41</v>
      </c>
      <c r="C6363" s="1" t="n">
        <v>783000</v>
      </c>
      <c r="D6363" s="1" t="n">
        <v>2212.5</v>
      </c>
      <c r="E6363" s="1" t="n">
        <v>0.0143</v>
      </c>
      <c r="F6363" s="1" t="n">
        <v>0.1053</v>
      </c>
    </row>
    <row r="6364" customFormat="false" ht="15" hidden="false" customHeight="false" outlineLevel="0" collapsed="false">
      <c r="A6364" s="1" t="s">
        <v>6399</v>
      </c>
      <c r="B6364" s="1" t="s">
        <v>26</v>
      </c>
      <c r="C6364" s="1" t="n">
        <v>393000</v>
      </c>
      <c r="D6364" s="1" t="n">
        <v>6463.6</v>
      </c>
      <c r="E6364" s="1" t="n">
        <v>0.0387</v>
      </c>
      <c r="F6364" s="1" t="n">
        <v>0.0951</v>
      </c>
    </row>
    <row r="6365" customFormat="false" ht="15" hidden="false" customHeight="false" outlineLevel="0" collapsed="false">
      <c r="A6365" s="1" t="s">
        <v>6400</v>
      </c>
      <c r="B6365" s="1" t="s">
        <v>81</v>
      </c>
      <c r="C6365" s="1" t="n">
        <v>354000</v>
      </c>
      <c r="D6365" s="1" t="n">
        <v>27258</v>
      </c>
      <c r="E6365" s="1" t="n">
        <v>0.0118</v>
      </c>
      <c r="F6365" s="1" t="n">
        <v>0.1067</v>
      </c>
    </row>
    <row r="6366" customFormat="false" ht="15" hidden="false" customHeight="false" outlineLevel="0" collapsed="false">
      <c r="A6366" s="1" t="s">
        <v>6401</v>
      </c>
      <c r="B6366" s="1" t="s">
        <v>88</v>
      </c>
      <c r="C6366" s="1" t="n">
        <v>367000</v>
      </c>
      <c r="D6366" s="1" t="n">
        <v>5050.2</v>
      </c>
      <c r="E6366" s="1" t="n">
        <v>0.0159</v>
      </c>
      <c r="F6366" s="1" t="n">
        <v>0.0616</v>
      </c>
    </row>
    <row r="6367" customFormat="false" ht="15" hidden="false" customHeight="false" outlineLevel="0" collapsed="false">
      <c r="A6367" s="1" t="s">
        <v>6402</v>
      </c>
      <c r="B6367" s="1" t="s">
        <v>26</v>
      </c>
      <c r="C6367" s="1" t="n">
        <v>335000</v>
      </c>
      <c r="D6367" s="1" t="n">
        <v>1260.7</v>
      </c>
      <c r="E6367" s="1" t="n">
        <v>0.018</v>
      </c>
      <c r="F6367" s="1" t="n">
        <v>0.139</v>
      </c>
    </row>
    <row r="6368" customFormat="false" ht="15" hidden="false" customHeight="false" outlineLevel="0" collapsed="false">
      <c r="A6368" s="1" t="s">
        <v>6403</v>
      </c>
      <c r="B6368" s="1" t="s">
        <v>92</v>
      </c>
      <c r="C6368" s="1" t="n">
        <v>336000</v>
      </c>
      <c r="D6368" s="1" t="n">
        <v>9331</v>
      </c>
      <c r="E6368" s="1" t="n">
        <v>0.0133</v>
      </c>
      <c r="F6368" s="1" t="n">
        <v>0.0616</v>
      </c>
    </row>
    <row r="6369" customFormat="false" ht="15" hidden="false" customHeight="false" outlineLevel="0" collapsed="false">
      <c r="A6369" s="1" t="s">
        <v>6404</v>
      </c>
      <c r="B6369" s="1" t="s">
        <v>26</v>
      </c>
      <c r="C6369" s="1" t="n">
        <v>628000</v>
      </c>
      <c r="D6369" s="1" t="n">
        <v>125916.5</v>
      </c>
      <c r="E6369" s="1" t="n">
        <v>0.055</v>
      </c>
      <c r="F6369" s="1" t="n">
        <v>0.0759</v>
      </c>
    </row>
    <row r="6370" customFormat="false" ht="15" hidden="false" customHeight="false" outlineLevel="0" collapsed="false">
      <c r="A6370" s="1" t="s">
        <v>6405</v>
      </c>
      <c r="B6370" s="1" t="s">
        <v>287</v>
      </c>
      <c r="C6370" s="1" t="n">
        <v>417000</v>
      </c>
      <c r="D6370" s="1" t="n">
        <v>5338.3</v>
      </c>
      <c r="E6370" s="1" t="n">
        <v>0.0212</v>
      </c>
      <c r="F6370" s="1" t="n">
        <v>0.0759</v>
      </c>
    </row>
    <row r="6371" customFormat="false" ht="15" hidden="false" customHeight="false" outlineLevel="0" collapsed="false">
      <c r="A6371" s="1" t="s">
        <v>6406</v>
      </c>
      <c r="B6371" s="1" t="s">
        <v>92</v>
      </c>
      <c r="C6371" s="1" t="n">
        <v>341000</v>
      </c>
      <c r="D6371" s="1" t="n">
        <v>3455.8</v>
      </c>
      <c r="F6371" s="1" t="n">
        <v>0.0951</v>
      </c>
    </row>
    <row r="6372" customFormat="false" ht="15" hidden="false" customHeight="false" outlineLevel="0" collapsed="false">
      <c r="A6372" s="1" t="s">
        <v>6407</v>
      </c>
      <c r="B6372" s="1" t="s">
        <v>26</v>
      </c>
      <c r="C6372" s="1" t="n">
        <v>339000</v>
      </c>
      <c r="D6372" s="1" t="n">
        <v>2742.9</v>
      </c>
      <c r="E6372" s="1" t="n">
        <v>0.0418</v>
      </c>
      <c r="F6372" s="1" t="n">
        <v>0.0759</v>
      </c>
    </row>
    <row r="6373" customFormat="false" ht="15" hidden="false" customHeight="false" outlineLevel="0" collapsed="false">
      <c r="A6373" s="1" t="s">
        <v>6408</v>
      </c>
      <c r="B6373" s="1" t="s">
        <v>74</v>
      </c>
      <c r="C6373" s="1" t="n">
        <v>352000</v>
      </c>
      <c r="D6373" s="1" t="n">
        <v>5028.6</v>
      </c>
      <c r="E6373" s="1" t="n">
        <v>0.0253</v>
      </c>
      <c r="F6373" s="1" t="n">
        <v>0.0518</v>
      </c>
    </row>
    <row r="6374" customFormat="false" ht="15" hidden="false" customHeight="false" outlineLevel="0" collapsed="false">
      <c r="A6374" s="1" t="s">
        <v>6409</v>
      </c>
      <c r="B6374" s="1" t="s">
        <v>21</v>
      </c>
      <c r="C6374" s="1" t="n">
        <v>488000</v>
      </c>
      <c r="D6374" s="1" t="n">
        <v>95233</v>
      </c>
      <c r="E6374" s="1" t="n">
        <v>0.0715</v>
      </c>
      <c r="F6374" s="1" t="n">
        <v>0.0759</v>
      </c>
    </row>
    <row r="6375" customFormat="false" ht="15" hidden="false" customHeight="false" outlineLevel="0" collapsed="false">
      <c r="A6375" s="1" t="s">
        <v>6410</v>
      </c>
      <c r="B6375" s="1" t="s">
        <v>35</v>
      </c>
      <c r="C6375" s="1" t="n">
        <v>440000</v>
      </c>
      <c r="D6375" s="1" t="n">
        <v>23146.1</v>
      </c>
      <c r="E6375" s="1" t="n">
        <v>0.0114</v>
      </c>
      <c r="F6375" s="1" t="n">
        <v>0.0584</v>
      </c>
    </row>
    <row r="6376" customFormat="false" ht="15" hidden="false" customHeight="false" outlineLevel="0" collapsed="false">
      <c r="A6376" s="1" t="s">
        <v>6411</v>
      </c>
      <c r="B6376" s="1" t="s">
        <v>41</v>
      </c>
      <c r="C6376" s="1" t="n">
        <v>355000</v>
      </c>
      <c r="D6376" s="1" t="n">
        <v>969.9</v>
      </c>
      <c r="E6376" s="1" t="n">
        <v>0.0211</v>
      </c>
      <c r="F6376" s="1" t="n">
        <v>0.0909</v>
      </c>
    </row>
    <row r="6377" customFormat="false" ht="15" hidden="false" customHeight="false" outlineLevel="0" collapsed="false">
      <c r="A6377" s="1" t="s">
        <v>6412</v>
      </c>
      <c r="B6377" s="1" t="s">
        <v>88</v>
      </c>
      <c r="C6377" s="1" t="n">
        <v>371000</v>
      </c>
      <c r="D6377" s="1" t="n">
        <v>13163.8</v>
      </c>
      <c r="E6377" s="1" t="n">
        <v>0.031</v>
      </c>
      <c r="F6377" s="1" t="n">
        <v>0.0951</v>
      </c>
    </row>
    <row r="6378" customFormat="false" ht="15" hidden="false" customHeight="false" outlineLevel="0" collapsed="false">
      <c r="A6378" s="1" t="s">
        <v>6413</v>
      </c>
      <c r="B6378" s="1" t="s">
        <v>26</v>
      </c>
      <c r="C6378" s="1" t="n">
        <v>340000</v>
      </c>
      <c r="D6378" s="1" t="n">
        <v>946.1</v>
      </c>
      <c r="E6378" s="1" t="n">
        <v>0.0542</v>
      </c>
      <c r="F6378" s="1" t="n">
        <v>0.0938</v>
      </c>
    </row>
    <row r="6379" customFormat="false" ht="15" hidden="false" customHeight="false" outlineLevel="0" collapsed="false">
      <c r="A6379" s="1" t="s">
        <v>6414</v>
      </c>
      <c r="B6379" s="1" t="s">
        <v>74</v>
      </c>
      <c r="C6379" s="1" t="n">
        <v>473000</v>
      </c>
      <c r="D6379" s="1" t="n">
        <v>4433.9</v>
      </c>
      <c r="E6379" s="1" t="n">
        <v>0.029</v>
      </c>
      <c r="F6379" s="1" t="n">
        <v>0.0584</v>
      </c>
    </row>
    <row r="6380" customFormat="false" ht="15" hidden="false" customHeight="false" outlineLevel="0" collapsed="false">
      <c r="A6380" s="1" t="s">
        <v>6415</v>
      </c>
      <c r="B6380" s="1" t="s">
        <v>41</v>
      </c>
      <c r="C6380" s="1" t="n">
        <v>449000</v>
      </c>
      <c r="D6380" s="1" t="n">
        <v>6916.1</v>
      </c>
      <c r="E6380" s="1" t="n">
        <v>0.0445</v>
      </c>
      <c r="F6380" s="1" t="n">
        <v>0.0938</v>
      </c>
    </row>
    <row r="6381" customFormat="false" ht="15" hidden="false" customHeight="false" outlineLevel="0" collapsed="false">
      <c r="A6381" s="1" t="s">
        <v>6416</v>
      </c>
      <c r="B6381" s="1" t="s">
        <v>26</v>
      </c>
      <c r="C6381" s="1" t="n">
        <v>411000</v>
      </c>
      <c r="D6381" s="1" t="n">
        <v>1382.7</v>
      </c>
      <c r="E6381" s="1" t="n">
        <v>0.0509</v>
      </c>
      <c r="F6381" s="1" t="n">
        <v>0.0998</v>
      </c>
    </row>
    <row r="6382" customFormat="false" ht="15" hidden="false" customHeight="false" outlineLevel="0" collapsed="false">
      <c r="A6382" s="1" t="s">
        <v>6417</v>
      </c>
      <c r="B6382" s="1" t="s">
        <v>214</v>
      </c>
      <c r="C6382" s="1" t="n">
        <v>367000</v>
      </c>
      <c r="D6382" s="1" t="n">
        <v>2868.1</v>
      </c>
      <c r="E6382" s="1" t="n">
        <v>0.0211</v>
      </c>
      <c r="F6382" s="1" t="n">
        <v>0.0951</v>
      </c>
    </row>
    <row r="6383" customFormat="false" ht="15" hidden="false" customHeight="false" outlineLevel="0" collapsed="false">
      <c r="A6383" s="1" t="s">
        <v>6418</v>
      </c>
      <c r="B6383" s="1" t="s">
        <v>41</v>
      </c>
      <c r="C6383" s="1" t="n">
        <v>361000</v>
      </c>
      <c r="D6383" s="1" t="n">
        <v>16455.7</v>
      </c>
      <c r="E6383" s="1" t="n">
        <v>0.0135</v>
      </c>
      <c r="F6383" s="1" t="n">
        <v>0.1067</v>
      </c>
    </row>
    <row r="6384" customFormat="false" ht="15" hidden="false" customHeight="false" outlineLevel="0" collapsed="false">
      <c r="A6384" s="1" t="s">
        <v>6419</v>
      </c>
      <c r="B6384" s="1" t="s">
        <v>41</v>
      </c>
      <c r="C6384" s="1" t="n">
        <v>411000</v>
      </c>
      <c r="D6384" s="1" t="n">
        <v>54970.4</v>
      </c>
      <c r="E6384" s="1" t="n">
        <v>0.0171</v>
      </c>
      <c r="F6384" s="1" t="n">
        <v>0.1067</v>
      </c>
    </row>
    <row r="6385" customFormat="false" ht="15" hidden="false" customHeight="false" outlineLevel="0" collapsed="false">
      <c r="A6385" s="1" t="s">
        <v>6420</v>
      </c>
      <c r="B6385" s="1" t="s">
        <v>24</v>
      </c>
      <c r="C6385" s="1" t="n">
        <v>355000</v>
      </c>
      <c r="D6385" s="1" t="n">
        <v>312080.9</v>
      </c>
      <c r="E6385" s="1" t="n">
        <v>0.0362</v>
      </c>
      <c r="F6385" s="1" t="n">
        <v>0.0951</v>
      </c>
    </row>
    <row r="6386" customFormat="false" ht="15" hidden="false" customHeight="false" outlineLevel="0" collapsed="false">
      <c r="A6386" s="1" t="s">
        <v>6421</v>
      </c>
      <c r="B6386" s="1" t="s">
        <v>214</v>
      </c>
      <c r="C6386" s="1" t="n">
        <v>655000</v>
      </c>
      <c r="D6386" s="1" t="n">
        <v>11884.4</v>
      </c>
      <c r="E6386" s="1" t="n">
        <v>0.0086</v>
      </c>
      <c r="F6386" s="1" t="n">
        <v>0.0654</v>
      </c>
    </row>
    <row r="6387" customFormat="false" ht="15" hidden="false" customHeight="false" outlineLevel="0" collapsed="false">
      <c r="A6387" s="1" t="s">
        <v>6422</v>
      </c>
      <c r="B6387" s="1" t="s">
        <v>21</v>
      </c>
      <c r="C6387" s="1" t="n">
        <v>408000</v>
      </c>
      <c r="D6387" s="1" t="n">
        <v>561.3</v>
      </c>
      <c r="E6387" s="1" t="n">
        <v>0.0376</v>
      </c>
      <c r="F6387" s="1" t="n">
        <v>0.301</v>
      </c>
    </row>
    <row r="6388" customFormat="false" ht="15" hidden="false" customHeight="false" outlineLevel="0" collapsed="false">
      <c r="A6388" s="1" t="s">
        <v>6423</v>
      </c>
      <c r="B6388" s="1" t="s">
        <v>26</v>
      </c>
      <c r="C6388" s="1" t="n">
        <v>1010000</v>
      </c>
      <c r="D6388" s="1" t="n">
        <v>15027.6</v>
      </c>
      <c r="E6388" s="1" t="n">
        <v>0.0264</v>
      </c>
      <c r="F6388" s="1" t="n">
        <v>0.0759</v>
      </c>
    </row>
    <row r="6389" customFormat="false" ht="15" hidden="false" customHeight="false" outlineLevel="0" collapsed="false">
      <c r="A6389" s="1" t="s">
        <v>6424</v>
      </c>
      <c r="B6389" s="1" t="s">
        <v>81</v>
      </c>
      <c r="C6389" s="1" t="n">
        <v>949000</v>
      </c>
      <c r="D6389" s="1" t="n">
        <v>37394.9</v>
      </c>
      <c r="E6389" s="1" t="n">
        <v>0.0348</v>
      </c>
      <c r="F6389" s="1" t="n">
        <v>0.0409</v>
      </c>
    </row>
    <row r="6390" customFormat="false" ht="15" hidden="false" customHeight="false" outlineLevel="0" collapsed="false">
      <c r="A6390" s="1" t="s">
        <v>6425</v>
      </c>
      <c r="B6390" s="1" t="s">
        <v>26</v>
      </c>
      <c r="C6390" s="1" t="n">
        <v>372000</v>
      </c>
      <c r="D6390" s="1" t="n">
        <v>54373.5</v>
      </c>
      <c r="E6390" s="1" t="n">
        <v>0.0803</v>
      </c>
      <c r="F6390" s="1" t="n">
        <v>0.0951</v>
      </c>
    </row>
    <row r="6391" customFormat="false" ht="15" hidden="false" customHeight="false" outlineLevel="0" collapsed="false">
      <c r="A6391" s="1" t="s">
        <v>6426</v>
      </c>
      <c r="B6391" s="1" t="s">
        <v>74</v>
      </c>
      <c r="C6391" s="1" t="n">
        <v>426000</v>
      </c>
      <c r="D6391" s="1" t="n">
        <v>10623.1</v>
      </c>
      <c r="E6391" s="1" t="n">
        <v>0.0296</v>
      </c>
      <c r="F6391" s="1" t="n">
        <v>0.0518</v>
      </c>
    </row>
    <row r="6392" customFormat="false" ht="15" hidden="false" customHeight="false" outlineLevel="0" collapsed="false">
      <c r="A6392" s="1" t="s">
        <v>6427</v>
      </c>
      <c r="B6392" s="1" t="s">
        <v>26</v>
      </c>
      <c r="C6392" s="1" t="n">
        <v>331000</v>
      </c>
      <c r="D6392" s="1" t="n">
        <v>767.4</v>
      </c>
      <c r="E6392" s="1" t="n">
        <v>0.0125</v>
      </c>
      <c r="F6392" s="1" t="n">
        <v>0.0657</v>
      </c>
    </row>
    <row r="6393" customFormat="false" ht="15" hidden="false" customHeight="false" outlineLevel="0" collapsed="false">
      <c r="A6393" s="1" t="s">
        <v>6428</v>
      </c>
      <c r="B6393" s="1" t="s">
        <v>50</v>
      </c>
      <c r="C6393" s="1" t="n">
        <v>332000</v>
      </c>
      <c r="F6393" s="1" t="n">
        <v>0.0759</v>
      </c>
    </row>
    <row r="6394" customFormat="false" ht="15" hidden="false" customHeight="false" outlineLevel="0" collapsed="false">
      <c r="A6394" s="1" t="s">
        <v>6429</v>
      </c>
      <c r="B6394" s="1" t="s">
        <v>28</v>
      </c>
      <c r="C6394" s="1" t="n">
        <v>409000</v>
      </c>
      <c r="D6394" s="1" t="n">
        <v>1465.6</v>
      </c>
      <c r="E6394" s="1" t="n">
        <v>0.0209</v>
      </c>
      <c r="F6394" s="1" t="n">
        <v>0.0757</v>
      </c>
    </row>
    <row r="6395" customFormat="false" ht="15" hidden="false" customHeight="false" outlineLevel="0" collapsed="false">
      <c r="A6395" s="1" t="s">
        <v>6430</v>
      </c>
      <c r="B6395" s="1" t="s">
        <v>287</v>
      </c>
      <c r="C6395" s="1" t="n">
        <v>322000</v>
      </c>
      <c r="D6395" s="1" t="n">
        <v>5220.4</v>
      </c>
      <c r="E6395" s="1" t="n">
        <v>0.0227</v>
      </c>
      <c r="F6395" s="1" t="n">
        <v>0.1067</v>
      </c>
    </row>
    <row r="6396" customFormat="false" ht="15" hidden="false" customHeight="false" outlineLevel="0" collapsed="false">
      <c r="A6396" s="1" t="s">
        <v>6431</v>
      </c>
      <c r="B6396" s="1" t="s">
        <v>26</v>
      </c>
      <c r="C6396" s="1" t="n">
        <v>455000</v>
      </c>
      <c r="D6396" s="1" t="n">
        <v>1991.7</v>
      </c>
      <c r="E6396" s="1" t="n">
        <v>0.0509</v>
      </c>
      <c r="F6396" s="1" t="n">
        <v>0.0938</v>
      </c>
    </row>
    <row r="6397" customFormat="false" ht="15" hidden="false" customHeight="false" outlineLevel="0" collapsed="false">
      <c r="A6397" s="1" t="s">
        <v>6432</v>
      </c>
      <c r="B6397" s="1" t="s">
        <v>26</v>
      </c>
      <c r="C6397" s="1" t="n">
        <v>368000</v>
      </c>
      <c r="D6397" s="1" t="n">
        <v>8063.1</v>
      </c>
      <c r="E6397" s="1" t="n">
        <v>0.0271</v>
      </c>
      <c r="F6397" s="1" t="n">
        <v>0.0938</v>
      </c>
    </row>
    <row r="6398" customFormat="false" ht="15" hidden="false" customHeight="false" outlineLevel="0" collapsed="false">
      <c r="A6398" s="1" t="s">
        <v>6433</v>
      </c>
      <c r="B6398" s="1" t="s">
        <v>88</v>
      </c>
      <c r="C6398" s="1" t="n">
        <v>338000</v>
      </c>
      <c r="D6398" s="1" t="n">
        <v>4256.3</v>
      </c>
      <c r="E6398" s="1" t="n">
        <v>0.0633</v>
      </c>
      <c r="F6398" s="1" t="n">
        <v>0.0938</v>
      </c>
    </row>
    <row r="6399" customFormat="false" ht="15" hidden="false" customHeight="false" outlineLevel="0" collapsed="false">
      <c r="A6399" s="1" t="s">
        <v>6434</v>
      </c>
      <c r="B6399" s="1" t="s">
        <v>26</v>
      </c>
      <c r="C6399" s="1" t="n">
        <v>360000</v>
      </c>
      <c r="D6399" s="1" t="n">
        <v>8974.6</v>
      </c>
      <c r="E6399" s="1" t="n">
        <v>0.0288</v>
      </c>
      <c r="F6399" s="1" t="n">
        <v>0.0759</v>
      </c>
    </row>
    <row r="6400" customFormat="false" ht="15" hidden="false" customHeight="false" outlineLevel="0" collapsed="false">
      <c r="A6400" s="1" t="s">
        <v>6435</v>
      </c>
      <c r="B6400" s="1" t="s">
        <v>26</v>
      </c>
      <c r="C6400" s="1" t="n">
        <v>752000</v>
      </c>
      <c r="D6400" s="1" t="n">
        <v>363895.3</v>
      </c>
      <c r="E6400" s="1" t="n">
        <v>0.0295</v>
      </c>
      <c r="F6400" s="1" t="n">
        <v>0.0409</v>
      </c>
    </row>
    <row r="6401" customFormat="false" ht="15" hidden="false" customHeight="false" outlineLevel="0" collapsed="false">
      <c r="A6401" s="1" t="s">
        <v>6436</v>
      </c>
      <c r="B6401" s="1" t="s">
        <v>24</v>
      </c>
      <c r="C6401" s="1" t="n">
        <v>1080000</v>
      </c>
      <c r="D6401" s="1" t="n">
        <v>5489.5</v>
      </c>
      <c r="E6401" s="1" t="n">
        <v>0.0746</v>
      </c>
      <c r="F6401" s="1" t="n">
        <v>0.0759</v>
      </c>
    </row>
    <row r="6402" customFormat="false" ht="15" hidden="false" customHeight="false" outlineLevel="0" collapsed="false">
      <c r="A6402" s="1" t="s">
        <v>6437</v>
      </c>
      <c r="B6402" s="1" t="s">
        <v>24</v>
      </c>
      <c r="C6402" s="1" t="n">
        <v>526000</v>
      </c>
      <c r="D6402" s="1" t="n">
        <v>88467.3</v>
      </c>
      <c r="E6402" s="1" t="n">
        <v>0.0109</v>
      </c>
      <c r="F6402" s="1" t="n">
        <v>0.0811</v>
      </c>
    </row>
    <row r="6403" customFormat="false" ht="15" hidden="false" customHeight="false" outlineLevel="0" collapsed="false">
      <c r="A6403" s="1" t="s">
        <v>6438</v>
      </c>
      <c r="B6403" s="1" t="s">
        <v>88</v>
      </c>
      <c r="C6403" s="1" t="n">
        <v>497000</v>
      </c>
      <c r="D6403" s="1" t="n">
        <v>900</v>
      </c>
      <c r="E6403" s="1" t="n">
        <v>0.0492</v>
      </c>
      <c r="F6403" s="1" t="n">
        <v>0.0938</v>
      </c>
    </row>
    <row r="6404" customFormat="false" ht="15" hidden="false" customHeight="false" outlineLevel="0" collapsed="false">
      <c r="A6404" s="1" t="s">
        <v>6439</v>
      </c>
      <c r="B6404" s="1" t="s">
        <v>26</v>
      </c>
      <c r="C6404" s="1" t="n">
        <v>362000</v>
      </c>
      <c r="D6404" s="1" t="n">
        <v>614379.1</v>
      </c>
      <c r="E6404" s="1" t="n">
        <v>0.0131</v>
      </c>
      <c r="F6404" s="1" t="n">
        <v>0.0736</v>
      </c>
    </row>
    <row r="6405" customFormat="false" ht="15" hidden="false" customHeight="false" outlineLevel="0" collapsed="false">
      <c r="A6405" s="1" t="s">
        <v>6440</v>
      </c>
      <c r="B6405" s="1" t="s">
        <v>41</v>
      </c>
      <c r="C6405" s="1" t="n">
        <v>1250000</v>
      </c>
      <c r="D6405" s="1" t="n">
        <v>38908.5</v>
      </c>
      <c r="E6405" s="1" t="n">
        <v>0.0248</v>
      </c>
      <c r="F6405" s="1" t="n">
        <v>0.117</v>
      </c>
    </row>
    <row r="6406" customFormat="false" ht="15" hidden="false" customHeight="false" outlineLevel="0" collapsed="false">
      <c r="A6406" s="1" t="s">
        <v>6441</v>
      </c>
      <c r="B6406" s="1" t="s">
        <v>490</v>
      </c>
      <c r="C6406" s="1" t="n">
        <v>334000</v>
      </c>
      <c r="D6406" s="1" t="n">
        <v>56296.4</v>
      </c>
      <c r="E6406" s="1" t="n">
        <v>0.0663</v>
      </c>
      <c r="F6406" s="1" t="n">
        <v>0.0951</v>
      </c>
    </row>
    <row r="6407" customFormat="false" ht="15" hidden="false" customHeight="false" outlineLevel="0" collapsed="false">
      <c r="A6407" s="1" t="s">
        <v>6442</v>
      </c>
      <c r="B6407" s="1" t="s">
        <v>26</v>
      </c>
      <c r="C6407" s="1" t="n">
        <v>533000</v>
      </c>
      <c r="D6407" s="1" t="n">
        <v>108734.1</v>
      </c>
      <c r="E6407" s="1" t="n">
        <v>0.0092</v>
      </c>
      <c r="F6407" s="1" t="n">
        <v>0.1187</v>
      </c>
    </row>
    <row r="6408" customFormat="false" ht="15" hidden="false" customHeight="false" outlineLevel="0" collapsed="false">
      <c r="A6408" s="1" t="s">
        <v>6443</v>
      </c>
      <c r="B6408" s="1" t="s">
        <v>287</v>
      </c>
      <c r="C6408" s="1" t="n">
        <v>325000</v>
      </c>
      <c r="D6408" s="1" t="n">
        <v>474.6</v>
      </c>
      <c r="E6408" s="1" t="n">
        <v>0.0227</v>
      </c>
      <c r="F6408" s="1" t="n">
        <v>0.0518</v>
      </c>
    </row>
    <row r="6409" customFormat="false" ht="15" hidden="false" customHeight="false" outlineLevel="0" collapsed="false">
      <c r="A6409" s="1" t="s">
        <v>6444</v>
      </c>
      <c r="B6409" s="1" t="s">
        <v>24</v>
      </c>
      <c r="C6409" s="1" t="n">
        <v>1400000</v>
      </c>
      <c r="D6409" s="1" t="n">
        <v>216207.4</v>
      </c>
      <c r="E6409" s="1" t="n">
        <v>0.0359</v>
      </c>
      <c r="F6409" s="1" t="n">
        <v>0.0951</v>
      </c>
    </row>
    <row r="6410" customFormat="false" ht="15" hidden="false" customHeight="false" outlineLevel="0" collapsed="false">
      <c r="A6410" s="1" t="s">
        <v>6445</v>
      </c>
      <c r="B6410" s="1" t="s">
        <v>88</v>
      </c>
      <c r="C6410" s="1" t="n">
        <v>503000</v>
      </c>
      <c r="D6410" s="1" t="n">
        <v>3745.7</v>
      </c>
      <c r="E6410" s="1" t="n">
        <v>0.0325</v>
      </c>
      <c r="F6410" s="1" t="n">
        <v>0.0759</v>
      </c>
    </row>
    <row r="6411" customFormat="false" ht="15" hidden="false" customHeight="false" outlineLevel="0" collapsed="false">
      <c r="A6411" s="1" t="s">
        <v>6446</v>
      </c>
      <c r="B6411" s="1" t="s">
        <v>214</v>
      </c>
      <c r="C6411" s="1" t="n">
        <v>404000</v>
      </c>
      <c r="D6411" s="1" t="n">
        <v>19167.3</v>
      </c>
      <c r="E6411" s="1" t="n">
        <v>0.0157</v>
      </c>
      <c r="F6411" s="1" t="n">
        <v>0.0657</v>
      </c>
    </row>
    <row r="6412" customFormat="false" ht="15" hidden="false" customHeight="false" outlineLevel="0" collapsed="false">
      <c r="A6412" s="1" t="s">
        <v>6447</v>
      </c>
      <c r="B6412" s="1" t="s">
        <v>24</v>
      </c>
      <c r="C6412" s="1" t="n">
        <v>342000</v>
      </c>
      <c r="D6412" s="1" t="n">
        <v>132713.5</v>
      </c>
      <c r="E6412" s="1" t="n">
        <v>0.055</v>
      </c>
      <c r="F6412" s="1" t="n">
        <v>0.0951</v>
      </c>
    </row>
    <row r="6413" customFormat="false" ht="15" hidden="false" customHeight="false" outlineLevel="0" collapsed="false">
      <c r="A6413" s="1" t="s">
        <v>6448</v>
      </c>
      <c r="B6413" s="1" t="s">
        <v>62</v>
      </c>
      <c r="C6413" s="1" t="n">
        <v>333000</v>
      </c>
      <c r="D6413" s="1" t="n">
        <v>425.6</v>
      </c>
      <c r="E6413" s="1" t="n">
        <v>0.0193</v>
      </c>
      <c r="F6413" s="1" t="n">
        <v>0.0951</v>
      </c>
    </row>
    <row r="6414" customFormat="false" ht="15" hidden="false" customHeight="false" outlineLevel="0" collapsed="false">
      <c r="A6414" s="1" t="s">
        <v>6449</v>
      </c>
      <c r="B6414" s="1" t="s">
        <v>81</v>
      </c>
      <c r="C6414" s="1" t="n">
        <v>358000</v>
      </c>
      <c r="D6414" s="1" t="n">
        <v>13901.3</v>
      </c>
      <c r="E6414" s="1" t="n">
        <v>0.0161</v>
      </c>
      <c r="F6414" s="1" t="n">
        <v>0.0466</v>
      </c>
    </row>
    <row r="6415" customFormat="false" ht="15" hidden="false" customHeight="false" outlineLevel="0" collapsed="false">
      <c r="A6415" s="1" t="s">
        <v>6450</v>
      </c>
      <c r="B6415" s="1" t="s">
        <v>50</v>
      </c>
      <c r="C6415" s="1" t="n">
        <v>365000</v>
      </c>
      <c r="D6415" s="1" t="n">
        <v>926.4</v>
      </c>
      <c r="E6415" s="1" t="n">
        <v>0.0265</v>
      </c>
      <c r="F6415" s="1" t="n">
        <v>0.0759</v>
      </c>
    </row>
    <row r="6416" customFormat="false" ht="15" hidden="false" customHeight="false" outlineLevel="0" collapsed="false">
      <c r="A6416" s="1" t="s">
        <v>6451</v>
      </c>
      <c r="B6416" s="1" t="s">
        <v>88</v>
      </c>
      <c r="C6416" s="1" t="n">
        <v>326000</v>
      </c>
      <c r="D6416" s="1" t="n">
        <v>593.9</v>
      </c>
      <c r="E6416" s="1" t="n">
        <v>0.0154</v>
      </c>
      <c r="F6416" s="1" t="n">
        <v>0.1067</v>
      </c>
    </row>
    <row r="6417" customFormat="false" ht="15" hidden="false" customHeight="false" outlineLevel="0" collapsed="false">
      <c r="A6417" s="1" t="s">
        <v>6452</v>
      </c>
      <c r="B6417" s="1" t="s">
        <v>88</v>
      </c>
      <c r="C6417" s="1" t="n">
        <v>370000</v>
      </c>
      <c r="D6417" s="1" t="n">
        <v>7321.1</v>
      </c>
      <c r="E6417" s="1" t="n">
        <v>0.03</v>
      </c>
      <c r="F6417" s="1" t="n">
        <v>0.0951</v>
      </c>
    </row>
    <row r="6418" customFormat="false" ht="15" hidden="false" customHeight="false" outlineLevel="0" collapsed="false">
      <c r="A6418" s="1" t="s">
        <v>6453</v>
      </c>
      <c r="B6418" s="1" t="s">
        <v>88</v>
      </c>
      <c r="C6418" s="1" t="n">
        <v>333000</v>
      </c>
      <c r="D6418" s="1" t="n">
        <v>4845.3</v>
      </c>
      <c r="E6418" s="1" t="n">
        <v>0.0146</v>
      </c>
      <c r="F6418" s="1" t="n">
        <v>0.1621</v>
      </c>
    </row>
    <row r="6419" customFormat="false" ht="15" hidden="false" customHeight="false" outlineLevel="0" collapsed="false">
      <c r="A6419" s="1" t="s">
        <v>6454</v>
      </c>
      <c r="B6419" s="1" t="s">
        <v>26</v>
      </c>
      <c r="C6419" s="1" t="n">
        <v>341000</v>
      </c>
      <c r="D6419" s="1" t="n">
        <v>13092.7</v>
      </c>
      <c r="E6419" s="1" t="n">
        <v>0.0296</v>
      </c>
      <c r="F6419" s="1" t="n">
        <v>0.0672</v>
      </c>
    </row>
    <row r="6420" customFormat="false" ht="15" hidden="false" customHeight="false" outlineLevel="0" collapsed="false">
      <c r="A6420" s="1" t="s">
        <v>6455</v>
      </c>
      <c r="B6420" s="1" t="s">
        <v>41</v>
      </c>
      <c r="C6420" s="1" t="n">
        <v>760000</v>
      </c>
      <c r="D6420" s="1" t="n">
        <v>25720.1</v>
      </c>
      <c r="E6420" s="1" t="n">
        <v>0.007</v>
      </c>
      <c r="F6420" s="1" t="n">
        <v>0.0811</v>
      </c>
    </row>
    <row r="6421" customFormat="false" ht="15" hidden="false" customHeight="false" outlineLevel="0" collapsed="false">
      <c r="A6421" s="1" t="s">
        <v>6456</v>
      </c>
      <c r="B6421" s="1" t="s">
        <v>287</v>
      </c>
      <c r="C6421" s="1" t="n">
        <v>344000</v>
      </c>
      <c r="D6421" s="1" t="n">
        <v>18162.9</v>
      </c>
      <c r="E6421" s="1" t="n">
        <v>0.0225</v>
      </c>
      <c r="F6421" s="1" t="n">
        <v>0.0759</v>
      </c>
    </row>
    <row r="6422" customFormat="false" ht="15" hidden="false" customHeight="false" outlineLevel="0" collapsed="false">
      <c r="A6422" s="1" t="s">
        <v>6457</v>
      </c>
      <c r="B6422" s="1" t="s">
        <v>74</v>
      </c>
      <c r="C6422" s="1" t="n">
        <v>336000</v>
      </c>
      <c r="D6422" s="1" t="n">
        <v>5325.2</v>
      </c>
      <c r="E6422" s="1" t="n">
        <v>0.0598</v>
      </c>
      <c r="F6422" s="1" t="n">
        <v>0.0759</v>
      </c>
    </row>
    <row r="6423" customFormat="false" ht="15" hidden="false" customHeight="false" outlineLevel="0" collapsed="false">
      <c r="A6423" s="1" t="s">
        <v>6458</v>
      </c>
      <c r="B6423" s="1" t="s">
        <v>41</v>
      </c>
      <c r="C6423" s="1" t="n">
        <v>322000</v>
      </c>
      <c r="D6423" s="1" t="n">
        <v>355.4</v>
      </c>
      <c r="E6423" s="1" t="n">
        <v>0.0813</v>
      </c>
      <c r="F6423" s="1" t="n">
        <v>0.0759</v>
      </c>
    </row>
    <row r="6424" customFormat="false" ht="15" hidden="false" customHeight="false" outlineLevel="0" collapsed="false">
      <c r="A6424" s="1" t="s">
        <v>6459</v>
      </c>
      <c r="B6424" s="1" t="s">
        <v>26</v>
      </c>
      <c r="C6424" s="1" t="n">
        <v>326000</v>
      </c>
      <c r="D6424" s="1" t="n">
        <v>35223.2</v>
      </c>
      <c r="E6424" s="1" t="n">
        <v>0.0223</v>
      </c>
      <c r="F6424" s="1" t="n">
        <v>0.0951</v>
      </c>
    </row>
    <row r="6425" customFormat="false" ht="15" hidden="false" customHeight="false" outlineLevel="0" collapsed="false">
      <c r="A6425" s="1" t="s">
        <v>6460</v>
      </c>
      <c r="B6425" s="1" t="s">
        <v>26</v>
      </c>
      <c r="C6425" s="1" t="n">
        <v>470000</v>
      </c>
      <c r="D6425" s="1" t="n">
        <v>9087.7</v>
      </c>
      <c r="E6425" s="1" t="n">
        <v>0.0352</v>
      </c>
      <c r="F6425" s="1" t="n">
        <v>0.0759</v>
      </c>
    </row>
    <row r="6426" customFormat="false" ht="15" hidden="false" customHeight="false" outlineLevel="0" collapsed="false">
      <c r="A6426" s="1" t="s">
        <v>6461</v>
      </c>
      <c r="B6426" s="1" t="s">
        <v>26</v>
      </c>
      <c r="C6426" s="1" t="n">
        <v>332000</v>
      </c>
      <c r="D6426" s="1" t="n">
        <v>6845.9</v>
      </c>
      <c r="E6426" s="1" t="n">
        <v>0.0305</v>
      </c>
      <c r="F6426" s="1" t="n">
        <v>0.0951</v>
      </c>
    </row>
    <row r="6427" customFormat="false" ht="15" hidden="false" customHeight="false" outlineLevel="0" collapsed="false">
      <c r="A6427" s="1" t="s">
        <v>6462</v>
      </c>
      <c r="B6427" s="1" t="s">
        <v>88</v>
      </c>
      <c r="C6427" s="1" t="n">
        <v>391000</v>
      </c>
      <c r="D6427" s="1" t="n">
        <v>444.8</v>
      </c>
      <c r="E6427" s="1" t="n">
        <v>0.0557</v>
      </c>
      <c r="F6427" s="1" t="n">
        <v>0.0759</v>
      </c>
    </row>
    <row r="6428" customFormat="false" ht="15" hidden="false" customHeight="false" outlineLevel="0" collapsed="false">
      <c r="A6428" s="1" t="s">
        <v>6463</v>
      </c>
      <c r="B6428" s="1" t="s">
        <v>214</v>
      </c>
      <c r="C6428" s="1" t="n">
        <v>470000</v>
      </c>
      <c r="D6428" s="1" t="n">
        <v>16179.7</v>
      </c>
      <c r="E6428" s="1" t="n">
        <v>0.0158</v>
      </c>
      <c r="F6428" s="1" t="n">
        <v>0.0488</v>
      </c>
    </row>
    <row r="6429" customFormat="false" ht="15" hidden="false" customHeight="false" outlineLevel="0" collapsed="false">
      <c r="A6429" s="1" t="s">
        <v>6464</v>
      </c>
      <c r="B6429" s="1" t="s">
        <v>26</v>
      </c>
      <c r="C6429" s="1" t="n">
        <v>407000</v>
      </c>
      <c r="D6429" s="1" t="n">
        <v>35339.2</v>
      </c>
      <c r="E6429" s="1" t="n">
        <v>0.0631</v>
      </c>
      <c r="F6429" s="1" t="n">
        <v>0.0759</v>
      </c>
    </row>
    <row r="6430" customFormat="false" ht="15" hidden="false" customHeight="false" outlineLevel="0" collapsed="false">
      <c r="A6430" s="1" t="s">
        <v>6465</v>
      </c>
      <c r="B6430" s="1" t="s">
        <v>24</v>
      </c>
      <c r="C6430" s="1" t="n">
        <v>360000</v>
      </c>
      <c r="D6430" s="1" t="n">
        <v>3152.9</v>
      </c>
      <c r="E6430" s="1" t="n">
        <v>0.0364</v>
      </c>
      <c r="F6430" s="1" t="n">
        <v>0.0938</v>
      </c>
    </row>
    <row r="6431" customFormat="false" ht="15" hidden="false" customHeight="false" outlineLevel="0" collapsed="false">
      <c r="A6431" s="1" t="s">
        <v>6466</v>
      </c>
      <c r="B6431" s="1" t="s">
        <v>26</v>
      </c>
      <c r="C6431" s="1" t="n">
        <v>303000</v>
      </c>
      <c r="D6431" s="1" t="n">
        <v>710.3</v>
      </c>
      <c r="F6431" s="1" t="n">
        <v>0.0951</v>
      </c>
    </row>
    <row r="6432" customFormat="false" ht="15" hidden="false" customHeight="false" outlineLevel="0" collapsed="false">
      <c r="A6432" s="1" t="s">
        <v>6467</v>
      </c>
      <c r="B6432" s="1" t="s">
        <v>28</v>
      </c>
      <c r="C6432" s="1" t="n">
        <v>514000</v>
      </c>
      <c r="D6432" s="1" t="n">
        <v>913</v>
      </c>
      <c r="E6432" s="1" t="n">
        <v>0.0127</v>
      </c>
      <c r="F6432" s="1" t="n">
        <v>0.0462</v>
      </c>
    </row>
    <row r="6433" customFormat="false" ht="15" hidden="false" customHeight="false" outlineLevel="0" collapsed="false">
      <c r="A6433" s="1" t="s">
        <v>6468</v>
      </c>
      <c r="B6433" s="1" t="s">
        <v>21</v>
      </c>
      <c r="C6433" s="1" t="n">
        <v>329000</v>
      </c>
      <c r="D6433" s="1" t="n">
        <v>7404.7</v>
      </c>
      <c r="E6433" s="1" t="n">
        <v>0.085</v>
      </c>
      <c r="F6433" s="1" t="n">
        <v>0.0951</v>
      </c>
    </row>
    <row r="6434" customFormat="false" ht="15" hidden="false" customHeight="false" outlineLevel="0" collapsed="false">
      <c r="A6434" s="1" t="s">
        <v>6469</v>
      </c>
      <c r="B6434" s="1" t="s">
        <v>71</v>
      </c>
      <c r="C6434" s="1" t="n">
        <v>346000</v>
      </c>
      <c r="D6434" s="1" t="n">
        <v>38619.8</v>
      </c>
      <c r="E6434" s="1" t="n">
        <v>0.0225</v>
      </c>
      <c r="F6434" s="1" t="n">
        <v>0.0432</v>
      </c>
    </row>
    <row r="6435" customFormat="false" ht="15" hidden="false" customHeight="false" outlineLevel="0" collapsed="false">
      <c r="A6435" s="1" t="s">
        <v>6470</v>
      </c>
      <c r="B6435" s="1" t="s">
        <v>41</v>
      </c>
      <c r="C6435" s="1" t="n">
        <v>357000</v>
      </c>
      <c r="D6435" s="1" t="n">
        <v>42335.3</v>
      </c>
      <c r="E6435" s="1" t="n">
        <v>0.0022</v>
      </c>
      <c r="F6435" s="1" t="n">
        <v>0.0654</v>
      </c>
    </row>
    <row r="6436" customFormat="false" ht="15" hidden="false" customHeight="false" outlineLevel="0" collapsed="false">
      <c r="A6436" s="1" t="s">
        <v>6471</v>
      </c>
      <c r="B6436" s="1" t="s">
        <v>287</v>
      </c>
      <c r="C6436" s="1" t="n">
        <v>657000</v>
      </c>
      <c r="D6436" s="1" t="n">
        <v>181701.4</v>
      </c>
      <c r="E6436" s="1" t="n">
        <v>0.0123</v>
      </c>
      <c r="F6436" s="1" t="n">
        <v>0.0584</v>
      </c>
    </row>
    <row r="6437" customFormat="false" ht="15" hidden="false" customHeight="false" outlineLevel="0" collapsed="false">
      <c r="A6437" s="1" t="s">
        <v>6472</v>
      </c>
      <c r="B6437" s="1" t="s">
        <v>92</v>
      </c>
      <c r="C6437" s="1" t="n">
        <v>510000</v>
      </c>
      <c r="D6437" s="1" t="n">
        <v>83968.6</v>
      </c>
      <c r="E6437" s="1" t="n">
        <v>0.0196</v>
      </c>
      <c r="F6437" s="1" t="n">
        <v>0.0462</v>
      </c>
    </row>
    <row r="6438" customFormat="false" ht="15" hidden="false" customHeight="false" outlineLevel="0" collapsed="false">
      <c r="A6438" s="1" t="s">
        <v>6473</v>
      </c>
      <c r="B6438" s="1" t="s">
        <v>62</v>
      </c>
      <c r="C6438" s="1" t="n">
        <v>388000</v>
      </c>
      <c r="D6438" s="1" t="n">
        <v>40992.1</v>
      </c>
      <c r="E6438" s="1" t="n">
        <v>0.0445</v>
      </c>
      <c r="F6438" s="1" t="n">
        <v>0.0409</v>
      </c>
    </row>
    <row r="6439" customFormat="false" ht="15" hidden="false" customHeight="false" outlineLevel="0" collapsed="false">
      <c r="A6439" s="1" t="s">
        <v>6474</v>
      </c>
      <c r="B6439" s="1" t="s">
        <v>74</v>
      </c>
      <c r="C6439" s="1" t="n">
        <v>320000</v>
      </c>
      <c r="D6439" s="1" t="n">
        <v>1871.3</v>
      </c>
      <c r="E6439" s="1" t="n">
        <v>0.0388</v>
      </c>
      <c r="F6439" s="1" t="n">
        <v>0.0951</v>
      </c>
    </row>
    <row r="6440" customFormat="false" ht="15" hidden="false" customHeight="false" outlineLevel="0" collapsed="false">
      <c r="A6440" s="1" t="s">
        <v>6475</v>
      </c>
      <c r="B6440" s="1" t="s">
        <v>24</v>
      </c>
      <c r="C6440" s="1" t="n">
        <v>431000</v>
      </c>
      <c r="D6440" s="1" t="n">
        <v>14361.8</v>
      </c>
      <c r="E6440" s="1" t="n">
        <v>0.0607</v>
      </c>
      <c r="F6440" s="1" t="n">
        <v>0.0951</v>
      </c>
    </row>
    <row r="6441" customFormat="false" ht="15" hidden="false" customHeight="false" outlineLevel="0" collapsed="false">
      <c r="A6441" s="1" t="s">
        <v>6476</v>
      </c>
      <c r="B6441" s="1" t="s">
        <v>26</v>
      </c>
      <c r="C6441" s="1" t="n">
        <v>366000</v>
      </c>
      <c r="D6441" s="1" t="n">
        <v>16198</v>
      </c>
      <c r="E6441" s="1" t="n">
        <v>0.0447</v>
      </c>
      <c r="F6441" s="1" t="n">
        <v>0.0951</v>
      </c>
    </row>
    <row r="6442" customFormat="false" ht="15" hidden="false" customHeight="false" outlineLevel="0" collapsed="false">
      <c r="A6442" s="1" t="s">
        <v>6477</v>
      </c>
      <c r="B6442" s="1" t="s">
        <v>88</v>
      </c>
      <c r="C6442" s="1" t="n">
        <v>415000</v>
      </c>
      <c r="D6442" s="1" t="n">
        <v>15733.7</v>
      </c>
      <c r="E6442" s="1" t="n">
        <v>0.0219</v>
      </c>
      <c r="F6442" s="1" t="n">
        <v>0.0759</v>
      </c>
    </row>
    <row r="6443" customFormat="false" ht="15" hidden="false" customHeight="false" outlineLevel="0" collapsed="false">
      <c r="A6443" s="1" t="s">
        <v>6478</v>
      </c>
      <c r="B6443" s="1" t="s">
        <v>53</v>
      </c>
      <c r="C6443" s="1" t="n">
        <v>347000</v>
      </c>
      <c r="D6443" s="1" t="n">
        <v>11148.6</v>
      </c>
      <c r="E6443" s="1" t="n">
        <v>0.0566</v>
      </c>
      <c r="F6443" s="1" t="n">
        <v>0.0409</v>
      </c>
    </row>
    <row r="6444" customFormat="false" ht="15" hidden="false" customHeight="false" outlineLevel="0" collapsed="false">
      <c r="A6444" s="1" t="s">
        <v>6479</v>
      </c>
      <c r="B6444" s="1" t="s">
        <v>41</v>
      </c>
      <c r="C6444" s="1" t="n">
        <v>407000</v>
      </c>
      <c r="D6444" s="1" t="n">
        <v>419.3</v>
      </c>
      <c r="E6444" s="1" t="n">
        <v>0.0286</v>
      </c>
      <c r="F6444" s="1" t="n">
        <v>0.6271</v>
      </c>
    </row>
    <row r="6445" customFormat="false" ht="15" hidden="false" customHeight="false" outlineLevel="0" collapsed="false">
      <c r="A6445" s="1" t="s">
        <v>6480</v>
      </c>
      <c r="B6445" s="1" t="s">
        <v>24</v>
      </c>
      <c r="C6445" s="1" t="n">
        <v>313000</v>
      </c>
      <c r="D6445" s="1" t="n">
        <v>1474.9</v>
      </c>
      <c r="E6445" s="1" t="n">
        <v>0.0066</v>
      </c>
      <c r="F6445" s="1" t="n">
        <v>0.0822</v>
      </c>
    </row>
    <row r="6446" customFormat="false" ht="15" hidden="false" customHeight="false" outlineLevel="0" collapsed="false">
      <c r="A6446" s="1" t="s">
        <v>6481</v>
      </c>
      <c r="B6446" s="1" t="s">
        <v>24</v>
      </c>
      <c r="C6446" s="1" t="n">
        <v>385000</v>
      </c>
      <c r="D6446" s="1" t="n">
        <v>6530.5</v>
      </c>
      <c r="E6446" s="1" t="n">
        <v>0.0469</v>
      </c>
      <c r="F6446" s="1" t="n">
        <v>0.0938</v>
      </c>
    </row>
    <row r="6447" customFormat="false" ht="15" hidden="false" customHeight="false" outlineLevel="0" collapsed="false">
      <c r="A6447" s="1" t="s">
        <v>6482</v>
      </c>
      <c r="B6447" s="1" t="s">
        <v>26</v>
      </c>
      <c r="C6447" s="1" t="n">
        <v>413000</v>
      </c>
      <c r="D6447" s="1" t="n">
        <v>5897.6</v>
      </c>
      <c r="E6447" s="1" t="n">
        <v>0.0126</v>
      </c>
      <c r="F6447" s="1" t="n">
        <v>0.0822</v>
      </c>
    </row>
    <row r="6448" customFormat="false" ht="15" hidden="false" customHeight="false" outlineLevel="0" collapsed="false">
      <c r="A6448" s="1" t="s">
        <v>6483</v>
      </c>
      <c r="B6448" s="1" t="s">
        <v>490</v>
      </c>
      <c r="C6448" s="1" t="n">
        <v>497000</v>
      </c>
      <c r="D6448" s="1" t="n">
        <v>2352.7</v>
      </c>
      <c r="E6448" s="1" t="n">
        <v>0.0179</v>
      </c>
      <c r="F6448" s="1" t="n">
        <v>0.0576</v>
      </c>
    </row>
    <row r="6449" customFormat="false" ht="15" hidden="false" customHeight="false" outlineLevel="0" collapsed="false">
      <c r="A6449" s="1" t="s">
        <v>6484</v>
      </c>
      <c r="B6449" s="1" t="s">
        <v>88</v>
      </c>
      <c r="C6449" s="1" t="n">
        <v>351000</v>
      </c>
      <c r="D6449" s="1" t="n">
        <v>4285.6</v>
      </c>
      <c r="E6449" s="1" t="n">
        <v>0.0319</v>
      </c>
      <c r="F6449" s="1" t="n">
        <v>0.0938</v>
      </c>
    </row>
    <row r="6450" customFormat="false" ht="15" hidden="false" customHeight="false" outlineLevel="0" collapsed="false">
      <c r="A6450" s="1" t="s">
        <v>6485</v>
      </c>
      <c r="B6450" s="1" t="s">
        <v>26</v>
      </c>
      <c r="C6450" s="1" t="n">
        <v>361000</v>
      </c>
      <c r="D6450" s="1" t="n">
        <v>1828.7</v>
      </c>
      <c r="E6450" s="1" t="n">
        <v>0.0204</v>
      </c>
      <c r="F6450" s="1" t="n">
        <v>0.0854</v>
      </c>
    </row>
    <row r="6451" customFormat="false" ht="15" hidden="false" customHeight="false" outlineLevel="0" collapsed="false">
      <c r="A6451" s="1" t="s">
        <v>6486</v>
      </c>
      <c r="B6451" s="1" t="s">
        <v>214</v>
      </c>
      <c r="C6451" s="1" t="n">
        <v>397000</v>
      </c>
      <c r="D6451" s="1" t="n">
        <v>49081.8</v>
      </c>
      <c r="E6451" s="1" t="n">
        <v>0.0154</v>
      </c>
      <c r="F6451" s="1" t="n">
        <v>0.0462</v>
      </c>
    </row>
    <row r="6452" customFormat="false" ht="15" hidden="false" customHeight="false" outlineLevel="0" collapsed="false">
      <c r="A6452" s="1" t="s">
        <v>6487</v>
      </c>
      <c r="B6452" s="1" t="s">
        <v>92</v>
      </c>
      <c r="C6452" s="1" t="n">
        <v>412000</v>
      </c>
      <c r="D6452" s="1" t="n">
        <v>30348.7</v>
      </c>
      <c r="E6452" s="1" t="n">
        <v>0.0136</v>
      </c>
      <c r="F6452" s="1" t="n">
        <v>0.0608</v>
      </c>
    </row>
    <row r="6453" customFormat="false" ht="15" hidden="false" customHeight="false" outlineLevel="0" collapsed="false">
      <c r="A6453" s="1" t="s">
        <v>6488</v>
      </c>
      <c r="B6453" s="1" t="s">
        <v>88</v>
      </c>
      <c r="C6453" s="1" t="n">
        <v>458000</v>
      </c>
      <c r="D6453" s="1" t="n">
        <v>2672.4</v>
      </c>
      <c r="E6453" s="1" t="n">
        <v>0.1293</v>
      </c>
      <c r="F6453" s="1" t="n">
        <v>0.0938</v>
      </c>
    </row>
    <row r="6454" customFormat="false" ht="15" hidden="false" customHeight="false" outlineLevel="0" collapsed="false">
      <c r="A6454" s="1" t="s">
        <v>6489</v>
      </c>
      <c r="B6454" s="1" t="s">
        <v>26</v>
      </c>
      <c r="C6454" s="1" t="n">
        <v>421000</v>
      </c>
      <c r="D6454" s="1" t="n">
        <v>30262.5</v>
      </c>
      <c r="E6454" s="1" t="n">
        <v>0.0423</v>
      </c>
      <c r="F6454" s="1" t="n">
        <v>0.0432</v>
      </c>
    </row>
    <row r="6455" customFormat="false" ht="15" hidden="false" customHeight="false" outlineLevel="0" collapsed="false">
      <c r="A6455" s="1" t="s">
        <v>6490</v>
      </c>
      <c r="B6455" s="1" t="s">
        <v>26</v>
      </c>
      <c r="C6455" s="1" t="n">
        <v>607000</v>
      </c>
      <c r="D6455" s="1" t="n">
        <v>21078.4</v>
      </c>
      <c r="E6455" s="1" t="n">
        <v>0.0743</v>
      </c>
      <c r="F6455" s="1" t="n">
        <v>0.0951</v>
      </c>
    </row>
    <row r="6456" customFormat="false" ht="15" hidden="false" customHeight="false" outlineLevel="0" collapsed="false">
      <c r="A6456" s="1" t="s">
        <v>6491</v>
      </c>
      <c r="B6456" s="1" t="s">
        <v>88</v>
      </c>
      <c r="C6456" s="1" t="n">
        <v>658000</v>
      </c>
      <c r="D6456" s="1" t="n">
        <v>9237.8</v>
      </c>
      <c r="E6456" s="1" t="n">
        <v>0.0388</v>
      </c>
      <c r="F6456" s="1" t="n">
        <v>0.0938</v>
      </c>
    </row>
    <row r="6457" customFormat="false" ht="15" hidden="false" customHeight="false" outlineLevel="0" collapsed="false">
      <c r="A6457" s="1" t="s">
        <v>6492</v>
      </c>
      <c r="B6457" s="1" t="s">
        <v>88</v>
      </c>
      <c r="C6457" s="1" t="n">
        <v>355000</v>
      </c>
      <c r="D6457" s="1" t="n">
        <v>9788.5</v>
      </c>
      <c r="E6457" s="1" t="n">
        <v>0.0246</v>
      </c>
      <c r="F6457" s="1" t="n">
        <v>0.0522</v>
      </c>
    </row>
    <row r="6458" customFormat="false" ht="15" hidden="false" customHeight="false" outlineLevel="0" collapsed="false">
      <c r="A6458" s="1" t="s">
        <v>6493</v>
      </c>
      <c r="B6458" s="1" t="s">
        <v>490</v>
      </c>
      <c r="C6458" s="1" t="n">
        <v>745000</v>
      </c>
      <c r="D6458" s="1" t="n">
        <v>11355.7</v>
      </c>
      <c r="E6458" s="1" t="n">
        <v>0.007</v>
      </c>
      <c r="F6458" s="1" t="n">
        <v>0.0654</v>
      </c>
    </row>
    <row r="6459" customFormat="false" ht="15" hidden="false" customHeight="false" outlineLevel="0" collapsed="false">
      <c r="A6459" s="1" t="s">
        <v>6494</v>
      </c>
      <c r="B6459" s="1" t="s">
        <v>26</v>
      </c>
      <c r="C6459" s="1" t="n">
        <v>565000</v>
      </c>
      <c r="D6459" s="1" t="n">
        <v>7470.1</v>
      </c>
      <c r="E6459" s="1" t="n">
        <v>0.1043</v>
      </c>
      <c r="F6459" s="1" t="n">
        <v>0.0938</v>
      </c>
    </row>
    <row r="6460" customFormat="false" ht="15" hidden="false" customHeight="false" outlineLevel="0" collapsed="false">
      <c r="A6460" s="1" t="s">
        <v>6495</v>
      </c>
      <c r="B6460" s="1" t="s">
        <v>35</v>
      </c>
      <c r="C6460" s="1" t="n">
        <v>338000</v>
      </c>
      <c r="D6460" s="1" t="n">
        <v>10754.3</v>
      </c>
      <c r="E6460" s="1" t="n">
        <v>0.0722</v>
      </c>
      <c r="F6460" s="1" t="n">
        <v>0.0759</v>
      </c>
    </row>
    <row r="6461" customFormat="false" ht="15" hidden="false" customHeight="false" outlineLevel="0" collapsed="false">
      <c r="A6461" s="1" t="s">
        <v>6496</v>
      </c>
      <c r="B6461" s="1" t="s">
        <v>26</v>
      </c>
      <c r="C6461" s="1" t="n">
        <v>350000</v>
      </c>
      <c r="D6461" s="1" t="n">
        <v>2724.5</v>
      </c>
      <c r="F6461" s="1" t="n">
        <v>0.0951</v>
      </c>
    </row>
    <row r="6462" customFormat="false" ht="15" hidden="false" customHeight="false" outlineLevel="0" collapsed="false">
      <c r="A6462" s="1" t="s">
        <v>6497</v>
      </c>
      <c r="B6462" s="1" t="s">
        <v>214</v>
      </c>
      <c r="C6462" s="1" t="n">
        <v>539000</v>
      </c>
      <c r="D6462" s="1" t="n">
        <v>12534.3</v>
      </c>
      <c r="E6462" s="1" t="n">
        <v>0.003</v>
      </c>
      <c r="F6462" s="1" t="n">
        <v>0.0654</v>
      </c>
    </row>
    <row r="6463" customFormat="false" ht="15" hidden="false" customHeight="false" outlineLevel="0" collapsed="false">
      <c r="A6463" s="1" t="s">
        <v>6498</v>
      </c>
      <c r="B6463" s="1" t="s">
        <v>92</v>
      </c>
      <c r="C6463" s="1" t="n">
        <v>398000</v>
      </c>
      <c r="D6463" s="1" t="n">
        <v>444.4</v>
      </c>
      <c r="E6463" s="1" t="n">
        <v>0.0255</v>
      </c>
      <c r="F6463" s="1" t="n">
        <v>0.1226</v>
      </c>
    </row>
    <row r="6464" customFormat="false" ht="15" hidden="false" customHeight="false" outlineLevel="0" collapsed="false">
      <c r="A6464" s="1" t="s">
        <v>6499</v>
      </c>
      <c r="B6464" s="1" t="s">
        <v>214</v>
      </c>
      <c r="C6464" s="1" t="n">
        <v>327000</v>
      </c>
      <c r="D6464" s="1" t="n">
        <v>37431.4</v>
      </c>
      <c r="E6464" s="1" t="n">
        <v>0.0381</v>
      </c>
      <c r="F6464" s="1" t="n">
        <v>0.0951</v>
      </c>
    </row>
    <row r="6465" customFormat="false" ht="15" hidden="false" customHeight="false" outlineLevel="0" collapsed="false">
      <c r="A6465" s="1" t="s">
        <v>6500</v>
      </c>
      <c r="B6465" s="1" t="s">
        <v>74</v>
      </c>
      <c r="C6465" s="1" t="n">
        <v>338000</v>
      </c>
      <c r="D6465" s="1" t="n">
        <v>95779.5</v>
      </c>
      <c r="E6465" s="1" t="n">
        <v>0.0646</v>
      </c>
      <c r="F6465" s="1" t="n">
        <v>0.0951</v>
      </c>
    </row>
    <row r="6466" customFormat="false" ht="15" hidden="false" customHeight="false" outlineLevel="0" collapsed="false">
      <c r="A6466" s="1" t="s">
        <v>6501</v>
      </c>
      <c r="B6466" s="1" t="s">
        <v>26</v>
      </c>
      <c r="C6466" s="1" t="n">
        <v>423000</v>
      </c>
      <c r="D6466" s="1" t="n">
        <v>3508.6</v>
      </c>
      <c r="E6466" s="1" t="n">
        <v>0.0121</v>
      </c>
      <c r="F6466" s="1" t="n">
        <v>0.0759</v>
      </c>
    </row>
    <row r="6467" customFormat="false" ht="15" hidden="false" customHeight="false" outlineLevel="0" collapsed="false">
      <c r="A6467" s="1" t="s">
        <v>6502</v>
      </c>
      <c r="B6467" s="1" t="s">
        <v>88</v>
      </c>
      <c r="C6467" s="1" t="n">
        <v>306000</v>
      </c>
      <c r="D6467" s="1" t="n">
        <v>20720.1</v>
      </c>
      <c r="E6467" s="1" t="n">
        <v>0.0893</v>
      </c>
      <c r="F6467" s="1" t="n">
        <v>0.0759</v>
      </c>
    </row>
    <row r="6468" customFormat="false" ht="15" hidden="false" customHeight="false" outlineLevel="0" collapsed="false">
      <c r="A6468" s="1" t="s">
        <v>6503</v>
      </c>
      <c r="B6468" s="1" t="s">
        <v>26</v>
      </c>
      <c r="C6468" s="1" t="n">
        <v>375000</v>
      </c>
      <c r="D6468" s="1" t="n">
        <v>20727.3</v>
      </c>
      <c r="E6468" s="1" t="n">
        <v>0.0335</v>
      </c>
      <c r="F6468" s="1" t="n">
        <v>0.0409</v>
      </c>
    </row>
    <row r="6469" customFormat="false" ht="15" hidden="false" customHeight="false" outlineLevel="0" collapsed="false">
      <c r="A6469" s="1" t="s">
        <v>6504</v>
      </c>
      <c r="B6469" s="1" t="s">
        <v>26</v>
      </c>
      <c r="C6469" s="1" t="n">
        <v>393000</v>
      </c>
      <c r="D6469" s="1" t="n">
        <v>32202.6</v>
      </c>
      <c r="E6469" s="1" t="n">
        <v>0.0442</v>
      </c>
      <c r="F6469" s="1" t="n">
        <v>0.0759</v>
      </c>
    </row>
    <row r="6470" customFormat="false" ht="15" hidden="false" customHeight="false" outlineLevel="0" collapsed="false">
      <c r="A6470" s="1" t="s">
        <v>6505</v>
      </c>
      <c r="B6470" s="1" t="s">
        <v>26</v>
      </c>
      <c r="C6470" s="1" t="n">
        <v>637000</v>
      </c>
      <c r="D6470" s="1" t="n">
        <v>21598</v>
      </c>
      <c r="E6470" s="1" t="n">
        <v>0.0169</v>
      </c>
      <c r="F6470" s="1" t="n">
        <v>0.0585</v>
      </c>
    </row>
    <row r="6471" customFormat="false" ht="15" hidden="false" customHeight="false" outlineLevel="0" collapsed="false">
      <c r="A6471" s="1" t="s">
        <v>6506</v>
      </c>
      <c r="B6471" s="1" t="s">
        <v>41</v>
      </c>
      <c r="C6471" s="1" t="n">
        <v>380000</v>
      </c>
      <c r="D6471" s="1" t="n">
        <v>5314.6</v>
      </c>
      <c r="E6471" s="1" t="n">
        <v>0.0304</v>
      </c>
      <c r="F6471" s="1" t="n">
        <v>0.0951</v>
      </c>
    </row>
    <row r="6472" customFormat="false" ht="15" hidden="false" customHeight="false" outlineLevel="0" collapsed="false">
      <c r="A6472" s="1" t="s">
        <v>6507</v>
      </c>
      <c r="B6472" s="1" t="s">
        <v>26</v>
      </c>
      <c r="C6472" s="1" t="n">
        <v>500000</v>
      </c>
      <c r="D6472" s="1" t="n">
        <v>110817.2</v>
      </c>
      <c r="E6472" s="1" t="n">
        <v>0.0113</v>
      </c>
      <c r="F6472" s="1" t="n">
        <v>0.0584</v>
      </c>
    </row>
    <row r="6473" customFormat="false" ht="15" hidden="false" customHeight="false" outlineLevel="0" collapsed="false">
      <c r="A6473" s="1" t="s">
        <v>6508</v>
      </c>
      <c r="B6473" s="1" t="s">
        <v>26</v>
      </c>
      <c r="C6473" s="1" t="n">
        <v>318000</v>
      </c>
      <c r="D6473" s="1" t="n">
        <v>12069.1</v>
      </c>
      <c r="E6473" s="1" t="n">
        <v>0.0368</v>
      </c>
      <c r="F6473" s="1" t="n">
        <v>0.0518</v>
      </c>
    </row>
    <row r="6474" customFormat="false" ht="15" hidden="false" customHeight="false" outlineLevel="0" collapsed="false">
      <c r="A6474" s="1" t="s">
        <v>6509</v>
      </c>
      <c r="B6474" s="1" t="s">
        <v>26</v>
      </c>
      <c r="C6474" s="1" t="n">
        <v>365000</v>
      </c>
      <c r="D6474" s="1" t="n">
        <v>3318.6</v>
      </c>
      <c r="E6474" s="1" t="n">
        <v>0.0157</v>
      </c>
      <c r="F6474" s="1" t="n">
        <v>0.0585</v>
      </c>
    </row>
    <row r="6475" customFormat="false" ht="15" hidden="false" customHeight="false" outlineLevel="0" collapsed="false">
      <c r="A6475" s="1" t="s">
        <v>6510</v>
      </c>
      <c r="B6475" s="1" t="s">
        <v>41</v>
      </c>
      <c r="C6475" s="1" t="n">
        <v>574000</v>
      </c>
      <c r="D6475" s="1" t="n">
        <v>9593.7</v>
      </c>
      <c r="E6475" s="1" t="n">
        <v>0.0527</v>
      </c>
      <c r="F6475" s="1" t="n">
        <v>0.0759</v>
      </c>
    </row>
    <row r="6476" customFormat="false" ht="15" hidden="false" customHeight="false" outlineLevel="0" collapsed="false">
      <c r="A6476" s="1" t="s">
        <v>6511</v>
      </c>
      <c r="B6476" s="1" t="s">
        <v>50</v>
      </c>
      <c r="C6476" s="1" t="n">
        <v>538000</v>
      </c>
      <c r="D6476" s="1" t="n">
        <v>2132.7</v>
      </c>
      <c r="E6476" s="1" t="n">
        <v>0.023</v>
      </c>
      <c r="F6476" s="1" t="n">
        <v>0.1226</v>
      </c>
    </row>
    <row r="6477" customFormat="false" ht="15" hidden="false" customHeight="false" outlineLevel="0" collapsed="false">
      <c r="A6477" s="1" t="s">
        <v>6512</v>
      </c>
      <c r="B6477" s="1" t="s">
        <v>287</v>
      </c>
      <c r="C6477" s="1" t="n">
        <v>341000</v>
      </c>
      <c r="D6477" s="1" t="n">
        <v>14150.2</v>
      </c>
      <c r="E6477" s="1" t="n">
        <v>0.0008</v>
      </c>
      <c r="F6477" s="1" t="n">
        <v>0.0654</v>
      </c>
    </row>
    <row r="6478" customFormat="false" ht="15" hidden="false" customHeight="false" outlineLevel="0" collapsed="false">
      <c r="A6478" s="1" t="s">
        <v>6513</v>
      </c>
      <c r="B6478" s="1" t="s">
        <v>26</v>
      </c>
      <c r="C6478" s="1" t="n">
        <v>438000</v>
      </c>
      <c r="D6478" s="1" t="n">
        <v>42112.3</v>
      </c>
      <c r="E6478" s="1" t="n">
        <v>0.0478</v>
      </c>
      <c r="F6478" s="1" t="n">
        <v>0.0938</v>
      </c>
    </row>
    <row r="6479" customFormat="false" ht="15" hidden="false" customHeight="false" outlineLevel="0" collapsed="false">
      <c r="A6479" s="1" t="s">
        <v>6514</v>
      </c>
      <c r="B6479" s="1" t="s">
        <v>26</v>
      </c>
      <c r="C6479" s="1" t="n">
        <v>341000</v>
      </c>
      <c r="D6479" s="1" t="n">
        <v>2670.7</v>
      </c>
      <c r="E6479" s="1" t="n">
        <v>0.0382</v>
      </c>
      <c r="F6479" s="1" t="n">
        <v>0.0759</v>
      </c>
    </row>
    <row r="6480" customFormat="false" ht="15" hidden="false" customHeight="false" outlineLevel="0" collapsed="false">
      <c r="A6480" s="1" t="s">
        <v>6515</v>
      </c>
      <c r="B6480" s="1" t="s">
        <v>195</v>
      </c>
      <c r="C6480" s="1" t="n">
        <v>784000</v>
      </c>
      <c r="D6480" s="1" t="n">
        <v>3819.5</v>
      </c>
      <c r="E6480" s="1" t="n">
        <v>0.0425</v>
      </c>
      <c r="F6480" s="1" t="n">
        <v>0.0759</v>
      </c>
    </row>
    <row r="6481" customFormat="false" ht="15" hidden="false" customHeight="false" outlineLevel="0" collapsed="false">
      <c r="A6481" s="1" t="s">
        <v>6516</v>
      </c>
      <c r="B6481" s="1" t="s">
        <v>214</v>
      </c>
      <c r="C6481" s="1" t="n">
        <v>329000</v>
      </c>
      <c r="D6481" s="1" t="n">
        <v>3540.4</v>
      </c>
      <c r="E6481" s="1" t="n">
        <v>0.0115</v>
      </c>
      <c r="F6481" s="1" t="n">
        <v>0.1327</v>
      </c>
    </row>
    <row r="6482" customFormat="false" ht="15" hidden="false" customHeight="false" outlineLevel="0" collapsed="false">
      <c r="A6482" s="1" t="s">
        <v>6517</v>
      </c>
      <c r="B6482" s="1" t="s">
        <v>21</v>
      </c>
      <c r="C6482" s="1" t="n">
        <v>1730000</v>
      </c>
      <c r="D6482" s="1" t="n">
        <v>51493.9</v>
      </c>
      <c r="E6482" s="1" t="n">
        <v>0.0311</v>
      </c>
      <c r="F6482" s="1" t="n">
        <v>0.0938</v>
      </c>
    </row>
    <row r="6483" customFormat="false" ht="15" hidden="false" customHeight="false" outlineLevel="0" collapsed="false">
      <c r="A6483" s="1" t="s">
        <v>6518</v>
      </c>
      <c r="B6483" s="1" t="s">
        <v>26</v>
      </c>
      <c r="C6483" s="1" t="n">
        <v>506000</v>
      </c>
      <c r="D6483" s="1" t="n">
        <v>4381.1</v>
      </c>
      <c r="E6483" s="1" t="n">
        <v>0.0389</v>
      </c>
      <c r="F6483" s="1" t="n">
        <v>0.0759</v>
      </c>
    </row>
    <row r="6484" customFormat="false" ht="15" hidden="false" customHeight="false" outlineLevel="0" collapsed="false">
      <c r="A6484" s="1" t="s">
        <v>6519</v>
      </c>
      <c r="B6484" s="1" t="s">
        <v>92</v>
      </c>
      <c r="C6484" s="1" t="n">
        <v>330000</v>
      </c>
      <c r="D6484" s="1" t="n">
        <v>3117.1</v>
      </c>
      <c r="E6484" s="1" t="n">
        <v>0.0327</v>
      </c>
      <c r="F6484" s="1" t="n">
        <v>0.0951</v>
      </c>
    </row>
    <row r="6485" customFormat="false" ht="15" hidden="false" customHeight="false" outlineLevel="0" collapsed="false">
      <c r="A6485" s="1" t="s">
        <v>6520</v>
      </c>
      <c r="B6485" s="1" t="s">
        <v>62</v>
      </c>
      <c r="C6485" s="1" t="n">
        <v>391000</v>
      </c>
      <c r="D6485" s="1" t="n">
        <v>1235.3</v>
      </c>
      <c r="E6485" s="1" t="n">
        <v>0.0157</v>
      </c>
      <c r="F6485" s="1" t="n">
        <v>0.0462</v>
      </c>
    </row>
    <row r="6486" customFormat="false" ht="15" hidden="false" customHeight="false" outlineLevel="0" collapsed="false">
      <c r="A6486" s="1" t="s">
        <v>6521</v>
      </c>
      <c r="B6486" s="1" t="s">
        <v>88</v>
      </c>
      <c r="C6486" s="1" t="n">
        <v>374000</v>
      </c>
      <c r="D6486" s="1" t="n">
        <v>206.5</v>
      </c>
      <c r="E6486" s="1" t="n">
        <v>0.0404</v>
      </c>
      <c r="F6486" s="1" t="n">
        <v>0.0938</v>
      </c>
    </row>
    <row r="6487" customFormat="false" ht="15" hidden="false" customHeight="false" outlineLevel="0" collapsed="false">
      <c r="A6487" s="1" t="s">
        <v>6522</v>
      </c>
      <c r="B6487" s="1" t="s">
        <v>26</v>
      </c>
      <c r="C6487" s="1" t="n">
        <v>363000</v>
      </c>
      <c r="D6487" s="1" t="n">
        <v>21842</v>
      </c>
      <c r="E6487" s="1" t="n">
        <v>0.0437</v>
      </c>
      <c r="F6487" s="1" t="n">
        <v>0.0759</v>
      </c>
    </row>
    <row r="6488" customFormat="false" ht="15" hidden="false" customHeight="false" outlineLevel="0" collapsed="false">
      <c r="A6488" s="1" t="s">
        <v>6523</v>
      </c>
      <c r="B6488" s="1" t="s">
        <v>88</v>
      </c>
      <c r="C6488" s="1" t="n">
        <v>412000</v>
      </c>
      <c r="D6488" s="1" t="n">
        <v>6624.5</v>
      </c>
      <c r="E6488" s="1" t="n">
        <v>0.0375</v>
      </c>
      <c r="F6488" s="1" t="n">
        <v>0.0938</v>
      </c>
    </row>
    <row r="6489" customFormat="false" ht="15" hidden="false" customHeight="false" outlineLevel="0" collapsed="false">
      <c r="A6489" s="1" t="s">
        <v>6524</v>
      </c>
      <c r="B6489" s="1" t="s">
        <v>88</v>
      </c>
      <c r="C6489" s="1" t="n">
        <v>354000</v>
      </c>
      <c r="D6489" s="1" t="n">
        <v>3955308.2</v>
      </c>
      <c r="E6489" s="1" t="n">
        <v>0.0149</v>
      </c>
      <c r="F6489" s="1" t="n">
        <v>0.0585</v>
      </c>
    </row>
    <row r="6490" customFormat="false" ht="15" hidden="false" customHeight="false" outlineLevel="0" collapsed="false">
      <c r="A6490" s="1" t="s">
        <v>6525</v>
      </c>
      <c r="B6490" s="1" t="s">
        <v>71</v>
      </c>
      <c r="C6490" s="1" t="n">
        <v>432000</v>
      </c>
      <c r="D6490" s="1" t="n">
        <v>18408.1</v>
      </c>
      <c r="E6490" s="1" t="n">
        <v>0.0272</v>
      </c>
      <c r="F6490" s="1" t="n">
        <v>0.0409</v>
      </c>
    </row>
    <row r="6491" customFormat="false" ht="15" hidden="false" customHeight="false" outlineLevel="0" collapsed="false">
      <c r="A6491" s="1" t="s">
        <v>6526</v>
      </c>
      <c r="B6491" s="1" t="s">
        <v>26</v>
      </c>
      <c r="C6491" s="1" t="n">
        <v>490000</v>
      </c>
      <c r="D6491" s="1" t="n">
        <v>125311.6</v>
      </c>
      <c r="E6491" s="1" t="n">
        <v>0.0114</v>
      </c>
      <c r="F6491" s="1" t="n">
        <v>0.0822</v>
      </c>
    </row>
    <row r="6492" customFormat="false" ht="15" hidden="false" customHeight="false" outlineLevel="0" collapsed="false">
      <c r="A6492" s="1" t="s">
        <v>6527</v>
      </c>
      <c r="B6492" s="1" t="s">
        <v>26</v>
      </c>
      <c r="C6492" s="1" t="n">
        <v>334000</v>
      </c>
      <c r="D6492" s="1" t="n">
        <v>80096.8</v>
      </c>
      <c r="E6492" s="1" t="n">
        <v>0.0751</v>
      </c>
      <c r="F6492" s="1" t="n">
        <v>0.0951</v>
      </c>
    </row>
    <row r="6493" customFormat="false" ht="15" hidden="false" customHeight="false" outlineLevel="0" collapsed="false">
      <c r="A6493" s="1" t="s">
        <v>6528</v>
      </c>
      <c r="B6493" s="1" t="s">
        <v>24</v>
      </c>
      <c r="C6493" s="1" t="n">
        <v>347000</v>
      </c>
      <c r="D6493" s="1" t="n">
        <v>18915.8</v>
      </c>
      <c r="E6493" s="1" t="n">
        <v>0.0667</v>
      </c>
      <c r="F6493" s="1" t="n">
        <v>0.0938</v>
      </c>
    </row>
    <row r="6494" customFormat="false" ht="15" hidden="false" customHeight="false" outlineLevel="0" collapsed="false">
      <c r="A6494" s="1" t="s">
        <v>6529</v>
      </c>
      <c r="B6494" s="1" t="s">
        <v>74</v>
      </c>
      <c r="C6494" s="1" t="n">
        <v>519000</v>
      </c>
      <c r="D6494" s="1" t="n">
        <v>21758.8</v>
      </c>
      <c r="E6494" s="1" t="n">
        <v>0.0229</v>
      </c>
      <c r="F6494" s="1" t="n">
        <v>0.0759</v>
      </c>
    </row>
    <row r="6495" customFormat="false" ht="15" hidden="false" customHeight="false" outlineLevel="0" collapsed="false">
      <c r="A6495" s="1" t="s">
        <v>6530</v>
      </c>
      <c r="B6495" s="1" t="s">
        <v>26</v>
      </c>
      <c r="C6495" s="1" t="n">
        <v>352000</v>
      </c>
      <c r="D6495" s="1" t="n">
        <v>10350.2</v>
      </c>
      <c r="E6495" s="1" t="n">
        <v>0.0176</v>
      </c>
      <c r="F6495" s="1" t="n">
        <v>0.0854</v>
      </c>
    </row>
    <row r="6496" customFormat="false" ht="15" hidden="false" customHeight="false" outlineLevel="0" collapsed="false">
      <c r="A6496" s="1" t="s">
        <v>6531</v>
      </c>
      <c r="B6496" s="1" t="s">
        <v>74</v>
      </c>
      <c r="C6496" s="1" t="n">
        <v>686000</v>
      </c>
      <c r="D6496" s="1" t="n">
        <v>52464.7</v>
      </c>
      <c r="E6496" s="1" t="n">
        <v>0.0054</v>
      </c>
      <c r="F6496" s="1" t="n">
        <v>0.5808</v>
      </c>
    </row>
    <row r="6497" customFormat="false" ht="15" hidden="false" customHeight="false" outlineLevel="0" collapsed="false">
      <c r="A6497" s="1" t="s">
        <v>6532</v>
      </c>
      <c r="B6497" s="1" t="s">
        <v>30</v>
      </c>
      <c r="C6497" s="1" t="n">
        <v>443000</v>
      </c>
      <c r="D6497" s="1" t="n">
        <v>131895.8</v>
      </c>
      <c r="E6497" s="1" t="n">
        <v>0.0068</v>
      </c>
      <c r="F6497" s="1" t="n">
        <v>0.0822</v>
      </c>
    </row>
    <row r="6498" customFormat="false" ht="15" hidden="false" customHeight="false" outlineLevel="0" collapsed="false">
      <c r="A6498" s="1" t="s">
        <v>6533</v>
      </c>
      <c r="B6498" s="1" t="s">
        <v>88</v>
      </c>
      <c r="C6498" s="1" t="n">
        <v>345000</v>
      </c>
      <c r="D6498" s="1" t="n">
        <v>13417.7</v>
      </c>
      <c r="E6498" s="1" t="n">
        <v>0.0601</v>
      </c>
      <c r="F6498" s="1" t="n">
        <v>0.0938</v>
      </c>
    </row>
    <row r="6499" customFormat="false" ht="15" hidden="false" customHeight="false" outlineLevel="0" collapsed="false">
      <c r="A6499" s="1" t="s">
        <v>6534</v>
      </c>
      <c r="B6499" s="1" t="s">
        <v>26</v>
      </c>
      <c r="C6499" s="1" t="n">
        <v>398000</v>
      </c>
      <c r="D6499" s="1" t="n">
        <v>20892.4</v>
      </c>
      <c r="E6499" s="1" t="n">
        <v>0.0187</v>
      </c>
      <c r="F6499" s="1" t="n">
        <v>0.0854</v>
      </c>
    </row>
    <row r="6500" customFormat="false" ht="15" hidden="false" customHeight="false" outlineLevel="0" collapsed="false">
      <c r="A6500" s="1" t="s">
        <v>6535</v>
      </c>
      <c r="B6500" s="1" t="s">
        <v>26</v>
      </c>
      <c r="C6500" s="1" t="n">
        <v>386000</v>
      </c>
      <c r="D6500" s="1" t="n">
        <v>23580</v>
      </c>
      <c r="E6500" s="1" t="n">
        <v>0.0275</v>
      </c>
      <c r="F6500" s="1" t="n">
        <v>0.0412</v>
      </c>
    </row>
    <row r="6501" customFormat="false" ht="15" hidden="false" customHeight="false" outlineLevel="0" collapsed="false">
      <c r="A6501" s="1" t="s">
        <v>6536</v>
      </c>
      <c r="B6501" s="1" t="s">
        <v>24</v>
      </c>
      <c r="C6501" s="1" t="n">
        <v>337000</v>
      </c>
      <c r="D6501" s="1" t="n">
        <v>2521.8</v>
      </c>
      <c r="E6501" s="1" t="n">
        <v>0.0446</v>
      </c>
      <c r="F6501" s="1" t="n">
        <v>0.0938</v>
      </c>
    </row>
    <row r="6502" customFormat="false" ht="15" hidden="false" customHeight="false" outlineLevel="0" collapsed="false">
      <c r="A6502" s="1" t="s">
        <v>6537</v>
      </c>
      <c r="B6502" s="1" t="s">
        <v>26</v>
      </c>
      <c r="C6502" s="1" t="n">
        <v>374000</v>
      </c>
      <c r="D6502" s="1" t="n">
        <v>2904.5</v>
      </c>
      <c r="E6502" s="1" t="n">
        <v>0.0042</v>
      </c>
      <c r="F6502" s="1" t="n">
        <v>0.0654</v>
      </c>
    </row>
    <row r="6503" customFormat="false" ht="15" hidden="false" customHeight="false" outlineLevel="0" collapsed="false">
      <c r="A6503" s="1" t="s">
        <v>6538</v>
      </c>
      <c r="B6503" s="1" t="s">
        <v>26</v>
      </c>
      <c r="C6503" s="1" t="n">
        <v>355000</v>
      </c>
      <c r="D6503" s="1" t="n">
        <v>16155.7</v>
      </c>
      <c r="E6503" s="1" t="n">
        <v>0.0191</v>
      </c>
      <c r="F6503" s="1" t="n">
        <v>0.0616</v>
      </c>
    </row>
    <row r="6504" customFormat="false" ht="15" hidden="false" customHeight="false" outlineLevel="0" collapsed="false">
      <c r="A6504" s="1" t="s">
        <v>6539</v>
      </c>
      <c r="B6504" s="1" t="s">
        <v>41</v>
      </c>
      <c r="C6504" s="1" t="n">
        <v>308000</v>
      </c>
      <c r="D6504" s="1" t="n">
        <v>606.1</v>
      </c>
      <c r="E6504" s="1" t="n">
        <v>0.0511</v>
      </c>
      <c r="F6504" s="1" t="n">
        <v>0.0938</v>
      </c>
    </row>
    <row r="6505" customFormat="false" ht="15" hidden="false" customHeight="false" outlineLevel="0" collapsed="false">
      <c r="A6505" s="1" t="s">
        <v>6540</v>
      </c>
      <c r="B6505" s="1" t="s">
        <v>92</v>
      </c>
      <c r="C6505" s="1" t="n">
        <v>322000</v>
      </c>
      <c r="D6505" s="1" t="n">
        <v>2867.8</v>
      </c>
      <c r="E6505" s="1" t="n">
        <v>0.0189</v>
      </c>
      <c r="F6505" s="1" t="n">
        <v>0.1067</v>
      </c>
    </row>
    <row r="6506" customFormat="false" ht="15" hidden="false" customHeight="false" outlineLevel="0" collapsed="false">
      <c r="A6506" s="1" t="s">
        <v>6541</v>
      </c>
      <c r="B6506" s="1" t="s">
        <v>41</v>
      </c>
      <c r="C6506" s="1" t="n">
        <v>393000</v>
      </c>
      <c r="D6506" s="1" t="n">
        <v>1382.7</v>
      </c>
      <c r="E6506" s="1" t="n">
        <v>0.0059</v>
      </c>
      <c r="F6506" s="1" t="n">
        <v>0.0903</v>
      </c>
    </row>
    <row r="6507" customFormat="false" ht="15" hidden="false" customHeight="false" outlineLevel="0" collapsed="false">
      <c r="A6507" s="1" t="s">
        <v>6542</v>
      </c>
      <c r="B6507" s="1" t="s">
        <v>62</v>
      </c>
      <c r="C6507" s="1" t="n">
        <v>319000</v>
      </c>
      <c r="D6507" s="1" t="n">
        <v>2046.6</v>
      </c>
      <c r="E6507" s="1" t="n">
        <v>0.0263</v>
      </c>
      <c r="F6507" s="1" t="n">
        <v>0.0951</v>
      </c>
    </row>
    <row r="6508" customFormat="false" ht="15" hidden="false" customHeight="false" outlineLevel="0" collapsed="false">
      <c r="A6508" s="1" t="s">
        <v>6543</v>
      </c>
      <c r="B6508" s="1" t="s">
        <v>71</v>
      </c>
      <c r="C6508" s="1" t="n">
        <v>348000</v>
      </c>
      <c r="D6508" s="1" t="n">
        <v>10127.4</v>
      </c>
      <c r="E6508" s="1" t="n">
        <v>0.0193</v>
      </c>
      <c r="F6508" s="1" t="n">
        <v>0.0466</v>
      </c>
    </row>
    <row r="6509" customFormat="false" ht="15" hidden="false" customHeight="false" outlineLevel="0" collapsed="false">
      <c r="A6509" s="1" t="s">
        <v>6544</v>
      </c>
      <c r="B6509" s="1" t="s">
        <v>92</v>
      </c>
      <c r="C6509" s="1" t="n">
        <v>334000</v>
      </c>
      <c r="D6509" s="1" t="n">
        <v>1219.4</v>
      </c>
      <c r="E6509" s="1" t="n">
        <v>0.011</v>
      </c>
      <c r="F6509" s="1" t="n">
        <v>0.0736</v>
      </c>
    </row>
    <row r="6510" customFormat="false" ht="15" hidden="false" customHeight="false" outlineLevel="0" collapsed="false">
      <c r="A6510" s="1" t="s">
        <v>6545</v>
      </c>
      <c r="B6510" s="1" t="s">
        <v>41</v>
      </c>
      <c r="C6510" s="1" t="n">
        <v>325000</v>
      </c>
      <c r="D6510" s="1" t="n">
        <v>394481.7</v>
      </c>
      <c r="E6510" s="1" t="n">
        <v>0.0726</v>
      </c>
      <c r="F6510" s="1" t="n">
        <v>0.0518</v>
      </c>
    </row>
    <row r="6511" customFormat="false" ht="15" hidden="false" customHeight="false" outlineLevel="0" collapsed="false">
      <c r="A6511" s="1" t="s">
        <v>6546</v>
      </c>
      <c r="B6511" s="1" t="s">
        <v>26</v>
      </c>
      <c r="C6511" s="1" t="n">
        <v>2290000</v>
      </c>
      <c r="D6511" s="1" t="n">
        <v>954176.4</v>
      </c>
      <c r="E6511" s="1" t="n">
        <v>0.0253</v>
      </c>
      <c r="F6511" s="1" t="n">
        <v>0.0409</v>
      </c>
    </row>
    <row r="6512" customFormat="false" ht="15" hidden="false" customHeight="false" outlineLevel="0" collapsed="false">
      <c r="A6512" s="1" t="s">
        <v>6547</v>
      </c>
      <c r="B6512" s="1" t="s">
        <v>88</v>
      </c>
      <c r="C6512" s="1" t="n">
        <v>401000</v>
      </c>
      <c r="D6512" s="1" t="n">
        <v>10961.8</v>
      </c>
      <c r="E6512" s="1" t="n">
        <v>0.0607</v>
      </c>
      <c r="F6512" s="1" t="n">
        <v>0.0951</v>
      </c>
    </row>
    <row r="6513" customFormat="false" ht="15" hidden="false" customHeight="false" outlineLevel="0" collapsed="false">
      <c r="A6513" s="1" t="s">
        <v>6548</v>
      </c>
      <c r="B6513" s="1" t="s">
        <v>214</v>
      </c>
      <c r="C6513" s="1" t="n">
        <v>434000</v>
      </c>
      <c r="D6513" s="1" t="n">
        <v>1236.1</v>
      </c>
      <c r="E6513" s="1" t="n">
        <v>0.0261</v>
      </c>
      <c r="F6513" s="1" t="n">
        <v>0.0432</v>
      </c>
    </row>
    <row r="6514" customFormat="false" ht="15" hidden="false" customHeight="false" outlineLevel="0" collapsed="false">
      <c r="A6514" s="1" t="s">
        <v>6549</v>
      </c>
      <c r="B6514" s="1" t="s">
        <v>26</v>
      </c>
      <c r="C6514" s="1" t="n">
        <v>441000</v>
      </c>
      <c r="D6514" s="1" t="n">
        <v>9940.8</v>
      </c>
      <c r="E6514" s="1" t="n">
        <v>0.0091</v>
      </c>
      <c r="F6514" s="1" t="n">
        <v>0.1471</v>
      </c>
    </row>
    <row r="6515" customFormat="false" ht="15" hidden="false" customHeight="false" outlineLevel="0" collapsed="false">
      <c r="A6515" s="1" t="s">
        <v>6550</v>
      </c>
      <c r="B6515" s="1" t="s">
        <v>41</v>
      </c>
      <c r="C6515" s="1" t="n">
        <v>529000</v>
      </c>
      <c r="D6515" s="1" t="n">
        <v>3745.1</v>
      </c>
      <c r="E6515" s="1" t="n">
        <v>0.0228</v>
      </c>
      <c r="F6515" s="1" t="n">
        <v>0.0576</v>
      </c>
    </row>
    <row r="6516" customFormat="false" ht="15" hidden="false" customHeight="false" outlineLevel="0" collapsed="false">
      <c r="A6516" s="1" t="s">
        <v>6551</v>
      </c>
      <c r="B6516" s="1" t="s">
        <v>71</v>
      </c>
      <c r="C6516" s="1" t="n">
        <v>488000</v>
      </c>
      <c r="D6516" s="1" t="n">
        <v>71557.2</v>
      </c>
      <c r="E6516" s="1" t="n">
        <v>0.0429</v>
      </c>
      <c r="F6516" s="1" t="n">
        <v>0.0759</v>
      </c>
    </row>
    <row r="6517" customFormat="false" ht="15" hidden="false" customHeight="false" outlineLevel="0" collapsed="false">
      <c r="A6517" s="1" t="s">
        <v>6552</v>
      </c>
      <c r="B6517" s="1" t="s">
        <v>26</v>
      </c>
      <c r="C6517" s="1" t="n">
        <v>330000</v>
      </c>
      <c r="D6517" s="1" t="n">
        <v>3558.3</v>
      </c>
      <c r="E6517" s="1" t="n">
        <v>0.0061</v>
      </c>
      <c r="F6517" s="1" t="n">
        <v>0.0654</v>
      </c>
    </row>
    <row r="6518" customFormat="false" ht="15" hidden="false" customHeight="false" outlineLevel="0" collapsed="false">
      <c r="A6518" s="1" t="s">
        <v>6553</v>
      </c>
      <c r="B6518" s="1" t="s">
        <v>214</v>
      </c>
      <c r="C6518" s="1" t="n">
        <v>381000</v>
      </c>
      <c r="D6518" s="1" t="n">
        <v>630.5</v>
      </c>
      <c r="E6518" s="1" t="n">
        <v>0.0048</v>
      </c>
      <c r="F6518" s="1" t="n">
        <v>0.0811</v>
      </c>
    </row>
    <row r="6519" customFormat="false" ht="15" hidden="false" customHeight="false" outlineLevel="0" collapsed="false">
      <c r="A6519" s="1" t="s">
        <v>6554</v>
      </c>
      <c r="B6519" s="1" t="s">
        <v>41</v>
      </c>
      <c r="C6519" s="1" t="n">
        <v>413000</v>
      </c>
      <c r="D6519" s="1" t="n">
        <v>21174.2</v>
      </c>
      <c r="E6519" s="1" t="n">
        <v>0.0919</v>
      </c>
      <c r="F6519" s="1" t="n">
        <v>0.0759</v>
      </c>
    </row>
    <row r="6520" customFormat="false" ht="15" hidden="false" customHeight="false" outlineLevel="0" collapsed="false">
      <c r="A6520" s="1" t="s">
        <v>6555</v>
      </c>
      <c r="B6520" s="1" t="s">
        <v>214</v>
      </c>
      <c r="C6520" s="1" t="n">
        <v>354000</v>
      </c>
      <c r="D6520" s="1" t="n">
        <v>15620.4</v>
      </c>
      <c r="E6520" s="1" t="n">
        <v>0.0343</v>
      </c>
      <c r="F6520" s="1" t="n">
        <v>0.0951</v>
      </c>
    </row>
    <row r="6521" customFormat="false" ht="15" hidden="false" customHeight="false" outlineLevel="0" collapsed="false">
      <c r="A6521" s="1" t="s">
        <v>6556</v>
      </c>
      <c r="B6521" s="1" t="s">
        <v>26</v>
      </c>
      <c r="C6521" s="1" t="n">
        <v>321000</v>
      </c>
      <c r="D6521" s="1" t="n">
        <v>822781</v>
      </c>
      <c r="E6521" s="1" t="n">
        <v>0.0244</v>
      </c>
      <c r="F6521" s="1" t="n">
        <v>0.0518</v>
      </c>
    </row>
    <row r="6522" customFormat="false" ht="15" hidden="false" customHeight="false" outlineLevel="0" collapsed="false">
      <c r="A6522" s="1" t="s">
        <v>6557</v>
      </c>
      <c r="B6522" s="1" t="s">
        <v>26</v>
      </c>
      <c r="C6522" s="1" t="n">
        <v>422000</v>
      </c>
      <c r="D6522" s="1" t="n">
        <v>9107</v>
      </c>
      <c r="E6522" s="1" t="n">
        <v>0.0578</v>
      </c>
      <c r="F6522" s="1" t="n">
        <v>0.0951</v>
      </c>
    </row>
    <row r="6523" customFormat="false" ht="15" hidden="false" customHeight="false" outlineLevel="0" collapsed="false">
      <c r="A6523" s="1" t="s">
        <v>6558</v>
      </c>
      <c r="B6523" s="1" t="s">
        <v>26</v>
      </c>
      <c r="C6523" s="1" t="n">
        <v>407000</v>
      </c>
      <c r="D6523" s="1" t="n">
        <v>309930.3</v>
      </c>
      <c r="E6523" s="1" t="n">
        <v>0.0216</v>
      </c>
      <c r="F6523" s="1" t="n">
        <v>0.0759</v>
      </c>
    </row>
    <row r="6524" customFormat="false" ht="15" hidden="false" customHeight="false" outlineLevel="0" collapsed="false">
      <c r="A6524" s="1" t="s">
        <v>6559</v>
      </c>
      <c r="B6524" s="1" t="s">
        <v>214</v>
      </c>
      <c r="C6524" s="1" t="n">
        <v>403000</v>
      </c>
      <c r="D6524" s="1" t="n">
        <v>7880.4</v>
      </c>
      <c r="E6524" s="1" t="n">
        <v>0.0199</v>
      </c>
      <c r="F6524" s="1" t="n">
        <v>0.0462</v>
      </c>
    </row>
    <row r="6525" customFormat="false" ht="15" hidden="false" customHeight="false" outlineLevel="0" collapsed="false">
      <c r="A6525" s="1" t="s">
        <v>6560</v>
      </c>
      <c r="B6525" s="1" t="s">
        <v>88</v>
      </c>
      <c r="C6525" s="1" t="n">
        <v>728000</v>
      </c>
      <c r="D6525" s="1" t="n">
        <v>3733.3</v>
      </c>
      <c r="E6525" s="1" t="n">
        <v>0.0306</v>
      </c>
      <c r="F6525" s="1" t="n">
        <v>0.0759</v>
      </c>
    </row>
    <row r="6526" customFormat="false" ht="15" hidden="false" customHeight="false" outlineLevel="0" collapsed="false">
      <c r="A6526" s="1" t="s">
        <v>6561</v>
      </c>
      <c r="B6526" s="1" t="s">
        <v>24</v>
      </c>
      <c r="C6526" s="1" t="n">
        <v>334000</v>
      </c>
      <c r="D6526" s="1" t="n">
        <v>164.3</v>
      </c>
      <c r="E6526" s="1" t="n">
        <v>0.0207</v>
      </c>
      <c r="F6526" s="1" t="n">
        <v>0.0585</v>
      </c>
    </row>
    <row r="6527" customFormat="false" ht="15" hidden="false" customHeight="false" outlineLevel="0" collapsed="false">
      <c r="A6527" s="1" t="s">
        <v>6562</v>
      </c>
      <c r="B6527" s="1" t="s">
        <v>24</v>
      </c>
      <c r="C6527" s="1" t="n">
        <v>741000</v>
      </c>
      <c r="D6527" s="1" t="n">
        <v>436.3</v>
      </c>
      <c r="E6527" s="1" t="n">
        <v>0.0661</v>
      </c>
      <c r="F6527" s="1" t="n">
        <v>0.0938</v>
      </c>
    </row>
    <row r="6528" customFormat="false" ht="15" hidden="false" customHeight="false" outlineLevel="0" collapsed="false">
      <c r="A6528" s="1" t="s">
        <v>6563</v>
      </c>
      <c r="B6528" s="1" t="s">
        <v>26</v>
      </c>
      <c r="C6528" s="1" t="n">
        <v>641000</v>
      </c>
      <c r="D6528" s="1" t="n">
        <v>103347</v>
      </c>
      <c r="E6528" s="1" t="n">
        <v>0.0155</v>
      </c>
      <c r="F6528" s="1" t="n">
        <v>0.0854</v>
      </c>
    </row>
    <row r="6529" customFormat="false" ht="15" hidden="false" customHeight="false" outlineLevel="0" collapsed="false">
      <c r="A6529" s="1" t="s">
        <v>6564</v>
      </c>
      <c r="B6529" s="1" t="s">
        <v>35</v>
      </c>
      <c r="C6529" s="1" t="n">
        <v>598000</v>
      </c>
      <c r="D6529" s="1" t="n">
        <v>79246.9</v>
      </c>
      <c r="E6529" s="1" t="n">
        <v>0.0197</v>
      </c>
      <c r="F6529" s="1" t="n">
        <v>0.0854</v>
      </c>
    </row>
    <row r="6530" customFormat="false" ht="15" hidden="false" customHeight="false" outlineLevel="0" collapsed="false">
      <c r="A6530" s="1" t="s">
        <v>6565</v>
      </c>
      <c r="B6530" s="1" t="s">
        <v>287</v>
      </c>
      <c r="C6530" s="1" t="n">
        <v>441000</v>
      </c>
      <c r="D6530" s="1" t="n">
        <v>4611.3</v>
      </c>
      <c r="E6530" s="1" t="n">
        <v>0.0194</v>
      </c>
      <c r="F6530" s="1" t="n">
        <v>0.1239</v>
      </c>
    </row>
    <row r="6531" customFormat="false" ht="15" hidden="false" customHeight="false" outlineLevel="0" collapsed="false">
      <c r="A6531" s="1" t="s">
        <v>6566</v>
      </c>
      <c r="B6531" s="1" t="s">
        <v>21</v>
      </c>
      <c r="C6531" s="1" t="n">
        <v>328000</v>
      </c>
      <c r="D6531" s="1" t="n">
        <v>20540</v>
      </c>
      <c r="E6531" s="1" t="n">
        <v>0.0427</v>
      </c>
      <c r="F6531" s="1" t="n">
        <v>0.0951</v>
      </c>
    </row>
    <row r="6532" customFormat="false" ht="15" hidden="false" customHeight="false" outlineLevel="0" collapsed="false">
      <c r="A6532" s="1" t="s">
        <v>6567</v>
      </c>
      <c r="B6532" s="1" t="s">
        <v>88</v>
      </c>
      <c r="C6532" s="1" t="n">
        <v>448000</v>
      </c>
      <c r="D6532" s="1" t="n">
        <v>1363.8</v>
      </c>
      <c r="E6532" s="1" t="n">
        <v>0.0247</v>
      </c>
      <c r="F6532" s="1" t="n">
        <v>0.0759</v>
      </c>
    </row>
    <row r="6533" customFormat="false" ht="15" hidden="false" customHeight="false" outlineLevel="0" collapsed="false">
      <c r="A6533" s="1" t="s">
        <v>6568</v>
      </c>
      <c r="B6533" s="1" t="s">
        <v>26</v>
      </c>
      <c r="C6533" s="1" t="n">
        <v>353000</v>
      </c>
      <c r="D6533" s="1" t="n">
        <v>34713.7</v>
      </c>
      <c r="E6533" s="1" t="n">
        <v>0.0248</v>
      </c>
      <c r="F6533" s="1" t="n">
        <v>0.0672</v>
      </c>
    </row>
    <row r="6534" customFormat="false" ht="15" hidden="false" customHeight="false" outlineLevel="0" collapsed="false">
      <c r="A6534" s="1" t="s">
        <v>6569</v>
      </c>
      <c r="B6534" s="1" t="s">
        <v>26</v>
      </c>
      <c r="C6534" s="1" t="n">
        <v>349000</v>
      </c>
      <c r="D6534" s="1" t="n">
        <v>5919.9</v>
      </c>
      <c r="E6534" s="1" t="n">
        <v>0.0305</v>
      </c>
      <c r="F6534" s="1" t="n">
        <v>0.0951</v>
      </c>
    </row>
    <row r="6535" customFormat="false" ht="15" hidden="false" customHeight="false" outlineLevel="0" collapsed="false">
      <c r="A6535" s="1" t="s">
        <v>6570</v>
      </c>
      <c r="B6535" s="1" t="s">
        <v>24</v>
      </c>
      <c r="C6535" s="1" t="n">
        <v>573000</v>
      </c>
      <c r="D6535" s="1" t="n">
        <v>8633.6</v>
      </c>
      <c r="E6535" s="1" t="n">
        <v>0.0284</v>
      </c>
      <c r="F6535" s="1" t="n">
        <v>0.0759</v>
      </c>
    </row>
    <row r="6536" customFormat="false" ht="15" hidden="false" customHeight="false" outlineLevel="0" collapsed="false">
      <c r="A6536" s="1" t="s">
        <v>6571</v>
      </c>
      <c r="B6536" s="1" t="s">
        <v>26</v>
      </c>
      <c r="C6536" s="1" t="n">
        <v>315000</v>
      </c>
      <c r="D6536" s="1" t="n">
        <v>5750.5</v>
      </c>
      <c r="E6536" s="1" t="n">
        <v>0.0108</v>
      </c>
      <c r="F6536" s="1" t="n">
        <v>0.1471</v>
      </c>
    </row>
    <row r="6537" customFormat="false" ht="15" hidden="false" customHeight="false" outlineLevel="0" collapsed="false">
      <c r="A6537" s="1" t="s">
        <v>6572</v>
      </c>
      <c r="B6537" s="1" t="s">
        <v>71</v>
      </c>
      <c r="C6537" s="1" t="n">
        <v>313000</v>
      </c>
      <c r="D6537" s="1" t="n">
        <v>71343.7</v>
      </c>
      <c r="E6537" s="1" t="n">
        <v>0.0219</v>
      </c>
      <c r="F6537" s="1" t="n">
        <v>0.0845</v>
      </c>
    </row>
    <row r="6538" customFormat="false" ht="15" hidden="false" customHeight="false" outlineLevel="0" collapsed="false">
      <c r="A6538" s="1" t="s">
        <v>6573</v>
      </c>
      <c r="B6538" s="1" t="s">
        <v>26</v>
      </c>
      <c r="C6538" s="1" t="n">
        <v>379000</v>
      </c>
      <c r="D6538" s="1" t="n">
        <v>15461.2</v>
      </c>
      <c r="E6538" s="1" t="n">
        <v>0.0694</v>
      </c>
      <c r="F6538" s="1" t="n">
        <v>0.0759</v>
      </c>
    </row>
    <row r="6539" customFormat="false" ht="15" hidden="false" customHeight="false" outlineLevel="0" collapsed="false">
      <c r="A6539" s="1" t="s">
        <v>6574</v>
      </c>
      <c r="B6539" s="1" t="s">
        <v>24</v>
      </c>
      <c r="C6539" s="1" t="n">
        <v>375000</v>
      </c>
      <c r="D6539" s="1" t="n">
        <v>198.1</v>
      </c>
      <c r="E6539" s="1" t="n">
        <v>0.0059</v>
      </c>
      <c r="F6539" s="1" t="n">
        <v>0.1364</v>
      </c>
    </row>
    <row r="6540" customFormat="false" ht="15" hidden="false" customHeight="false" outlineLevel="0" collapsed="false">
      <c r="A6540" s="1" t="s">
        <v>6575</v>
      </c>
      <c r="B6540" s="1" t="s">
        <v>62</v>
      </c>
      <c r="C6540" s="1" t="n">
        <v>533000</v>
      </c>
      <c r="D6540" s="1" t="n">
        <v>44421.5</v>
      </c>
      <c r="E6540" s="1" t="n">
        <v>0.0637</v>
      </c>
      <c r="F6540" s="1" t="n">
        <v>0.0759</v>
      </c>
    </row>
    <row r="6541" customFormat="false" ht="15" hidden="false" customHeight="false" outlineLevel="0" collapsed="false">
      <c r="A6541" s="1" t="s">
        <v>6576</v>
      </c>
      <c r="B6541" s="1" t="s">
        <v>26</v>
      </c>
      <c r="C6541" s="1" t="n">
        <v>570000</v>
      </c>
      <c r="D6541" s="1" t="n">
        <v>15397.6</v>
      </c>
      <c r="E6541" s="1" t="n">
        <v>0.0578</v>
      </c>
      <c r="F6541" s="1" t="n">
        <v>0.0759</v>
      </c>
    </row>
    <row r="6542" customFormat="false" ht="15" hidden="false" customHeight="false" outlineLevel="0" collapsed="false">
      <c r="A6542" s="1" t="s">
        <v>6577</v>
      </c>
      <c r="B6542" s="1" t="s">
        <v>214</v>
      </c>
      <c r="C6542" s="1" t="n">
        <v>367000</v>
      </c>
      <c r="D6542" s="1" t="n">
        <v>23751.6</v>
      </c>
      <c r="E6542" s="1" t="n">
        <v>0.0385</v>
      </c>
      <c r="F6542" s="1" t="n">
        <v>0.0845</v>
      </c>
    </row>
    <row r="6543" customFormat="false" ht="15" hidden="false" customHeight="false" outlineLevel="0" collapsed="false">
      <c r="A6543" s="1" t="s">
        <v>6578</v>
      </c>
      <c r="B6543" s="1" t="s">
        <v>41</v>
      </c>
      <c r="C6543" s="1" t="n">
        <v>529000</v>
      </c>
      <c r="D6543" s="1" t="n">
        <v>3441.4</v>
      </c>
      <c r="E6543" s="1" t="n">
        <v>0.0431</v>
      </c>
      <c r="F6543" s="1" t="n">
        <v>0.0938</v>
      </c>
    </row>
    <row r="6544" customFormat="false" ht="15" hidden="false" customHeight="false" outlineLevel="0" collapsed="false">
      <c r="A6544" s="1" t="s">
        <v>6579</v>
      </c>
      <c r="B6544" s="1" t="s">
        <v>26</v>
      </c>
      <c r="C6544" s="1" t="n">
        <v>362000</v>
      </c>
      <c r="D6544" s="1" t="n">
        <v>114652.5</v>
      </c>
      <c r="E6544" s="1" t="n">
        <v>0.0576</v>
      </c>
      <c r="F6544" s="1" t="n">
        <v>0.0951</v>
      </c>
    </row>
    <row r="6545" customFormat="false" ht="15" hidden="false" customHeight="false" outlineLevel="0" collapsed="false">
      <c r="A6545" s="1" t="s">
        <v>6580</v>
      </c>
      <c r="B6545" s="1" t="s">
        <v>21</v>
      </c>
      <c r="C6545" s="1" t="n">
        <v>469000</v>
      </c>
      <c r="D6545" s="1" t="n">
        <v>851.3</v>
      </c>
      <c r="E6545" s="1" t="n">
        <v>0.0346</v>
      </c>
      <c r="F6545" s="1" t="n">
        <v>0.0759</v>
      </c>
    </row>
    <row r="6546" customFormat="false" ht="15" hidden="false" customHeight="false" outlineLevel="0" collapsed="false">
      <c r="A6546" s="1" t="s">
        <v>6581</v>
      </c>
      <c r="B6546" s="1" t="s">
        <v>26</v>
      </c>
      <c r="C6546" s="1" t="n">
        <v>360000</v>
      </c>
      <c r="D6546" s="1" t="n">
        <v>1038.4</v>
      </c>
      <c r="E6546" s="1" t="n">
        <v>0.0409</v>
      </c>
      <c r="F6546" s="1" t="n">
        <v>0.051</v>
      </c>
    </row>
    <row r="6547" customFormat="false" ht="15" hidden="false" customHeight="false" outlineLevel="0" collapsed="false">
      <c r="A6547" s="1" t="s">
        <v>6582</v>
      </c>
      <c r="B6547" s="1" t="s">
        <v>92</v>
      </c>
      <c r="C6547" s="1" t="n">
        <v>401000</v>
      </c>
      <c r="D6547" s="1" t="n">
        <v>1424.4</v>
      </c>
      <c r="E6547" s="1" t="n">
        <v>0.0231</v>
      </c>
      <c r="F6547" s="1" t="n">
        <v>0.0409</v>
      </c>
    </row>
    <row r="6548" customFormat="false" ht="15" hidden="false" customHeight="false" outlineLevel="0" collapsed="false">
      <c r="A6548" s="1" t="s">
        <v>6583</v>
      </c>
      <c r="B6548" s="1" t="s">
        <v>35</v>
      </c>
      <c r="C6548" s="1" t="n">
        <v>1000000</v>
      </c>
      <c r="D6548" s="1" t="n">
        <v>1271.3</v>
      </c>
      <c r="E6548" s="1" t="n">
        <v>0.008</v>
      </c>
      <c r="F6548" s="1" t="n">
        <v>0.0654</v>
      </c>
    </row>
    <row r="6549" customFormat="false" ht="15" hidden="false" customHeight="false" outlineLevel="0" collapsed="false">
      <c r="A6549" s="1" t="s">
        <v>6584</v>
      </c>
      <c r="B6549" s="1" t="s">
        <v>74</v>
      </c>
      <c r="C6549" s="1" t="n">
        <v>340000</v>
      </c>
      <c r="D6549" s="1" t="n">
        <v>18209.9</v>
      </c>
      <c r="E6549" s="1" t="n">
        <v>0.0201</v>
      </c>
      <c r="F6549" s="1" t="n">
        <v>0.0951</v>
      </c>
    </row>
    <row r="6550" customFormat="false" ht="15" hidden="false" customHeight="false" outlineLevel="0" collapsed="false">
      <c r="A6550" s="1" t="s">
        <v>6585</v>
      </c>
      <c r="B6550" s="1" t="s">
        <v>88</v>
      </c>
      <c r="C6550" s="1" t="n">
        <v>415000</v>
      </c>
      <c r="D6550" s="1" t="n">
        <v>4146.6</v>
      </c>
      <c r="E6550" s="1" t="n">
        <v>0.0732</v>
      </c>
      <c r="F6550" s="1" t="n">
        <v>0.0938</v>
      </c>
    </row>
    <row r="6551" customFormat="false" ht="15" hidden="false" customHeight="false" outlineLevel="0" collapsed="false">
      <c r="A6551" s="1" t="s">
        <v>6586</v>
      </c>
      <c r="B6551" s="1" t="s">
        <v>53</v>
      </c>
      <c r="C6551" s="1" t="n">
        <v>704000</v>
      </c>
      <c r="D6551" s="1" t="n">
        <v>47876.6</v>
      </c>
      <c r="E6551" s="1" t="n">
        <v>0.0574</v>
      </c>
      <c r="F6551" s="1" t="n">
        <v>0.0759</v>
      </c>
    </row>
    <row r="6552" customFormat="false" ht="15" hidden="false" customHeight="false" outlineLevel="0" collapsed="false">
      <c r="A6552" s="1" t="s">
        <v>6587</v>
      </c>
      <c r="B6552" s="1" t="s">
        <v>26</v>
      </c>
      <c r="C6552" s="1" t="n">
        <v>348000</v>
      </c>
      <c r="D6552" s="1" t="n">
        <v>11258.3</v>
      </c>
      <c r="E6552" s="1" t="n">
        <v>0.03</v>
      </c>
      <c r="F6552" s="1" t="n">
        <v>0.0759</v>
      </c>
    </row>
    <row r="6553" customFormat="false" ht="15" hidden="false" customHeight="false" outlineLevel="0" collapsed="false">
      <c r="A6553" s="1" t="s">
        <v>6588</v>
      </c>
      <c r="B6553" s="1" t="s">
        <v>88</v>
      </c>
      <c r="C6553" s="1" t="n">
        <v>355000</v>
      </c>
      <c r="D6553" s="1" t="n">
        <v>2906.7</v>
      </c>
      <c r="E6553" s="1" t="n">
        <v>0.0299</v>
      </c>
      <c r="F6553" s="1" t="n">
        <v>0.0938</v>
      </c>
    </row>
    <row r="6554" customFormat="false" ht="15" hidden="false" customHeight="false" outlineLevel="0" collapsed="false">
      <c r="A6554" s="1" t="s">
        <v>6589</v>
      </c>
      <c r="B6554" s="1" t="s">
        <v>53</v>
      </c>
      <c r="C6554" s="1" t="n">
        <v>2860000</v>
      </c>
      <c r="D6554" s="1" t="n">
        <v>244343.4</v>
      </c>
      <c r="E6554" s="1" t="n">
        <v>0.0044</v>
      </c>
      <c r="F6554" s="1" t="n">
        <v>0.0654</v>
      </c>
    </row>
    <row r="6555" customFormat="false" ht="15" hidden="false" customHeight="false" outlineLevel="0" collapsed="false">
      <c r="A6555" s="1" t="s">
        <v>6590</v>
      </c>
      <c r="B6555" s="1" t="s">
        <v>24</v>
      </c>
      <c r="C6555" s="1" t="n">
        <v>347000</v>
      </c>
      <c r="D6555" s="1" t="n">
        <v>1432848.9</v>
      </c>
      <c r="E6555" s="1" t="n">
        <v>0.0493</v>
      </c>
      <c r="F6555" s="1" t="n">
        <v>0.0518</v>
      </c>
    </row>
    <row r="6556" customFormat="false" ht="15" hidden="false" customHeight="false" outlineLevel="0" collapsed="false">
      <c r="A6556" s="1" t="s">
        <v>6591</v>
      </c>
      <c r="B6556" s="1" t="s">
        <v>214</v>
      </c>
      <c r="C6556" s="1" t="n">
        <v>408000</v>
      </c>
      <c r="D6556" s="1" t="n">
        <v>6105.9</v>
      </c>
      <c r="E6556" s="1" t="n">
        <v>0.023</v>
      </c>
      <c r="F6556" s="1" t="n">
        <v>0.0757</v>
      </c>
    </row>
    <row r="6557" customFormat="false" ht="15" hidden="false" customHeight="false" outlineLevel="0" collapsed="false">
      <c r="A6557" s="1" t="s">
        <v>6592</v>
      </c>
      <c r="B6557" s="1" t="s">
        <v>26</v>
      </c>
      <c r="C6557" s="1" t="n">
        <v>389000</v>
      </c>
      <c r="D6557" s="1" t="n">
        <v>222</v>
      </c>
      <c r="E6557" s="1" t="n">
        <v>0.0363</v>
      </c>
      <c r="F6557" s="1" t="n">
        <v>0.1226</v>
      </c>
    </row>
    <row r="6558" customFormat="false" ht="15" hidden="false" customHeight="false" outlineLevel="0" collapsed="false">
      <c r="A6558" s="1" t="s">
        <v>6593</v>
      </c>
      <c r="B6558" s="1" t="s">
        <v>62</v>
      </c>
      <c r="C6558" s="1" t="n">
        <v>352000</v>
      </c>
      <c r="D6558" s="1" t="n">
        <v>3064.8</v>
      </c>
      <c r="E6558" s="1" t="n">
        <v>0.0401</v>
      </c>
      <c r="F6558" s="1" t="n">
        <v>0.0432</v>
      </c>
    </row>
    <row r="6559" customFormat="false" ht="15" hidden="false" customHeight="false" outlineLevel="0" collapsed="false">
      <c r="A6559" s="1" t="s">
        <v>6594</v>
      </c>
      <c r="B6559" s="1" t="s">
        <v>26</v>
      </c>
      <c r="C6559" s="1" t="n">
        <v>370000</v>
      </c>
      <c r="D6559" s="1" t="n">
        <v>74211.4</v>
      </c>
      <c r="E6559" s="1" t="n">
        <v>0.0155</v>
      </c>
      <c r="F6559" s="1" t="n">
        <v>0.0585</v>
      </c>
    </row>
    <row r="6560" customFormat="false" ht="15" hidden="false" customHeight="false" outlineLevel="0" collapsed="false">
      <c r="A6560" s="1" t="s">
        <v>6595</v>
      </c>
      <c r="B6560" s="1" t="s">
        <v>53</v>
      </c>
      <c r="C6560" s="1" t="n">
        <v>522000</v>
      </c>
      <c r="D6560" s="1" t="n">
        <v>24158.7</v>
      </c>
      <c r="E6560" s="1" t="n">
        <v>0.0521</v>
      </c>
      <c r="F6560" s="1" t="n">
        <v>0.0759</v>
      </c>
    </row>
    <row r="6561" customFormat="false" ht="15" hidden="false" customHeight="false" outlineLevel="0" collapsed="false">
      <c r="A6561" s="1" t="s">
        <v>6596</v>
      </c>
      <c r="B6561" s="1" t="s">
        <v>88</v>
      </c>
      <c r="C6561" s="1" t="n">
        <v>364000</v>
      </c>
      <c r="D6561" s="1" t="n">
        <v>2175.7</v>
      </c>
      <c r="E6561" s="1" t="n">
        <v>0.0366</v>
      </c>
      <c r="F6561" s="1" t="n">
        <v>0.0938</v>
      </c>
    </row>
    <row r="6562" customFormat="false" ht="15" hidden="false" customHeight="false" outlineLevel="0" collapsed="false">
      <c r="A6562" s="1" t="s">
        <v>6597</v>
      </c>
      <c r="B6562" s="1" t="s">
        <v>88</v>
      </c>
      <c r="C6562" s="1" t="n">
        <v>448000</v>
      </c>
      <c r="D6562" s="1" t="n">
        <v>360.8</v>
      </c>
      <c r="E6562" s="1" t="n">
        <v>0.0582</v>
      </c>
      <c r="F6562" s="1" t="n">
        <v>0.051</v>
      </c>
    </row>
    <row r="6563" customFormat="false" ht="15" hidden="false" customHeight="false" outlineLevel="0" collapsed="false">
      <c r="A6563" s="1" t="s">
        <v>6598</v>
      </c>
      <c r="B6563" s="1" t="s">
        <v>62</v>
      </c>
      <c r="C6563" s="1" t="n">
        <v>402000</v>
      </c>
      <c r="D6563" s="1" t="n">
        <v>798.1</v>
      </c>
      <c r="E6563" s="1" t="n">
        <v>0.0142</v>
      </c>
      <c r="F6563" s="1" t="n">
        <v>0.0654</v>
      </c>
    </row>
    <row r="6564" customFormat="false" ht="15" hidden="false" customHeight="false" outlineLevel="0" collapsed="false">
      <c r="A6564" s="1" t="s">
        <v>6599</v>
      </c>
      <c r="B6564" s="1" t="s">
        <v>26</v>
      </c>
      <c r="C6564" s="1" t="n">
        <v>468000</v>
      </c>
      <c r="D6564" s="1" t="n">
        <v>1669622.1</v>
      </c>
      <c r="E6564" s="1" t="n">
        <v>0.0361</v>
      </c>
      <c r="F6564" s="1" t="n">
        <v>0.0518</v>
      </c>
    </row>
    <row r="6565" customFormat="false" ht="15" hidden="false" customHeight="false" outlineLevel="0" collapsed="false">
      <c r="A6565" s="1" t="s">
        <v>6600</v>
      </c>
      <c r="B6565" s="1" t="s">
        <v>92</v>
      </c>
      <c r="C6565" s="1" t="n">
        <v>318000</v>
      </c>
      <c r="D6565" s="1" t="n">
        <v>1166.8</v>
      </c>
      <c r="E6565" s="1" t="n">
        <v>0.0418</v>
      </c>
      <c r="F6565" s="1" t="n">
        <v>0.0951</v>
      </c>
    </row>
    <row r="6566" customFormat="false" ht="15" hidden="false" customHeight="false" outlineLevel="0" collapsed="false">
      <c r="A6566" s="1" t="s">
        <v>6601</v>
      </c>
      <c r="B6566" s="1" t="s">
        <v>88</v>
      </c>
      <c r="C6566" s="1" t="n">
        <v>336000</v>
      </c>
      <c r="D6566" s="1" t="n">
        <v>4140.1</v>
      </c>
      <c r="E6566" s="1" t="n">
        <v>0.0192</v>
      </c>
      <c r="F6566" s="1" t="n">
        <v>0.1053</v>
      </c>
    </row>
    <row r="6567" customFormat="false" ht="15" hidden="false" customHeight="false" outlineLevel="0" collapsed="false">
      <c r="A6567" s="1" t="s">
        <v>6602</v>
      </c>
      <c r="B6567" s="1" t="s">
        <v>195</v>
      </c>
      <c r="C6567" s="1" t="n">
        <v>334000</v>
      </c>
      <c r="D6567" s="1" t="n">
        <v>358.1</v>
      </c>
      <c r="E6567" s="1" t="n">
        <v>0.0473</v>
      </c>
      <c r="F6567" s="1" t="n">
        <v>0.0938</v>
      </c>
    </row>
    <row r="6568" customFormat="false" ht="15" hidden="false" customHeight="false" outlineLevel="0" collapsed="false">
      <c r="A6568" s="1" t="s">
        <v>6603</v>
      </c>
      <c r="B6568" s="1" t="s">
        <v>26</v>
      </c>
      <c r="C6568" s="1" t="n">
        <v>338000</v>
      </c>
      <c r="D6568" s="1" t="n">
        <v>8520.4</v>
      </c>
      <c r="E6568" s="1" t="n">
        <v>0.023</v>
      </c>
      <c r="F6568" s="1" t="n">
        <v>0.0759</v>
      </c>
    </row>
    <row r="6569" customFormat="false" ht="15" hidden="false" customHeight="false" outlineLevel="0" collapsed="false">
      <c r="A6569" s="1" t="s">
        <v>6604</v>
      </c>
      <c r="B6569" s="1" t="s">
        <v>26</v>
      </c>
      <c r="C6569" s="1" t="n">
        <v>285000</v>
      </c>
      <c r="D6569" s="1" t="n">
        <v>1078082</v>
      </c>
      <c r="E6569" s="1" t="n">
        <v>0.0154</v>
      </c>
      <c r="F6569" s="1" t="n">
        <v>0.0462</v>
      </c>
    </row>
    <row r="6570" customFormat="false" ht="15" hidden="false" customHeight="false" outlineLevel="0" collapsed="false">
      <c r="A6570" s="1" t="s">
        <v>6605</v>
      </c>
      <c r="B6570" s="1" t="s">
        <v>62</v>
      </c>
      <c r="C6570" s="1" t="n">
        <v>321000</v>
      </c>
      <c r="D6570" s="1" t="n">
        <v>186.7</v>
      </c>
      <c r="E6570" s="1" t="n">
        <v>0.0176</v>
      </c>
      <c r="F6570" s="1" t="n">
        <v>0.0585</v>
      </c>
    </row>
    <row r="6571" customFormat="false" ht="15" hidden="false" customHeight="false" outlineLevel="0" collapsed="false">
      <c r="A6571" s="1" t="s">
        <v>6606</v>
      </c>
      <c r="B6571" s="1" t="s">
        <v>287</v>
      </c>
      <c r="C6571" s="1" t="n">
        <v>333000</v>
      </c>
      <c r="D6571" s="1" t="n">
        <v>18226.8</v>
      </c>
      <c r="F6571" s="1" t="n">
        <v>0.0951</v>
      </c>
    </row>
    <row r="6572" customFormat="false" ht="15" hidden="false" customHeight="false" outlineLevel="0" collapsed="false">
      <c r="A6572" s="1" t="s">
        <v>6607</v>
      </c>
      <c r="B6572" s="1" t="s">
        <v>41</v>
      </c>
      <c r="C6572" s="1" t="n">
        <v>397000</v>
      </c>
      <c r="D6572" s="1" t="n">
        <v>4892.5</v>
      </c>
      <c r="E6572" s="1" t="n">
        <v>0.0368</v>
      </c>
      <c r="F6572" s="1" t="n">
        <v>0.0938</v>
      </c>
    </row>
    <row r="6573" customFormat="false" ht="15" hidden="false" customHeight="false" outlineLevel="0" collapsed="false">
      <c r="A6573" s="1" t="s">
        <v>6608</v>
      </c>
      <c r="B6573" s="1" t="s">
        <v>74</v>
      </c>
      <c r="C6573" s="1" t="n">
        <v>398000</v>
      </c>
      <c r="D6573" s="1" t="n">
        <v>22093</v>
      </c>
      <c r="E6573" s="1" t="n">
        <v>0.0549</v>
      </c>
      <c r="F6573" s="1" t="n">
        <v>0.0759</v>
      </c>
    </row>
    <row r="6574" customFormat="false" ht="15" hidden="false" customHeight="false" outlineLevel="0" collapsed="false">
      <c r="A6574" s="1" t="s">
        <v>6609</v>
      </c>
      <c r="B6574" s="1" t="s">
        <v>88</v>
      </c>
      <c r="C6574" s="1" t="n">
        <v>343000</v>
      </c>
      <c r="D6574" s="1" t="n">
        <v>4273.8</v>
      </c>
      <c r="E6574" s="1" t="n">
        <v>0.0608</v>
      </c>
      <c r="F6574" s="1" t="n">
        <v>0.0938</v>
      </c>
    </row>
    <row r="6575" customFormat="false" ht="15" hidden="false" customHeight="false" outlineLevel="0" collapsed="false">
      <c r="A6575" s="1" t="s">
        <v>6610</v>
      </c>
      <c r="B6575" s="1" t="s">
        <v>41</v>
      </c>
      <c r="C6575" s="1" t="n">
        <v>555000</v>
      </c>
      <c r="D6575" s="1" t="n">
        <v>10563.7</v>
      </c>
      <c r="E6575" s="1" t="n">
        <v>0.0249</v>
      </c>
      <c r="F6575" s="1" t="n">
        <v>0.0759</v>
      </c>
    </row>
    <row r="6576" customFormat="false" ht="15" hidden="false" customHeight="false" outlineLevel="0" collapsed="false">
      <c r="A6576" s="1" t="s">
        <v>6611</v>
      </c>
      <c r="B6576" s="1" t="s">
        <v>26</v>
      </c>
      <c r="C6576" s="1" t="n">
        <v>301000</v>
      </c>
      <c r="D6576" s="1" t="n">
        <v>443.7</v>
      </c>
      <c r="F6576" s="1" t="n">
        <v>0.0518</v>
      </c>
    </row>
    <row r="6577" customFormat="false" ht="15" hidden="false" customHeight="false" outlineLevel="0" collapsed="false">
      <c r="A6577" s="1" t="s">
        <v>6612</v>
      </c>
      <c r="B6577" s="1" t="s">
        <v>26</v>
      </c>
      <c r="C6577" s="1" t="n">
        <v>1010000</v>
      </c>
      <c r="D6577" s="1" t="n">
        <v>6089.8</v>
      </c>
      <c r="E6577" s="1" t="n">
        <v>0.0155</v>
      </c>
      <c r="F6577" s="1" t="n">
        <v>0.0576</v>
      </c>
    </row>
    <row r="6578" customFormat="false" ht="15" hidden="false" customHeight="false" outlineLevel="0" collapsed="false">
      <c r="A6578" s="1" t="s">
        <v>6613</v>
      </c>
      <c r="B6578" s="1" t="s">
        <v>81</v>
      </c>
      <c r="C6578" s="1" t="n">
        <v>526000</v>
      </c>
      <c r="D6578" s="1" t="n">
        <v>7239.8</v>
      </c>
      <c r="E6578" s="1" t="n">
        <v>0.0354</v>
      </c>
      <c r="F6578" s="1" t="n">
        <v>0.1516</v>
      </c>
    </row>
    <row r="6579" customFormat="false" ht="15" hidden="false" customHeight="false" outlineLevel="0" collapsed="false">
      <c r="A6579" s="1" t="s">
        <v>6614</v>
      </c>
      <c r="B6579" s="1" t="s">
        <v>24</v>
      </c>
      <c r="C6579" s="1" t="n">
        <v>322000</v>
      </c>
      <c r="D6579" s="1" t="n">
        <v>747</v>
      </c>
      <c r="E6579" s="1" t="n">
        <v>0.062</v>
      </c>
      <c r="F6579" s="1" t="n">
        <v>0.117</v>
      </c>
    </row>
    <row r="6580" customFormat="false" ht="15" hidden="false" customHeight="false" outlineLevel="0" collapsed="false">
      <c r="A6580" s="1" t="s">
        <v>6615</v>
      </c>
      <c r="B6580" s="1" t="s">
        <v>26</v>
      </c>
      <c r="C6580" s="1" t="n">
        <v>324000</v>
      </c>
      <c r="D6580" s="1" t="n">
        <v>228420.4</v>
      </c>
      <c r="E6580" s="1" t="n">
        <v>0.0525</v>
      </c>
      <c r="F6580" s="1" t="n">
        <v>0.0432</v>
      </c>
    </row>
    <row r="6581" customFormat="false" ht="15" hidden="false" customHeight="false" outlineLevel="0" collapsed="false">
      <c r="A6581" s="1" t="s">
        <v>6616</v>
      </c>
      <c r="B6581" s="1" t="s">
        <v>195</v>
      </c>
      <c r="C6581" s="1" t="n">
        <v>344000</v>
      </c>
      <c r="D6581" s="1" t="n">
        <v>24334.8</v>
      </c>
      <c r="E6581" s="1" t="n">
        <v>0.0342</v>
      </c>
      <c r="F6581" s="1" t="n">
        <v>0.0759</v>
      </c>
    </row>
    <row r="6582" customFormat="false" ht="15" hidden="false" customHeight="false" outlineLevel="0" collapsed="false">
      <c r="A6582" s="1" t="s">
        <v>6617</v>
      </c>
      <c r="B6582" s="1" t="s">
        <v>26</v>
      </c>
      <c r="C6582" s="1" t="n">
        <v>539000</v>
      </c>
      <c r="D6582" s="1" t="n">
        <v>36177.6</v>
      </c>
      <c r="E6582" s="1" t="n">
        <v>0.0191</v>
      </c>
      <c r="F6582" s="1" t="n">
        <v>0.0589</v>
      </c>
    </row>
    <row r="6583" customFormat="false" ht="15" hidden="false" customHeight="false" outlineLevel="0" collapsed="false">
      <c r="A6583" s="1" t="s">
        <v>6618</v>
      </c>
      <c r="B6583" s="1" t="s">
        <v>74</v>
      </c>
      <c r="C6583" s="1" t="n">
        <v>371000</v>
      </c>
      <c r="D6583" s="1" t="n">
        <v>7138.7</v>
      </c>
      <c r="E6583" s="1" t="n">
        <v>0.0546</v>
      </c>
      <c r="F6583" s="1" t="n">
        <v>0.0759</v>
      </c>
    </row>
    <row r="6584" customFormat="false" ht="15" hidden="false" customHeight="false" outlineLevel="0" collapsed="false">
      <c r="A6584" s="1" t="s">
        <v>6619</v>
      </c>
      <c r="B6584" s="1" t="s">
        <v>26</v>
      </c>
      <c r="C6584" s="1" t="n">
        <v>485000</v>
      </c>
      <c r="D6584" s="1" t="n">
        <v>37620.3</v>
      </c>
      <c r="E6584" s="1" t="n">
        <v>0.0471</v>
      </c>
      <c r="F6584" s="1" t="n">
        <v>0.0938</v>
      </c>
    </row>
    <row r="6585" customFormat="false" ht="15" hidden="false" customHeight="false" outlineLevel="0" collapsed="false">
      <c r="A6585" s="1" t="s">
        <v>6620</v>
      </c>
      <c r="B6585" s="1" t="s">
        <v>32</v>
      </c>
      <c r="C6585" s="1" t="n">
        <v>316000</v>
      </c>
      <c r="D6585" s="1" t="n">
        <v>742157.9</v>
      </c>
      <c r="E6585" s="1" t="n">
        <v>0.0101</v>
      </c>
      <c r="F6585" s="1" t="n">
        <v>0.0822</v>
      </c>
    </row>
    <row r="6586" customFormat="false" ht="15" hidden="false" customHeight="false" outlineLevel="0" collapsed="false">
      <c r="A6586" s="1" t="s">
        <v>6621</v>
      </c>
      <c r="B6586" s="1" t="s">
        <v>50</v>
      </c>
      <c r="C6586" s="1" t="n">
        <v>514000</v>
      </c>
      <c r="D6586" s="1" t="n">
        <v>589104.8</v>
      </c>
      <c r="E6586" s="1" t="n">
        <v>0.0283</v>
      </c>
      <c r="F6586" s="1" t="n">
        <v>0.0409</v>
      </c>
    </row>
    <row r="6587" customFormat="false" ht="15" hidden="false" customHeight="false" outlineLevel="0" collapsed="false">
      <c r="A6587" s="1" t="s">
        <v>6622</v>
      </c>
      <c r="B6587" s="1" t="s">
        <v>92</v>
      </c>
      <c r="C6587" s="1" t="n">
        <v>335000</v>
      </c>
      <c r="D6587" s="1" t="n">
        <v>3933.5</v>
      </c>
      <c r="E6587" s="1" t="n">
        <v>0.0263</v>
      </c>
      <c r="F6587" s="1" t="n">
        <v>0.0951</v>
      </c>
    </row>
    <row r="6588" customFormat="false" ht="15" hidden="false" customHeight="false" outlineLevel="0" collapsed="false">
      <c r="A6588" s="1" t="s">
        <v>6623</v>
      </c>
      <c r="B6588" s="1" t="s">
        <v>28</v>
      </c>
      <c r="C6588" s="1" t="n">
        <v>356000</v>
      </c>
      <c r="D6588" s="1" t="n">
        <v>28563.5</v>
      </c>
      <c r="E6588" s="1" t="n">
        <v>0.0061</v>
      </c>
      <c r="F6588" s="1" t="n">
        <v>0.1027</v>
      </c>
    </row>
    <row r="6589" customFormat="false" ht="15" hidden="false" customHeight="false" outlineLevel="0" collapsed="false">
      <c r="A6589" s="1" t="s">
        <v>6624</v>
      </c>
      <c r="B6589" s="1" t="s">
        <v>24</v>
      </c>
      <c r="C6589" s="1" t="n">
        <v>356000</v>
      </c>
      <c r="D6589" s="1" t="n">
        <v>54498.4</v>
      </c>
      <c r="E6589" s="1" t="n">
        <v>0.0816</v>
      </c>
      <c r="F6589" s="1" t="n">
        <v>0.0951</v>
      </c>
    </row>
    <row r="6590" customFormat="false" ht="15" hidden="false" customHeight="false" outlineLevel="0" collapsed="false">
      <c r="A6590" s="1" t="s">
        <v>6625</v>
      </c>
      <c r="B6590" s="1" t="s">
        <v>88</v>
      </c>
      <c r="C6590" s="1" t="n">
        <v>531000</v>
      </c>
      <c r="D6590" s="1" t="n">
        <v>2634.3</v>
      </c>
      <c r="E6590" s="1" t="n">
        <v>0.0543</v>
      </c>
      <c r="F6590" s="1" t="n">
        <v>0.117</v>
      </c>
    </row>
    <row r="6591" customFormat="false" ht="15" hidden="false" customHeight="false" outlineLevel="0" collapsed="false">
      <c r="A6591" s="1" t="s">
        <v>6626</v>
      </c>
      <c r="B6591" s="1" t="s">
        <v>53</v>
      </c>
      <c r="C6591" s="1" t="n">
        <v>605000</v>
      </c>
      <c r="D6591" s="1" t="n">
        <v>22863.8</v>
      </c>
      <c r="E6591" s="1" t="n">
        <v>0.1054</v>
      </c>
      <c r="F6591" s="1" t="n">
        <v>0.0938</v>
      </c>
    </row>
    <row r="6592" customFormat="false" ht="15" hidden="false" customHeight="false" outlineLevel="0" collapsed="false">
      <c r="A6592" s="1" t="s">
        <v>6627</v>
      </c>
      <c r="B6592" s="1" t="s">
        <v>81</v>
      </c>
      <c r="C6592" s="1" t="n">
        <v>322000</v>
      </c>
      <c r="D6592" s="1" t="n">
        <v>3449.5</v>
      </c>
      <c r="E6592" s="1" t="n">
        <v>0.0414</v>
      </c>
      <c r="F6592" s="1" t="n">
        <v>0.0759</v>
      </c>
    </row>
    <row r="6593" customFormat="false" ht="15" hidden="false" customHeight="false" outlineLevel="0" collapsed="false">
      <c r="A6593" s="1" t="s">
        <v>6628</v>
      </c>
      <c r="B6593" s="1" t="s">
        <v>26</v>
      </c>
      <c r="C6593" s="1" t="n">
        <v>672000</v>
      </c>
      <c r="D6593" s="1" t="n">
        <v>482.9</v>
      </c>
      <c r="E6593" s="1" t="n">
        <v>0.0066</v>
      </c>
      <c r="F6593" s="1" t="n">
        <v>0.073</v>
      </c>
    </row>
    <row r="6594" customFormat="false" ht="15" hidden="false" customHeight="false" outlineLevel="0" collapsed="false">
      <c r="A6594" s="1" t="s">
        <v>6629</v>
      </c>
      <c r="B6594" s="1" t="s">
        <v>62</v>
      </c>
      <c r="C6594" s="1" t="n">
        <v>102000</v>
      </c>
      <c r="D6594" s="1" t="n">
        <v>1114.4</v>
      </c>
      <c r="E6594" s="1" t="n">
        <v>0.0119</v>
      </c>
      <c r="F6594" s="1" t="n">
        <v>0.0585</v>
      </c>
    </row>
    <row r="6595" customFormat="false" ht="15" hidden="false" customHeight="false" outlineLevel="0" collapsed="false">
      <c r="A6595" s="1" t="s">
        <v>6630</v>
      </c>
      <c r="B6595" s="1" t="s">
        <v>26</v>
      </c>
      <c r="C6595" s="1" t="n">
        <v>396000</v>
      </c>
      <c r="D6595" s="1" t="n">
        <v>6449.1</v>
      </c>
      <c r="E6595" s="1" t="n">
        <v>0.0668</v>
      </c>
      <c r="F6595" s="1" t="n">
        <v>0.0759</v>
      </c>
    </row>
    <row r="6596" customFormat="false" ht="15" hidden="false" customHeight="false" outlineLevel="0" collapsed="false">
      <c r="A6596" s="1" t="s">
        <v>6631</v>
      </c>
      <c r="B6596" s="1" t="s">
        <v>214</v>
      </c>
      <c r="C6596" s="1" t="n">
        <v>449000</v>
      </c>
      <c r="D6596" s="1" t="n">
        <v>279572.7</v>
      </c>
      <c r="F6596" s="1" t="n">
        <v>0.0409</v>
      </c>
    </row>
    <row r="6597" customFormat="false" ht="15" hidden="false" customHeight="false" outlineLevel="0" collapsed="false">
      <c r="A6597" s="1" t="s">
        <v>6632</v>
      </c>
      <c r="B6597" s="1" t="s">
        <v>26</v>
      </c>
      <c r="C6597" s="1" t="n">
        <v>359000</v>
      </c>
      <c r="D6597" s="1" t="n">
        <v>1384017.7</v>
      </c>
      <c r="E6597" s="1" t="n">
        <v>0.0553</v>
      </c>
      <c r="F6597" s="1" t="n">
        <v>0.0518</v>
      </c>
    </row>
    <row r="6598" customFormat="false" ht="15" hidden="false" customHeight="false" outlineLevel="0" collapsed="false">
      <c r="A6598" s="1" t="s">
        <v>6633</v>
      </c>
      <c r="B6598" s="1" t="s">
        <v>26</v>
      </c>
      <c r="C6598" s="1" t="n">
        <v>310000</v>
      </c>
      <c r="D6598" s="1" t="n">
        <v>4017.6</v>
      </c>
      <c r="E6598" s="1" t="n">
        <v>0.0376</v>
      </c>
      <c r="F6598" s="1" t="n">
        <v>0.0951</v>
      </c>
    </row>
    <row r="6599" customFormat="false" ht="15" hidden="false" customHeight="false" outlineLevel="0" collapsed="false">
      <c r="A6599" s="1" t="s">
        <v>6634</v>
      </c>
      <c r="B6599" s="1" t="s">
        <v>26</v>
      </c>
      <c r="C6599" s="1" t="n">
        <v>340000</v>
      </c>
      <c r="D6599" s="1" t="n">
        <v>1422</v>
      </c>
      <c r="E6599" s="1" t="n">
        <v>0.0299</v>
      </c>
      <c r="F6599" s="1" t="n">
        <v>0.0759</v>
      </c>
    </row>
    <row r="6600" customFormat="false" ht="15" hidden="false" customHeight="false" outlineLevel="0" collapsed="false">
      <c r="A6600" s="1" t="s">
        <v>6635</v>
      </c>
      <c r="B6600" s="1" t="s">
        <v>62</v>
      </c>
      <c r="C6600" s="1" t="n">
        <v>568000</v>
      </c>
      <c r="D6600" s="1" t="n">
        <v>363138.3</v>
      </c>
      <c r="E6600" s="1" t="n">
        <v>0.0425</v>
      </c>
      <c r="F6600" s="1" t="n">
        <v>0.0951</v>
      </c>
    </row>
    <row r="6601" customFormat="false" ht="15" hidden="false" customHeight="false" outlineLevel="0" collapsed="false">
      <c r="A6601" s="1" t="s">
        <v>6636</v>
      </c>
      <c r="B6601" s="1" t="s">
        <v>88</v>
      </c>
      <c r="C6601" s="1" t="n">
        <v>899000</v>
      </c>
      <c r="D6601" s="1" t="n">
        <v>72564.4</v>
      </c>
      <c r="E6601" s="1" t="n">
        <v>0.0616</v>
      </c>
      <c r="F6601" s="1" t="n">
        <v>0.0759</v>
      </c>
    </row>
    <row r="6602" customFormat="false" ht="15" hidden="false" customHeight="false" outlineLevel="0" collapsed="false">
      <c r="A6602" s="1" t="s">
        <v>6637</v>
      </c>
      <c r="B6602" s="1" t="s">
        <v>71</v>
      </c>
      <c r="C6602" s="1" t="n">
        <v>316000</v>
      </c>
      <c r="D6602" s="1" t="n">
        <v>8424.1</v>
      </c>
      <c r="E6602" s="1" t="n">
        <v>0.0504</v>
      </c>
      <c r="F6602" s="1" t="n">
        <v>0.0951</v>
      </c>
    </row>
    <row r="6603" customFormat="false" ht="15" hidden="false" customHeight="false" outlineLevel="0" collapsed="false">
      <c r="A6603" s="1" t="s">
        <v>6638</v>
      </c>
      <c r="B6603" s="1" t="s">
        <v>74</v>
      </c>
      <c r="C6603" s="1" t="n">
        <v>455000</v>
      </c>
      <c r="D6603" s="1" t="n">
        <v>355732.9</v>
      </c>
      <c r="E6603" s="1" t="n">
        <v>0.0137</v>
      </c>
      <c r="F6603" s="1" t="n">
        <v>0.5139</v>
      </c>
    </row>
    <row r="6604" customFormat="false" ht="15" hidden="false" customHeight="false" outlineLevel="0" collapsed="false">
      <c r="A6604" s="1" t="s">
        <v>6639</v>
      </c>
      <c r="B6604" s="1" t="s">
        <v>24</v>
      </c>
      <c r="C6604" s="1" t="n">
        <v>421000</v>
      </c>
      <c r="D6604" s="1" t="n">
        <v>4488.8</v>
      </c>
      <c r="E6604" s="1" t="n">
        <v>0.0236</v>
      </c>
      <c r="F6604" s="1" t="n">
        <v>0.0854</v>
      </c>
    </row>
    <row r="6605" customFormat="false" ht="15" hidden="false" customHeight="false" outlineLevel="0" collapsed="false">
      <c r="A6605" s="1" t="s">
        <v>6640</v>
      </c>
      <c r="B6605" s="1" t="s">
        <v>287</v>
      </c>
      <c r="C6605" s="1" t="n">
        <v>350000</v>
      </c>
      <c r="D6605" s="1" t="n">
        <v>1884</v>
      </c>
      <c r="E6605" s="1" t="n">
        <v>0.0731</v>
      </c>
      <c r="F6605" s="1" t="n">
        <v>0.0759</v>
      </c>
    </row>
    <row r="6606" customFormat="false" ht="15" hidden="false" customHeight="false" outlineLevel="0" collapsed="false">
      <c r="A6606" s="1" t="s">
        <v>6641</v>
      </c>
      <c r="B6606" s="1" t="s">
        <v>92</v>
      </c>
      <c r="C6606" s="1" t="n">
        <v>361000</v>
      </c>
      <c r="D6606" s="1" t="n">
        <v>3669.3</v>
      </c>
      <c r="E6606" s="1" t="n">
        <v>0.0041</v>
      </c>
      <c r="F6606" s="1" t="n">
        <v>0.3242</v>
      </c>
    </row>
    <row r="6607" customFormat="false" ht="15" hidden="false" customHeight="false" outlineLevel="0" collapsed="false">
      <c r="A6607" s="1" t="s">
        <v>6642</v>
      </c>
      <c r="B6607" s="1" t="s">
        <v>53</v>
      </c>
      <c r="C6607" s="1" t="n">
        <v>356000</v>
      </c>
      <c r="D6607" s="1" t="n">
        <v>4034.5</v>
      </c>
      <c r="E6607" s="1" t="n">
        <v>0.0502</v>
      </c>
      <c r="F6607" s="1" t="n">
        <v>0.0951</v>
      </c>
    </row>
    <row r="6608" customFormat="false" ht="15" hidden="false" customHeight="false" outlineLevel="0" collapsed="false">
      <c r="A6608" s="1" t="s">
        <v>6643</v>
      </c>
      <c r="B6608" s="1" t="s">
        <v>195</v>
      </c>
      <c r="C6608" s="1" t="n">
        <v>332000</v>
      </c>
      <c r="D6608" s="1" t="n">
        <v>1802.3</v>
      </c>
      <c r="E6608" s="1" t="n">
        <v>0.0231</v>
      </c>
      <c r="F6608" s="1" t="n">
        <v>0.0409</v>
      </c>
    </row>
    <row r="6609" customFormat="false" ht="15" hidden="false" customHeight="false" outlineLevel="0" collapsed="false">
      <c r="A6609" s="1" t="s">
        <v>6644</v>
      </c>
      <c r="B6609" s="1" t="s">
        <v>26</v>
      </c>
      <c r="C6609" s="1" t="n">
        <v>416000</v>
      </c>
      <c r="D6609" s="1" t="n">
        <v>8165.8</v>
      </c>
      <c r="E6609" s="1" t="n">
        <v>0.0834</v>
      </c>
      <c r="F6609" s="1" t="n">
        <v>0.0759</v>
      </c>
    </row>
    <row r="6610" customFormat="false" ht="15" hidden="false" customHeight="false" outlineLevel="0" collapsed="false">
      <c r="A6610" s="1" t="s">
        <v>6645</v>
      </c>
      <c r="B6610" s="1" t="s">
        <v>53</v>
      </c>
      <c r="C6610" s="1" t="n">
        <v>319000</v>
      </c>
      <c r="D6610" s="1" t="n">
        <v>33472.4</v>
      </c>
      <c r="E6610" s="1" t="n">
        <v>0.0218</v>
      </c>
      <c r="F6610" s="1" t="n">
        <v>0.1067</v>
      </c>
    </row>
    <row r="6611" customFormat="false" ht="15" hidden="false" customHeight="false" outlineLevel="0" collapsed="false">
      <c r="A6611" s="1" t="s">
        <v>6646</v>
      </c>
      <c r="B6611" s="1" t="s">
        <v>53</v>
      </c>
      <c r="C6611" s="1" t="n">
        <v>886000</v>
      </c>
      <c r="D6611" s="1" t="n">
        <v>26733.6</v>
      </c>
      <c r="E6611" s="1" t="n">
        <v>0.0922</v>
      </c>
      <c r="F6611" s="1" t="n">
        <v>0.1272</v>
      </c>
    </row>
    <row r="6612" customFormat="false" ht="15" hidden="false" customHeight="false" outlineLevel="0" collapsed="false">
      <c r="A6612" s="1" t="s">
        <v>6647</v>
      </c>
      <c r="B6612" s="1" t="s">
        <v>26</v>
      </c>
      <c r="C6612" s="1" t="n">
        <v>307000</v>
      </c>
      <c r="F6612" s="1" t="n">
        <v>0.0759</v>
      </c>
    </row>
    <row r="6613" customFormat="false" ht="15" hidden="false" customHeight="false" outlineLevel="0" collapsed="false">
      <c r="A6613" s="1" t="s">
        <v>6648</v>
      </c>
      <c r="B6613" s="1" t="s">
        <v>26</v>
      </c>
      <c r="C6613" s="1" t="n">
        <v>1180000</v>
      </c>
      <c r="F6613" s="1" t="n">
        <v>0.0759</v>
      </c>
    </row>
    <row r="6614" customFormat="false" ht="15" hidden="false" customHeight="false" outlineLevel="0" collapsed="false">
      <c r="A6614" s="1" t="s">
        <v>6649</v>
      </c>
      <c r="B6614" s="1" t="s">
        <v>26</v>
      </c>
      <c r="C6614" s="1" t="n">
        <v>316000</v>
      </c>
      <c r="F6614" s="1" t="n">
        <v>0.0759</v>
      </c>
    </row>
    <row r="6615" customFormat="false" ht="15" hidden="false" customHeight="false" outlineLevel="0" collapsed="false">
      <c r="A6615" s="1" t="s">
        <v>6650</v>
      </c>
      <c r="B6615" s="1" t="s">
        <v>26</v>
      </c>
      <c r="C6615" s="1" t="n">
        <v>335000</v>
      </c>
      <c r="D6615" s="1" t="n">
        <v>45894.5</v>
      </c>
      <c r="E6615" s="1" t="n">
        <v>0.0313</v>
      </c>
      <c r="F6615" s="1" t="n">
        <v>0.0951</v>
      </c>
    </row>
    <row r="6616" customFormat="false" ht="15" hidden="false" customHeight="false" outlineLevel="0" collapsed="false">
      <c r="A6616" s="1" t="s">
        <v>6651</v>
      </c>
      <c r="B6616" s="1" t="s">
        <v>50</v>
      </c>
      <c r="C6616" s="1" t="n">
        <v>316000</v>
      </c>
      <c r="D6616" s="1" t="n">
        <v>1820.2</v>
      </c>
      <c r="E6616" s="1" t="n">
        <v>0.0283</v>
      </c>
      <c r="F6616" s="1" t="n">
        <v>0.117</v>
      </c>
    </row>
    <row r="6617" customFormat="false" ht="15" hidden="false" customHeight="false" outlineLevel="0" collapsed="false">
      <c r="A6617" s="1" t="s">
        <v>6652</v>
      </c>
      <c r="B6617" s="1" t="s">
        <v>21</v>
      </c>
      <c r="C6617" s="1" t="n">
        <v>420000</v>
      </c>
      <c r="D6617" s="1" t="n">
        <v>60606.8</v>
      </c>
      <c r="E6617" s="1" t="n">
        <v>0.0278</v>
      </c>
      <c r="F6617" s="1" t="n">
        <v>0.0412</v>
      </c>
    </row>
    <row r="6618" customFormat="false" ht="15" hidden="false" customHeight="false" outlineLevel="0" collapsed="false">
      <c r="A6618" s="1" t="s">
        <v>6653</v>
      </c>
      <c r="B6618" s="1" t="s">
        <v>92</v>
      </c>
      <c r="C6618" s="1" t="n">
        <v>331000</v>
      </c>
      <c r="D6618" s="1" t="n">
        <v>1488.9</v>
      </c>
      <c r="E6618" s="1" t="n">
        <v>0.0217</v>
      </c>
      <c r="F6618" s="1" t="n">
        <v>0.1067</v>
      </c>
    </row>
    <row r="6619" customFormat="false" ht="15" hidden="false" customHeight="false" outlineLevel="0" collapsed="false">
      <c r="A6619" s="1" t="s">
        <v>6654</v>
      </c>
      <c r="B6619" s="1" t="s">
        <v>214</v>
      </c>
      <c r="C6619" s="1" t="n">
        <v>357000</v>
      </c>
      <c r="D6619" s="1" t="n">
        <v>26423.6</v>
      </c>
      <c r="E6619" s="1" t="n">
        <v>0.0318</v>
      </c>
      <c r="F6619" s="1" t="n">
        <v>0.0938</v>
      </c>
    </row>
    <row r="6620" customFormat="false" ht="15" hidden="false" customHeight="false" outlineLevel="0" collapsed="false">
      <c r="A6620" s="1" t="s">
        <v>6655</v>
      </c>
      <c r="B6620" s="1" t="s">
        <v>28</v>
      </c>
      <c r="C6620" s="1" t="n">
        <v>397000</v>
      </c>
      <c r="D6620" s="1" t="n">
        <v>48650.7</v>
      </c>
      <c r="E6620" s="1" t="n">
        <v>0.0137</v>
      </c>
      <c r="F6620" s="1" t="n">
        <v>0.0589</v>
      </c>
    </row>
    <row r="6621" customFormat="false" ht="15" hidden="false" customHeight="false" outlineLevel="0" collapsed="false">
      <c r="A6621" s="1" t="s">
        <v>6656</v>
      </c>
      <c r="B6621" s="1" t="s">
        <v>35</v>
      </c>
      <c r="C6621" s="1" t="n">
        <v>331000</v>
      </c>
      <c r="D6621" s="1" t="n">
        <v>15723.9</v>
      </c>
      <c r="E6621" s="1" t="n">
        <v>0.032</v>
      </c>
      <c r="F6621" s="1" t="n">
        <v>0.0759</v>
      </c>
    </row>
    <row r="6622" customFormat="false" ht="15" hidden="false" customHeight="false" outlineLevel="0" collapsed="false">
      <c r="A6622" s="1" t="s">
        <v>6657</v>
      </c>
      <c r="B6622" s="1" t="s">
        <v>41</v>
      </c>
      <c r="C6622" s="1" t="n">
        <v>306000</v>
      </c>
      <c r="D6622" s="1" t="n">
        <v>1301.2</v>
      </c>
      <c r="E6622" s="1" t="n">
        <v>0.0052</v>
      </c>
      <c r="F6622" s="1" t="n">
        <v>0.0811</v>
      </c>
    </row>
    <row r="6623" customFormat="false" ht="15" hidden="false" customHeight="false" outlineLevel="0" collapsed="false">
      <c r="A6623" s="1" t="s">
        <v>6658</v>
      </c>
      <c r="B6623" s="1" t="s">
        <v>88</v>
      </c>
      <c r="C6623" s="1" t="n">
        <v>419000</v>
      </c>
      <c r="D6623" s="1" t="n">
        <v>2483.4</v>
      </c>
      <c r="E6623" s="1" t="n">
        <v>0.0187</v>
      </c>
      <c r="F6623" s="1" t="n">
        <v>0.1372</v>
      </c>
    </row>
    <row r="6624" customFormat="false" ht="15" hidden="false" customHeight="false" outlineLevel="0" collapsed="false">
      <c r="A6624" s="1" t="s">
        <v>6659</v>
      </c>
      <c r="B6624" s="1" t="s">
        <v>50</v>
      </c>
      <c r="C6624" s="1" t="n">
        <v>310000</v>
      </c>
      <c r="D6624" s="1" t="n">
        <v>667.6</v>
      </c>
      <c r="E6624" s="1" t="n">
        <v>0.0411</v>
      </c>
      <c r="F6624" s="1" t="n">
        <v>0.0409</v>
      </c>
    </row>
    <row r="6625" customFormat="false" ht="15" hidden="false" customHeight="false" outlineLevel="0" collapsed="false">
      <c r="A6625" s="1" t="s">
        <v>6660</v>
      </c>
      <c r="B6625" s="1" t="s">
        <v>26</v>
      </c>
      <c r="C6625" s="1" t="n">
        <v>415000</v>
      </c>
      <c r="D6625" s="1" t="n">
        <v>130056.2</v>
      </c>
      <c r="E6625" s="1" t="n">
        <v>0.0367</v>
      </c>
      <c r="F6625" s="1" t="n">
        <v>0.0951</v>
      </c>
    </row>
    <row r="6626" customFormat="false" ht="15" hidden="false" customHeight="false" outlineLevel="0" collapsed="false">
      <c r="A6626" s="1" t="s">
        <v>6661</v>
      </c>
      <c r="B6626" s="1" t="s">
        <v>53</v>
      </c>
      <c r="C6626" s="1" t="n">
        <v>383000</v>
      </c>
      <c r="D6626" s="1" t="n">
        <v>697.3</v>
      </c>
      <c r="E6626" s="1" t="n">
        <v>0.0354</v>
      </c>
      <c r="F6626" s="1" t="n">
        <v>0.0759</v>
      </c>
    </row>
    <row r="6627" customFormat="false" ht="15" hidden="false" customHeight="false" outlineLevel="0" collapsed="false">
      <c r="A6627" s="1" t="s">
        <v>6662</v>
      </c>
      <c r="B6627" s="1" t="s">
        <v>62</v>
      </c>
      <c r="C6627" s="1" t="n">
        <v>312000</v>
      </c>
      <c r="D6627" s="1" t="n">
        <v>1284.9</v>
      </c>
      <c r="E6627" s="1" t="n">
        <v>0.0259</v>
      </c>
      <c r="F6627" s="1" t="n">
        <v>0.0951</v>
      </c>
    </row>
    <row r="6628" customFormat="false" ht="15" hidden="false" customHeight="false" outlineLevel="0" collapsed="false">
      <c r="A6628" s="1" t="s">
        <v>6663</v>
      </c>
      <c r="B6628" s="1" t="s">
        <v>26</v>
      </c>
      <c r="C6628" s="1" t="n">
        <v>397000</v>
      </c>
      <c r="D6628" s="1" t="n">
        <v>6065.2</v>
      </c>
      <c r="E6628" s="1" t="n">
        <v>0.0196</v>
      </c>
      <c r="F6628" s="1" t="n">
        <v>0.0854</v>
      </c>
    </row>
    <row r="6629" customFormat="false" ht="15" hidden="false" customHeight="false" outlineLevel="0" collapsed="false">
      <c r="A6629" s="1" t="s">
        <v>6664</v>
      </c>
      <c r="B6629" s="1" t="s">
        <v>26</v>
      </c>
      <c r="C6629" s="1" t="n">
        <v>351000</v>
      </c>
      <c r="D6629" s="1" t="n">
        <v>419005.5</v>
      </c>
      <c r="E6629" s="1" t="n">
        <v>0.0326</v>
      </c>
      <c r="F6629" s="1" t="n">
        <v>0.0845</v>
      </c>
    </row>
    <row r="6630" customFormat="false" ht="15" hidden="false" customHeight="false" outlineLevel="0" collapsed="false">
      <c r="A6630" s="1" t="s">
        <v>6665</v>
      </c>
      <c r="B6630" s="1" t="s">
        <v>50</v>
      </c>
      <c r="C6630" s="1" t="n">
        <v>310000</v>
      </c>
      <c r="D6630" s="1" t="n">
        <v>1988.4</v>
      </c>
      <c r="E6630" s="1" t="n">
        <v>0.0626</v>
      </c>
      <c r="F6630" s="1" t="n">
        <v>0.0759</v>
      </c>
    </row>
    <row r="6631" customFormat="false" ht="15" hidden="false" customHeight="false" outlineLevel="0" collapsed="false">
      <c r="A6631" s="1" t="s">
        <v>6666</v>
      </c>
      <c r="B6631" s="1" t="s">
        <v>26</v>
      </c>
      <c r="C6631" s="1" t="n">
        <v>620000</v>
      </c>
      <c r="D6631" s="1" t="n">
        <v>1482.8</v>
      </c>
      <c r="E6631" s="1" t="n">
        <v>0.0199</v>
      </c>
      <c r="F6631" s="1" t="n">
        <v>0.0517</v>
      </c>
    </row>
    <row r="6632" customFormat="false" ht="15" hidden="false" customHeight="false" outlineLevel="0" collapsed="false">
      <c r="A6632" s="1" t="s">
        <v>6667</v>
      </c>
      <c r="B6632" s="1" t="s">
        <v>92</v>
      </c>
      <c r="C6632" s="1" t="n">
        <v>403000</v>
      </c>
      <c r="D6632" s="1" t="n">
        <v>19294.4</v>
      </c>
      <c r="E6632" s="1" t="n">
        <v>0.0239</v>
      </c>
      <c r="F6632" s="1" t="n">
        <v>0.0759</v>
      </c>
    </row>
    <row r="6633" customFormat="false" ht="15" hidden="false" customHeight="false" outlineLevel="0" collapsed="false">
      <c r="A6633" s="1" t="s">
        <v>6668</v>
      </c>
      <c r="B6633" s="1" t="s">
        <v>74</v>
      </c>
      <c r="C6633" s="1" t="n">
        <v>479000</v>
      </c>
      <c r="D6633" s="1" t="n">
        <v>11651.9</v>
      </c>
      <c r="E6633" s="1" t="n">
        <v>0.0184</v>
      </c>
      <c r="F6633" s="1" t="n">
        <v>0.131</v>
      </c>
    </row>
    <row r="6634" customFormat="false" ht="15" hidden="false" customHeight="false" outlineLevel="0" collapsed="false">
      <c r="A6634" s="1" t="s">
        <v>6669</v>
      </c>
      <c r="B6634" s="1" t="s">
        <v>24</v>
      </c>
      <c r="C6634" s="1" t="n">
        <v>350000</v>
      </c>
      <c r="D6634" s="1" t="n">
        <v>112.6</v>
      </c>
      <c r="E6634" s="1" t="n">
        <v>0.0301</v>
      </c>
      <c r="F6634" s="1" t="n">
        <v>0.1387</v>
      </c>
    </row>
    <row r="6635" customFormat="false" ht="15" hidden="false" customHeight="false" outlineLevel="0" collapsed="false">
      <c r="A6635" s="1" t="s">
        <v>6670</v>
      </c>
      <c r="B6635" s="1" t="s">
        <v>214</v>
      </c>
      <c r="C6635" s="1" t="n">
        <v>313000</v>
      </c>
      <c r="D6635" s="1" t="n">
        <v>166718.1</v>
      </c>
      <c r="E6635" s="1" t="n">
        <v>0.0504</v>
      </c>
      <c r="F6635" s="1" t="n">
        <v>0.0951</v>
      </c>
    </row>
    <row r="6636" customFormat="false" ht="15" hidden="false" customHeight="false" outlineLevel="0" collapsed="false">
      <c r="A6636" s="1" t="s">
        <v>6671</v>
      </c>
      <c r="B6636" s="1" t="s">
        <v>195</v>
      </c>
      <c r="C6636" s="1" t="n">
        <v>320000</v>
      </c>
      <c r="D6636" s="1" t="n">
        <v>1470.6</v>
      </c>
      <c r="E6636" s="1" t="n">
        <v>0.0229</v>
      </c>
      <c r="F6636" s="1" t="n">
        <v>0.0951</v>
      </c>
    </row>
    <row r="6637" customFormat="false" ht="15" hidden="false" customHeight="false" outlineLevel="0" collapsed="false">
      <c r="A6637" s="1" t="s">
        <v>6672</v>
      </c>
      <c r="B6637" s="1" t="s">
        <v>26</v>
      </c>
      <c r="C6637" s="1" t="n">
        <v>371000</v>
      </c>
      <c r="D6637" s="1" t="n">
        <v>69708.6</v>
      </c>
      <c r="E6637" s="1" t="n">
        <v>0.0477</v>
      </c>
      <c r="F6637" s="1" t="n">
        <v>0.0759</v>
      </c>
    </row>
    <row r="6638" customFormat="false" ht="15" hidden="false" customHeight="false" outlineLevel="0" collapsed="false">
      <c r="A6638" s="1" t="s">
        <v>6673</v>
      </c>
      <c r="B6638" s="1" t="s">
        <v>92</v>
      </c>
      <c r="C6638" s="1" t="n">
        <v>312000</v>
      </c>
      <c r="D6638" s="1" t="n">
        <v>1903.9</v>
      </c>
      <c r="E6638" s="1" t="n">
        <v>0.0099</v>
      </c>
      <c r="F6638" s="1" t="n">
        <v>0.0654</v>
      </c>
    </row>
    <row r="6639" customFormat="false" ht="15" hidden="false" customHeight="false" outlineLevel="0" collapsed="false">
      <c r="A6639" s="1" t="s">
        <v>6674</v>
      </c>
      <c r="B6639" s="1" t="s">
        <v>21</v>
      </c>
      <c r="C6639" s="1" t="n">
        <v>383000</v>
      </c>
      <c r="D6639" s="1" t="n">
        <v>3158.9</v>
      </c>
      <c r="E6639" s="1" t="n">
        <v>0.0327</v>
      </c>
      <c r="F6639" s="1" t="n">
        <v>0.0759</v>
      </c>
    </row>
    <row r="6640" customFormat="false" ht="15" hidden="false" customHeight="false" outlineLevel="0" collapsed="false">
      <c r="A6640" s="1" t="s">
        <v>6675</v>
      </c>
      <c r="B6640" s="1" t="s">
        <v>62</v>
      </c>
      <c r="C6640" s="1" t="n">
        <v>312000</v>
      </c>
      <c r="D6640" s="1" t="n">
        <v>4412.7</v>
      </c>
      <c r="E6640" s="1" t="n">
        <v>0.0723</v>
      </c>
      <c r="F6640" s="1" t="n">
        <v>0.0759</v>
      </c>
    </row>
    <row r="6641" customFormat="false" ht="15" hidden="false" customHeight="false" outlineLevel="0" collapsed="false">
      <c r="A6641" s="1" t="s">
        <v>6676</v>
      </c>
      <c r="B6641" s="1" t="s">
        <v>88</v>
      </c>
      <c r="C6641" s="1" t="n">
        <v>364000</v>
      </c>
      <c r="D6641" s="1" t="n">
        <v>1082.3</v>
      </c>
      <c r="E6641" s="1" t="n">
        <v>0.0371</v>
      </c>
      <c r="F6641" s="1" t="n">
        <v>0.0517</v>
      </c>
    </row>
    <row r="6642" customFormat="false" ht="15" hidden="false" customHeight="false" outlineLevel="0" collapsed="false">
      <c r="A6642" s="1" t="s">
        <v>6677</v>
      </c>
      <c r="B6642" s="1" t="s">
        <v>62</v>
      </c>
      <c r="C6642" s="1" t="n">
        <v>689000</v>
      </c>
      <c r="D6642" s="1" t="n">
        <v>7438</v>
      </c>
      <c r="E6642" s="1" t="n">
        <v>0.0294</v>
      </c>
      <c r="F6642" s="1" t="n">
        <v>0.0759</v>
      </c>
    </row>
    <row r="6643" customFormat="false" ht="15" hidden="false" customHeight="false" outlineLevel="0" collapsed="false">
      <c r="A6643" s="1" t="s">
        <v>6678</v>
      </c>
      <c r="B6643" s="1" t="s">
        <v>88</v>
      </c>
      <c r="C6643" s="1" t="n">
        <v>334000</v>
      </c>
      <c r="D6643" s="1" t="n">
        <v>266.5</v>
      </c>
      <c r="F6643" s="1" t="n">
        <v>0.0951</v>
      </c>
    </row>
    <row r="6644" customFormat="false" ht="15" hidden="false" customHeight="false" outlineLevel="0" collapsed="false">
      <c r="A6644" s="1" t="s">
        <v>6679</v>
      </c>
      <c r="B6644" s="1" t="s">
        <v>24</v>
      </c>
      <c r="C6644" s="1" t="n">
        <v>349000</v>
      </c>
      <c r="D6644" s="1" t="n">
        <v>30967.5</v>
      </c>
      <c r="E6644" s="1" t="n">
        <v>0.0277</v>
      </c>
      <c r="F6644" s="1" t="n">
        <v>0.0951</v>
      </c>
    </row>
    <row r="6645" customFormat="false" ht="15" hidden="false" customHeight="false" outlineLevel="0" collapsed="false">
      <c r="A6645" s="1" t="s">
        <v>6680</v>
      </c>
      <c r="B6645" s="1" t="s">
        <v>41</v>
      </c>
      <c r="C6645" s="1" t="n">
        <v>731000</v>
      </c>
      <c r="D6645" s="1" t="n">
        <v>88704.4</v>
      </c>
      <c r="E6645" s="1" t="n">
        <v>0.1062</v>
      </c>
      <c r="F6645" s="1" t="n">
        <v>0.0938</v>
      </c>
    </row>
    <row r="6646" customFormat="false" ht="15" hidden="false" customHeight="false" outlineLevel="0" collapsed="false">
      <c r="A6646" s="1" t="s">
        <v>6681</v>
      </c>
      <c r="B6646" s="1" t="s">
        <v>195</v>
      </c>
      <c r="C6646" s="1" t="n">
        <v>352000</v>
      </c>
      <c r="D6646" s="1" t="n">
        <v>5945</v>
      </c>
      <c r="E6646" s="1" t="n">
        <v>0.0164</v>
      </c>
      <c r="F6646" s="1" t="n">
        <v>0.0854</v>
      </c>
    </row>
    <row r="6647" customFormat="false" ht="15" hidden="false" customHeight="false" outlineLevel="0" collapsed="false">
      <c r="A6647" s="1" t="s">
        <v>6682</v>
      </c>
      <c r="B6647" s="1" t="s">
        <v>24</v>
      </c>
      <c r="C6647" s="1" t="n">
        <v>438000</v>
      </c>
      <c r="D6647" s="1" t="n">
        <v>17446.5</v>
      </c>
      <c r="E6647" s="1" t="n">
        <v>0.0127</v>
      </c>
      <c r="F6647" s="1" t="n">
        <v>0.0654</v>
      </c>
    </row>
    <row r="6648" customFormat="false" ht="15" hidden="false" customHeight="false" outlineLevel="0" collapsed="false">
      <c r="A6648" s="1" t="s">
        <v>6683</v>
      </c>
      <c r="B6648" s="1" t="s">
        <v>26</v>
      </c>
      <c r="C6648" s="1" t="n">
        <v>353000</v>
      </c>
      <c r="D6648" s="1" t="n">
        <v>2647.3</v>
      </c>
      <c r="E6648" s="1" t="n">
        <v>0.0402</v>
      </c>
      <c r="F6648" s="1" t="n">
        <v>0.0938</v>
      </c>
    </row>
    <row r="6649" customFormat="false" ht="15" hidden="false" customHeight="false" outlineLevel="0" collapsed="false">
      <c r="A6649" s="1" t="s">
        <v>6684</v>
      </c>
      <c r="B6649" s="1" t="s">
        <v>26</v>
      </c>
      <c r="C6649" s="1" t="n">
        <v>329000</v>
      </c>
      <c r="D6649" s="1" t="n">
        <v>5353.7</v>
      </c>
      <c r="E6649" s="1" t="n">
        <v>0.0227</v>
      </c>
      <c r="F6649" s="1" t="n">
        <v>0.0845</v>
      </c>
    </row>
    <row r="6650" customFormat="false" ht="15" hidden="false" customHeight="false" outlineLevel="0" collapsed="false">
      <c r="A6650" s="1" t="s">
        <v>6685</v>
      </c>
      <c r="B6650" s="1" t="s">
        <v>71</v>
      </c>
      <c r="C6650" s="1" t="n">
        <v>308000</v>
      </c>
      <c r="D6650" s="1" t="n">
        <v>576.1</v>
      </c>
      <c r="E6650" s="1" t="n">
        <v>0.0397</v>
      </c>
      <c r="F6650" s="1" t="n">
        <v>0.0938</v>
      </c>
    </row>
    <row r="6651" customFormat="false" ht="15" hidden="false" customHeight="false" outlineLevel="0" collapsed="false">
      <c r="A6651" s="1" t="s">
        <v>6686</v>
      </c>
      <c r="B6651" s="1" t="s">
        <v>88</v>
      </c>
      <c r="C6651" s="1" t="n">
        <v>415000</v>
      </c>
      <c r="D6651" s="1" t="n">
        <v>21711.6</v>
      </c>
      <c r="E6651" s="1" t="n">
        <v>0.0312</v>
      </c>
      <c r="F6651" s="1" t="n">
        <v>0.0759</v>
      </c>
    </row>
    <row r="6652" customFormat="false" ht="15" hidden="false" customHeight="false" outlineLevel="0" collapsed="false">
      <c r="A6652" s="1" t="s">
        <v>6687</v>
      </c>
      <c r="B6652" s="1" t="s">
        <v>24</v>
      </c>
      <c r="C6652" s="1" t="n">
        <v>621000</v>
      </c>
      <c r="D6652" s="1" t="n">
        <v>126127.9</v>
      </c>
      <c r="E6652" s="1" t="n">
        <v>0.1162</v>
      </c>
      <c r="F6652" s="1" t="n">
        <v>0.0938</v>
      </c>
    </row>
    <row r="6653" customFormat="false" ht="15" hidden="false" customHeight="false" outlineLevel="0" collapsed="false">
      <c r="A6653" s="1" t="s">
        <v>6688</v>
      </c>
      <c r="B6653" s="1" t="s">
        <v>214</v>
      </c>
      <c r="C6653" s="1" t="n">
        <v>480000</v>
      </c>
      <c r="D6653" s="1" t="n">
        <v>10546.1</v>
      </c>
      <c r="E6653" s="1" t="n">
        <v>0.0503</v>
      </c>
      <c r="F6653" s="1" t="n">
        <v>0.0518</v>
      </c>
    </row>
    <row r="6654" customFormat="false" ht="15" hidden="false" customHeight="false" outlineLevel="0" collapsed="false">
      <c r="A6654" s="1" t="s">
        <v>6689</v>
      </c>
      <c r="B6654" s="1" t="s">
        <v>26</v>
      </c>
      <c r="C6654" s="1" t="n">
        <v>436000</v>
      </c>
      <c r="D6654" s="1" t="n">
        <v>55952.4</v>
      </c>
      <c r="E6654" s="1" t="n">
        <v>0.0176</v>
      </c>
      <c r="F6654" s="1" t="n">
        <v>0.0585</v>
      </c>
    </row>
    <row r="6655" customFormat="false" ht="15" hidden="false" customHeight="false" outlineLevel="0" collapsed="false">
      <c r="A6655" s="1" t="s">
        <v>6690</v>
      </c>
      <c r="B6655" s="1" t="s">
        <v>81</v>
      </c>
      <c r="C6655" s="1" t="n">
        <v>348000</v>
      </c>
      <c r="D6655" s="1" t="n">
        <v>12929.4</v>
      </c>
      <c r="E6655" s="1" t="n">
        <v>0.0304</v>
      </c>
      <c r="F6655" s="1" t="n">
        <v>0.0759</v>
      </c>
    </row>
    <row r="6656" customFormat="false" ht="15" hidden="false" customHeight="false" outlineLevel="0" collapsed="false">
      <c r="A6656" s="1" t="s">
        <v>6691</v>
      </c>
      <c r="B6656" s="1" t="s">
        <v>41</v>
      </c>
      <c r="C6656" s="1" t="n">
        <v>353000</v>
      </c>
      <c r="D6656" s="1" t="n">
        <v>2060</v>
      </c>
      <c r="E6656" s="1" t="n">
        <v>0.0236</v>
      </c>
      <c r="F6656" s="1" t="n">
        <v>0.0951</v>
      </c>
    </row>
    <row r="6657" customFormat="false" ht="15" hidden="false" customHeight="false" outlineLevel="0" collapsed="false">
      <c r="A6657" s="1" t="s">
        <v>6692</v>
      </c>
      <c r="B6657" s="1" t="s">
        <v>74</v>
      </c>
      <c r="C6657" s="1" t="n">
        <v>323000</v>
      </c>
      <c r="D6657" s="1" t="n">
        <v>416.4</v>
      </c>
      <c r="F6657" s="1" t="n">
        <v>0.0951</v>
      </c>
    </row>
    <row r="6658" customFormat="false" ht="15" hidden="false" customHeight="false" outlineLevel="0" collapsed="false">
      <c r="A6658" s="1" t="s">
        <v>6693</v>
      </c>
      <c r="B6658" s="1" t="s">
        <v>50</v>
      </c>
      <c r="C6658" s="1" t="n">
        <v>346000</v>
      </c>
      <c r="D6658" s="1" t="n">
        <v>4537.7</v>
      </c>
      <c r="E6658" s="1" t="n">
        <v>0.0652</v>
      </c>
      <c r="F6658" s="1" t="n">
        <v>0.0938</v>
      </c>
    </row>
    <row r="6659" customFormat="false" ht="15" hidden="false" customHeight="false" outlineLevel="0" collapsed="false">
      <c r="A6659" s="1" t="s">
        <v>6694</v>
      </c>
      <c r="B6659" s="1" t="s">
        <v>74</v>
      </c>
      <c r="C6659" s="1" t="n">
        <v>365000</v>
      </c>
      <c r="D6659" s="1" t="n">
        <v>37067.3</v>
      </c>
      <c r="E6659" s="1" t="n">
        <v>0.0588</v>
      </c>
      <c r="F6659" s="1" t="n">
        <v>0.0951</v>
      </c>
    </row>
    <row r="6660" customFormat="false" ht="15" hidden="false" customHeight="false" outlineLevel="0" collapsed="false">
      <c r="A6660" s="1" t="s">
        <v>6695</v>
      </c>
      <c r="B6660" s="1" t="s">
        <v>71</v>
      </c>
      <c r="C6660" s="1" t="n">
        <v>308000</v>
      </c>
      <c r="D6660" s="1" t="n">
        <v>8934.7</v>
      </c>
      <c r="E6660" s="1" t="n">
        <v>0.0359</v>
      </c>
      <c r="F6660" s="1" t="n">
        <v>0.0951</v>
      </c>
    </row>
    <row r="6661" customFormat="false" ht="15" hidden="false" customHeight="false" outlineLevel="0" collapsed="false">
      <c r="A6661" s="1" t="s">
        <v>6696</v>
      </c>
      <c r="B6661" s="1" t="s">
        <v>214</v>
      </c>
      <c r="C6661" s="1" t="n">
        <v>1140000</v>
      </c>
      <c r="D6661" s="1" t="n">
        <v>209249.7</v>
      </c>
      <c r="E6661" s="1" t="n">
        <v>0.0173</v>
      </c>
      <c r="F6661" s="1" t="n">
        <v>0.0462</v>
      </c>
    </row>
    <row r="6662" customFormat="false" ht="15" hidden="false" customHeight="false" outlineLevel="0" collapsed="false">
      <c r="A6662" s="1" t="s">
        <v>6697</v>
      </c>
      <c r="B6662" s="1" t="s">
        <v>26</v>
      </c>
      <c r="C6662" s="1" t="n">
        <v>433000</v>
      </c>
      <c r="D6662" s="1" t="n">
        <v>449.8</v>
      </c>
      <c r="E6662" s="1" t="n">
        <v>0.0274</v>
      </c>
      <c r="F6662" s="1" t="n">
        <v>0.051</v>
      </c>
    </row>
    <row r="6663" customFormat="false" ht="15" hidden="false" customHeight="false" outlineLevel="0" collapsed="false">
      <c r="A6663" s="1" t="s">
        <v>6698</v>
      </c>
      <c r="B6663" s="1" t="s">
        <v>195</v>
      </c>
      <c r="C6663" s="1" t="n">
        <v>359000</v>
      </c>
      <c r="D6663" s="1" t="n">
        <v>6143.6</v>
      </c>
      <c r="E6663" s="1" t="n">
        <v>0.0385</v>
      </c>
      <c r="F6663" s="1" t="n">
        <v>0.0412</v>
      </c>
    </row>
    <row r="6664" customFormat="false" ht="15" hidden="false" customHeight="false" outlineLevel="0" collapsed="false">
      <c r="A6664" s="1" t="s">
        <v>6699</v>
      </c>
      <c r="B6664" s="1" t="s">
        <v>214</v>
      </c>
      <c r="C6664" s="1" t="n">
        <v>306000</v>
      </c>
      <c r="D6664" s="1" t="n">
        <v>677.9</v>
      </c>
      <c r="E6664" s="1" t="n">
        <v>0.0145</v>
      </c>
      <c r="F6664" s="1" t="n">
        <v>0.0726</v>
      </c>
    </row>
    <row r="6665" customFormat="false" ht="15" hidden="false" customHeight="false" outlineLevel="0" collapsed="false">
      <c r="A6665" s="1" t="s">
        <v>6700</v>
      </c>
      <c r="B6665" s="1" t="s">
        <v>92</v>
      </c>
      <c r="C6665" s="1" t="n">
        <v>374000</v>
      </c>
      <c r="D6665" s="1" t="n">
        <v>22400.9</v>
      </c>
      <c r="E6665" s="1" t="n">
        <v>0.0214</v>
      </c>
      <c r="F6665" s="1" t="n">
        <v>0.0759</v>
      </c>
    </row>
    <row r="6666" customFormat="false" ht="15" hidden="false" customHeight="false" outlineLevel="0" collapsed="false">
      <c r="A6666" s="1" t="s">
        <v>6701</v>
      </c>
      <c r="B6666" s="1" t="s">
        <v>26</v>
      </c>
      <c r="C6666" s="1" t="n">
        <v>354000</v>
      </c>
      <c r="D6666" s="1" t="n">
        <v>38007</v>
      </c>
      <c r="E6666" s="1" t="n">
        <v>0.0265</v>
      </c>
      <c r="F6666" s="1" t="n">
        <v>0.0518</v>
      </c>
    </row>
    <row r="6667" customFormat="false" ht="15" hidden="false" customHeight="false" outlineLevel="0" collapsed="false">
      <c r="A6667" s="1" t="s">
        <v>6702</v>
      </c>
      <c r="B6667" s="1" t="s">
        <v>92</v>
      </c>
      <c r="C6667" s="1" t="n">
        <v>394000</v>
      </c>
      <c r="D6667" s="1" t="n">
        <v>1535.7</v>
      </c>
      <c r="E6667" s="1" t="n">
        <v>0.007</v>
      </c>
      <c r="F6667" s="1" t="n">
        <v>0.0822</v>
      </c>
    </row>
    <row r="6668" customFormat="false" ht="15" hidden="false" customHeight="false" outlineLevel="0" collapsed="false">
      <c r="A6668" s="1" t="s">
        <v>6703</v>
      </c>
      <c r="B6668" s="1" t="s">
        <v>92</v>
      </c>
      <c r="C6668" s="1" t="n">
        <v>454000</v>
      </c>
      <c r="D6668" s="1" t="n">
        <v>59727.6</v>
      </c>
      <c r="E6668" s="1" t="n">
        <v>0.0193</v>
      </c>
      <c r="F6668" s="1" t="n">
        <v>0.0759</v>
      </c>
    </row>
    <row r="6669" customFormat="false" ht="15" hidden="false" customHeight="false" outlineLevel="0" collapsed="false">
      <c r="A6669" s="1" t="s">
        <v>6704</v>
      </c>
      <c r="B6669" s="1" t="s">
        <v>88</v>
      </c>
      <c r="C6669" s="1" t="n">
        <v>452000</v>
      </c>
      <c r="D6669" s="1" t="n">
        <v>11865.9</v>
      </c>
      <c r="E6669" s="1" t="n">
        <v>0.0226</v>
      </c>
      <c r="F6669" s="1" t="n">
        <v>0.0951</v>
      </c>
    </row>
    <row r="6670" customFormat="false" ht="15" hidden="false" customHeight="false" outlineLevel="0" collapsed="false">
      <c r="A6670" s="1" t="s">
        <v>6705</v>
      </c>
      <c r="B6670" s="1" t="s">
        <v>81</v>
      </c>
      <c r="C6670" s="1" t="n">
        <v>298000</v>
      </c>
      <c r="D6670" s="1" t="n">
        <v>2309.4</v>
      </c>
      <c r="E6670" s="1" t="n">
        <v>0.0253</v>
      </c>
      <c r="F6670" s="1" t="n">
        <v>0.0518</v>
      </c>
    </row>
    <row r="6671" customFormat="false" ht="15" hidden="false" customHeight="false" outlineLevel="0" collapsed="false">
      <c r="A6671" s="1" t="s">
        <v>6706</v>
      </c>
      <c r="B6671" s="1" t="s">
        <v>41</v>
      </c>
      <c r="C6671" s="1" t="n">
        <v>320000</v>
      </c>
      <c r="D6671" s="1" t="n">
        <v>5280.3</v>
      </c>
      <c r="E6671" s="1" t="n">
        <v>0.0323</v>
      </c>
      <c r="F6671" s="1" t="n">
        <v>0.0644</v>
      </c>
    </row>
    <row r="6672" customFormat="false" ht="15" hidden="false" customHeight="false" outlineLevel="0" collapsed="false">
      <c r="A6672" s="1" t="s">
        <v>6707</v>
      </c>
      <c r="B6672" s="1" t="s">
        <v>88</v>
      </c>
      <c r="C6672" s="1" t="n">
        <v>338000</v>
      </c>
      <c r="D6672" s="1" t="n">
        <v>250.1</v>
      </c>
      <c r="E6672" s="1" t="n">
        <v>0.0624</v>
      </c>
      <c r="F6672" s="1" t="n">
        <v>0.4482</v>
      </c>
    </row>
    <row r="6673" customFormat="false" ht="15" hidden="false" customHeight="false" outlineLevel="0" collapsed="false">
      <c r="A6673" s="1" t="s">
        <v>6708</v>
      </c>
      <c r="B6673" s="1" t="s">
        <v>62</v>
      </c>
      <c r="C6673" s="1" t="n">
        <v>632000</v>
      </c>
      <c r="D6673" s="1" t="n">
        <v>391369.7</v>
      </c>
      <c r="E6673" s="1" t="n">
        <v>0.0155</v>
      </c>
      <c r="F6673" s="1" t="n">
        <v>0.095</v>
      </c>
    </row>
    <row r="6674" customFormat="false" ht="15" hidden="false" customHeight="false" outlineLevel="0" collapsed="false">
      <c r="A6674" s="1" t="s">
        <v>6709</v>
      </c>
      <c r="B6674" s="1" t="s">
        <v>62</v>
      </c>
      <c r="C6674" s="1" t="n">
        <v>360000</v>
      </c>
      <c r="D6674" s="1" t="n">
        <v>8815.8</v>
      </c>
      <c r="E6674" s="1" t="n">
        <v>0.0741</v>
      </c>
      <c r="F6674" s="1" t="n">
        <v>0.0759</v>
      </c>
    </row>
    <row r="6675" customFormat="false" ht="15" hidden="false" customHeight="false" outlineLevel="0" collapsed="false">
      <c r="A6675" s="1" t="s">
        <v>6710</v>
      </c>
      <c r="B6675" s="1" t="s">
        <v>28</v>
      </c>
      <c r="C6675" s="1" t="n">
        <v>422000</v>
      </c>
      <c r="D6675" s="1" t="n">
        <v>977.3</v>
      </c>
      <c r="E6675" s="1" t="n">
        <v>0.0224</v>
      </c>
      <c r="F6675" s="1" t="n">
        <v>0.1688</v>
      </c>
    </row>
    <row r="6676" customFormat="false" ht="15" hidden="false" customHeight="false" outlineLevel="0" collapsed="false">
      <c r="A6676" s="1" t="s">
        <v>6711</v>
      </c>
      <c r="B6676" s="1" t="s">
        <v>81</v>
      </c>
      <c r="C6676" s="1" t="n">
        <v>303000</v>
      </c>
      <c r="D6676" s="1" t="n">
        <v>828.8</v>
      </c>
      <c r="E6676" s="1" t="n">
        <v>0.025</v>
      </c>
      <c r="F6676" s="1" t="n">
        <v>0.0951</v>
      </c>
    </row>
    <row r="6677" customFormat="false" ht="15" hidden="false" customHeight="false" outlineLevel="0" collapsed="false">
      <c r="A6677" s="1" t="s">
        <v>6712</v>
      </c>
      <c r="B6677" s="1" t="s">
        <v>74</v>
      </c>
      <c r="C6677" s="1" t="n">
        <v>358000</v>
      </c>
      <c r="D6677" s="1" t="n">
        <v>3451</v>
      </c>
      <c r="E6677" s="1" t="n">
        <v>0.0547</v>
      </c>
      <c r="F6677" s="1" t="n">
        <v>0.0759</v>
      </c>
    </row>
    <row r="6678" customFormat="false" ht="15" hidden="false" customHeight="false" outlineLevel="0" collapsed="false">
      <c r="A6678" s="1" t="s">
        <v>6713</v>
      </c>
      <c r="B6678" s="1" t="s">
        <v>88</v>
      </c>
      <c r="C6678" s="1" t="n">
        <v>580000</v>
      </c>
      <c r="D6678" s="1" t="n">
        <v>21070.5</v>
      </c>
      <c r="E6678" s="1" t="n">
        <v>0.0205</v>
      </c>
      <c r="F6678" s="1" t="n">
        <v>0.131</v>
      </c>
    </row>
    <row r="6679" customFormat="false" ht="15" hidden="false" customHeight="false" outlineLevel="0" collapsed="false">
      <c r="A6679" s="1" t="s">
        <v>6714</v>
      </c>
      <c r="B6679" s="1" t="s">
        <v>62</v>
      </c>
      <c r="C6679" s="1" t="n">
        <v>334000</v>
      </c>
      <c r="D6679" s="1" t="n">
        <v>8877.2</v>
      </c>
      <c r="E6679" s="1" t="n">
        <v>0.0117</v>
      </c>
      <c r="F6679" s="1" t="n">
        <v>0.0775</v>
      </c>
    </row>
    <row r="6680" customFormat="false" ht="15" hidden="false" customHeight="false" outlineLevel="0" collapsed="false">
      <c r="A6680" s="1" t="s">
        <v>6715</v>
      </c>
      <c r="B6680" s="1" t="s">
        <v>88</v>
      </c>
      <c r="C6680" s="1" t="n">
        <v>548000</v>
      </c>
      <c r="D6680" s="1" t="n">
        <v>643.2</v>
      </c>
      <c r="E6680" s="1" t="n">
        <v>0.0516</v>
      </c>
      <c r="F6680" s="1" t="n">
        <v>0.0938</v>
      </c>
    </row>
    <row r="6681" customFormat="false" ht="15" hidden="false" customHeight="false" outlineLevel="0" collapsed="false">
      <c r="A6681" s="1" t="s">
        <v>6716</v>
      </c>
      <c r="B6681" s="1" t="s">
        <v>26</v>
      </c>
      <c r="C6681" s="1" t="n">
        <v>355000</v>
      </c>
      <c r="D6681" s="1" t="n">
        <v>1079.6</v>
      </c>
      <c r="E6681" s="1" t="n">
        <v>0.0596</v>
      </c>
      <c r="F6681" s="1" t="n">
        <v>0.0759</v>
      </c>
    </row>
    <row r="6682" customFormat="false" ht="15" hidden="false" customHeight="false" outlineLevel="0" collapsed="false">
      <c r="A6682" s="1" t="s">
        <v>6717</v>
      </c>
      <c r="B6682" s="1" t="s">
        <v>26</v>
      </c>
      <c r="C6682" s="1" t="n">
        <v>368000</v>
      </c>
      <c r="D6682" s="1" t="n">
        <v>18898.2</v>
      </c>
      <c r="E6682" s="1" t="n">
        <v>0.0261</v>
      </c>
      <c r="F6682" s="1" t="n">
        <v>0.0759</v>
      </c>
    </row>
    <row r="6683" customFormat="false" ht="15" hidden="false" customHeight="false" outlineLevel="0" collapsed="false">
      <c r="A6683" s="1" t="s">
        <v>6718</v>
      </c>
      <c r="B6683" s="1" t="s">
        <v>26</v>
      </c>
      <c r="C6683" s="1" t="n">
        <v>395000</v>
      </c>
      <c r="D6683" s="1" t="n">
        <v>133072.2</v>
      </c>
      <c r="E6683" s="1" t="n">
        <v>0.0159</v>
      </c>
      <c r="F6683" s="1" t="n">
        <v>0.0854</v>
      </c>
    </row>
    <row r="6684" customFormat="false" ht="15" hidden="false" customHeight="false" outlineLevel="0" collapsed="false">
      <c r="A6684" s="1" t="s">
        <v>6719</v>
      </c>
      <c r="B6684" s="1" t="s">
        <v>92</v>
      </c>
      <c r="C6684" s="1" t="n">
        <v>689000</v>
      </c>
      <c r="D6684" s="1" t="n">
        <v>36377.9</v>
      </c>
      <c r="E6684" s="1" t="n">
        <v>0.0098</v>
      </c>
      <c r="F6684" s="1" t="n">
        <v>0.0654</v>
      </c>
    </row>
    <row r="6685" customFormat="false" ht="15" hidden="false" customHeight="false" outlineLevel="0" collapsed="false">
      <c r="A6685" s="1" t="s">
        <v>6720</v>
      </c>
      <c r="B6685" s="1" t="s">
        <v>41</v>
      </c>
      <c r="C6685" s="1" t="n">
        <v>325000</v>
      </c>
      <c r="D6685" s="1" t="n">
        <v>4007.2</v>
      </c>
      <c r="E6685" s="1" t="n">
        <v>0.0436</v>
      </c>
      <c r="F6685" s="1" t="n">
        <v>0.0938</v>
      </c>
    </row>
    <row r="6686" customFormat="false" ht="15" hidden="false" customHeight="false" outlineLevel="0" collapsed="false">
      <c r="A6686" s="1" t="s">
        <v>6721</v>
      </c>
      <c r="B6686" s="1" t="s">
        <v>32</v>
      </c>
      <c r="C6686" s="1" t="n">
        <v>373000</v>
      </c>
      <c r="D6686" s="1" t="n">
        <v>1185.9</v>
      </c>
      <c r="E6686" s="1" t="n">
        <v>0.011</v>
      </c>
      <c r="F6686" s="1" t="n">
        <v>0.0654</v>
      </c>
    </row>
    <row r="6687" customFormat="false" ht="15" hidden="false" customHeight="false" outlineLevel="0" collapsed="false">
      <c r="A6687" s="1" t="s">
        <v>6722</v>
      </c>
      <c r="B6687" s="1" t="s">
        <v>287</v>
      </c>
      <c r="C6687" s="1" t="n">
        <v>327000</v>
      </c>
      <c r="D6687" s="1" t="n">
        <v>840.5</v>
      </c>
      <c r="E6687" s="1" t="n">
        <v>0.0182</v>
      </c>
      <c r="F6687" s="1" t="n">
        <v>0.0854</v>
      </c>
    </row>
    <row r="6688" customFormat="false" ht="15" hidden="false" customHeight="false" outlineLevel="0" collapsed="false">
      <c r="A6688" s="1" t="s">
        <v>6723</v>
      </c>
      <c r="B6688" s="1" t="s">
        <v>26</v>
      </c>
      <c r="C6688" s="1" t="n">
        <v>403000</v>
      </c>
      <c r="D6688" s="1" t="n">
        <v>18229.2</v>
      </c>
      <c r="E6688" s="1" t="n">
        <v>0.0136</v>
      </c>
      <c r="F6688" s="1" t="n">
        <v>0.0937</v>
      </c>
    </row>
    <row r="6689" customFormat="false" ht="15" hidden="false" customHeight="false" outlineLevel="0" collapsed="false">
      <c r="A6689" s="1" t="s">
        <v>6724</v>
      </c>
      <c r="B6689" s="1" t="s">
        <v>214</v>
      </c>
      <c r="C6689" s="1" t="n">
        <v>303000</v>
      </c>
      <c r="D6689" s="1" t="n">
        <v>1842.6</v>
      </c>
      <c r="E6689" s="1" t="n">
        <v>0.0085</v>
      </c>
      <c r="F6689" s="1" t="n">
        <v>0.1015</v>
      </c>
    </row>
    <row r="6690" customFormat="false" ht="15" hidden="false" customHeight="false" outlineLevel="0" collapsed="false">
      <c r="A6690" s="1" t="s">
        <v>6725</v>
      </c>
      <c r="B6690" s="1" t="s">
        <v>71</v>
      </c>
      <c r="C6690" s="1" t="n">
        <v>299000</v>
      </c>
      <c r="D6690" s="1" t="n">
        <v>56909.1</v>
      </c>
      <c r="E6690" s="1" t="n">
        <v>0.0516</v>
      </c>
      <c r="F6690" s="1" t="n">
        <v>0.0951</v>
      </c>
    </row>
    <row r="6691" customFormat="false" ht="15" hidden="false" customHeight="false" outlineLevel="0" collapsed="false">
      <c r="A6691" s="1" t="s">
        <v>6726</v>
      </c>
      <c r="B6691" s="1" t="s">
        <v>26</v>
      </c>
      <c r="C6691" s="1" t="n">
        <v>374000</v>
      </c>
      <c r="D6691" s="1" t="n">
        <v>120948.2</v>
      </c>
      <c r="E6691" s="1" t="n">
        <v>0.0328</v>
      </c>
      <c r="F6691" s="1" t="n">
        <v>0.0951</v>
      </c>
    </row>
    <row r="6692" customFormat="false" ht="15" hidden="false" customHeight="false" outlineLevel="0" collapsed="false">
      <c r="A6692" s="1" t="s">
        <v>6727</v>
      </c>
      <c r="B6692" s="1" t="s">
        <v>28</v>
      </c>
      <c r="C6692" s="1" t="n">
        <v>384000</v>
      </c>
      <c r="D6692" s="1" t="n">
        <v>1623</v>
      </c>
      <c r="E6692" s="1" t="n">
        <v>0.0377</v>
      </c>
      <c r="F6692" s="1" t="n">
        <v>0.0759</v>
      </c>
    </row>
    <row r="6693" customFormat="false" ht="15" hidden="false" customHeight="false" outlineLevel="0" collapsed="false">
      <c r="A6693" s="1" t="s">
        <v>6728</v>
      </c>
      <c r="B6693" s="1" t="s">
        <v>30</v>
      </c>
      <c r="C6693" s="1" t="n">
        <v>468000</v>
      </c>
      <c r="D6693" s="1" t="n">
        <v>159154.2</v>
      </c>
      <c r="E6693" s="1" t="n">
        <v>0.0484</v>
      </c>
      <c r="F6693" s="1" t="n">
        <v>0.0759</v>
      </c>
    </row>
    <row r="6694" customFormat="false" ht="15" hidden="false" customHeight="false" outlineLevel="0" collapsed="false">
      <c r="A6694" s="1" t="s">
        <v>6729</v>
      </c>
      <c r="B6694" s="1" t="s">
        <v>214</v>
      </c>
      <c r="C6694" s="1" t="n">
        <v>508000</v>
      </c>
      <c r="D6694" s="1" t="n">
        <v>254302.8</v>
      </c>
      <c r="E6694" s="1" t="n">
        <v>0.0518</v>
      </c>
      <c r="F6694" s="1" t="n">
        <v>0.0833</v>
      </c>
    </row>
    <row r="6695" customFormat="false" ht="15" hidden="false" customHeight="false" outlineLevel="0" collapsed="false">
      <c r="A6695" s="1" t="s">
        <v>6730</v>
      </c>
      <c r="B6695" s="1" t="s">
        <v>26</v>
      </c>
      <c r="C6695" s="1" t="n">
        <v>415000</v>
      </c>
      <c r="D6695" s="1" t="n">
        <v>276325.3</v>
      </c>
      <c r="E6695" s="1" t="n">
        <v>0.0302</v>
      </c>
      <c r="F6695" s="1" t="n">
        <v>0.0759</v>
      </c>
    </row>
    <row r="6696" customFormat="false" ht="15" hidden="false" customHeight="false" outlineLevel="0" collapsed="false">
      <c r="A6696" s="1" t="s">
        <v>6731</v>
      </c>
      <c r="B6696" s="1" t="s">
        <v>88</v>
      </c>
      <c r="C6696" s="1" t="n">
        <v>318000</v>
      </c>
      <c r="D6696" s="1" t="n">
        <v>3425.5</v>
      </c>
      <c r="E6696" s="1" t="n">
        <v>0.0376</v>
      </c>
      <c r="F6696" s="1" t="n">
        <v>0.0938</v>
      </c>
    </row>
    <row r="6697" customFormat="false" ht="15" hidden="false" customHeight="false" outlineLevel="0" collapsed="false">
      <c r="A6697" s="1" t="s">
        <v>6732</v>
      </c>
      <c r="B6697" s="1" t="s">
        <v>88</v>
      </c>
      <c r="C6697" s="1" t="n">
        <v>993000</v>
      </c>
      <c r="D6697" s="1" t="n">
        <v>5368.7</v>
      </c>
      <c r="E6697" s="1" t="n">
        <v>0.0316</v>
      </c>
      <c r="F6697" s="1" t="n">
        <v>0.0938</v>
      </c>
    </row>
    <row r="6698" customFormat="false" ht="15" hidden="false" customHeight="false" outlineLevel="0" collapsed="false">
      <c r="A6698" s="1" t="s">
        <v>6733</v>
      </c>
      <c r="B6698" s="1" t="s">
        <v>24</v>
      </c>
      <c r="C6698" s="1" t="n">
        <v>401000</v>
      </c>
      <c r="D6698" s="1" t="n">
        <v>4558.8</v>
      </c>
      <c r="E6698" s="1" t="n">
        <v>0.0209</v>
      </c>
      <c r="F6698" s="1" t="n">
        <v>0.1067</v>
      </c>
    </row>
    <row r="6699" customFormat="false" ht="15" hidden="false" customHeight="false" outlineLevel="0" collapsed="false">
      <c r="A6699" s="1" t="s">
        <v>6734</v>
      </c>
      <c r="B6699" s="1" t="s">
        <v>88</v>
      </c>
      <c r="C6699" s="1" t="n">
        <v>313000</v>
      </c>
      <c r="D6699" s="1" t="n">
        <v>1975.3</v>
      </c>
      <c r="E6699" s="1" t="n">
        <v>0.0147</v>
      </c>
      <c r="F6699" s="1" t="n">
        <v>0.1192</v>
      </c>
    </row>
    <row r="6700" customFormat="false" ht="15" hidden="false" customHeight="false" outlineLevel="0" collapsed="false">
      <c r="A6700" s="1" t="s">
        <v>6735</v>
      </c>
      <c r="B6700" s="1" t="s">
        <v>26</v>
      </c>
      <c r="C6700" s="1" t="n">
        <v>464000</v>
      </c>
      <c r="D6700" s="1" t="n">
        <v>22764.2</v>
      </c>
      <c r="E6700" s="1" t="n">
        <v>0.0214</v>
      </c>
      <c r="F6700" s="1" t="n">
        <v>0.0462</v>
      </c>
    </row>
    <row r="6701" customFormat="false" ht="15" hidden="false" customHeight="false" outlineLevel="0" collapsed="false">
      <c r="A6701" s="1" t="s">
        <v>6736</v>
      </c>
      <c r="B6701" s="1" t="s">
        <v>41</v>
      </c>
      <c r="C6701" s="1" t="n">
        <v>352000</v>
      </c>
      <c r="D6701" s="1" t="n">
        <v>6822.3</v>
      </c>
      <c r="E6701" s="1" t="n">
        <v>0.0321</v>
      </c>
      <c r="F6701" s="1" t="n">
        <v>0.0409</v>
      </c>
    </row>
    <row r="6702" customFormat="false" ht="15" hidden="false" customHeight="false" outlineLevel="0" collapsed="false">
      <c r="A6702" s="1" t="s">
        <v>6737</v>
      </c>
      <c r="B6702" s="1" t="s">
        <v>26</v>
      </c>
      <c r="C6702" s="1" t="n">
        <v>301000</v>
      </c>
      <c r="D6702" s="1" t="n">
        <v>436582.3</v>
      </c>
      <c r="E6702" s="1" t="n">
        <v>0.0551</v>
      </c>
      <c r="F6702" s="1" t="n">
        <v>0.0951</v>
      </c>
    </row>
    <row r="6703" customFormat="false" ht="15" hidden="false" customHeight="false" outlineLevel="0" collapsed="false">
      <c r="A6703" s="1" t="s">
        <v>6738</v>
      </c>
      <c r="B6703" s="1" t="s">
        <v>71</v>
      </c>
      <c r="C6703" s="1" t="n">
        <v>330000</v>
      </c>
      <c r="D6703" s="1" t="n">
        <v>5942.1</v>
      </c>
      <c r="E6703" s="1" t="n">
        <v>0.0243</v>
      </c>
      <c r="F6703" s="1" t="n">
        <v>0.1053</v>
      </c>
    </row>
    <row r="6704" customFormat="false" ht="15" hidden="false" customHeight="false" outlineLevel="0" collapsed="false">
      <c r="A6704" s="1" t="s">
        <v>6739</v>
      </c>
      <c r="B6704" s="1" t="s">
        <v>24</v>
      </c>
      <c r="C6704" s="1" t="n">
        <v>450000</v>
      </c>
      <c r="D6704" s="1" t="n">
        <v>6696.4</v>
      </c>
      <c r="E6704" s="1" t="n">
        <v>0.0801</v>
      </c>
      <c r="F6704" s="1" t="n">
        <v>0.0938</v>
      </c>
    </row>
    <row r="6705" customFormat="false" ht="15" hidden="false" customHeight="false" outlineLevel="0" collapsed="false">
      <c r="A6705" s="1" t="s">
        <v>6740</v>
      </c>
      <c r="B6705" s="1" t="s">
        <v>26</v>
      </c>
      <c r="C6705" s="1" t="n">
        <v>304000</v>
      </c>
      <c r="D6705" s="1" t="n">
        <v>1609.6</v>
      </c>
      <c r="E6705" s="1" t="n">
        <v>0.0403</v>
      </c>
      <c r="F6705" s="1" t="n">
        <v>0.0951</v>
      </c>
    </row>
    <row r="6706" customFormat="false" ht="15" hidden="false" customHeight="false" outlineLevel="0" collapsed="false">
      <c r="A6706" s="1" t="s">
        <v>6741</v>
      </c>
      <c r="B6706" s="1" t="s">
        <v>88</v>
      </c>
      <c r="C6706" s="1" t="n">
        <v>306000</v>
      </c>
      <c r="D6706" s="1" t="n">
        <v>614.8</v>
      </c>
      <c r="E6706" s="1" t="n">
        <v>0.0095</v>
      </c>
      <c r="F6706" s="1" t="n">
        <v>0.1015</v>
      </c>
    </row>
    <row r="6707" customFormat="false" ht="15" hidden="false" customHeight="false" outlineLevel="0" collapsed="false">
      <c r="A6707" s="1" t="s">
        <v>6742</v>
      </c>
      <c r="B6707" s="1" t="s">
        <v>26</v>
      </c>
      <c r="C6707" s="1" t="n">
        <v>369000</v>
      </c>
      <c r="D6707" s="1" t="n">
        <v>163222</v>
      </c>
      <c r="E6707" s="1" t="n">
        <v>0.0519</v>
      </c>
      <c r="F6707" s="1" t="n">
        <v>0.0951</v>
      </c>
    </row>
    <row r="6708" customFormat="false" ht="15" hidden="false" customHeight="false" outlineLevel="0" collapsed="false">
      <c r="A6708" s="1" t="s">
        <v>6743</v>
      </c>
      <c r="B6708" s="1" t="s">
        <v>26</v>
      </c>
      <c r="C6708" s="1" t="n">
        <v>523000</v>
      </c>
      <c r="D6708" s="1" t="n">
        <v>619</v>
      </c>
      <c r="E6708" s="1" t="n">
        <v>0.0125</v>
      </c>
      <c r="F6708" s="1" t="n">
        <v>0.1067</v>
      </c>
    </row>
    <row r="6709" customFormat="false" ht="15" hidden="false" customHeight="false" outlineLevel="0" collapsed="false">
      <c r="A6709" s="1" t="s">
        <v>6744</v>
      </c>
      <c r="B6709" s="1" t="s">
        <v>26</v>
      </c>
      <c r="C6709" s="1" t="n">
        <v>313000</v>
      </c>
      <c r="D6709" s="1" t="n">
        <v>6651.6</v>
      </c>
      <c r="E6709" s="1" t="n">
        <v>0.0162</v>
      </c>
      <c r="F6709" s="1" t="n">
        <v>0.1067</v>
      </c>
    </row>
    <row r="6710" customFormat="false" ht="15" hidden="false" customHeight="false" outlineLevel="0" collapsed="false">
      <c r="A6710" s="1" t="s">
        <v>6745</v>
      </c>
      <c r="B6710" s="1" t="s">
        <v>74</v>
      </c>
      <c r="C6710" s="1" t="n">
        <v>893000</v>
      </c>
      <c r="D6710" s="1" t="n">
        <v>1806.2</v>
      </c>
      <c r="E6710" s="1" t="n">
        <v>0.0159</v>
      </c>
      <c r="F6710" s="1" t="n">
        <v>0.1067</v>
      </c>
    </row>
    <row r="6711" customFormat="false" ht="15" hidden="false" customHeight="false" outlineLevel="0" collapsed="false">
      <c r="A6711" s="1" t="s">
        <v>6746</v>
      </c>
      <c r="B6711" s="1" t="s">
        <v>30</v>
      </c>
      <c r="C6711" s="1" t="n">
        <v>523000</v>
      </c>
      <c r="D6711" s="1" t="n">
        <v>153080.4</v>
      </c>
      <c r="E6711" s="1" t="n">
        <v>0.011</v>
      </c>
      <c r="F6711" s="1" t="n">
        <v>0.0584</v>
      </c>
    </row>
    <row r="6712" customFormat="false" ht="15" hidden="false" customHeight="false" outlineLevel="0" collapsed="false">
      <c r="A6712" s="1" t="s">
        <v>6747</v>
      </c>
      <c r="B6712" s="1" t="s">
        <v>88</v>
      </c>
      <c r="C6712" s="1" t="n">
        <v>316000</v>
      </c>
      <c r="D6712" s="1" t="n">
        <v>11378.5</v>
      </c>
      <c r="E6712" s="1" t="n">
        <v>0.0255</v>
      </c>
      <c r="F6712" s="1" t="n">
        <v>0.0951</v>
      </c>
    </row>
    <row r="6713" customFormat="false" ht="15" hidden="false" customHeight="false" outlineLevel="0" collapsed="false">
      <c r="A6713" s="1" t="s">
        <v>6748</v>
      </c>
      <c r="B6713" s="1" t="s">
        <v>26</v>
      </c>
      <c r="C6713" s="1" t="n">
        <v>571000</v>
      </c>
      <c r="D6713" s="1" t="n">
        <v>209343.3</v>
      </c>
      <c r="E6713" s="1" t="n">
        <v>0.0515</v>
      </c>
      <c r="F6713" s="1" t="n">
        <v>0.0951</v>
      </c>
    </row>
    <row r="6714" customFormat="false" ht="15" hidden="false" customHeight="false" outlineLevel="0" collapsed="false">
      <c r="A6714" s="1" t="s">
        <v>6749</v>
      </c>
      <c r="B6714" s="1" t="s">
        <v>26</v>
      </c>
      <c r="C6714" s="1" t="n">
        <v>558000</v>
      </c>
      <c r="D6714" s="1" t="n">
        <v>77340.8</v>
      </c>
      <c r="E6714" s="1" t="n">
        <v>0.0825</v>
      </c>
      <c r="F6714" s="1" t="n">
        <v>0.0759</v>
      </c>
    </row>
    <row r="6715" customFormat="false" ht="15" hidden="false" customHeight="false" outlineLevel="0" collapsed="false">
      <c r="A6715" s="1" t="s">
        <v>6750</v>
      </c>
      <c r="B6715" s="1" t="s">
        <v>41</v>
      </c>
      <c r="C6715" s="1" t="n">
        <v>432000</v>
      </c>
      <c r="D6715" s="1" t="n">
        <v>172183.9</v>
      </c>
      <c r="E6715" s="1" t="n">
        <v>0.0908</v>
      </c>
      <c r="F6715" s="1" t="n">
        <v>0.0759</v>
      </c>
    </row>
    <row r="6716" customFormat="false" ht="15" hidden="false" customHeight="false" outlineLevel="0" collapsed="false">
      <c r="A6716" s="1" t="s">
        <v>6751</v>
      </c>
      <c r="B6716" s="1" t="s">
        <v>214</v>
      </c>
      <c r="C6716" s="1" t="n">
        <v>785000</v>
      </c>
      <c r="D6716" s="1" t="n">
        <v>18665.3</v>
      </c>
      <c r="E6716" s="1" t="n">
        <v>0.0112</v>
      </c>
      <c r="F6716" s="1" t="n">
        <v>0.0654</v>
      </c>
    </row>
    <row r="6717" customFormat="false" ht="15" hidden="false" customHeight="false" outlineLevel="0" collapsed="false">
      <c r="A6717" s="1" t="s">
        <v>6752</v>
      </c>
      <c r="B6717" s="1" t="s">
        <v>26</v>
      </c>
      <c r="C6717" s="1" t="n">
        <v>650000</v>
      </c>
      <c r="D6717" s="1" t="n">
        <v>661138.6</v>
      </c>
      <c r="E6717" s="1" t="n">
        <v>0.0382</v>
      </c>
      <c r="F6717" s="1" t="n">
        <v>0.0409</v>
      </c>
    </row>
    <row r="6718" customFormat="false" ht="15" hidden="false" customHeight="false" outlineLevel="0" collapsed="false">
      <c r="A6718" s="1" t="s">
        <v>6753</v>
      </c>
      <c r="B6718" s="1" t="s">
        <v>26</v>
      </c>
      <c r="C6718" s="1" t="n">
        <v>307000</v>
      </c>
      <c r="D6718" s="1" t="n">
        <v>84316.7</v>
      </c>
      <c r="E6718" s="1" t="n">
        <v>0.0323</v>
      </c>
      <c r="F6718" s="1" t="n">
        <v>0.0951</v>
      </c>
    </row>
    <row r="6719" customFormat="false" ht="15" hidden="false" customHeight="false" outlineLevel="0" collapsed="false">
      <c r="A6719" s="1" t="s">
        <v>6754</v>
      </c>
      <c r="B6719" s="1" t="s">
        <v>26</v>
      </c>
      <c r="C6719" s="1" t="n">
        <v>551000</v>
      </c>
      <c r="D6719" s="1" t="n">
        <v>3026</v>
      </c>
      <c r="E6719" s="1" t="n">
        <v>0.0757</v>
      </c>
      <c r="F6719" s="1" t="n">
        <v>0.0938</v>
      </c>
    </row>
    <row r="6720" customFormat="false" ht="15" hidden="false" customHeight="false" outlineLevel="0" collapsed="false">
      <c r="A6720" s="1" t="s">
        <v>6755</v>
      </c>
      <c r="B6720" s="1" t="s">
        <v>24</v>
      </c>
      <c r="C6720" s="1" t="n">
        <v>403000</v>
      </c>
      <c r="D6720" s="1" t="n">
        <v>250488</v>
      </c>
      <c r="E6720" s="1" t="n">
        <v>0.0206</v>
      </c>
      <c r="F6720" s="1" t="n">
        <v>0.0585</v>
      </c>
    </row>
    <row r="6721" customFormat="false" ht="15" hidden="false" customHeight="false" outlineLevel="0" collapsed="false">
      <c r="A6721" s="1" t="s">
        <v>6756</v>
      </c>
      <c r="B6721" s="1" t="s">
        <v>214</v>
      </c>
      <c r="C6721" s="1" t="n">
        <v>414000</v>
      </c>
      <c r="D6721" s="1" t="n">
        <v>19034.7</v>
      </c>
      <c r="E6721" s="1" t="n">
        <v>0.0206</v>
      </c>
      <c r="F6721" s="1" t="n">
        <v>0.095</v>
      </c>
    </row>
    <row r="6722" customFormat="false" ht="15" hidden="false" customHeight="false" outlineLevel="0" collapsed="false">
      <c r="A6722" s="1" t="s">
        <v>6757</v>
      </c>
      <c r="B6722" s="1" t="s">
        <v>71</v>
      </c>
      <c r="C6722" s="1" t="n">
        <v>337000</v>
      </c>
      <c r="D6722" s="1" t="n">
        <v>1641.9</v>
      </c>
      <c r="E6722" s="1" t="n">
        <v>0.0159</v>
      </c>
      <c r="F6722" s="1" t="n">
        <v>0.0576</v>
      </c>
    </row>
    <row r="6723" customFormat="false" ht="15" hidden="false" customHeight="false" outlineLevel="0" collapsed="false">
      <c r="A6723" s="1" t="s">
        <v>6758</v>
      </c>
      <c r="B6723" s="1" t="s">
        <v>26</v>
      </c>
      <c r="C6723" s="1" t="n">
        <v>362000</v>
      </c>
      <c r="D6723" s="1" t="n">
        <v>711728.5</v>
      </c>
      <c r="E6723" s="1" t="n">
        <v>0.0374</v>
      </c>
      <c r="F6723" s="1" t="n">
        <v>0.0518</v>
      </c>
    </row>
    <row r="6724" customFormat="false" ht="15" hidden="false" customHeight="false" outlineLevel="0" collapsed="false">
      <c r="A6724" s="1" t="s">
        <v>6759</v>
      </c>
      <c r="B6724" s="1" t="s">
        <v>26</v>
      </c>
      <c r="C6724" s="1" t="n">
        <v>323000</v>
      </c>
      <c r="D6724" s="1" t="n">
        <v>1623.8</v>
      </c>
      <c r="E6724" s="1" t="n">
        <v>0.019</v>
      </c>
      <c r="F6724" s="1" t="n">
        <v>0.0854</v>
      </c>
    </row>
    <row r="6725" customFormat="false" ht="15" hidden="false" customHeight="false" outlineLevel="0" collapsed="false">
      <c r="A6725" s="1" t="s">
        <v>6760</v>
      </c>
      <c r="B6725" s="1" t="s">
        <v>81</v>
      </c>
      <c r="C6725" s="1" t="n">
        <v>408000</v>
      </c>
      <c r="D6725" s="1" t="n">
        <v>22730.5</v>
      </c>
      <c r="E6725" s="1" t="n">
        <v>0.0476</v>
      </c>
      <c r="F6725" s="1" t="n">
        <v>0.0759</v>
      </c>
    </row>
    <row r="6726" customFormat="false" ht="15" hidden="false" customHeight="false" outlineLevel="0" collapsed="false">
      <c r="A6726" s="1" t="s">
        <v>6761</v>
      </c>
      <c r="B6726" s="1" t="s">
        <v>26</v>
      </c>
      <c r="C6726" s="1" t="n">
        <v>297000</v>
      </c>
      <c r="D6726" s="1" t="n">
        <v>10.5</v>
      </c>
      <c r="F6726" s="1" t="n">
        <v>0.0518</v>
      </c>
    </row>
    <row r="6727" customFormat="false" ht="15" hidden="false" customHeight="false" outlineLevel="0" collapsed="false">
      <c r="A6727" s="1" t="s">
        <v>6762</v>
      </c>
      <c r="B6727" s="1" t="s">
        <v>24</v>
      </c>
      <c r="C6727" s="1" t="n">
        <v>334000</v>
      </c>
      <c r="D6727" s="1" t="n">
        <v>585325.5</v>
      </c>
      <c r="E6727" s="1" t="n">
        <v>0.0178</v>
      </c>
      <c r="F6727" s="1" t="n">
        <v>0.2072</v>
      </c>
    </row>
    <row r="6728" customFormat="false" ht="15" hidden="false" customHeight="false" outlineLevel="0" collapsed="false">
      <c r="A6728" s="1" t="s">
        <v>6763</v>
      </c>
      <c r="B6728" s="1" t="s">
        <v>62</v>
      </c>
      <c r="C6728" s="1" t="n">
        <v>636000</v>
      </c>
      <c r="D6728" s="1" t="n">
        <v>1263.6</v>
      </c>
      <c r="E6728" s="1" t="n">
        <v>0.0385</v>
      </c>
      <c r="F6728" s="1" t="n">
        <v>0.051</v>
      </c>
    </row>
    <row r="6729" customFormat="false" ht="15" hidden="false" customHeight="false" outlineLevel="0" collapsed="false">
      <c r="A6729" s="1" t="s">
        <v>6764</v>
      </c>
      <c r="B6729" s="1" t="s">
        <v>214</v>
      </c>
      <c r="C6729" s="1" t="n">
        <v>526000</v>
      </c>
      <c r="D6729" s="1" t="n">
        <v>10802.9</v>
      </c>
      <c r="E6729" s="1" t="n">
        <v>0.0058</v>
      </c>
      <c r="F6729" s="1" t="n">
        <v>0.0654</v>
      </c>
    </row>
    <row r="6730" customFormat="false" ht="15" hidden="false" customHeight="false" outlineLevel="0" collapsed="false">
      <c r="A6730" s="1" t="s">
        <v>6765</v>
      </c>
      <c r="B6730" s="1" t="s">
        <v>88</v>
      </c>
      <c r="C6730" s="1" t="n">
        <v>347000</v>
      </c>
      <c r="D6730" s="1" t="n">
        <v>17721.9</v>
      </c>
      <c r="E6730" s="1" t="n">
        <v>0.0396</v>
      </c>
      <c r="F6730" s="1" t="n">
        <v>0.0759</v>
      </c>
    </row>
    <row r="6731" customFormat="false" ht="15" hidden="false" customHeight="false" outlineLevel="0" collapsed="false">
      <c r="A6731" s="1" t="s">
        <v>6766</v>
      </c>
      <c r="B6731" s="1" t="s">
        <v>30</v>
      </c>
      <c r="C6731" s="1" t="n">
        <v>603000</v>
      </c>
      <c r="D6731" s="1" t="n">
        <v>129288.7</v>
      </c>
      <c r="E6731" s="1" t="n">
        <v>0.0145</v>
      </c>
      <c r="F6731" s="1" t="n">
        <v>0.0585</v>
      </c>
    </row>
    <row r="6732" customFormat="false" ht="15" hidden="false" customHeight="false" outlineLevel="0" collapsed="false">
      <c r="A6732" s="1" t="s">
        <v>6767</v>
      </c>
      <c r="B6732" s="1" t="s">
        <v>71</v>
      </c>
      <c r="C6732" s="1" t="n">
        <v>620000</v>
      </c>
      <c r="D6732" s="1" t="n">
        <v>243.7</v>
      </c>
      <c r="E6732" s="1" t="n">
        <v>0.0118</v>
      </c>
      <c r="F6732" s="1" t="n">
        <v>0.0576</v>
      </c>
    </row>
    <row r="6733" customFormat="false" ht="15" hidden="false" customHeight="false" outlineLevel="0" collapsed="false">
      <c r="A6733" s="1" t="s">
        <v>6768</v>
      </c>
      <c r="B6733" s="1" t="s">
        <v>81</v>
      </c>
      <c r="C6733" s="1" t="n">
        <v>303000</v>
      </c>
      <c r="D6733" s="1" t="n">
        <v>7095</v>
      </c>
      <c r="E6733" s="1" t="n">
        <v>0.0218</v>
      </c>
      <c r="F6733" s="1" t="n">
        <v>0.0409</v>
      </c>
    </row>
    <row r="6734" customFormat="false" ht="15" hidden="false" customHeight="false" outlineLevel="0" collapsed="false">
      <c r="A6734" s="1" t="s">
        <v>6769</v>
      </c>
      <c r="B6734" s="1" t="s">
        <v>26</v>
      </c>
      <c r="C6734" s="1" t="n">
        <v>302000</v>
      </c>
      <c r="D6734" s="1" t="n">
        <v>2048.4</v>
      </c>
      <c r="E6734" s="1" t="n">
        <v>0.0238</v>
      </c>
      <c r="F6734" s="1" t="n">
        <v>0.0759</v>
      </c>
    </row>
    <row r="6735" customFormat="false" ht="15" hidden="false" customHeight="false" outlineLevel="0" collapsed="false">
      <c r="A6735" s="1" t="s">
        <v>6770</v>
      </c>
      <c r="B6735" s="1" t="s">
        <v>74</v>
      </c>
      <c r="C6735" s="1" t="n">
        <v>294000</v>
      </c>
      <c r="D6735" s="1" t="n">
        <v>12314.1</v>
      </c>
      <c r="E6735" s="1" t="n">
        <v>0.0374</v>
      </c>
      <c r="F6735" s="1" t="n">
        <v>0.0951</v>
      </c>
    </row>
    <row r="6736" customFormat="false" ht="15" hidden="false" customHeight="false" outlineLevel="0" collapsed="false">
      <c r="A6736" s="1" t="s">
        <v>6771</v>
      </c>
      <c r="B6736" s="1" t="s">
        <v>26</v>
      </c>
      <c r="C6736" s="1" t="n">
        <v>301000</v>
      </c>
      <c r="F6736" s="1" t="n">
        <v>0.0759</v>
      </c>
    </row>
    <row r="6737" customFormat="false" ht="15" hidden="false" customHeight="false" outlineLevel="0" collapsed="false">
      <c r="A6737" s="1" t="s">
        <v>6772</v>
      </c>
      <c r="B6737" s="1" t="s">
        <v>21</v>
      </c>
      <c r="C6737" s="1" t="n">
        <v>384000</v>
      </c>
      <c r="D6737" s="1" t="n">
        <v>13468</v>
      </c>
      <c r="F6737" s="1" t="n">
        <v>0.0409</v>
      </c>
    </row>
    <row r="6738" customFormat="false" ht="15" hidden="false" customHeight="false" outlineLevel="0" collapsed="false">
      <c r="A6738" s="1" t="s">
        <v>6773</v>
      </c>
      <c r="B6738" s="1" t="s">
        <v>62</v>
      </c>
      <c r="C6738" s="1" t="n">
        <v>1680000</v>
      </c>
      <c r="D6738" s="1" t="n">
        <v>669851.7</v>
      </c>
      <c r="E6738" s="1" t="n">
        <v>0.0374</v>
      </c>
      <c r="F6738" s="1" t="n">
        <v>0.0409</v>
      </c>
    </row>
    <row r="6739" customFormat="false" ht="15" hidden="false" customHeight="false" outlineLevel="0" collapsed="false">
      <c r="A6739" s="1" t="s">
        <v>6774</v>
      </c>
      <c r="B6739" s="1" t="s">
        <v>88</v>
      </c>
      <c r="C6739" s="1" t="n">
        <v>302000</v>
      </c>
      <c r="D6739" s="1" t="n">
        <v>153.7</v>
      </c>
      <c r="E6739" s="1" t="n">
        <v>0.0212</v>
      </c>
      <c r="F6739" s="1" t="n">
        <v>0.0584</v>
      </c>
    </row>
    <row r="6740" customFormat="false" ht="15" hidden="false" customHeight="false" outlineLevel="0" collapsed="false">
      <c r="A6740" s="1" t="s">
        <v>6775</v>
      </c>
      <c r="B6740" s="1" t="s">
        <v>88</v>
      </c>
      <c r="C6740" s="1" t="n">
        <v>443000</v>
      </c>
      <c r="D6740" s="1" t="n">
        <v>16012.7</v>
      </c>
      <c r="E6740" s="1" t="n">
        <v>0.0224</v>
      </c>
      <c r="F6740" s="1" t="n">
        <v>0.0644</v>
      </c>
    </row>
    <row r="6741" customFormat="false" ht="15" hidden="false" customHeight="false" outlineLevel="0" collapsed="false">
      <c r="A6741" s="1" t="s">
        <v>6776</v>
      </c>
      <c r="B6741" s="1" t="s">
        <v>62</v>
      </c>
      <c r="C6741" s="1" t="n">
        <v>397000</v>
      </c>
      <c r="D6741" s="1" t="n">
        <v>52636.6</v>
      </c>
      <c r="E6741" s="1" t="n">
        <v>0.0161</v>
      </c>
      <c r="F6741" s="1" t="n">
        <v>0.1067</v>
      </c>
    </row>
    <row r="6742" customFormat="false" ht="15" hidden="false" customHeight="false" outlineLevel="0" collapsed="false">
      <c r="A6742" s="1" t="s">
        <v>6777</v>
      </c>
      <c r="B6742" s="1" t="s">
        <v>88</v>
      </c>
      <c r="C6742" s="1" t="n">
        <v>310000</v>
      </c>
      <c r="F6742" s="1" t="n">
        <v>0.0759</v>
      </c>
    </row>
    <row r="6743" customFormat="false" ht="15" hidden="false" customHeight="false" outlineLevel="0" collapsed="false">
      <c r="A6743" s="1" t="s">
        <v>6778</v>
      </c>
      <c r="B6743" s="1" t="s">
        <v>21</v>
      </c>
      <c r="C6743" s="1" t="n">
        <v>447000</v>
      </c>
      <c r="D6743" s="1" t="n">
        <v>67162.5</v>
      </c>
      <c r="E6743" s="1" t="n">
        <v>0.0063</v>
      </c>
      <c r="F6743" s="1" t="n">
        <v>0.0811</v>
      </c>
    </row>
    <row r="6744" customFormat="false" ht="15" hidden="false" customHeight="false" outlineLevel="0" collapsed="false">
      <c r="A6744" s="1" t="s">
        <v>6779</v>
      </c>
      <c r="B6744" s="1" t="s">
        <v>71</v>
      </c>
      <c r="C6744" s="1" t="n">
        <v>301000</v>
      </c>
      <c r="D6744" s="1" t="n">
        <v>56406</v>
      </c>
      <c r="E6744" s="1" t="n">
        <v>0.0294</v>
      </c>
      <c r="F6744" s="1" t="n">
        <v>0.0951</v>
      </c>
    </row>
    <row r="6745" customFormat="false" ht="15" hidden="false" customHeight="false" outlineLevel="0" collapsed="false">
      <c r="A6745" s="1" t="s">
        <v>6780</v>
      </c>
      <c r="B6745" s="1" t="s">
        <v>21</v>
      </c>
      <c r="C6745" s="1" t="n">
        <v>464000</v>
      </c>
      <c r="D6745" s="1" t="n">
        <v>2116.7</v>
      </c>
      <c r="E6745" s="1" t="n">
        <v>0.0629</v>
      </c>
      <c r="F6745" s="1" t="n">
        <v>0.051</v>
      </c>
    </row>
    <row r="6746" customFormat="false" ht="15" hidden="false" customHeight="false" outlineLevel="0" collapsed="false">
      <c r="A6746" s="1" t="s">
        <v>6781</v>
      </c>
      <c r="B6746" s="1" t="s">
        <v>88</v>
      </c>
      <c r="C6746" s="1" t="n">
        <v>579000</v>
      </c>
      <c r="D6746" s="1" t="n">
        <v>9925.1</v>
      </c>
      <c r="E6746" s="1" t="n">
        <v>0.0177</v>
      </c>
      <c r="F6746" s="1" t="n">
        <v>0.131</v>
      </c>
    </row>
    <row r="6747" customFormat="false" ht="15" hidden="false" customHeight="false" outlineLevel="0" collapsed="false">
      <c r="A6747" s="1" t="s">
        <v>6782</v>
      </c>
      <c r="B6747" s="1" t="s">
        <v>88</v>
      </c>
      <c r="C6747" s="1" t="n">
        <v>393000</v>
      </c>
      <c r="D6747" s="1" t="n">
        <v>2202.6</v>
      </c>
      <c r="E6747" s="1" t="n">
        <v>0.09</v>
      </c>
      <c r="F6747" s="1" t="n">
        <v>0.0938</v>
      </c>
    </row>
    <row r="6748" customFormat="false" ht="15" hidden="false" customHeight="false" outlineLevel="0" collapsed="false">
      <c r="A6748" s="1" t="s">
        <v>6783</v>
      </c>
      <c r="B6748" s="1" t="s">
        <v>21</v>
      </c>
      <c r="C6748" s="1" t="n">
        <v>519000</v>
      </c>
      <c r="D6748" s="1" t="n">
        <v>2829.3</v>
      </c>
      <c r="E6748" s="1" t="n">
        <v>0.0229</v>
      </c>
      <c r="F6748" s="1" t="n">
        <v>0.2497</v>
      </c>
    </row>
    <row r="6749" customFormat="false" ht="15" hidden="false" customHeight="false" outlineLevel="0" collapsed="false">
      <c r="A6749" s="1" t="s">
        <v>6784</v>
      </c>
      <c r="B6749" s="1" t="s">
        <v>88</v>
      </c>
      <c r="C6749" s="1" t="n">
        <v>341000</v>
      </c>
      <c r="D6749" s="1" t="n">
        <v>3885.5</v>
      </c>
      <c r="F6749" s="1" t="n">
        <v>0.0759</v>
      </c>
    </row>
    <row r="6750" customFormat="false" ht="15" hidden="false" customHeight="false" outlineLevel="0" collapsed="false">
      <c r="A6750" s="1" t="s">
        <v>6785</v>
      </c>
      <c r="B6750" s="1" t="s">
        <v>26</v>
      </c>
      <c r="C6750" s="1" t="n">
        <v>826000</v>
      </c>
      <c r="D6750" s="1" t="n">
        <v>546952.4</v>
      </c>
      <c r="E6750" s="1" t="n">
        <v>0.0137</v>
      </c>
      <c r="F6750" s="1" t="n">
        <v>0.0585</v>
      </c>
    </row>
    <row r="6751" customFormat="false" ht="15" hidden="false" customHeight="false" outlineLevel="0" collapsed="false">
      <c r="A6751" s="1" t="s">
        <v>6786</v>
      </c>
      <c r="B6751" s="1" t="s">
        <v>24</v>
      </c>
      <c r="C6751" s="1" t="n">
        <v>300000</v>
      </c>
      <c r="D6751" s="1" t="n">
        <v>1089</v>
      </c>
      <c r="E6751" s="1" t="n">
        <v>0.045</v>
      </c>
      <c r="F6751" s="1" t="n">
        <v>0.0951</v>
      </c>
    </row>
    <row r="6752" customFormat="false" ht="15" hidden="false" customHeight="false" outlineLevel="0" collapsed="false">
      <c r="A6752" s="1" t="s">
        <v>6787</v>
      </c>
      <c r="B6752" s="1" t="s">
        <v>26</v>
      </c>
      <c r="C6752" s="1" t="n">
        <v>335000</v>
      </c>
      <c r="D6752" s="1" t="n">
        <v>1042.6</v>
      </c>
      <c r="E6752" s="1" t="n">
        <v>0.0254</v>
      </c>
      <c r="F6752" s="1" t="n">
        <v>0.0725</v>
      </c>
    </row>
    <row r="6753" customFormat="false" ht="15" hidden="false" customHeight="false" outlineLevel="0" collapsed="false">
      <c r="A6753" s="1" t="s">
        <v>6788</v>
      </c>
      <c r="B6753" s="1" t="s">
        <v>41</v>
      </c>
      <c r="C6753" s="1" t="n">
        <v>321000</v>
      </c>
      <c r="D6753" s="1" t="n">
        <v>26317.4</v>
      </c>
      <c r="E6753" s="1" t="n">
        <v>0.0911</v>
      </c>
      <c r="F6753" s="1" t="n">
        <v>0.0938</v>
      </c>
    </row>
    <row r="6754" customFormat="false" ht="15" hidden="false" customHeight="false" outlineLevel="0" collapsed="false">
      <c r="A6754" s="1" t="s">
        <v>6789</v>
      </c>
      <c r="B6754" s="1" t="s">
        <v>32</v>
      </c>
      <c r="C6754" s="1" t="n">
        <v>709000</v>
      </c>
      <c r="D6754" s="1" t="n">
        <v>811.2</v>
      </c>
      <c r="E6754" s="1" t="n">
        <v>0.0172</v>
      </c>
      <c r="F6754" s="1" t="n">
        <v>0.0576</v>
      </c>
    </row>
    <row r="6755" customFormat="false" ht="15" hidden="false" customHeight="false" outlineLevel="0" collapsed="false">
      <c r="A6755" s="1" t="s">
        <v>6790</v>
      </c>
      <c r="B6755" s="1" t="s">
        <v>92</v>
      </c>
      <c r="C6755" s="1" t="n">
        <v>337000</v>
      </c>
      <c r="D6755" s="1" t="n">
        <v>17888.7</v>
      </c>
      <c r="E6755" s="1" t="n">
        <v>0.0197</v>
      </c>
      <c r="F6755" s="1" t="n">
        <v>0.0951</v>
      </c>
    </row>
    <row r="6756" customFormat="false" ht="15" hidden="false" customHeight="false" outlineLevel="0" collapsed="false">
      <c r="A6756" s="1" t="s">
        <v>6791</v>
      </c>
      <c r="B6756" s="1" t="s">
        <v>74</v>
      </c>
      <c r="C6756" s="1" t="n">
        <v>289000</v>
      </c>
      <c r="D6756" s="1" t="n">
        <v>480.6</v>
      </c>
      <c r="E6756" s="1" t="n">
        <v>0.0487</v>
      </c>
      <c r="F6756" s="1" t="n">
        <v>0.0759</v>
      </c>
    </row>
    <row r="6757" customFormat="false" ht="15" hidden="false" customHeight="false" outlineLevel="0" collapsed="false">
      <c r="A6757" s="1" t="s">
        <v>6792</v>
      </c>
      <c r="B6757" s="1" t="s">
        <v>53</v>
      </c>
      <c r="C6757" s="1" t="n">
        <v>512000</v>
      </c>
      <c r="D6757" s="1" t="n">
        <v>18844.9</v>
      </c>
      <c r="F6757" s="1" t="n">
        <v>0.0759</v>
      </c>
    </row>
    <row r="6758" customFormat="false" ht="15" hidden="false" customHeight="false" outlineLevel="0" collapsed="false">
      <c r="A6758" s="1" t="s">
        <v>6793</v>
      </c>
      <c r="B6758" s="1" t="s">
        <v>26</v>
      </c>
      <c r="C6758" s="1" t="n">
        <v>304000</v>
      </c>
      <c r="D6758" s="1" t="n">
        <v>3079.8</v>
      </c>
      <c r="E6758" s="1" t="n">
        <v>0.0155</v>
      </c>
      <c r="F6758" s="1" t="n">
        <v>0.2267</v>
      </c>
    </row>
    <row r="6759" customFormat="false" ht="15" hidden="false" customHeight="false" outlineLevel="0" collapsed="false">
      <c r="A6759" s="1" t="s">
        <v>6794</v>
      </c>
      <c r="B6759" s="1" t="s">
        <v>88</v>
      </c>
      <c r="C6759" s="1" t="n">
        <v>313000</v>
      </c>
      <c r="D6759" s="1" t="n">
        <v>1084.3</v>
      </c>
      <c r="E6759" s="1" t="n">
        <v>0.0394</v>
      </c>
      <c r="F6759" s="1" t="n">
        <v>0.0938</v>
      </c>
    </row>
    <row r="6760" customFormat="false" ht="15" hidden="false" customHeight="false" outlineLevel="0" collapsed="false">
      <c r="A6760" s="1" t="s">
        <v>6795</v>
      </c>
      <c r="B6760" s="1" t="s">
        <v>490</v>
      </c>
      <c r="C6760" s="1" t="n">
        <v>657000</v>
      </c>
      <c r="D6760" s="1" t="n">
        <v>13322</v>
      </c>
      <c r="E6760" s="1" t="n">
        <v>0.0231</v>
      </c>
      <c r="F6760" s="1" t="n">
        <v>0.0759</v>
      </c>
    </row>
    <row r="6761" customFormat="false" ht="15" hidden="false" customHeight="false" outlineLevel="0" collapsed="false">
      <c r="A6761" s="1" t="s">
        <v>6796</v>
      </c>
      <c r="B6761" s="1" t="s">
        <v>26</v>
      </c>
      <c r="C6761" s="1" t="n">
        <v>316000</v>
      </c>
      <c r="D6761" s="1" t="n">
        <v>14310.5</v>
      </c>
      <c r="F6761" s="1" t="n">
        <v>0.051</v>
      </c>
    </row>
    <row r="6762" customFormat="false" ht="15" hidden="false" customHeight="false" outlineLevel="0" collapsed="false">
      <c r="A6762" s="1" t="s">
        <v>6797</v>
      </c>
      <c r="B6762" s="1" t="s">
        <v>88</v>
      </c>
      <c r="C6762" s="1" t="n">
        <v>317000</v>
      </c>
      <c r="D6762" s="1" t="n">
        <v>1654.6</v>
      </c>
      <c r="E6762" s="1" t="n">
        <v>0.0364</v>
      </c>
      <c r="F6762" s="1" t="n">
        <v>0.0759</v>
      </c>
    </row>
    <row r="6763" customFormat="false" ht="15" hidden="false" customHeight="false" outlineLevel="0" collapsed="false">
      <c r="A6763" s="1" t="s">
        <v>6798</v>
      </c>
      <c r="B6763" s="1" t="s">
        <v>26</v>
      </c>
      <c r="C6763" s="1" t="n">
        <v>421000</v>
      </c>
      <c r="D6763" s="1" t="n">
        <v>1065.7</v>
      </c>
      <c r="E6763" s="1" t="n">
        <v>0.0319</v>
      </c>
      <c r="F6763" s="1" t="n">
        <v>0.0759</v>
      </c>
    </row>
    <row r="6764" customFormat="false" ht="15" hidden="false" customHeight="false" outlineLevel="0" collapsed="false">
      <c r="A6764" s="1" t="s">
        <v>6799</v>
      </c>
      <c r="B6764" s="1" t="s">
        <v>41</v>
      </c>
      <c r="C6764" s="1" t="n">
        <v>316000</v>
      </c>
      <c r="D6764" s="1" t="n">
        <v>37849.2</v>
      </c>
      <c r="E6764" s="1" t="n">
        <v>0.0327</v>
      </c>
      <c r="F6764" s="1" t="n">
        <v>0.0951</v>
      </c>
    </row>
    <row r="6765" customFormat="false" ht="15" hidden="false" customHeight="false" outlineLevel="0" collapsed="false">
      <c r="A6765" s="1" t="s">
        <v>6800</v>
      </c>
      <c r="B6765" s="1" t="s">
        <v>214</v>
      </c>
      <c r="C6765" s="1" t="n">
        <v>392000</v>
      </c>
      <c r="D6765" s="1" t="n">
        <v>43652</v>
      </c>
      <c r="F6765" s="1" t="n">
        <v>0.0409</v>
      </c>
    </row>
    <row r="6766" customFormat="false" ht="15" hidden="false" customHeight="false" outlineLevel="0" collapsed="false">
      <c r="A6766" s="1" t="s">
        <v>6801</v>
      </c>
      <c r="B6766" s="1" t="s">
        <v>81</v>
      </c>
      <c r="C6766" s="1" t="n">
        <v>331000</v>
      </c>
      <c r="D6766" s="1" t="n">
        <v>113302.1</v>
      </c>
      <c r="E6766" s="1" t="n">
        <v>0.0766</v>
      </c>
      <c r="F6766" s="1" t="n">
        <v>0.0951</v>
      </c>
    </row>
    <row r="6767" customFormat="false" ht="15" hidden="false" customHeight="false" outlineLevel="0" collapsed="false">
      <c r="A6767" s="1" t="s">
        <v>6802</v>
      </c>
      <c r="B6767" s="1" t="s">
        <v>26</v>
      </c>
      <c r="C6767" s="1" t="n">
        <v>297000</v>
      </c>
      <c r="D6767" s="1" t="n">
        <v>694.3</v>
      </c>
      <c r="E6767" s="1" t="n">
        <v>0.0633</v>
      </c>
      <c r="F6767" s="1" t="n">
        <v>0.0951</v>
      </c>
    </row>
    <row r="6768" customFormat="false" ht="15" hidden="false" customHeight="false" outlineLevel="0" collapsed="false">
      <c r="A6768" s="1" t="s">
        <v>6803</v>
      </c>
      <c r="B6768" s="1" t="s">
        <v>287</v>
      </c>
      <c r="C6768" s="1" t="n">
        <v>478000</v>
      </c>
      <c r="D6768" s="1" t="n">
        <v>2363.9</v>
      </c>
      <c r="E6768" s="1" t="n">
        <v>0.033</v>
      </c>
      <c r="F6768" s="1" t="n">
        <v>0.0409</v>
      </c>
    </row>
    <row r="6769" customFormat="false" ht="15" hidden="false" customHeight="false" outlineLevel="0" collapsed="false">
      <c r="A6769" s="1" t="s">
        <v>6804</v>
      </c>
      <c r="B6769" s="1" t="s">
        <v>26</v>
      </c>
      <c r="C6769" s="1" t="n">
        <v>293000</v>
      </c>
      <c r="D6769" s="1" t="n">
        <v>6535</v>
      </c>
      <c r="F6769" s="1" t="n">
        <v>0.0409</v>
      </c>
    </row>
    <row r="6770" customFormat="false" ht="15" hidden="false" customHeight="false" outlineLevel="0" collapsed="false">
      <c r="A6770" s="1" t="s">
        <v>6805</v>
      </c>
      <c r="B6770" s="1" t="s">
        <v>50</v>
      </c>
      <c r="C6770" s="1" t="n">
        <v>292000</v>
      </c>
      <c r="D6770" s="1" t="n">
        <v>3578.2</v>
      </c>
      <c r="E6770" s="1" t="n">
        <v>0.018</v>
      </c>
      <c r="F6770" s="1" t="n">
        <v>0.1067</v>
      </c>
    </row>
    <row r="6771" customFormat="false" ht="15" hidden="false" customHeight="false" outlineLevel="0" collapsed="false">
      <c r="A6771" s="1" t="s">
        <v>6806</v>
      </c>
      <c r="B6771" s="1" t="s">
        <v>26</v>
      </c>
      <c r="C6771" s="1" t="n">
        <v>343000</v>
      </c>
      <c r="D6771" s="1" t="n">
        <v>60477.5</v>
      </c>
      <c r="E6771" s="1" t="n">
        <v>0.0148</v>
      </c>
      <c r="F6771" s="1" t="n">
        <v>0.0736</v>
      </c>
    </row>
    <row r="6772" customFormat="false" ht="15" hidden="false" customHeight="false" outlineLevel="0" collapsed="false">
      <c r="A6772" s="1" t="s">
        <v>6807</v>
      </c>
      <c r="B6772" s="1" t="s">
        <v>92</v>
      </c>
      <c r="C6772" s="1" t="n">
        <v>318000</v>
      </c>
      <c r="D6772" s="1" t="n">
        <v>44928.5</v>
      </c>
      <c r="E6772" s="1" t="n">
        <v>0.0185</v>
      </c>
      <c r="F6772" s="1" t="n">
        <v>0.1067</v>
      </c>
    </row>
    <row r="6773" customFormat="false" ht="15" hidden="false" customHeight="false" outlineLevel="0" collapsed="false">
      <c r="A6773" s="1" t="s">
        <v>6808</v>
      </c>
      <c r="B6773" s="1" t="s">
        <v>26</v>
      </c>
      <c r="C6773" s="1" t="n">
        <v>320000</v>
      </c>
      <c r="D6773" s="1" t="n">
        <v>8705</v>
      </c>
      <c r="E6773" s="1" t="n">
        <v>0.0179</v>
      </c>
      <c r="F6773" s="1" t="n">
        <v>0.1067</v>
      </c>
    </row>
    <row r="6774" customFormat="false" ht="15" hidden="false" customHeight="false" outlineLevel="0" collapsed="false">
      <c r="A6774" s="1" t="s">
        <v>6809</v>
      </c>
      <c r="B6774" s="1" t="s">
        <v>26</v>
      </c>
      <c r="C6774" s="1" t="n">
        <v>370000</v>
      </c>
      <c r="D6774" s="1" t="n">
        <v>33959.4</v>
      </c>
      <c r="E6774" s="1" t="n">
        <v>0.0226</v>
      </c>
      <c r="F6774" s="1" t="n">
        <v>0.095</v>
      </c>
    </row>
    <row r="6775" customFormat="false" ht="15" hidden="false" customHeight="false" outlineLevel="0" collapsed="false">
      <c r="A6775" s="1" t="s">
        <v>6810</v>
      </c>
      <c r="B6775" s="1" t="s">
        <v>26</v>
      </c>
      <c r="C6775" s="1" t="n">
        <v>426000</v>
      </c>
      <c r="D6775" s="1" t="n">
        <v>120509.2</v>
      </c>
      <c r="E6775" s="1" t="n">
        <v>0.0755</v>
      </c>
      <c r="F6775" s="1" t="n">
        <v>0.0951</v>
      </c>
    </row>
    <row r="6776" customFormat="false" ht="15" hidden="false" customHeight="false" outlineLevel="0" collapsed="false">
      <c r="A6776" s="1" t="s">
        <v>6811</v>
      </c>
      <c r="B6776" s="1" t="s">
        <v>50</v>
      </c>
      <c r="C6776" s="1" t="n">
        <v>324000</v>
      </c>
      <c r="D6776" s="1" t="n">
        <v>13881.5</v>
      </c>
      <c r="E6776" s="1" t="n">
        <v>0.062</v>
      </c>
      <c r="F6776" s="1" t="n">
        <v>0.0759</v>
      </c>
    </row>
    <row r="6777" customFormat="false" ht="15" hidden="false" customHeight="false" outlineLevel="0" collapsed="false">
      <c r="A6777" s="1" t="s">
        <v>6812</v>
      </c>
      <c r="B6777" s="1" t="s">
        <v>88</v>
      </c>
      <c r="C6777" s="1" t="n">
        <v>341000</v>
      </c>
      <c r="D6777" s="1" t="n">
        <v>5261.4</v>
      </c>
      <c r="E6777" s="1" t="n">
        <v>0.0354</v>
      </c>
      <c r="F6777" s="1" t="n">
        <v>0.0951</v>
      </c>
    </row>
    <row r="6778" customFormat="false" ht="15" hidden="false" customHeight="false" outlineLevel="0" collapsed="false">
      <c r="A6778" s="1" t="s">
        <v>6813</v>
      </c>
      <c r="B6778" s="1" t="s">
        <v>26</v>
      </c>
      <c r="C6778" s="1" t="n">
        <v>511000</v>
      </c>
      <c r="D6778" s="1" t="n">
        <v>229966.8</v>
      </c>
      <c r="E6778" s="1" t="n">
        <v>0.0408</v>
      </c>
      <c r="F6778" s="1" t="n">
        <v>0.0409</v>
      </c>
    </row>
    <row r="6779" customFormat="false" ht="15" hidden="false" customHeight="false" outlineLevel="0" collapsed="false">
      <c r="A6779" s="1" t="s">
        <v>6814</v>
      </c>
      <c r="B6779" s="1" t="s">
        <v>41</v>
      </c>
      <c r="C6779" s="1" t="n">
        <v>318000</v>
      </c>
      <c r="D6779" s="1" t="n">
        <v>477.3</v>
      </c>
      <c r="F6779" s="1" t="n">
        <v>0.0938</v>
      </c>
    </row>
    <row r="6780" customFormat="false" ht="15" hidden="false" customHeight="false" outlineLevel="0" collapsed="false">
      <c r="A6780" s="1" t="s">
        <v>6815</v>
      </c>
      <c r="B6780" s="1" t="s">
        <v>26</v>
      </c>
      <c r="C6780" s="1" t="n">
        <v>988000</v>
      </c>
      <c r="D6780" s="1" t="n">
        <v>794121.9</v>
      </c>
      <c r="E6780" s="1" t="n">
        <v>0.0366</v>
      </c>
      <c r="F6780" s="1" t="n">
        <v>0.0409</v>
      </c>
    </row>
    <row r="6781" customFormat="false" ht="15" hidden="false" customHeight="false" outlineLevel="0" collapsed="false">
      <c r="A6781" s="1" t="s">
        <v>6816</v>
      </c>
      <c r="B6781" s="1" t="s">
        <v>21</v>
      </c>
      <c r="C6781" s="1" t="n">
        <v>613000</v>
      </c>
      <c r="D6781" s="1" t="n">
        <v>18118.5</v>
      </c>
      <c r="F6781" s="1" t="n">
        <v>0.0409</v>
      </c>
    </row>
    <row r="6782" customFormat="false" ht="15" hidden="false" customHeight="false" outlineLevel="0" collapsed="false">
      <c r="A6782" s="1" t="s">
        <v>6817</v>
      </c>
      <c r="B6782" s="1" t="s">
        <v>35</v>
      </c>
      <c r="C6782" s="1" t="n">
        <v>401000</v>
      </c>
      <c r="D6782" s="1" t="n">
        <v>16210.6</v>
      </c>
      <c r="E6782" s="1" t="n">
        <v>0.0373</v>
      </c>
      <c r="F6782" s="1" t="n">
        <v>0.0759</v>
      </c>
    </row>
    <row r="6783" customFormat="false" ht="15" hidden="false" customHeight="false" outlineLevel="0" collapsed="false">
      <c r="A6783" s="1" t="s">
        <v>6818</v>
      </c>
      <c r="B6783" s="1" t="s">
        <v>81</v>
      </c>
      <c r="C6783" s="1" t="n">
        <v>310000</v>
      </c>
      <c r="D6783" s="1" t="n">
        <v>21185.3</v>
      </c>
      <c r="E6783" s="1" t="n">
        <v>0.0437</v>
      </c>
      <c r="F6783" s="1" t="n">
        <v>0.0951</v>
      </c>
    </row>
    <row r="6784" customFormat="false" ht="15" hidden="false" customHeight="false" outlineLevel="0" collapsed="false">
      <c r="A6784" s="1" t="s">
        <v>6819</v>
      </c>
      <c r="B6784" s="1" t="s">
        <v>74</v>
      </c>
      <c r="C6784" s="1" t="n">
        <v>326000</v>
      </c>
      <c r="D6784" s="1" t="n">
        <v>6340.5</v>
      </c>
      <c r="E6784" s="1" t="n">
        <v>0.102</v>
      </c>
      <c r="F6784" s="1" t="n">
        <v>0.0759</v>
      </c>
    </row>
    <row r="6785" customFormat="false" ht="15" hidden="false" customHeight="false" outlineLevel="0" collapsed="false">
      <c r="A6785" s="1" t="s">
        <v>6820</v>
      </c>
      <c r="B6785" s="1" t="s">
        <v>26</v>
      </c>
      <c r="C6785" s="1" t="n">
        <v>322000</v>
      </c>
      <c r="D6785" s="1" t="n">
        <v>17971.8</v>
      </c>
      <c r="E6785" s="1" t="n">
        <v>0.0186</v>
      </c>
      <c r="F6785" s="1" t="n">
        <v>0.0854</v>
      </c>
    </row>
    <row r="6786" customFormat="false" ht="15" hidden="false" customHeight="false" outlineLevel="0" collapsed="false">
      <c r="A6786" s="1" t="s">
        <v>6821</v>
      </c>
      <c r="B6786" s="1" t="s">
        <v>26</v>
      </c>
      <c r="C6786" s="1" t="n">
        <v>300000</v>
      </c>
      <c r="D6786" s="1" t="n">
        <v>138.7</v>
      </c>
      <c r="E6786" s="1" t="n">
        <v>0.0108</v>
      </c>
      <c r="F6786" s="1" t="n">
        <v>0.2708</v>
      </c>
    </row>
    <row r="6787" customFormat="false" ht="15" hidden="false" customHeight="false" outlineLevel="0" collapsed="false">
      <c r="A6787" s="1" t="s">
        <v>6822</v>
      </c>
      <c r="B6787" s="1" t="s">
        <v>88</v>
      </c>
      <c r="C6787" s="1" t="n">
        <v>528000</v>
      </c>
      <c r="D6787" s="1" t="n">
        <v>1201.2</v>
      </c>
      <c r="E6787" s="1" t="n">
        <v>0.0688</v>
      </c>
      <c r="F6787" s="1" t="n">
        <v>0.0938</v>
      </c>
    </row>
    <row r="6788" customFormat="false" ht="15" hidden="false" customHeight="false" outlineLevel="0" collapsed="false">
      <c r="A6788" s="1" t="s">
        <v>6823</v>
      </c>
      <c r="B6788" s="1" t="s">
        <v>81</v>
      </c>
      <c r="C6788" s="1" t="n">
        <v>304000</v>
      </c>
      <c r="D6788" s="1" t="n">
        <v>36039.6</v>
      </c>
      <c r="E6788" s="1" t="n">
        <v>0.0373</v>
      </c>
      <c r="F6788" s="1" t="n">
        <v>0.0951</v>
      </c>
    </row>
    <row r="6789" customFormat="false" ht="15" hidden="false" customHeight="false" outlineLevel="0" collapsed="false">
      <c r="A6789" s="1" t="s">
        <v>6824</v>
      </c>
      <c r="B6789" s="1" t="s">
        <v>214</v>
      </c>
      <c r="C6789" s="1" t="n">
        <v>423000</v>
      </c>
      <c r="D6789" s="1" t="n">
        <v>58339.3</v>
      </c>
      <c r="E6789" s="1" t="n">
        <v>0.0351</v>
      </c>
      <c r="F6789" s="1" t="n">
        <v>0.0951</v>
      </c>
    </row>
    <row r="6790" customFormat="false" ht="15" hidden="false" customHeight="false" outlineLevel="0" collapsed="false">
      <c r="A6790" s="1" t="s">
        <v>6825</v>
      </c>
      <c r="B6790" s="1" t="s">
        <v>26</v>
      </c>
      <c r="C6790" s="1" t="n">
        <v>307000</v>
      </c>
      <c r="D6790" s="1" t="n">
        <v>31469.2</v>
      </c>
      <c r="E6790" s="1" t="n">
        <v>0.0316</v>
      </c>
      <c r="F6790" s="1" t="n">
        <v>0.0518</v>
      </c>
    </row>
    <row r="6791" customFormat="false" ht="15" hidden="false" customHeight="false" outlineLevel="0" collapsed="false">
      <c r="A6791" s="1" t="s">
        <v>6826</v>
      </c>
      <c r="B6791" s="1" t="s">
        <v>92</v>
      </c>
      <c r="C6791" s="1" t="n">
        <v>594000</v>
      </c>
      <c r="D6791" s="1" t="n">
        <v>25132.3</v>
      </c>
      <c r="E6791" s="1" t="n">
        <v>0.0119</v>
      </c>
      <c r="F6791" s="1" t="n">
        <v>0.0736</v>
      </c>
    </row>
    <row r="6792" customFormat="false" ht="15" hidden="false" customHeight="false" outlineLevel="0" collapsed="false">
      <c r="A6792" s="1" t="s">
        <v>6827</v>
      </c>
      <c r="B6792" s="1" t="s">
        <v>62</v>
      </c>
      <c r="C6792" s="1" t="n">
        <v>328000</v>
      </c>
      <c r="D6792" s="1" t="n">
        <v>625.3</v>
      </c>
      <c r="E6792" s="1" t="n">
        <v>0.0157</v>
      </c>
      <c r="F6792" s="1" t="n">
        <v>0.1067</v>
      </c>
    </row>
    <row r="6793" customFormat="false" ht="15" hidden="false" customHeight="false" outlineLevel="0" collapsed="false">
      <c r="A6793" s="1" t="s">
        <v>6828</v>
      </c>
      <c r="B6793" s="1" t="s">
        <v>214</v>
      </c>
      <c r="C6793" s="1" t="n">
        <v>299000</v>
      </c>
      <c r="D6793" s="1" t="n">
        <v>80326.9</v>
      </c>
      <c r="E6793" s="1" t="n">
        <v>0.0293</v>
      </c>
      <c r="F6793" s="1" t="n">
        <v>0.0951</v>
      </c>
    </row>
    <row r="6794" customFormat="false" ht="15" hidden="false" customHeight="false" outlineLevel="0" collapsed="false">
      <c r="A6794" s="1" t="s">
        <v>6829</v>
      </c>
      <c r="B6794" s="1" t="s">
        <v>88</v>
      </c>
      <c r="C6794" s="1" t="n">
        <v>457000</v>
      </c>
      <c r="D6794" s="1" t="n">
        <v>239.7</v>
      </c>
      <c r="E6794" s="1" t="n">
        <v>0.1168</v>
      </c>
      <c r="F6794" s="1" t="n">
        <v>0.0938</v>
      </c>
    </row>
    <row r="6795" customFormat="false" ht="15" hidden="false" customHeight="false" outlineLevel="0" collapsed="false">
      <c r="A6795" s="1" t="s">
        <v>6830</v>
      </c>
      <c r="B6795" s="1" t="s">
        <v>32</v>
      </c>
      <c r="C6795" s="1" t="n">
        <v>297000</v>
      </c>
      <c r="D6795" s="1" t="n">
        <v>606.6</v>
      </c>
      <c r="E6795" s="1" t="n">
        <v>0.0027</v>
      </c>
      <c r="F6795" s="1" t="n">
        <v>0.3188</v>
      </c>
    </row>
    <row r="6796" customFormat="false" ht="15" hidden="false" customHeight="false" outlineLevel="0" collapsed="false">
      <c r="A6796" s="1" t="s">
        <v>6831</v>
      </c>
      <c r="B6796" s="1" t="s">
        <v>92</v>
      </c>
      <c r="C6796" s="1" t="n">
        <v>620000</v>
      </c>
      <c r="D6796" s="1" t="n">
        <v>13503.5</v>
      </c>
      <c r="E6796" s="1" t="n">
        <v>0.0418</v>
      </c>
      <c r="F6796" s="1" t="n">
        <v>0.0759</v>
      </c>
    </row>
    <row r="6797" customFormat="false" ht="15" hidden="false" customHeight="false" outlineLevel="0" collapsed="false">
      <c r="A6797" s="1" t="s">
        <v>6832</v>
      </c>
      <c r="B6797" s="1" t="s">
        <v>88</v>
      </c>
      <c r="C6797" s="1" t="n">
        <v>544000</v>
      </c>
      <c r="D6797" s="1" t="n">
        <v>3028.4</v>
      </c>
      <c r="E6797" s="1" t="n">
        <v>0.0685</v>
      </c>
      <c r="F6797" s="1" t="n">
        <v>0.0938</v>
      </c>
    </row>
    <row r="6798" customFormat="false" ht="15" hidden="false" customHeight="false" outlineLevel="0" collapsed="false">
      <c r="A6798" s="1" t="s">
        <v>6833</v>
      </c>
      <c r="B6798" s="1" t="s">
        <v>26</v>
      </c>
      <c r="C6798" s="1" t="n">
        <v>1040000</v>
      </c>
      <c r="D6798" s="1" t="n">
        <v>194036</v>
      </c>
      <c r="E6798" s="1" t="n">
        <v>0.0023</v>
      </c>
      <c r="F6798" s="1" t="n">
        <v>0.0654</v>
      </c>
    </row>
    <row r="6799" customFormat="false" ht="15" hidden="false" customHeight="false" outlineLevel="0" collapsed="false">
      <c r="A6799" s="1" t="s">
        <v>6834</v>
      </c>
      <c r="B6799" s="1" t="s">
        <v>81</v>
      </c>
      <c r="C6799" s="1" t="n">
        <v>362000</v>
      </c>
      <c r="D6799" s="1" t="n">
        <v>27910.4</v>
      </c>
      <c r="E6799" s="1" t="n">
        <v>0.0149</v>
      </c>
      <c r="F6799" s="1" t="n">
        <v>0.1067</v>
      </c>
    </row>
    <row r="6800" customFormat="false" ht="15" hidden="false" customHeight="false" outlineLevel="0" collapsed="false">
      <c r="A6800" s="1" t="s">
        <v>6835</v>
      </c>
      <c r="B6800" s="1" t="s">
        <v>53</v>
      </c>
      <c r="C6800" s="1" t="n">
        <v>288000</v>
      </c>
      <c r="D6800" s="1" t="n">
        <v>1384.8</v>
      </c>
      <c r="E6800" s="1" t="n">
        <v>0.0694</v>
      </c>
      <c r="F6800" s="1" t="n">
        <v>0.0951</v>
      </c>
    </row>
    <row r="6801" customFormat="false" ht="15" hidden="false" customHeight="false" outlineLevel="0" collapsed="false">
      <c r="A6801" s="1" t="s">
        <v>6836</v>
      </c>
      <c r="B6801" s="1" t="s">
        <v>88</v>
      </c>
      <c r="C6801" s="1" t="n">
        <v>297000</v>
      </c>
      <c r="D6801" s="1" t="n">
        <v>4044</v>
      </c>
      <c r="E6801" s="1" t="n">
        <v>0.0674</v>
      </c>
      <c r="F6801" s="1" t="n">
        <v>0.0951</v>
      </c>
    </row>
    <row r="6802" customFormat="false" ht="15" hidden="false" customHeight="false" outlineLevel="0" collapsed="false">
      <c r="A6802" s="1" t="s">
        <v>6837</v>
      </c>
      <c r="B6802" s="1" t="s">
        <v>26</v>
      </c>
      <c r="C6802" s="1" t="n">
        <v>396000</v>
      </c>
      <c r="D6802" s="1" t="n">
        <v>17928.8</v>
      </c>
      <c r="E6802" s="1" t="n">
        <v>0.0518</v>
      </c>
      <c r="F6802" s="1" t="n">
        <v>0.0759</v>
      </c>
    </row>
    <row r="6803" customFormat="false" ht="15" hidden="false" customHeight="false" outlineLevel="0" collapsed="false">
      <c r="A6803" s="1" t="s">
        <v>6838</v>
      </c>
      <c r="B6803" s="1" t="s">
        <v>92</v>
      </c>
      <c r="C6803" s="1" t="n">
        <v>297000</v>
      </c>
      <c r="D6803" s="1" t="n">
        <v>23223.1</v>
      </c>
      <c r="E6803" s="1" t="n">
        <v>0.0328</v>
      </c>
      <c r="F6803" s="1" t="n">
        <v>0.0951</v>
      </c>
    </row>
    <row r="6804" customFormat="false" ht="15" hidden="false" customHeight="false" outlineLevel="0" collapsed="false">
      <c r="A6804" s="1" t="s">
        <v>6839</v>
      </c>
      <c r="B6804" s="1" t="s">
        <v>71</v>
      </c>
      <c r="C6804" s="1" t="n">
        <v>325000</v>
      </c>
      <c r="D6804" s="1" t="n">
        <v>1126.4</v>
      </c>
      <c r="E6804" s="1" t="n">
        <v>0.0128</v>
      </c>
      <c r="F6804" s="1" t="n">
        <v>0.0854</v>
      </c>
    </row>
    <row r="6805" customFormat="false" ht="15" hidden="false" customHeight="false" outlineLevel="0" collapsed="false">
      <c r="A6805" s="1" t="s">
        <v>6840</v>
      </c>
      <c r="B6805" s="1" t="s">
        <v>74</v>
      </c>
      <c r="C6805" s="1" t="n">
        <v>353000</v>
      </c>
      <c r="D6805" s="1" t="n">
        <v>9602.3</v>
      </c>
      <c r="E6805" s="1" t="n">
        <v>0.052</v>
      </c>
      <c r="F6805" s="1" t="n">
        <v>0.0759</v>
      </c>
    </row>
    <row r="6806" customFormat="false" ht="15" hidden="false" customHeight="false" outlineLevel="0" collapsed="false">
      <c r="A6806" s="1" t="s">
        <v>6841</v>
      </c>
      <c r="B6806" s="1" t="s">
        <v>41</v>
      </c>
      <c r="C6806" s="1" t="n">
        <v>295000</v>
      </c>
      <c r="D6806" s="1" t="n">
        <v>6739.1</v>
      </c>
      <c r="E6806" s="1" t="n">
        <v>0.0203</v>
      </c>
      <c r="F6806" s="1" t="n">
        <v>0.1067</v>
      </c>
    </row>
    <row r="6807" customFormat="false" ht="15" hidden="false" customHeight="false" outlineLevel="0" collapsed="false">
      <c r="A6807" s="1" t="s">
        <v>6842</v>
      </c>
      <c r="B6807" s="1" t="s">
        <v>26</v>
      </c>
      <c r="C6807" s="1" t="n">
        <v>321000</v>
      </c>
      <c r="D6807" s="1" t="n">
        <v>216254.6</v>
      </c>
      <c r="E6807" s="1" t="n">
        <v>0.0247</v>
      </c>
      <c r="F6807" s="1" t="n">
        <v>0.0518</v>
      </c>
    </row>
    <row r="6808" customFormat="false" ht="15" hidden="false" customHeight="false" outlineLevel="0" collapsed="false">
      <c r="A6808" s="1" t="s">
        <v>6843</v>
      </c>
      <c r="B6808" s="1" t="s">
        <v>88</v>
      </c>
      <c r="C6808" s="1" t="n">
        <v>332000</v>
      </c>
      <c r="D6808" s="1" t="n">
        <v>122</v>
      </c>
      <c r="E6808" s="1" t="n">
        <v>0.0138</v>
      </c>
      <c r="F6808" s="1" t="n">
        <v>0.2267</v>
      </c>
    </row>
    <row r="6809" customFormat="false" ht="15" hidden="false" customHeight="false" outlineLevel="0" collapsed="false">
      <c r="A6809" s="1" t="s">
        <v>6844</v>
      </c>
      <c r="B6809" s="1" t="s">
        <v>88</v>
      </c>
      <c r="C6809" s="1" t="n">
        <v>536000</v>
      </c>
      <c r="D6809" s="1" t="n">
        <v>33637.5</v>
      </c>
      <c r="E6809" s="1" t="n">
        <v>0.0727</v>
      </c>
      <c r="F6809" s="1" t="n">
        <v>0.0759</v>
      </c>
    </row>
    <row r="6810" customFormat="false" ht="15" hidden="false" customHeight="false" outlineLevel="0" collapsed="false">
      <c r="A6810" s="1" t="s">
        <v>6845</v>
      </c>
      <c r="B6810" s="1" t="s">
        <v>26</v>
      </c>
      <c r="C6810" s="1" t="n">
        <v>312000</v>
      </c>
      <c r="D6810" s="1" t="n">
        <v>5923.5</v>
      </c>
      <c r="E6810" s="1" t="n">
        <v>0.0442</v>
      </c>
      <c r="F6810" s="1" t="n">
        <v>0.0759</v>
      </c>
    </row>
    <row r="6811" customFormat="false" ht="15" hidden="false" customHeight="false" outlineLevel="0" collapsed="false">
      <c r="A6811" s="1" t="s">
        <v>6846</v>
      </c>
      <c r="B6811" s="1" t="s">
        <v>50</v>
      </c>
      <c r="C6811" s="1" t="n">
        <v>297000</v>
      </c>
      <c r="D6811" s="1" t="n">
        <v>263.7</v>
      </c>
      <c r="E6811" s="1" t="n">
        <v>0.0077</v>
      </c>
      <c r="F6811" s="1" t="n">
        <v>0.0822</v>
      </c>
    </row>
    <row r="6812" customFormat="false" ht="15" hidden="false" customHeight="false" outlineLevel="0" collapsed="false">
      <c r="A6812" s="1" t="s">
        <v>6847</v>
      </c>
      <c r="B6812" s="1" t="s">
        <v>62</v>
      </c>
      <c r="C6812" s="1" t="n">
        <v>298000</v>
      </c>
      <c r="D6812" s="1" t="n">
        <v>10138.4</v>
      </c>
      <c r="E6812" s="1" t="n">
        <v>0.0483</v>
      </c>
      <c r="F6812" s="1" t="n">
        <v>0.0759</v>
      </c>
    </row>
    <row r="6813" customFormat="false" ht="15" hidden="false" customHeight="false" outlineLevel="0" collapsed="false">
      <c r="A6813" s="1" t="s">
        <v>6848</v>
      </c>
      <c r="B6813" s="1" t="s">
        <v>81</v>
      </c>
      <c r="C6813" s="1" t="n">
        <v>297000</v>
      </c>
      <c r="D6813" s="1" t="n">
        <v>33887.9</v>
      </c>
      <c r="E6813" s="1" t="n">
        <v>0.0275</v>
      </c>
      <c r="F6813" s="1" t="n">
        <v>0.0845</v>
      </c>
    </row>
    <row r="6814" customFormat="false" ht="15" hidden="false" customHeight="false" outlineLevel="0" collapsed="false">
      <c r="A6814" s="1" t="s">
        <v>6849</v>
      </c>
      <c r="B6814" s="1" t="s">
        <v>24</v>
      </c>
      <c r="C6814" s="1" t="n">
        <v>286000</v>
      </c>
      <c r="D6814" s="1" t="n">
        <v>2900.2</v>
      </c>
      <c r="E6814" s="1" t="n">
        <v>0.0274</v>
      </c>
      <c r="F6814" s="1" t="n">
        <v>0.0951</v>
      </c>
    </row>
    <row r="6815" customFormat="false" ht="15" hidden="false" customHeight="false" outlineLevel="0" collapsed="false">
      <c r="A6815" s="1" t="s">
        <v>6850</v>
      </c>
      <c r="B6815" s="1" t="s">
        <v>53</v>
      </c>
      <c r="C6815" s="1" t="n">
        <v>353000</v>
      </c>
      <c r="D6815" s="1" t="n">
        <v>3021.1</v>
      </c>
      <c r="E6815" s="1" t="n">
        <v>0.0898</v>
      </c>
      <c r="F6815" s="1" t="n">
        <v>0.0951</v>
      </c>
    </row>
    <row r="6816" customFormat="false" ht="15" hidden="false" customHeight="false" outlineLevel="0" collapsed="false">
      <c r="A6816" s="1" t="s">
        <v>6851</v>
      </c>
      <c r="B6816" s="1" t="s">
        <v>88</v>
      </c>
      <c r="C6816" s="1" t="n">
        <v>355000</v>
      </c>
      <c r="D6816" s="1" t="n">
        <v>725.8</v>
      </c>
      <c r="E6816" s="1" t="n">
        <v>0.0256</v>
      </c>
      <c r="F6816" s="1" t="n">
        <v>0.117</v>
      </c>
    </row>
    <row r="6817" customFormat="false" ht="15" hidden="false" customHeight="false" outlineLevel="0" collapsed="false">
      <c r="A6817" s="1" t="s">
        <v>6852</v>
      </c>
      <c r="B6817" s="1" t="s">
        <v>24</v>
      </c>
      <c r="C6817" s="1" t="n">
        <v>2650000</v>
      </c>
      <c r="D6817" s="1" t="n">
        <v>3422.4</v>
      </c>
      <c r="E6817" s="1" t="n">
        <v>0.0117</v>
      </c>
      <c r="F6817" s="1" t="n">
        <v>0.0854</v>
      </c>
    </row>
    <row r="6818" customFormat="false" ht="15" hidden="false" customHeight="false" outlineLevel="0" collapsed="false">
      <c r="A6818" s="1" t="s">
        <v>6853</v>
      </c>
      <c r="B6818" s="1" t="s">
        <v>490</v>
      </c>
      <c r="C6818" s="1" t="n">
        <v>304000</v>
      </c>
      <c r="D6818" s="1" t="n">
        <v>1023.9</v>
      </c>
      <c r="E6818" s="1" t="n">
        <v>0.0247</v>
      </c>
      <c r="F6818" s="1" t="n">
        <v>0.0951</v>
      </c>
    </row>
    <row r="6819" customFormat="false" ht="15" hidden="false" customHeight="false" outlineLevel="0" collapsed="false">
      <c r="A6819" s="1" t="s">
        <v>6854</v>
      </c>
      <c r="B6819" s="1" t="s">
        <v>214</v>
      </c>
      <c r="C6819" s="1" t="n">
        <v>359000</v>
      </c>
      <c r="D6819" s="1" t="n">
        <v>9920.2</v>
      </c>
      <c r="E6819" s="1" t="n">
        <v>0.038</v>
      </c>
      <c r="F6819" s="1" t="n">
        <v>0.0759</v>
      </c>
    </row>
    <row r="6820" customFormat="false" ht="15" hidden="false" customHeight="false" outlineLevel="0" collapsed="false">
      <c r="A6820" s="1" t="s">
        <v>6855</v>
      </c>
      <c r="B6820" s="1" t="s">
        <v>74</v>
      </c>
      <c r="C6820" s="1" t="n">
        <v>298000</v>
      </c>
      <c r="D6820" s="1" t="n">
        <v>4401.7</v>
      </c>
      <c r="E6820" s="1" t="n">
        <v>0.0414</v>
      </c>
      <c r="F6820" s="1" t="n">
        <v>0.0951</v>
      </c>
    </row>
    <row r="6821" customFormat="false" ht="15" hidden="false" customHeight="false" outlineLevel="0" collapsed="false">
      <c r="A6821" s="1" t="s">
        <v>6856</v>
      </c>
      <c r="B6821" s="1" t="s">
        <v>41</v>
      </c>
      <c r="C6821" s="1" t="n">
        <v>719000</v>
      </c>
      <c r="D6821" s="1" t="n">
        <v>288.8</v>
      </c>
      <c r="E6821" s="1" t="n">
        <v>0.0242</v>
      </c>
      <c r="F6821" s="1" t="n">
        <v>0.5714</v>
      </c>
    </row>
    <row r="6822" customFormat="false" ht="15" hidden="false" customHeight="false" outlineLevel="0" collapsed="false">
      <c r="A6822" s="1" t="s">
        <v>6857</v>
      </c>
      <c r="B6822" s="1" t="s">
        <v>24</v>
      </c>
      <c r="C6822" s="1" t="n">
        <v>591000</v>
      </c>
      <c r="D6822" s="1" t="n">
        <v>24093.4</v>
      </c>
      <c r="E6822" s="1" t="n">
        <v>0.0798</v>
      </c>
      <c r="F6822" s="1" t="n">
        <v>0.0759</v>
      </c>
    </row>
    <row r="6823" customFormat="false" ht="15" hidden="false" customHeight="false" outlineLevel="0" collapsed="false">
      <c r="A6823" s="1" t="s">
        <v>6858</v>
      </c>
      <c r="B6823" s="1" t="s">
        <v>21</v>
      </c>
      <c r="C6823" s="1" t="n">
        <v>362000</v>
      </c>
      <c r="D6823" s="1" t="n">
        <v>48572.5</v>
      </c>
      <c r="E6823" s="1" t="n">
        <v>0.0537</v>
      </c>
      <c r="F6823" s="1" t="n">
        <v>0.0759</v>
      </c>
    </row>
    <row r="6824" customFormat="false" ht="15" hidden="false" customHeight="false" outlineLevel="0" collapsed="false">
      <c r="A6824" s="1" t="s">
        <v>6859</v>
      </c>
      <c r="B6824" s="1" t="s">
        <v>41</v>
      </c>
      <c r="C6824" s="1" t="n">
        <v>393000</v>
      </c>
      <c r="D6824" s="1" t="n">
        <v>2116.4</v>
      </c>
      <c r="E6824" s="1" t="n">
        <v>0.0204</v>
      </c>
      <c r="F6824" s="1" t="n">
        <v>0.1053</v>
      </c>
    </row>
    <row r="6825" customFormat="false" ht="15" hidden="false" customHeight="false" outlineLevel="0" collapsed="false">
      <c r="A6825" s="1" t="s">
        <v>6860</v>
      </c>
      <c r="B6825" s="1" t="s">
        <v>26</v>
      </c>
      <c r="C6825" s="1" t="n">
        <v>487000</v>
      </c>
      <c r="D6825" s="1" t="n">
        <v>32253.7</v>
      </c>
      <c r="E6825" s="1" t="n">
        <v>0.0519</v>
      </c>
      <c r="F6825" s="1" t="n">
        <v>0.0759</v>
      </c>
    </row>
    <row r="6826" customFormat="false" ht="15" hidden="false" customHeight="false" outlineLevel="0" collapsed="false">
      <c r="A6826" s="1" t="s">
        <v>6861</v>
      </c>
      <c r="B6826" s="1" t="s">
        <v>26</v>
      </c>
      <c r="C6826" s="1" t="n">
        <v>473000</v>
      </c>
      <c r="D6826" s="1" t="n">
        <v>447315.4</v>
      </c>
      <c r="E6826" s="1" t="n">
        <v>0.0439</v>
      </c>
      <c r="F6826" s="1" t="n">
        <v>0.0951</v>
      </c>
    </row>
    <row r="6827" customFormat="false" ht="15" hidden="false" customHeight="false" outlineLevel="0" collapsed="false">
      <c r="A6827" s="1" t="s">
        <v>6862</v>
      </c>
      <c r="B6827" s="1" t="s">
        <v>92</v>
      </c>
      <c r="C6827" s="1" t="n">
        <v>369000</v>
      </c>
      <c r="D6827" s="1" t="n">
        <v>2244.8</v>
      </c>
      <c r="E6827" s="1" t="n">
        <v>0.0408</v>
      </c>
      <c r="F6827" s="1" t="n">
        <v>0.2545</v>
      </c>
    </row>
    <row r="6828" customFormat="false" ht="15" hidden="false" customHeight="false" outlineLevel="0" collapsed="false">
      <c r="A6828" s="1" t="s">
        <v>6863</v>
      </c>
      <c r="B6828" s="1" t="s">
        <v>41</v>
      </c>
      <c r="C6828" s="1" t="n">
        <v>299000</v>
      </c>
      <c r="D6828" s="1" t="n">
        <v>134.2</v>
      </c>
      <c r="E6828" s="1" t="n">
        <v>0.0048</v>
      </c>
      <c r="F6828" s="1" t="n">
        <v>0.1842</v>
      </c>
    </row>
    <row r="6829" customFormat="false" ht="15" hidden="false" customHeight="false" outlineLevel="0" collapsed="false">
      <c r="A6829" s="1" t="s">
        <v>6864</v>
      </c>
      <c r="B6829" s="1" t="s">
        <v>81</v>
      </c>
      <c r="C6829" s="1" t="n">
        <v>475000</v>
      </c>
      <c r="D6829" s="1" t="n">
        <v>2693.5</v>
      </c>
      <c r="E6829" s="1" t="n">
        <v>0.0206</v>
      </c>
      <c r="F6829" s="1" t="n">
        <v>0.0938</v>
      </c>
    </row>
    <row r="6830" customFormat="false" ht="15" hidden="false" customHeight="false" outlineLevel="0" collapsed="false">
      <c r="A6830" s="1" t="s">
        <v>6865</v>
      </c>
      <c r="B6830" s="1" t="s">
        <v>92</v>
      </c>
      <c r="C6830" s="1" t="n">
        <v>295000</v>
      </c>
      <c r="D6830" s="1" t="n">
        <v>2545.9</v>
      </c>
      <c r="E6830" s="1" t="n">
        <v>0.0196</v>
      </c>
      <c r="F6830" s="1" t="n">
        <v>0.0951</v>
      </c>
    </row>
    <row r="6831" customFormat="false" ht="15" hidden="false" customHeight="false" outlineLevel="0" collapsed="false">
      <c r="A6831" s="1" t="s">
        <v>6866</v>
      </c>
      <c r="B6831" s="1" t="s">
        <v>41</v>
      </c>
      <c r="C6831" s="1" t="n">
        <v>372000</v>
      </c>
      <c r="D6831" s="1" t="n">
        <v>24566.6</v>
      </c>
      <c r="E6831" s="1" t="n">
        <v>0.0384</v>
      </c>
      <c r="F6831" s="1" t="n">
        <v>0.0938</v>
      </c>
    </row>
    <row r="6832" customFormat="false" ht="15" hidden="false" customHeight="false" outlineLevel="0" collapsed="false">
      <c r="A6832" s="1" t="s">
        <v>6867</v>
      </c>
      <c r="B6832" s="1" t="s">
        <v>53</v>
      </c>
      <c r="C6832" s="1" t="n">
        <v>412000</v>
      </c>
      <c r="D6832" s="1" t="n">
        <v>10293.5</v>
      </c>
      <c r="E6832" s="1" t="n">
        <v>0.052</v>
      </c>
      <c r="F6832" s="1" t="n">
        <v>0.0938</v>
      </c>
    </row>
    <row r="6833" customFormat="false" ht="15" hidden="false" customHeight="false" outlineLevel="0" collapsed="false">
      <c r="A6833" s="1" t="s">
        <v>6868</v>
      </c>
      <c r="B6833" s="1" t="s">
        <v>26</v>
      </c>
      <c r="C6833" s="1" t="n">
        <v>306000</v>
      </c>
      <c r="D6833" s="1" t="n">
        <v>18810.5</v>
      </c>
      <c r="E6833" s="1" t="n">
        <v>0.0237</v>
      </c>
      <c r="F6833" s="1" t="n">
        <v>0.0759</v>
      </c>
    </row>
    <row r="6834" customFormat="false" ht="15" hidden="false" customHeight="false" outlineLevel="0" collapsed="false">
      <c r="A6834" s="1" t="s">
        <v>6869</v>
      </c>
      <c r="B6834" s="1" t="s">
        <v>26</v>
      </c>
      <c r="C6834" s="1" t="n">
        <v>452000</v>
      </c>
      <c r="D6834" s="1" t="n">
        <v>13470.3</v>
      </c>
      <c r="E6834" s="1" t="n">
        <v>0.0125</v>
      </c>
      <c r="F6834" s="1" t="n">
        <v>0.0937</v>
      </c>
    </row>
    <row r="6835" customFormat="false" ht="15" hidden="false" customHeight="false" outlineLevel="0" collapsed="false">
      <c r="A6835" s="1" t="s">
        <v>6870</v>
      </c>
      <c r="B6835" s="1" t="s">
        <v>24</v>
      </c>
      <c r="C6835" s="1" t="n">
        <v>371000</v>
      </c>
      <c r="D6835" s="1" t="n">
        <v>5099.6</v>
      </c>
      <c r="E6835" s="1" t="n">
        <v>0.0194</v>
      </c>
      <c r="F6835" s="1" t="n">
        <v>0.0726</v>
      </c>
    </row>
    <row r="6836" customFormat="false" ht="15" hidden="false" customHeight="false" outlineLevel="0" collapsed="false">
      <c r="A6836" s="1" t="s">
        <v>6871</v>
      </c>
      <c r="B6836" s="1" t="s">
        <v>26</v>
      </c>
      <c r="C6836" s="1" t="n">
        <v>319000</v>
      </c>
      <c r="D6836" s="1" t="n">
        <v>818.1</v>
      </c>
      <c r="E6836" s="1" t="n">
        <v>0.016</v>
      </c>
      <c r="F6836" s="1" t="n">
        <v>0.131</v>
      </c>
    </row>
    <row r="6837" customFormat="false" ht="15" hidden="false" customHeight="false" outlineLevel="0" collapsed="false">
      <c r="A6837" s="1" t="s">
        <v>6872</v>
      </c>
      <c r="B6837" s="1" t="s">
        <v>24</v>
      </c>
      <c r="C6837" s="1" t="n">
        <v>297000</v>
      </c>
      <c r="D6837" s="1" t="n">
        <v>6792</v>
      </c>
      <c r="E6837" s="1" t="n">
        <v>0.0063</v>
      </c>
      <c r="F6837" s="1" t="n">
        <v>0.0822</v>
      </c>
    </row>
    <row r="6838" customFormat="false" ht="15" hidden="false" customHeight="false" outlineLevel="0" collapsed="false">
      <c r="A6838" s="1" t="s">
        <v>6873</v>
      </c>
      <c r="B6838" s="1" t="s">
        <v>26</v>
      </c>
      <c r="C6838" s="1" t="n">
        <v>421000</v>
      </c>
      <c r="D6838" s="1" t="n">
        <v>6423</v>
      </c>
      <c r="E6838" s="1" t="n">
        <v>0.0168</v>
      </c>
      <c r="F6838" s="1" t="n">
        <v>0.0488</v>
      </c>
    </row>
    <row r="6839" customFormat="false" ht="15" hidden="false" customHeight="false" outlineLevel="0" collapsed="false">
      <c r="A6839" s="1" t="s">
        <v>6874</v>
      </c>
      <c r="B6839" s="1" t="s">
        <v>53</v>
      </c>
      <c r="C6839" s="1" t="n">
        <v>360000</v>
      </c>
      <c r="D6839" s="1" t="n">
        <v>24440.4</v>
      </c>
      <c r="E6839" s="1" t="n">
        <v>0.0801</v>
      </c>
      <c r="F6839" s="1" t="n">
        <v>0.0759</v>
      </c>
    </row>
    <row r="6840" customFormat="false" ht="15" hidden="false" customHeight="false" outlineLevel="0" collapsed="false">
      <c r="A6840" s="1" t="s">
        <v>6875</v>
      </c>
      <c r="B6840" s="1" t="s">
        <v>88</v>
      </c>
      <c r="C6840" s="1" t="n">
        <v>659000</v>
      </c>
      <c r="D6840" s="1" t="n">
        <v>891.9</v>
      </c>
      <c r="E6840" s="1" t="n">
        <v>0.0621</v>
      </c>
      <c r="F6840" s="1" t="n">
        <v>0.0938</v>
      </c>
    </row>
    <row r="6841" customFormat="false" ht="15" hidden="false" customHeight="false" outlineLevel="0" collapsed="false">
      <c r="A6841" s="1" t="s">
        <v>6876</v>
      </c>
      <c r="B6841" s="1" t="s">
        <v>53</v>
      </c>
      <c r="C6841" s="1" t="n">
        <v>376000</v>
      </c>
      <c r="D6841" s="1" t="n">
        <v>453.7</v>
      </c>
      <c r="E6841" s="1" t="n">
        <v>0.019</v>
      </c>
      <c r="F6841" s="1" t="n">
        <v>0.0576</v>
      </c>
    </row>
    <row r="6842" customFormat="false" ht="15" hidden="false" customHeight="false" outlineLevel="0" collapsed="false">
      <c r="A6842" s="1" t="s">
        <v>6877</v>
      </c>
      <c r="B6842" s="1" t="s">
        <v>88</v>
      </c>
      <c r="C6842" s="1" t="n">
        <v>538000</v>
      </c>
      <c r="D6842" s="1" t="n">
        <v>4461.5</v>
      </c>
      <c r="E6842" s="1" t="n">
        <v>0.0227</v>
      </c>
      <c r="F6842" s="1" t="n">
        <v>0.117</v>
      </c>
    </row>
    <row r="6843" customFormat="false" ht="15" hidden="false" customHeight="false" outlineLevel="0" collapsed="false">
      <c r="A6843" s="1" t="s">
        <v>6878</v>
      </c>
      <c r="B6843" s="1" t="s">
        <v>214</v>
      </c>
      <c r="C6843" s="1" t="n">
        <v>410000</v>
      </c>
      <c r="D6843" s="1" t="n">
        <v>5704.6</v>
      </c>
      <c r="E6843" s="1" t="n">
        <v>0.0318</v>
      </c>
      <c r="F6843" s="1" t="n">
        <v>0.0951</v>
      </c>
    </row>
    <row r="6844" customFormat="false" ht="15" hidden="false" customHeight="false" outlineLevel="0" collapsed="false">
      <c r="A6844" s="1" t="s">
        <v>6879</v>
      </c>
      <c r="B6844" s="1" t="s">
        <v>214</v>
      </c>
      <c r="C6844" s="1" t="n">
        <v>1710000</v>
      </c>
      <c r="D6844" s="1" t="n">
        <v>47306.5</v>
      </c>
      <c r="E6844" s="1" t="n">
        <v>0.0111</v>
      </c>
      <c r="F6844" s="1" t="n">
        <v>0.0811</v>
      </c>
    </row>
    <row r="6845" customFormat="false" ht="15" hidden="false" customHeight="false" outlineLevel="0" collapsed="false">
      <c r="A6845" s="1" t="s">
        <v>6880</v>
      </c>
      <c r="B6845" s="1" t="s">
        <v>88</v>
      </c>
      <c r="C6845" s="1" t="n">
        <v>345000</v>
      </c>
      <c r="D6845" s="1" t="n">
        <v>90732.1</v>
      </c>
      <c r="E6845" s="1" t="n">
        <v>0.0209</v>
      </c>
      <c r="F6845" s="1" t="n">
        <v>0.0759</v>
      </c>
    </row>
    <row r="6846" customFormat="false" ht="15" hidden="false" customHeight="false" outlineLevel="0" collapsed="false">
      <c r="A6846" s="1" t="s">
        <v>6881</v>
      </c>
      <c r="B6846" s="1" t="s">
        <v>26</v>
      </c>
      <c r="C6846" s="1" t="n">
        <v>321000</v>
      </c>
      <c r="D6846" s="1" t="n">
        <v>31053</v>
      </c>
      <c r="E6846" s="1" t="n">
        <v>0.0135</v>
      </c>
      <c r="F6846" s="1" t="n">
        <v>0.0488</v>
      </c>
    </row>
    <row r="6847" customFormat="false" ht="15" hidden="false" customHeight="false" outlineLevel="0" collapsed="false">
      <c r="A6847" s="1" t="s">
        <v>6882</v>
      </c>
      <c r="B6847" s="1" t="s">
        <v>53</v>
      </c>
      <c r="C6847" s="1" t="n">
        <v>2500000</v>
      </c>
      <c r="D6847" s="1" t="n">
        <v>2256.6</v>
      </c>
      <c r="E6847" s="1" t="n">
        <v>0.0074</v>
      </c>
      <c r="F6847" s="1" t="n">
        <v>0.0811</v>
      </c>
    </row>
    <row r="6848" customFormat="false" ht="15" hidden="false" customHeight="false" outlineLevel="0" collapsed="false">
      <c r="A6848" s="1" t="s">
        <v>6883</v>
      </c>
      <c r="B6848" s="1" t="s">
        <v>74</v>
      </c>
      <c r="C6848" s="1" t="n">
        <v>361000</v>
      </c>
      <c r="D6848" s="1" t="n">
        <v>8746.7</v>
      </c>
      <c r="E6848" s="1" t="n">
        <v>0.0154</v>
      </c>
      <c r="F6848" s="1" t="n">
        <v>0.0462</v>
      </c>
    </row>
    <row r="6849" customFormat="false" ht="15" hidden="false" customHeight="false" outlineLevel="0" collapsed="false">
      <c r="A6849" s="1" t="s">
        <v>6884</v>
      </c>
      <c r="B6849" s="1" t="s">
        <v>41</v>
      </c>
      <c r="C6849" s="1" t="n">
        <v>862000</v>
      </c>
      <c r="D6849" s="1" t="n">
        <v>1462.9</v>
      </c>
      <c r="E6849" s="1" t="n">
        <v>0.0298</v>
      </c>
      <c r="F6849" s="1" t="n">
        <v>0.3832</v>
      </c>
    </row>
    <row r="6850" customFormat="false" ht="15" hidden="false" customHeight="false" outlineLevel="0" collapsed="false">
      <c r="A6850" s="1" t="s">
        <v>6885</v>
      </c>
      <c r="B6850" s="1" t="s">
        <v>26</v>
      </c>
      <c r="C6850" s="1" t="n">
        <v>836000</v>
      </c>
      <c r="D6850" s="1" t="n">
        <v>125225.6</v>
      </c>
      <c r="E6850" s="1" t="n">
        <v>0.0228</v>
      </c>
      <c r="F6850" s="1" t="n">
        <v>0.0672</v>
      </c>
    </row>
    <row r="6851" customFormat="false" ht="15" hidden="false" customHeight="false" outlineLevel="0" collapsed="false">
      <c r="A6851" s="1" t="s">
        <v>6886</v>
      </c>
      <c r="B6851" s="1" t="s">
        <v>195</v>
      </c>
      <c r="C6851" s="1" t="n">
        <v>313000</v>
      </c>
      <c r="D6851" s="1" t="n">
        <v>2626.9</v>
      </c>
      <c r="E6851" s="1" t="n">
        <v>0.0554</v>
      </c>
      <c r="F6851" s="1" t="n">
        <v>0.0951</v>
      </c>
    </row>
    <row r="6852" customFormat="false" ht="15" hidden="false" customHeight="false" outlineLevel="0" collapsed="false">
      <c r="A6852" s="1" t="s">
        <v>6887</v>
      </c>
      <c r="B6852" s="1" t="s">
        <v>53</v>
      </c>
      <c r="C6852" s="1" t="n">
        <v>321000</v>
      </c>
      <c r="D6852" s="1" t="n">
        <v>7014.7</v>
      </c>
      <c r="E6852" s="1" t="n">
        <v>0.0568</v>
      </c>
      <c r="F6852" s="1" t="n">
        <v>0.0759</v>
      </c>
    </row>
    <row r="6853" customFormat="false" ht="15" hidden="false" customHeight="false" outlineLevel="0" collapsed="false">
      <c r="A6853" s="1" t="s">
        <v>6888</v>
      </c>
      <c r="B6853" s="1" t="s">
        <v>287</v>
      </c>
      <c r="C6853" s="1" t="n">
        <v>316000</v>
      </c>
      <c r="D6853" s="1" t="n">
        <v>18897.8</v>
      </c>
      <c r="E6853" s="1" t="n">
        <v>0.0335</v>
      </c>
      <c r="F6853" s="1" t="n">
        <v>0.0759</v>
      </c>
    </row>
    <row r="6854" customFormat="false" ht="15" hidden="false" customHeight="false" outlineLevel="0" collapsed="false">
      <c r="A6854" s="1" t="s">
        <v>6889</v>
      </c>
      <c r="B6854" s="1" t="s">
        <v>88</v>
      </c>
      <c r="C6854" s="1" t="n">
        <v>334000</v>
      </c>
      <c r="D6854" s="1" t="n">
        <v>461.7</v>
      </c>
      <c r="E6854" s="1" t="n">
        <v>0.0493</v>
      </c>
      <c r="F6854" s="1" t="n">
        <v>0.1241</v>
      </c>
    </row>
    <row r="6855" customFormat="false" ht="15" hidden="false" customHeight="false" outlineLevel="0" collapsed="false">
      <c r="A6855" s="1" t="s">
        <v>6890</v>
      </c>
      <c r="B6855" s="1" t="s">
        <v>88</v>
      </c>
      <c r="C6855" s="1" t="n">
        <v>623000</v>
      </c>
      <c r="D6855" s="1" t="n">
        <v>2479.4</v>
      </c>
      <c r="E6855" s="1" t="n">
        <v>0.1492</v>
      </c>
      <c r="F6855" s="1" t="n">
        <v>0.0938</v>
      </c>
    </row>
    <row r="6856" customFormat="false" ht="15" hidden="false" customHeight="false" outlineLevel="0" collapsed="false">
      <c r="A6856" s="1" t="s">
        <v>6891</v>
      </c>
      <c r="B6856" s="1" t="s">
        <v>26</v>
      </c>
      <c r="C6856" s="1" t="n">
        <v>511000</v>
      </c>
      <c r="D6856" s="1" t="n">
        <v>150951.2</v>
      </c>
      <c r="E6856" s="1" t="n">
        <v>0.0179</v>
      </c>
      <c r="F6856" s="1" t="n">
        <v>0.0462</v>
      </c>
    </row>
    <row r="6857" customFormat="false" ht="15" hidden="false" customHeight="false" outlineLevel="0" collapsed="false">
      <c r="A6857" s="1" t="s">
        <v>6892</v>
      </c>
      <c r="B6857" s="1" t="s">
        <v>26</v>
      </c>
      <c r="C6857" s="1" t="n">
        <v>296000</v>
      </c>
      <c r="D6857" s="1" t="n">
        <v>890.3</v>
      </c>
      <c r="E6857" s="1" t="n">
        <v>0.0238</v>
      </c>
      <c r="F6857" s="1" t="n">
        <v>0.117</v>
      </c>
    </row>
    <row r="6858" customFormat="false" ht="15" hidden="false" customHeight="false" outlineLevel="0" collapsed="false">
      <c r="A6858" s="1" t="s">
        <v>6893</v>
      </c>
      <c r="B6858" s="1" t="s">
        <v>26</v>
      </c>
      <c r="C6858" s="1" t="n">
        <v>334000</v>
      </c>
      <c r="D6858" s="1" t="n">
        <v>7602.5</v>
      </c>
      <c r="E6858" s="1" t="n">
        <v>0.0419</v>
      </c>
      <c r="F6858" s="1" t="n">
        <v>0.0938</v>
      </c>
    </row>
    <row r="6859" customFormat="false" ht="15" hidden="false" customHeight="false" outlineLevel="0" collapsed="false">
      <c r="A6859" s="1" t="s">
        <v>6894</v>
      </c>
      <c r="B6859" s="1" t="s">
        <v>26</v>
      </c>
      <c r="C6859" s="1" t="n">
        <v>315000</v>
      </c>
      <c r="D6859" s="1" t="n">
        <v>9780.4</v>
      </c>
      <c r="E6859" s="1" t="n">
        <v>0.0094</v>
      </c>
      <c r="F6859" s="1" t="n">
        <v>0.0654</v>
      </c>
    </row>
    <row r="6860" customFormat="false" ht="15" hidden="false" customHeight="false" outlineLevel="0" collapsed="false">
      <c r="A6860" s="1" t="s">
        <v>6895</v>
      </c>
      <c r="B6860" s="1" t="s">
        <v>74</v>
      </c>
      <c r="C6860" s="1" t="n">
        <v>290000</v>
      </c>
      <c r="D6860" s="1" t="n">
        <v>2468.4</v>
      </c>
      <c r="E6860" s="1" t="n">
        <v>0.0347</v>
      </c>
      <c r="F6860" s="1" t="n">
        <v>0.0759</v>
      </c>
    </row>
    <row r="6861" customFormat="false" ht="15" hidden="false" customHeight="false" outlineLevel="0" collapsed="false">
      <c r="A6861" s="1" t="s">
        <v>6896</v>
      </c>
      <c r="B6861" s="1" t="s">
        <v>50</v>
      </c>
      <c r="C6861" s="1" t="n">
        <v>300000</v>
      </c>
      <c r="D6861" s="1" t="n">
        <v>271637.7</v>
      </c>
      <c r="E6861" s="1" t="n">
        <v>0.0151</v>
      </c>
      <c r="F6861" s="1" t="n">
        <v>0.095</v>
      </c>
    </row>
    <row r="6862" customFormat="false" ht="15" hidden="false" customHeight="false" outlineLevel="0" collapsed="false">
      <c r="A6862" s="1" t="s">
        <v>6897</v>
      </c>
      <c r="B6862" s="1" t="s">
        <v>24</v>
      </c>
      <c r="C6862" s="1" t="n">
        <v>333000</v>
      </c>
      <c r="D6862" s="1" t="n">
        <v>4737.9</v>
      </c>
      <c r="E6862" s="1" t="n">
        <v>0.0055</v>
      </c>
      <c r="F6862" s="1" t="n">
        <v>0.0654</v>
      </c>
    </row>
    <row r="6863" customFormat="false" ht="15" hidden="false" customHeight="false" outlineLevel="0" collapsed="false">
      <c r="A6863" s="1" t="s">
        <v>6898</v>
      </c>
      <c r="B6863" s="1" t="s">
        <v>74</v>
      </c>
      <c r="C6863" s="1" t="n">
        <v>338000</v>
      </c>
      <c r="D6863" s="1" t="n">
        <v>56940.2</v>
      </c>
      <c r="E6863" s="1" t="n">
        <v>0.0203</v>
      </c>
      <c r="F6863" s="1" t="n">
        <v>0.0759</v>
      </c>
    </row>
    <row r="6864" customFormat="false" ht="15" hidden="false" customHeight="false" outlineLevel="0" collapsed="false">
      <c r="A6864" s="1" t="s">
        <v>6899</v>
      </c>
      <c r="B6864" s="1" t="s">
        <v>26</v>
      </c>
      <c r="C6864" s="1" t="n">
        <v>313000</v>
      </c>
      <c r="D6864" s="1" t="n">
        <v>460.1</v>
      </c>
      <c r="E6864" s="1" t="n">
        <v>0.0214</v>
      </c>
      <c r="F6864" s="1" t="n">
        <v>0.0951</v>
      </c>
    </row>
    <row r="6865" customFormat="false" ht="15" hidden="false" customHeight="false" outlineLevel="0" collapsed="false">
      <c r="A6865" s="1" t="s">
        <v>6900</v>
      </c>
      <c r="B6865" s="1" t="s">
        <v>26</v>
      </c>
      <c r="C6865" s="1" t="n">
        <v>338000</v>
      </c>
      <c r="D6865" s="1" t="n">
        <v>11897.9</v>
      </c>
      <c r="E6865" s="1" t="n">
        <v>0.0513</v>
      </c>
      <c r="F6865" s="1" t="n">
        <v>0.0759</v>
      </c>
    </row>
    <row r="6866" customFormat="false" ht="15" hidden="false" customHeight="false" outlineLevel="0" collapsed="false">
      <c r="A6866" s="1" t="s">
        <v>6901</v>
      </c>
      <c r="B6866" s="1" t="s">
        <v>214</v>
      </c>
      <c r="C6866" s="1" t="n">
        <v>489000</v>
      </c>
      <c r="D6866" s="1" t="n">
        <v>13803.9</v>
      </c>
      <c r="E6866" s="1" t="n">
        <v>0.0049</v>
      </c>
      <c r="F6866" s="1" t="n">
        <v>0.0822</v>
      </c>
    </row>
    <row r="6867" customFormat="false" ht="15" hidden="false" customHeight="false" outlineLevel="0" collapsed="false">
      <c r="A6867" s="1" t="s">
        <v>6902</v>
      </c>
      <c r="B6867" s="1" t="s">
        <v>88</v>
      </c>
      <c r="C6867" s="1" t="n">
        <v>532000</v>
      </c>
      <c r="D6867" s="1" t="n">
        <v>999.9</v>
      </c>
      <c r="E6867" s="1" t="n">
        <v>0.0399</v>
      </c>
      <c r="F6867" s="1" t="n">
        <v>0.0938</v>
      </c>
    </row>
    <row r="6868" customFormat="false" ht="15" hidden="false" customHeight="false" outlineLevel="0" collapsed="false">
      <c r="A6868" s="1" t="s">
        <v>6903</v>
      </c>
      <c r="B6868" s="1" t="s">
        <v>88</v>
      </c>
      <c r="C6868" s="1" t="n">
        <v>619000</v>
      </c>
      <c r="D6868" s="1" t="n">
        <v>4426.9</v>
      </c>
      <c r="E6868" s="1" t="n">
        <v>0.0443</v>
      </c>
      <c r="F6868" s="1" t="n">
        <v>0.0938</v>
      </c>
    </row>
    <row r="6869" customFormat="false" ht="15" hidden="false" customHeight="false" outlineLevel="0" collapsed="false">
      <c r="A6869" s="1" t="s">
        <v>6904</v>
      </c>
      <c r="B6869" s="1" t="s">
        <v>26</v>
      </c>
      <c r="C6869" s="1" t="n">
        <v>464000</v>
      </c>
      <c r="D6869" s="1" t="n">
        <v>9671.3</v>
      </c>
      <c r="E6869" s="1" t="n">
        <v>0.0732</v>
      </c>
      <c r="F6869" s="1" t="n">
        <v>0.0518</v>
      </c>
    </row>
    <row r="6870" customFormat="false" ht="15" hidden="false" customHeight="false" outlineLevel="0" collapsed="false">
      <c r="A6870" s="1" t="s">
        <v>6905</v>
      </c>
      <c r="B6870" s="1" t="s">
        <v>88</v>
      </c>
      <c r="C6870" s="1" t="n">
        <v>293000</v>
      </c>
      <c r="D6870" s="1" t="n">
        <v>32.2</v>
      </c>
      <c r="E6870" s="1" t="n">
        <v>0.0037</v>
      </c>
      <c r="F6870" s="1" t="n">
        <v>0.2847</v>
      </c>
    </row>
    <row r="6871" customFormat="false" ht="15" hidden="false" customHeight="false" outlineLevel="0" collapsed="false">
      <c r="A6871" s="1" t="s">
        <v>6906</v>
      </c>
      <c r="B6871" s="1" t="s">
        <v>88</v>
      </c>
      <c r="C6871" s="1" t="n">
        <v>370000</v>
      </c>
      <c r="D6871" s="1" t="n">
        <v>16417.1</v>
      </c>
      <c r="E6871" s="1" t="n">
        <v>0.048</v>
      </c>
      <c r="F6871" s="1" t="n">
        <v>0.0759</v>
      </c>
    </row>
    <row r="6872" customFormat="false" ht="15" hidden="false" customHeight="false" outlineLevel="0" collapsed="false">
      <c r="A6872" s="1" t="s">
        <v>6907</v>
      </c>
      <c r="B6872" s="1" t="s">
        <v>26</v>
      </c>
      <c r="C6872" s="1" t="n">
        <v>305000</v>
      </c>
      <c r="D6872" s="1" t="n">
        <v>3655.3</v>
      </c>
      <c r="E6872" s="1" t="n">
        <v>0.0161</v>
      </c>
      <c r="F6872" s="1" t="n">
        <v>0.0488</v>
      </c>
    </row>
    <row r="6873" customFormat="false" ht="15" hidden="false" customHeight="false" outlineLevel="0" collapsed="false">
      <c r="A6873" s="1" t="s">
        <v>6908</v>
      </c>
      <c r="B6873" s="1" t="s">
        <v>490</v>
      </c>
      <c r="C6873" s="1" t="n">
        <v>350000</v>
      </c>
      <c r="D6873" s="1" t="n">
        <v>2325.2</v>
      </c>
      <c r="E6873" s="1" t="n">
        <v>0.0165</v>
      </c>
      <c r="F6873" s="1" t="n">
        <v>0.1067</v>
      </c>
    </row>
    <row r="6874" customFormat="false" ht="15" hidden="false" customHeight="false" outlineLevel="0" collapsed="false">
      <c r="A6874" s="1" t="s">
        <v>6909</v>
      </c>
      <c r="B6874" s="1" t="s">
        <v>88</v>
      </c>
      <c r="C6874" s="1" t="n">
        <v>301000</v>
      </c>
      <c r="D6874" s="1" t="n">
        <v>18849.8</v>
      </c>
      <c r="E6874" s="1" t="n">
        <v>0.032</v>
      </c>
      <c r="F6874" s="1" t="n">
        <v>0.0951</v>
      </c>
    </row>
    <row r="6875" customFormat="false" ht="15" hidden="false" customHeight="false" outlineLevel="0" collapsed="false">
      <c r="A6875" s="1" t="s">
        <v>6910</v>
      </c>
      <c r="B6875" s="1" t="s">
        <v>41</v>
      </c>
      <c r="C6875" s="1" t="n">
        <v>292000</v>
      </c>
      <c r="D6875" s="1" t="n">
        <v>568.2</v>
      </c>
      <c r="E6875" s="1" t="n">
        <v>0.0241</v>
      </c>
      <c r="F6875" s="1" t="n">
        <v>0.117</v>
      </c>
    </row>
    <row r="6876" customFormat="false" ht="15" hidden="false" customHeight="false" outlineLevel="0" collapsed="false">
      <c r="A6876" s="1" t="s">
        <v>6911</v>
      </c>
      <c r="B6876" s="1" t="s">
        <v>81</v>
      </c>
      <c r="C6876" s="1" t="n">
        <v>296000</v>
      </c>
      <c r="D6876" s="1" t="n">
        <v>6887</v>
      </c>
      <c r="E6876" s="1" t="n">
        <v>0.014</v>
      </c>
      <c r="F6876" s="1" t="n">
        <v>0.1965</v>
      </c>
    </row>
    <row r="6877" customFormat="false" ht="15" hidden="false" customHeight="false" outlineLevel="0" collapsed="false">
      <c r="A6877" s="1" t="s">
        <v>6912</v>
      </c>
      <c r="B6877" s="1" t="s">
        <v>26</v>
      </c>
      <c r="C6877" s="1" t="n">
        <v>283000</v>
      </c>
      <c r="D6877" s="1" t="n">
        <v>3501.3</v>
      </c>
      <c r="E6877" s="1" t="n">
        <v>0.0099</v>
      </c>
      <c r="F6877" s="1" t="n">
        <v>0.0659</v>
      </c>
    </row>
    <row r="6878" customFormat="false" ht="15" hidden="false" customHeight="false" outlineLevel="0" collapsed="false">
      <c r="A6878" s="1" t="s">
        <v>6913</v>
      </c>
      <c r="B6878" s="1" t="s">
        <v>88</v>
      </c>
      <c r="C6878" s="1" t="n">
        <v>297000</v>
      </c>
      <c r="D6878" s="1" t="n">
        <v>2042</v>
      </c>
      <c r="E6878" s="1" t="n">
        <v>0.0349</v>
      </c>
      <c r="F6878" s="1" t="n">
        <v>0.0938</v>
      </c>
    </row>
    <row r="6879" customFormat="false" ht="15" hidden="false" customHeight="false" outlineLevel="0" collapsed="false">
      <c r="A6879" s="1" t="s">
        <v>6914</v>
      </c>
      <c r="B6879" s="1" t="s">
        <v>214</v>
      </c>
      <c r="C6879" s="1" t="n">
        <v>332000</v>
      </c>
      <c r="D6879" s="1" t="n">
        <v>9057.4</v>
      </c>
      <c r="E6879" s="1" t="n">
        <v>0.0093</v>
      </c>
      <c r="F6879" s="1" t="n">
        <v>0.0654</v>
      </c>
    </row>
    <row r="6880" customFormat="false" ht="15" hidden="false" customHeight="false" outlineLevel="0" collapsed="false">
      <c r="A6880" s="1" t="s">
        <v>6915</v>
      </c>
      <c r="B6880" s="1" t="s">
        <v>35</v>
      </c>
      <c r="C6880" s="1" t="n">
        <v>313000</v>
      </c>
      <c r="D6880" s="1" t="n">
        <v>24757.6</v>
      </c>
      <c r="E6880" s="1" t="n">
        <v>0.0347</v>
      </c>
      <c r="F6880" s="1" t="n">
        <v>0.0951</v>
      </c>
    </row>
    <row r="6881" customFormat="false" ht="15" hidden="false" customHeight="false" outlineLevel="0" collapsed="false">
      <c r="A6881" s="1" t="s">
        <v>6916</v>
      </c>
      <c r="B6881" s="1" t="s">
        <v>214</v>
      </c>
      <c r="C6881" s="1" t="n">
        <v>292000</v>
      </c>
      <c r="D6881" s="1" t="n">
        <v>20285.1</v>
      </c>
      <c r="E6881" s="1" t="n">
        <v>0.0188</v>
      </c>
      <c r="F6881" s="1" t="n">
        <v>0.0616</v>
      </c>
    </row>
    <row r="6882" customFormat="false" ht="15" hidden="false" customHeight="false" outlineLevel="0" collapsed="false">
      <c r="A6882" s="1" t="s">
        <v>6917</v>
      </c>
      <c r="B6882" s="1" t="s">
        <v>490</v>
      </c>
      <c r="C6882" s="1" t="n">
        <v>306000</v>
      </c>
      <c r="D6882" s="1" t="n">
        <v>10494.4</v>
      </c>
      <c r="E6882" s="1" t="n">
        <v>0.0071</v>
      </c>
      <c r="F6882" s="1" t="n">
        <v>0.1015</v>
      </c>
    </row>
    <row r="6883" customFormat="false" ht="15" hidden="false" customHeight="false" outlineLevel="0" collapsed="false">
      <c r="A6883" s="1" t="s">
        <v>6918</v>
      </c>
      <c r="B6883" s="1" t="s">
        <v>26</v>
      </c>
      <c r="C6883" s="1" t="n">
        <v>432000</v>
      </c>
      <c r="D6883" s="1" t="n">
        <v>157046.2</v>
      </c>
      <c r="E6883" s="1" t="n">
        <v>0.0322</v>
      </c>
      <c r="F6883" s="1" t="n">
        <v>0.0432</v>
      </c>
    </row>
    <row r="6884" customFormat="false" ht="15" hidden="false" customHeight="false" outlineLevel="0" collapsed="false">
      <c r="A6884" s="1" t="s">
        <v>6919</v>
      </c>
      <c r="B6884" s="1" t="s">
        <v>26</v>
      </c>
      <c r="C6884" s="1" t="n">
        <v>383000</v>
      </c>
      <c r="D6884" s="1" t="n">
        <v>45054.1</v>
      </c>
      <c r="E6884" s="1" t="n">
        <v>0.0251</v>
      </c>
      <c r="F6884" s="1" t="n">
        <v>0.0409</v>
      </c>
    </row>
    <row r="6885" customFormat="false" ht="15" hidden="false" customHeight="false" outlineLevel="0" collapsed="false">
      <c r="A6885" s="1" t="s">
        <v>6920</v>
      </c>
      <c r="B6885" s="1" t="s">
        <v>81</v>
      </c>
      <c r="C6885" s="1" t="n">
        <v>326000</v>
      </c>
      <c r="D6885" s="1" t="n">
        <v>263.2</v>
      </c>
      <c r="E6885" s="1" t="n">
        <v>0.0332</v>
      </c>
      <c r="F6885" s="1" t="n">
        <v>0.0759</v>
      </c>
    </row>
    <row r="6886" customFormat="false" ht="15" hidden="false" customHeight="false" outlineLevel="0" collapsed="false">
      <c r="A6886" s="1" t="s">
        <v>6921</v>
      </c>
      <c r="B6886" s="1" t="s">
        <v>92</v>
      </c>
      <c r="C6886" s="1" t="n">
        <v>289000</v>
      </c>
      <c r="D6886" s="1" t="n">
        <v>173.4</v>
      </c>
      <c r="E6886" s="1" t="n">
        <v>0.0164</v>
      </c>
      <c r="F6886" s="1" t="n">
        <v>0.1067</v>
      </c>
    </row>
    <row r="6887" customFormat="false" ht="15" hidden="false" customHeight="false" outlineLevel="0" collapsed="false">
      <c r="A6887" s="1" t="s">
        <v>6922</v>
      </c>
      <c r="B6887" s="1" t="s">
        <v>26</v>
      </c>
      <c r="C6887" s="1" t="n">
        <v>347000</v>
      </c>
      <c r="D6887" s="1" t="n">
        <v>24651.7</v>
      </c>
      <c r="E6887" s="1" t="n">
        <v>0.0489</v>
      </c>
      <c r="F6887" s="1" t="n">
        <v>0.0672</v>
      </c>
    </row>
    <row r="6888" customFormat="false" ht="15" hidden="false" customHeight="false" outlineLevel="0" collapsed="false">
      <c r="A6888" s="1" t="s">
        <v>6923</v>
      </c>
      <c r="B6888" s="1" t="s">
        <v>26</v>
      </c>
      <c r="C6888" s="1" t="n">
        <v>303000</v>
      </c>
      <c r="D6888" s="1" t="n">
        <v>88077.3</v>
      </c>
      <c r="E6888" s="1" t="n">
        <v>0.0111</v>
      </c>
      <c r="F6888" s="1" t="n">
        <v>0.0654</v>
      </c>
    </row>
    <row r="6889" customFormat="false" ht="15" hidden="false" customHeight="false" outlineLevel="0" collapsed="false">
      <c r="A6889" s="1" t="s">
        <v>6924</v>
      </c>
      <c r="B6889" s="1" t="s">
        <v>24</v>
      </c>
      <c r="C6889" s="1" t="n">
        <v>417000</v>
      </c>
      <c r="D6889" s="1" t="n">
        <v>231.5</v>
      </c>
      <c r="E6889" s="1" t="n">
        <v>0.0473</v>
      </c>
      <c r="F6889" s="1" t="n">
        <v>0.051</v>
      </c>
    </row>
    <row r="6890" customFormat="false" ht="15" hidden="false" customHeight="false" outlineLevel="0" collapsed="false">
      <c r="A6890" s="1" t="s">
        <v>6925</v>
      </c>
      <c r="B6890" s="1" t="s">
        <v>26</v>
      </c>
      <c r="C6890" s="1" t="n">
        <v>398000</v>
      </c>
      <c r="D6890" s="1" t="n">
        <v>241419.2</v>
      </c>
      <c r="E6890" s="1" t="n">
        <v>0.0337</v>
      </c>
      <c r="F6890" s="1" t="n">
        <v>0.0759</v>
      </c>
    </row>
    <row r="6891" customFormat="false" ht="15" hidden="false" customHeight="false" outlineLevel="0" collapsed="false">
      <c r="A6891" s="1" t="s">
        <v>6926</v>
      </c>
      <c r="B6891" s="1" t="s">
        <v>53</v>
      </c>
      <c r="C6891" s="1" t="n">
        <v>340000</v>
      </c>
      <c r="D6891" s="1" t="n">
        <v>11114.7</v>
      </c>
      <c r="E6891" s="1" t="n">
        <v>0.0132</v>
      </c>
      <c r="F6891" s="1" t="n">
        <v>0.0661</v>
      </c>
    </row>
    <row r="6892" customFormat="false" ht="15" hidden="false" customHeight="false" outlineLevel="0" collapsed="false">
      <c r="A6892" s="1" t="s">
        <v>6927</v>
      </c>
      <c r="B6892" s="1" t="s">
        <v>92</v>
      </c>
      <c r="C6892" s="1" t="n">
        <v>294000</v>
      </c>
      <c r="D6892" s="1" t="n">
        <v>532</v>
      </c>
      <c r="E6892" s="1" t="n">
        <v>0.0752</v>
      </c>
      <c r="F6892" s="1" t="n">
        <v>0.0998</v>
      </c>
    </row>
    <row r="6893" customFormat="false" ht="15" hidden="false" customHeight="false" outlineLevel="0" collapsed="false">
      <c r="A6893" s="1" t="s">
        <v>6928</v>
      </c>
      <c r="B6893" s="1" t="s">
        <v>26</v>
      </c>
      <c r="C6893" s="1" t="n">
        <v>383000</v>
      </c>
      <c r="D6893" s="1" t="n">
        <v>221110.4</v>
      </c>
      <c r="E6893" s="1" t="n">
        <v>0.0174</v>
      </c>
      <c r="F6893" s="1" t="n">
        <v>0.1469</v>
      </c>
    </row>
    <row r="6894" customFormat="false" ht="15" hidden="false" customHeight="false" outlineLevel="0" collapsed="false">
      <c r="A6894" s="1" t="s">
        <v>6929</v>
      </c>
      <c r="B6894" s="1" t="s">
        <v>26</v>
      </c>
      <c r="C6894" s="1" t="n">
        <v>309000</v>
      </c>
      <c r="D6894" s="1" t="n">
        <v>1692.9</v>
      </c>
      <c r="E6894" s="1" t="n">
        <v>0.054</v>
      </c>
      <c r="F6894" s="1" t="n">
        <v>0.1184</v>
      </c>
    </row>
    <row r="6895" customFormat="false" ht="15" hidden="false" customHeight="false" outlineLevel="0" collapsed="false">
      <c r="A6895" s="1" t="s">
        <v>6930</v>
      </c>
      <c r="B6895" s="1" t="s">
        <v>26</v>
      </c>
      <c r="C6895" s="1" t="n">
        <v>294000</v>
      </c>
      <c r="D6895" s="1" t="n">
        <v>7125.2</v>
      </c>
      <c r="E6895" s="1" t="n">
        <v>0.055</v>
      </c>
      <c r="F6895" s="1" t="n">
        <v>0.0951</v>
      </c>
    </row>
    <row r="6896" customFormat="false" ht="15" hidden="false" customHeight="false" outlineLevel="0" collapsed="false">
      <c r="A6896" s="1" t="s">
        <v>6931</v>
      </c>
      <c r="B6896" s="1" t="s">
        <v>81</v>
      </c>
      <c r="C6896" s="1" t="n">
        <v>332000</v>
      </c>
      <c r="D6896" s="1" t="n">
        <v>380363.7</v>
      </c>
      <c r="E6896" s="1" t="n">
        <v>0.0035</v>
      </c>
      <c r="F6896" s="1" t="n">
        <v>0.0822</v>
      </c>
    </row>
    <row r="6897" customFormat="false" ht="15" hidden="false" customHeight="false" outlineLevel="0" collapsed="false">
      <c r="A6897" s="1" t="s">
        <v>6932</v>
      </c>
      <c r="B6897" s="1" t="s">
        <v>24</v>
      </c>
      <c r="C6897" s="1" t="n">
        <v>615000</v>
      </c>
      <c r="D6897" s="1" t="n">
        <v>47902.1</v>
      </c>
      <c r="E6897" s="1" t="n">
        <v>0.0677</v>
      </c>
      <c r="F6897" s="1" t="n">
        <v>0.0759</v>
      </c>
    </row>
    <row r="6898" customFormat="false" ht="15" hidden="false" customHeight="false" outlineLevel="0" collapsed="false">
      <c r="A6898" s="1" t="s">
        <v>6933</v>
      </c>
      <c r="B6898" s="1" t="s">
        <v>41</v>
      </c>
      <c r="C6898" s="1" t="n">
        <v>400000</v>
      </c>
      <c r="D6898" s="1" t="n">
        <v>1651.9</v>
      </c>
      <c r="E6898" s="1" t="n">
        <v>0.0469</v>
      </c>
      <c r="F6898" s="1" t="n">
        <v>0.6533</v>
      </c>
    </row>
    <row r="6899" customFormat="false" ht="15" hidden="false" customHeight="false" outlineLevel="0" collapsed="false">
      <c r="A6899" s="1" t="s">
        <v>6934</v>
      </c>
      <c r="B6899" s="1" t="s">
        <v>92</v>
      </c>
      <c r="C6899" s="1" t="n">
        <v>295000</v>
      </c>
      <c r="D6899" s="1" t="n">
        <v>41329.1</v>
      </c>
      <c r="E6899" s="1" t="n">
        <v>0.0252</v>
      </c>
      <c r="F6899" s="1" t="n">
        <v>0.0951</v>
      </c>
    </row>
    <row r="6900" customFormat="false" ht="15" hidden="false" customHeight="false" outlineLevel="0" collapsed="false">
      <c r="A6900" s="1" t="s">
        <v>6935</v>
      </c>
      <c r="B6900" s="1" t="s">
        <v>88</v>
      </c>
      <c r="C6900" s="1" t="n">
        <v>300000</v>
      </c>
      <c r="D6900" s="1" t="n">
        <v>6350.5</v>
      </c>
      <c r="E6900" s="1" t="n">
        <v>0.0211</v>
      </c>
      <c r="F6900" s="1" t="n">
        <v>0.1053</v>
      </c>
    </row>
    <row r="6901" customFormat="false" ht="15" hidden="false" customHeight="false" outlineLevel="0" collapsed="false">
      <c r="A6901" s="1" t="s">
        <v>6936</v>
      </c>
      <c r="B6901" s="1" t="s">
        <v>26</v>
      </c>
      <c r="C6901" s="1" t="n">
        <v>785000</v>
      </c>
      <c r="D6901" s="1" t="n">
        <v>40961.9</v>
      </c>
      <c r="E6901" s="1" t="n">
        <v>0.0233</v>
      </c>
      <c r="F6901" s="1" t="n">
        <v>0.0409</v>
      </c>
    </row>
    <row r="6902" customFormat="false" ht="15" hidden="false" customHeight="false" outlineLevel="0" collapsed="false">
      <c r="A6902" s="1" t="s">
        <v>6937</v>
      </c>
      <c r="B6902" s="1" t="s">
        <v>88</v>
      </c>
      <c r="C6902" s="1" t="n">
        <v>705000</v>
      </c>
      <c r="D6902" s="1" t="n">
        <v>213532.7</v>
      </c>
      <c r="E6902" s="1" t="n">
        <v>0.0553</v>
      </c>
      <c r="F6902" s="1" t="n">
        <v>0.0759</v>
      </c>
    </row>
    <row r="6903" customFormat="false" ht="15" hidden="false" customHeight="false" outlineLevel="0" collapsed="false">
      <c r="A6903" s="1" t="s">
        <v>6938</v>
      </c>
      <c r="B6903" s="1" t="s">
        <v>88</v>
      </c>
      <c r="C6903" s="1" t="n">
        <v>370000</v>
      </c>
      <c r="D6903" s="1" t="n">
        <v>11714.5</v>
      </c>
      <c r="E6903" s="1" t="n">
        <v>0.0289</v>
      </c>
      <c r="F6903" s="1" t="n">
        <v>0.0938</v>
      </c>
    </row>
    <row r="6904" customFormat="false" ht="15" hidden="false" customHeight="false" outlineLevel="0" collapsed="false">
      <c r="A6904" s="1" t="s">
        <v>6939</v>
      </c>
      <c r="B6904" s="1" t="s">
        <v>26</v>
      </c>
      <c r="C6904" s="1" t="n">
        <v>389000</v>
      </c>
      <c r="D6904" s="1" t="n">
        <v>42221.3</v>
      </c>
      <c r="E6904" s="1" t="n">
        <v>0.0278</v>
      </c>
      <c r="F6904" s="1" t="n">
        <v>0.0759</v>
      </c>
    </row>
    <row r="6905" customFormat="false" ht="15" hidden="false" customHeight="false" outlineLevel="0" collapsed="false">
      <c r="A6905" s="1" t="s">
        <v>6940</v>
      </c>
      <c r="B6905" s="1" t="s">
        <v>62</v>
      </c>
      <c r="C6905" s="1" t="n">
        <v>326000</v>
      </c>
      <c r="D6905" s="1" t="n">
        <v>18731.8</v>
      </c>
      <c r="E6905" s="1" t="n">
        <v>0.0296</v>
      </c>
      <c r="F6905" s="1" t="n">
        <v>0.0951</v>
      </c>
    </row>
    <row r="6906" customFormat="false" ht="15" hidden="false" customHeight="false" outlineLevel="0" collapsed="false">
      <c r="A6906" s="1" t="s">
        <v>6941</v>
      </c>
      <c r="B6906" s="1" t="s">
        <v>81</v>
      </c>
      <c r="C6906" s="1" t="n">
        <v>376000</v>
      </c>
      <c r="D6906" s="1" t="n">
        <v>148118.7</v>
      </c>
      <c r="E6906" s="1" t="n">
        <v>0.0193</v>
      </c>
      <c r="F6906" s="1" t="n">
        <v>0.0585</v>
      </c>
    </row>
    <row r="6907" customFormat="false" ht="15" hidden="false" customHeight="false" outlineLevel="0" collapsed="false">
      <c r="A6907" s="1" t="s">
        <v>6942</v>
      </c>
      <c r="B6907" s="1" t="s">
        <v>26</v>
      </c>
      <c r="C6907" s="1" t="n">
        <v>584000</v>
      </c>
      <c r="D6907" s="1" t="n">
        <v>717826.3</v>
      </c>
      <c r="E6907" s="1" t="n">
        <v>0.0437</v>
      </c>
      <c r="F6907" s="1" t="n">
        <v>0.0409</v>
      </c>
    </row>
    <row r="6908" customFormat="false" ht="15" hidden="false" customHeight="false" outlineLevel="0" collapsed="false">
      <c r="A6908" s="1" t="s">
        <v>6943</v>
      </c>
      <c r="B6908" s="1" t="s">
        <v>41</v>
      </c>
      <c r="C6908" s="1" t="n">
        <v>859000</v>
      </c>
      <c r="D6908" s="1" t="n">
        <v>285.4</v>
      </c>
      <c r="E6908" s="1" t="n">
        <v>0.0123</v>
      </c>
      <c r="F6908" s="1" t="n">
        <v>0.4982</v>
      </c>
    </row>
    <row r="6909" customFormat="false" ht="15" hidden="false" customHeight="false" outlineLevel="0" collapsed="false">
      <c r="A6909" s="1" t="s">
        <v>6944</v>
      </c>
      <c r="B6909" s="1" t="s">
        <v>26</v>
      </c>
      <c r="C6909" s="1" t="n">
        <v>303000</v>
      </c>
      <c r="D6909" s="1" t="n">
        <v>10936.1</v>
      </c>
      <c r="E6909" s="1" t="n">
        <v>0.0242</v>
      </c>
      <c r="F6909" s="1" t="n">
        <v>0.0672</v>
      </c>
    </row>
    <row r="6910" customFormat="false" ht="15" hidden="false" customHeight="false" outlineLevel="0" collapsed="false">
      <c r="A6910" s="1" t="s">
        <v>6945</v>
      </c>
      <c r="B6910" s="1" t="s">
        <v>71</v>
      </c>
      <c r="C6910" s="1" t="n">
        <v>310000</v>
      </c>
      <c r="D6910" s="1" t="n">
        <v>28</v>
      </c>
      <c r="E6910" s="1" t="n">
        <v>0.0237</v>
      </c>
      <c r="F6910" s="1" t="n">
        <v>0.4026</v>
      </c>
    </row>
    <row r="6911" customFormat="false" ht="15" hidden="false" customHeight="false" outlineLevel="0" collapsed="false">
      <c r="A6911" s="1" t="s">
        <v>6946</v>
      </c>
      <c r="B6911" s="1" t="s">
        <v>195</v>
      </c>
      <c r="C6911" s="1" t="n">
        <v>355000</v>
      </c>
      <c r="D6911" s="1" t="n">
        <v>25834.1</v>
      </c>
      <c r="E6911" s="1" t="n">
        <v>0.017</v>
      </c>
      <c r="F6911" s="1" t="n">
        <v>0.0585</v>
      </c>
    </row>
    <row r="6912" customFormat="false" ht="15" hidden="false" customHeight="false" outlineLevel="0" collapsed="false">
      <c r="A6912" s="1" t="s">
        <v>6947</v>
      </c>
      <c r="B6912" s="1" t="s">
        <v>74</v>
      </c>
      <c r="C6912" s="1" t="n">
        <v>285000</v>
      </c>
      <c r="D6912" s="1" t="n">
        <v>5225</v>
      </c>
      <c r="E6912" s="1" t="n">
        <v>0.0212</v>
      </c>
      <c r="F6912" s="1" t="n">
        <v>0.0951</v>
      </c>
    </row>
    <row r="6913" customFormat="false" ht="15" hidden="false" customHeight="false" outlineLevel="0" collapsed="false">
      <c r="A6913" s="1" t="s">
        <v>6948</v>
      </c>
      <c r="B6913" s="1" t="s">
        <v>32</v>
      </c>
      <c r="C6913" s="1" t="n">
        <v>514000</v>
      </c>
      <c r="D6913" s="1" t="n">
        <v>7398.8</v>
      </c>
      <c r="E6913" s="1" t="n">
        <v>0.023</v>
      </c>
      <c r="F6913" s="1" t="n">
        <v>0.0854</v>
      </c>
    </row>
    <row r="6914" customFormat="false" ht="15" hidden="false" customHeight="false" outlineLevel="0" collapsed="false">
      <c r="A6914" s="1" t="s">
        <v>6949</v>
      </c>
      <c r="B6914" s="1" t="s">
        <v>81</v>
      </c>
      <c r="C6914" s="1" t="n">
        <v>325000</v>
      </c>
      <c r="D6914" s="1" t="n">
        <v>40816.7</v>
      </c>
      <c r="E6914" s="1" t="n">
        <v>0.0193</v>
      </c>
      <c r="F6914" s="1" t="n">
        <v>0.0518</v>
      </c>
    </row>
    <row r="6915" customFormat="false" ht="15" hidden="false" customHeight="false" outlineLevel="0" collapsed="false">
      <c r="A6915" s="1" t="s">
        <v>6950</v>
      </c>
      <c r="B6915" s="1" t="s">
        <v>21</v>
      </c>
      <c r="C6915" s="1" t="n">
        <v>331000</v>
      </c>
      <c r="D6915" s="1" t="n">
        <v>14711.7</v>
      </c>
      <c r="E6915" s="1" t="n">
        <v>0.0107</v>
      </c>
      <c r="F6915" s="1" t="n">
        <v>0.0911</v>
      </c>
    </row>
    <row r="6916" customFormat="false" ht="15" hidden="false" customHeight="false" outlineLevel="0" collapsed="false">
      <c r="A6916" s="1" t="s">
        <v>6951</v>
      </c>
      <c r="B6916" s="1" t="s">
        <v>26</v>
      </c>
      <c r="C6916" s="1" t="n">
        <v>302000</v>
      </c>
      <c r="D6916" s="1" t="n">
        <v>2920.2</v>
      </c>
      <c r="E6916" s="1" t="n">
        <v>0.0445</v>
      </c>
      <c r="F6916" s="1" t="n">
        <v>0.0759</v>
      </c>
    </row>
    <row r="6917" customFormat="false" ht="15" hidden="false" customHeight="false" outlineLevel="0" collapsed="false">
      <c r="A6917" s="1" t="s">
        <v>6952</v>
      </c>
      <c r="B6917" s="1" t="s">
        <v>53</v>
      </c>
      <c r="C6917" s="1" t="n">
        <v>329000</v>
      </c>
      <c r="D6917" s="1" t="n">
        <v>2761.7</v>
      </c>
      <c r="E6917" s="1" t="n">
        <v>0.0312</v>
      </c>
      <c r="F6917" s="1" t="n">
        <v>0.0951</v>
      </c>
    </row>
    <row r="6918" customFormat="false" ht="15" hidden="false" customHeight="false" outlineLevel="0" collapsed="false">
      <c r="A6918" s="1" t="s">
        <v>6953</v>
      </c>
      <c r="B6918" s="1" t="s">
        <v>195</v>
      </c>
      <c r="C6918" s="1" t="n">
        <v>302000</v>
      </c>
      <c r="D6918" s="1" t="n">
        <v>245</v>
      </c>
      <c r="E6918" s="1" t="n">
        <v>0.0246</v>
      </c>
      <c r="F6918" s="1" t="n">
        <v>0.0998</v>
      </c>
    </row>
    <row r="6919" customFormat="false" ht="15" hidden="false" customHeight="false" outlineLevel="0" collapsed="false">
      <c r="A6919" s="1" t="s">
        <v>6954</v>
      </c>
      <c r="B6919" s="1" t="s">
        <v>92</v>
      </c>
      <c r="C6919" s="1" t="n">
        <v>300000</v>
      </c>
      <c r="D6919" s="1" t="n">
        <v>22124.3</v>
      </c>
      <c r="E6919" s="1" t="n">
        <v>0.0211</v>
      </c>
      <c r="F6919" s="1" t="n">
        <v>0.1067</v>
      </c>
    </row>
    <row r="6920" customFormat="false" ht="15" hidden="false" customHeight="false" outlineLevel="0" collapsed="false">
      <c r="A6920" s="1" t="s">
        <v>6955</v>
      </c>
      <c r="B6920" s="1" t="s">
        <v>26</v>
      </c>
      <c r="C6920" s="1" t="n">
        <v>1050000</v>
      </c>
      <c r="D6920" s="1" t="n">
        <v>516484.3</v>
      </c>
      <c r="E6920" s="1" t="n">
        <v>0.0343</v>
      </c>
      <c r="F6920" s="1" t="n">
        <v>0.0409</v>
      </c>
    </row>
    <row r="6921" customFormat="false" ht="15" hidden="false" customHeight="false" outlineLevel="0" collapsed="false">
      <c r="A6921" s="1" t="s">
        <v>6956</v>
      </c>
      <c r="B6921" s="1" t="s">
        <v>26</v>
      </c>
      <c r="C6921" s="1" t="n">
        <v>287000</v>
      </c>
      <c r="D6921" s="1" t="n">
        <v>677.1</v>
      </c>
      <c r="E6921" s="1" t="n">
        <v>0.0301</v>
      </c>
      <c r="F6921" s="1" t="n">
        <v>0.1325</v>
      </c>
    </row>
    <row r="6922" customFormat="false" ht="15" hidden="false" customHeight="false" outlineLevel="0" collapsed="false">
      <c r="A6922" s="1" t="s">
        <v>6957</v>
      </c>
      <c r="B6922" s="1" t="s">
        <v>490</v>
      </c>
      <c r="C6922" s="1" t="n">
        <v>282000</v>
      </c>
      <c r="D6922" s="1" t="n">
        <v>389.4</v>
      </c>
      <c r="E6922" s="1" t="n">
        <v>0.0171</v>
      </c>
      <c r="F6922" s="1" t="n">
        <v>0.0585</v>
      </c>
    </row>
    <row r="6923" customFormat="false" ht="15" hidden="false" customHeight="false" outlineLevel="0" collapsed="false">
      <c r="A6923" s="1" t="s">
        <v>6958</v>
      </c>
      <c r="B6923" s="1" t="s">
        <v>24</v>
      </c>
      <c r="C6923" s="1" t="n">
        <v>335000</v>
      </c>
      <c r="D6923" s="1" t="n">
        <v>10127.4</v>
      </c>
      <c r="E6923" s="1" t="n">
        <v>0.0767</v>
      </c>
      <c r="F6923" s="1" t="n">
        <v>0.0951</v>
      </c>
    </row>
    <row r="6924" customFormat="false" ht="15" hidden="false" customHeight="false" outlineLevel="0" collapsed="false">
      <c r="A6924" s="1" t="s">
        <v>6959</v>
      </c>
      <c r="B6924" s="1" t="s">
        <v>81</v>
      </c>
      <c r="C6924" s="1" t="n">
        <v>712000</v>
      </c>
      <c r="D6924" s="1" t="n">
        <v>146017.2</v>
      </c>
      <c r="E6924" s="1" t="n">
        <v>0.0361</v>
      </c>
      <c r="F6924" s="1" t="n">
        <v>0.0409</v>
      </c>
    </row>
    <row r="6925" customFormat="false" ht="15" hidden="false" customHeight="false" outlineLevel="0" collapsed="false">
      <c r="A6925" s="1" t="s">
        <v>6960</v>
      </c>
      <c r="B6925" s="1" t="s">
        <v>24</v>
      </c>
      <c r="C6925" s="1" t="n">
        <v>329000</v>
      </c>
      <c r="D6925" s="1" t="n">
        <v>135164</v>
      </c>
      <c r="E6925" s="1" t="n">
        <v>0.0239</v>
      </c>
      <c r="F6925" s="1" t="n">
        <v>0.0951</v>
      </c>
    </row>
    <row r="6926" customFormat="false" ht="15" hidden="false" customHeight="false" outlineLevel="0" collapsed="false">
      <c r="A6926" s="1" t="s">
        <v>6961</v>
      </c>
      <c r="B6926" s="1" t="s">
        <v>26</v>
      </c>
      <c r="C6926" s="1" t="n">
        <v>319000</v>
      </c>
      <c r="D6926" s="1" t="n">
        <v>129736.2</v>
      </c>
      <c r="E6926" s="1" t="n">
        <v>0.0175</v>
      </c>
      <c r="F6926" s="1" t="n">
        <v>0.0462</v>
      </c>
    </row>
    <row r="6927" customFormat="false" ht="15" hidden="false" customHeight="false" outlineLevel="0" collapsed="false">
      <c r="A6927" s="1" t="s">
        <v>6962</v>
      </c>
      <c r="B6927" s="1" t="s">
        <v>26</v>
      </c>
      <c r="C6927" s="1" t="n">
        <v>315000</v>
      </c>
      <c r="D6927" s="1" t="n">
        <v>7275.6</v>
      </c>
      <c r="E6927" s="1" t="n">
        <v>0.0301</v>
      </c>
      <c r="F6927" s="1" t="n">
        <v>0.0759</v>
      </c>
    </row>
    <row r="6928" customFormat="false" ht="15" hidden="false" customHeight="false" outlineLevel="0" collapsed="false">
      <c r="A6928" s="1" t="s">
        <v>6963</v>
      </c>
      <c r="B6928" s="1" t="s">
        <v>26</v>
      </c>
      <c r="C6928" s="1" t="n">
        <v>280000</v>
      </c>
      <c r="D6928" s="1" t="n">
        <v>14048.7</v>
      </c>
      <c r="E6928" s="1" t="n">
        <v>0.0204</v>
      </c>
      <c r="F6928" s="1" t="n">
        <v>0.0585</v>
      </c>
    </row>
    <row r="6929" customFormat="false" ht="15" hidden="false" customHeight="false" outlineLevel="0" collapsed="false">
      <c r="A6929" s="1" t="s">
        <v>6964</v>
      </c>
      <c r="B6929" s="1" t="s">
        <v>88</v>
      </c>
      <c r="C6929" s="1" t="n">
        <v>357000</v>
      </c>
      <c r="D6929" s="1" t="n">
        <v>5755.1</v>
      </c>
      <c r="E6929" s="1" t="n">
        <v>0.0572</v>
      </c>
      <c r="F6929" s="1" t="n">
        <v>0.0938</v>
      </c>
    </row>
    <row r="6930" customFormat="false" ht="15" hidden="false" customHeight="false" outlineLevel="0" collapsed="false">
      <c r="A6930" s="1" t="s">
        <v>6965</v>
      </c>
      <c r="B6930" s="1" t="s">
        <v>92</v>
      </c>
      <c r="C6930" s="1" t="n">
        <v>584000</v>
      </c>
      <c r="D6930" s="1" t="n">
        <v>320778.8</v>
      </c>
      <c r="E6930" s="1" t="n">
        <v>0.0222</v>
      </c>
      <c r="F6930" s="1" t="n">
        <v>0.0759</v>
      </c>
    </row>
    <row r="6931" customFormat="false" ht="15" hidden="false" customHeight="false" outlineLevel="0" collapsed="false">
      <c r="A6931" s="1" t="s">
        <v>6966</v>
      </c>
      <c r="B6931" s="1" t="s">
        <v>74</v>
      </c>
      <c r="C6931" s="1" t="n">
        <v>307000</v>
      </c>
      <c r="D6931" s="1" t="n">
        <v>9968.3</v>
      </c>
      <c r="E6931" s="1" t="n">
        <v>0.0681</v>
      </c>
      <c r="F6931" s="1" t="n">
        <v>0.0759</v>
      </c>
    </row>
    <row r="6932" customFormat="false" ht="15" hidden="false" customHeight="false" outlineLevel="0" collapsed="false">
      <c r="A6932" s="1" t="s">
        <v>6967</v>
      </c>
      <c r="B6932" s="1" t="s">
        <v>74</v>
      </c>
      <c r="C6932" s="1" t="n">
        <v>309000</v>
      </c>
      <c r="D6932" s="1" t="n">
        <v>15873.2</v>
      </c>
      <c r="E6932" s="1" t="n">
        <v>0.0595</v>
      </c>
      <c r="F6932" s="1" t="n">
        <v>0.0759</v>
      </c>
    </row>
    <row r="6933" customFormat="false" ht="15" hidden="false" customHeight="false" outlineLevel="0" collapsed="false">
      <c r="A6933" s="1" t="s">
        <v>6968</v>
      </c>
      <c r="B6933" s="1" t="s">
        <v>26</v>
      </c>
      <c r="C6933" s="1" t="n">
        <v>290000</v>
      </c>
      <c r="D6933" s="1" t="n">
        <v>2849.6</v>
      </c>
      <c r="E6933" s="1" t="n">
        <v>0.0138</v>
      </c>
      <c r="F6933" s="1" t="n">
        <v>0.1192</v>
      </c>
    </row>
    <row r="6934" customFormat="false" ht="15" hidden="false" customHeight="false" outlineLevel="0" collapsed="false">
      <c r="A6934" s="1" t="s">
        <v>6969</v>
      </c>
      <c r="B6934" s="1" t="s">
        <v>50</v>
      </c>
      <c r="C6934" s="1" t="n">
        <v>410000</v>
      </c>
      <c r="D6934" s="1" t="n">
        <v>342018.1</v>
      </c>
      <c r="E6934" s="1" t="n">
        <v>0.0133</v>
      </c>
      <c r="F6934" s="1" t="n">
        <v>0.0584</v>
      </c>
    </row>
    <row r="6935" customFormat="false" ht="15" hidden="false" customHeight="false" outlineLevel="0" collapsed="false">
      <c r="A6935" s="1" t="s">
        <v>6970</v>
      </c>
      <c r="B6935" s="1" t="s">
        <v>195</v>
      </c>
      <c r="C6935" s="1" t="n">
        <v>288000</v>
      </c>
      <c r="D6935" s="1" t="n">
        <v>1024</v>
      </c>
      <c r="E6935" s="1" t="n">
        <v>0.0876</v>
      </c>
      <c r="F6935" s="1" t="n">
        <v>0.0759</v>
      </c>
    </row>
    <row r="6936" customFormat="false" ht="15" hidden="false" customHeight="false" outlineLevel="0" collapsed="false">
      <c r="A6936" s="1" t="s">
        <v>6971</v>
      </c>
      <c r="B6936" s="1" t="s">
        <v>74</v>
      </c>
      <c r="C6936" s="1" t="n">
        <v>277000</v>
      </c>
      <c r="D6936" s="1" t="n">
        <v>11352.1</v>
      </c>
      <c r="E6936" s="1" t="n">
        <v>0.0433</v>
      </c>
      <c r="F6936" s="1" t="n">
        <v>0.0951</v>
      </c>
    </row>
    <row r="6937" customFormat="false" ht="15" hidden="false" customHeight="false" outlineLevel="0" collapsed="false">
      <c r="A6937" s="1" t="s">
        <v>6972</v>
      </c>
      <c r="B6937" s="1" t="s">
        <v>24</v>
      </c>
      <c r="C6937" s="1" t="n">
        <v>513000</v>
      </c>
      <c r="D6937" s="1" t="n">
        <v>16824</v>
      </c>
      <c r="E6937" s="1" t="n">
        <v>0.0172</v>
      </c>
      <c r="F6937" s="1" t="n">
        <v>0.0585</v>
      </c>
    </row>
    <row r="6938" customFormat="false" ht="15" hidden="false" customHeight="false" outlineLevel="0" collapsed="false">
      <c r="A6938" s="1" t="s">
        <v>6973</v>
      </c>
      <c r="B6938" s="1" t="s">
        <v>88</v>
      </c>
      <c r="C6938" s="1" t="n">
        <v>533000</v>
      </c>
      <c r="D6938" s="1" t="n">
        <v>413</v>
      </c>
      <c r="E6938" s="1" t="n">
        <v>0.0426</v>
      </c>
      <c r="F6938" s="1" t="n">
        <v>0.0759</v>
      </c>
    </row>
    <row r="6939" customFormat="false" ht="15" hidden="false" customHeight="false" outlineLevel="0" collapsed="false">
      <c r="A6939" s="1" t="s">
        <v>6974</v>
      </c>
      <c r="B6939" s="1" t="s">
        <v>26</v>
      </c>
      <c r="C6939" s="1" t="n">
        <v>462000</v>
      </c>
      <c r="D6939" s="1" t="n">
        <v>9502.6</v>
      </c>
      <c r="E6939" s="1" t="n">
        <v>0.0187</v>
      </c>
      <c r="F6939" s="1" t="n">
        <v>0.0462</v>
      </c>
    </row>
    <row r="6940" customFormat="false" ht="15" hidden="false" customHeight="false" outlineLevel="0" collapsed="false">
      <c r="A6940" s="1" t="s">
        <v>6975</v>
      </c>
      <c r="B6940" s="1" t="s">
        <v>24</v>
      </c>
      <c r="C6940" s="1" t="n">
        <v>460000</v>
      </c>
      <c r="D6940" s="1" t="n">
        <v>10264.5</v>
      </c>
      <c r="E6940" s="1" t="n">
        <v>0.0303</v>
      </c>
      <c r="F6940" s="1" t="n">
        <v>0.0759</v>
      </c>
    </row>
    <row r="6941" customFormat="false" ht="15" hidden="false" customHeight="false" outlineLevel="0" collapsed="false">
      <c r="A6941" s="1" t="s">
        <v>6976</v>
      </c>
      <c r="B6941" s="1" t="s">
        <v>195</v>
      </c>
      <c r="C6941" s="1" t="n">
        <v>467000</v>
      </c>
      <c r="D6941" s="1" t="n">
        <v>46158.7</v>
      </c>
      <c r="E6941" s="1" t="n">
        <v>0.0693</v>
      </c>
      <c r="F6941" s="1" t="n">
        <v>0.0759</v>
      </c>
    </row>
    <row r="6942" customFormat="false" ht="15" hidden="false" customHeight="false" outlineLevel="0" collapsed="false">
      <c r="A6942" s="1" t="s">
        <v>6977</v>
      </c>
      <c r="B6942" s="1" t="s">
        <v>92</v>
      </c>
      <c r="C6942" s="1" t="n">
        <v>316000</v>
      </c>
      <c r="D6942" s="1" t="n">
        <v>336.7</v>
      </c>
      <c r="E6942" s="1" t="n">
        <v>0.0381</v>
      </c>
      <c r="F6942" s="1" t="n">
        <v>0.0998</v>
      </c>
    </row>
    <row r="6943" customFormat="false" ht="15" hidden="false" customHeight="false" outlineLevel="0" collapsed="false">
      <c r="A6943" s="1" t="s">
        <v>6978</v>
      </c>
      <c r="B6943" s="1" t="s">
        <v>88</v>
      </c>
      <c r="C6943" s="1" t="n">
        <v>846000</v>
      </c>
      <c r="D6943" s="1" t="n">
        <v>64199.1</v>
      </c>
      <c r="E6943" s="1" t="n">
        <v>0.0289</v>
      </c>
      <c r="F6943" s="1" t="n">
        <v>0.0938</v>
      </c>
    </row>
    <row r="6944" customFormat="false" ht="15" hidden="false" customHeight="false" outlineLevel="0" collapsed="false">
      <c r="A6944" s="1" t="s">
        <v>6979</v>
      </c>
      <c r="B6944" s="1" t="s">
        <v>92</v>
      </c>
      <c r="C6944" s="1" t="n">
        <v>349000</v>
      </c>
      <c r="D6944" s="1" t="n">
        <v>5189.9</v>
      </c>
      <c r="E6944" s="1" t="n">
        <v>0.0417</v>
      </c>
      <c r="F6944" s="1" t="n">
        <v>0.0759</v>
      </c>
    </row>
    <row r="6945" customFormat="false" ht="15" hidden="false" customHeight="false" outlineLevel="0" collapsed="false">
      <c r="A6945" s="1" t="s">
        <v>6980</v>
      </c>
      <c r="B6945" s="1" t="s">
        <v>81</v>
      </c>
      <c r="C6945" s="1" t="n">
        <v>288000</v>
      </c>
      <c r="D6945" s="1" t="n">
        <v>318.5</v>
      </c>
      <c r="E6945" s="1" t="n">
        <v>0.0245</v>
      </c>
      <c r="F6945" s="1" t="n">
        <v>0.1226</v>
      </c>
    </row>
    <row r="6946" customFormat="false" ht="15" hidden="false" customHeight="false" outlineLevel="0" collapsed="false">
      <c r="A6946" s="1" t="s">
        <v>6981</v>
      </c>
      <c r="B6946" s="1" t="s">
        <v>53</v>
      </c>
      <c r="C6946" s="1" t="n">
        <v>377000</v>
      </c>
      <c r="D6946" s="1" t="n">
        <v>75710.7</v>
      </c>
      <c r="E6946" s="1" t="n">
        <v>0.0729</v>
      </c>
      <c r="F6946" s="1" t="n">
        <v>0.051</v>
      </c>
    </row>
    <row r="6947" customFormat="false" ht="15" hidden="false" customHeight="false" outlineLevel="0" collapsed="false">
      <c r="A6947" s="1" t="s">
        <v>6982</v>
      </c>
      <c r="B6947" s="1" t="s">
        <v>26</v>
      </c>
      <c r="C6947" s="1" t="n">
        <v>321000</v>
      </c>
      <c r="D6947" s="1" t="n">
        <v>100339.7</v>
      </c>
      <c r="E6947" s="1" t="n">
        <v>0.0383</v>
      </c>
      <c r="F6947" s="1" t="n">
        <v>0.0518</v>
      </c>
    </row>
    <row r="6948" customFormat="false" ht="15" hidden="false" customHeight="false" outlineLevel="0" collapsed="false">
      <c r="A6948" s="1" t="s">
        <v>6983</v>
      </c>
      <c r="B6948" s="1" t="s">
        <v>26</v>
      </c>
      <c r="C6948" s="1" t="n">
        <v>343000</v>
      </c>
      <c r="D6948" s="1" t="n">
        <v>35858.3</v>
      </c>
      <c r="E6948" s="1" t="n">
        <v>0.04</v>
      </c>
      <c r="F6948" s="1" t="n">
        <v>0.0409</v>
      </c>
    </row>
    <row r="6949" customFormat="false" ht="15" hidden="false" customHeight="false" outlineLevel="0" collapsed="false">
      <c r="A6949" s="1" t="s">
        <v>6984</v>
      </c>
      <c r="B6949" s="1" t="s">
        <v>50</v>
      </c>
      <c r="C6949" s="1" t="n">
        <v>340000</v>
      </c>
      <c r="D6949" s="1" t="n">
        <v>14766.3</v>
      </c>
      <c r="E6949" s="1" t="n">
        <v>0.0316</v>
      </c>
      <c r="F6949" s="1" t="n">
        <v>0.0759</v>
      </c>
    </row>
    <row r="6950" customFormat="false" ht="15" hidden="false" customHeight="false" outlineLevel="0" collapsed="false">
      <c r="A6950" s="1" t="s">
        <v>6985</v>
      </c>
      <c r="B6950" s="1" t="s">
        <v>41</v>
      </c>
      <c r="C6950" s="1" t="n">
        <v>401000</v>
      </c>
      <c r="D6950" s="1" t="n">
        <v>38676.1</v>
      </c>
      <c r="E6950" s="1" t="n">
        <v>0.0797</v>
      </c>
      <c r="F6950" s="1" t="n">
        <v>0.0938</v>
      </c>
    </row>
    <row r="6951" customFormat="false" ht="15" hidden="false" customHeight="false" outlineLevel="0" collapsed="false">
      <c r="A6951" s="1" t="s">
        <v>6986</v>
      </c>
      <c r="B6951" s="1" t="s">
        <v>24</v>
      </c>
      <c r="C6951" s="1" t="n">
        <v>369000</v>
      </c>
      <c r="D6951" s="1" t="n">
        <v>1480.3</v>
      </c>
      <c r="E6951" s="1" t="n">
        <v>0.0137</v>
      </c>
      <c r="F6951" s="1" t="n">
        <v>0.1067</v>
      </c>
    </row>
    <row r="6952" customFormat="false" ht="15" hidden="false" customHeight="false" outlineLevel="0" collapsed="false">
      <c r="A6952" s="1" t="s">
        <v>6987</v>
      </c>
      <c r="B6952" s="1" t="s">
        <v>62</v>
      </c>
      <c r="C6952" s="1" t="n">
        <v>286000</v>
      </c>
      <c r="D6952" s="1" t="n">
        <v>1287</v>
      </c>
      <c r="E6952" s="1" t="n">
        <v>0.0213</v>
      </c>
      <c r="F6952" s="1" t="n">
        <v>0.1709</v>
      </c>
    </row>
    <row r="6953" customFormat="false" ht="15" hidden="false" customHeight="false" outlineLevel="0" collapsed="false">
      <c r="A6953" s="1" t="s">
        <v>6988</v>
      </c>
      <c r="B6953" s="1" t="s">
        <v>26</v>
      </c>
      <c r="C6953" s="1" t="n">
        <v>330000</v>
      </c>
      <c r="D6953" s="1" t="n">
        <v>8362.1</v>
      </c>
      <c r="E6953" s="1" t="n">
        <v>0.0184</v>
      </c>
      <c r="F6953" s="1" t="n">
        <v>0.0518</v>
      </c>
    </row>
    <row r="6954" customFormat="false" ht="15" hidden="false" customHeight="false" outlineLevel="0" collapsed="false">
      <c r="A6954" s="1" t="s">
        <v>6989</v>
      </c>
      <c r="B6954" s="1" t="s">
        <v>26</v>
      </c>
      <c r="C6954" s="1" t="n">
        <v>426000</v>
      </c>
      <c r="D6954" s="1" t="n">
        <v>279785.2</v>
      </c>
      <c r="E6954" s="1" t="n">
        <v>0.0217</v>
      </c>
      <c r="F6954" s="1" t="n">
        <v>0.0585</v>
      </c>
    </row>
    <row r="6955" customFormat="false" ht="15" hidden="false" customHeight="false" outlineLevel="0" collapsed="false">
      <c r="A6955" s="1" t="s">
        <v>6990</v>
      </c>
      <c r="B6955" s="1" t="s">
        <v>88</v>
      </c>
      <c r="C6955" s="1" t="n">
        <v>342000</v>
      </c>
      <c r="D6955" s="1" t="n">
        <v>222.9</v>
      </c>
      <c r="E6955" s="1" t="n">
        <v>0.0441</v>
      </c>
      <c r="F6955" s="1" t="n">
        <v>0.0938</v>
      </c>
    </row>
    <row r="6956" customFormat="false" ht="15" hidden="false" customHeight="false" outlineLevel="0" collapsed="false">
      <c r="A6956" s="1" t="s">
        <v>6991</v>
      </c>
      <c r="B6956" s="1" t="s">
        <v>88</v>
      </c>
      <c r="C6956" s="1" t="n">
        <v>425000</v>
      </c>
      <c r="D6956" s="1" t="n">
        <v>19505</v>
      </c>
      <c r="E6956" s="1" t="n">
        <v>0.0318</v>
      </c>
      <c r="F6956" s="1" t="n">
        <v>0.0951</v>
      </c>
    </row>
    <row r="6957" customFormat="false" ht="15" hidden="false" customHeight="false" outlineLevel="0" collapsed="false">
      <c r="A6957" s="1" t="s">
        <v>6992</v>
      </c>
      <c r="B6957" s="1" t="s">
        <v>26</v>
      </c>
      <c r="C6957" s="1" t="n">
        <v>327000</v>
      </c>
      <c r="D6957" s="1" t="n">
        <v>10064.5</v>
      </c>
      <c r="E6957" s="1" t="n">
        <v>0.076</v>
      </c>
      <c r="F6957" s="1" t="n">
        <v>0.0951</v>
      </c>
    </row>
    <row r="6958" customFormat="false" ht="15" hidden="false" customHeight="false" outlineLevel="0" collapsed="false">
      <c r="A6958" s="1" t="s">
        <v>6993</v>
      </c>
      <c r="B6958" s="1" t="s">
        <v>92</v>
      </c>
      <c r="C6958" s="1" t="n">
        <v>284000</v>
      </c>
      <c r="D6958" s="1" t="n">
        <v>36488.1</v>
      </c>
      <c r="E6958" s="1" t="n">
        <v>0.0057</v>
      </c>
      <c r="F6958" s="1" t="n">
        <v>0.1539</v>
      </c>
    </row>
    <row r="6959" customFormat="false" ht="15" hidden="false" customHeight="false" outlineLevel="0" collapsed="false">
      <c r="A6959" s="1" t="s">
        <v>6994</v>
      </c>
      <c r="B6959" s="1" t="s">
        <v>26</v>
      </c>
      <c r="C6959" s="1" t="n">
        <v>312000</v>
      </c>
      <c r="D6959" s="1" t="n">
        <v>29218.5</v>
      </c>
      <c r="E6959" s="1" t="n">
        <v>0.0436</v>
      </c>
      <c r="F6959" s="1" t="n">
        <v>0.0409</v>
      </c>
    </row>
    <row r="6960" customFormat="false" ht="15" hidden="false" customHeight="false" outlineLevel="0" collapsed="false">
      <c r="A6960" s="1" t="s">
        <v>6995</v>
      </c>
      <c r="B6960" s="1" t="s">
        <v>92</v>
      </c>
      <c r="C6960" s="1" t="n">
        <v>295000</v>
      </c>
      <c r="D6960" s="1" t="n">
        <v>4841.2</v>
      </c>
      <c r="E6960" s="1" t="n">
        <v>0.0294</v>
      </c>
      <c r="F6960" s="1" t="n">
        <v>0.0409</v>
      </c>
    </row>
    <row r="6961" customFormat="false" ht="15" hidden="false" customHeight="false" outlineLevel="0" collapsed="false">
      <c r="A6961" s="1" t="s">
        <v>6996</v>
      </c>
      <c r="B6961" s="1" t="s">
        <v>26</v>
      </c>
      <c r="C6961" s="1" t="n">
        <v>324000</v>
      </c>
      <c r="D6961" s="1" t="n">
        <v>16174.2</v>
      </c>
      <c r="E6961" s="1" t="n">
        <v>0.019</v>
      </c>
      <c r="F6961" s="1" t="n">
        <v>0.0585</v>
      </c>
    </row>
    <row r="6962" customFormat="false" ht="15" hidden="false" customHeight="false" outlineLevel="0" collapsed="false">
      <c r="A6962" s="1" t="s">
        <v>6997</v>
      </c>
      <c r="B6962" s="1" t="s">
        <v>26</v>
      </c>
      <c r="C6962" s="1" t="n">
        <v>291000</v>
      </c>
      <c r="D6962" s="1" t="n">
        <v>15471.7</v>
      </c>
      <c r="E6962" s="1" t="n">
        <v>0.0346</v>
      </c>
      <c r="F6962" s="1" t="n">
        <v>0.0759</v>
      </c>
    </row>
    <row r="6963" customFormat="false" ht="15" hidden="false" customHeight="false" outlineLevel="0" collapsed="false">
      <c r="A6963" s="1" t="s">
        <v>6998</v>
      </c>
      <c r="B6963" s="1" t="s">
        <v>88</v>
      </c>
      <c r="C6963" s="1" t="n">
        <v>295000</v>
      </c>
      <c r="D6963" s="1" t="n">
        <v>716.4</v>
      </c>
      <c r="E6963" s="1" t="n">
        <v>0.0293</v>
      </c>
      <c r="F6963" s="1" t="n">
        <v>0.0951</v>
      </c>
    </row>
    <row r="6964" customFormat="false" ht="15" hidden="false" customHeight="false" outlineLevel="0" collapsed="false">
      <c r="A6964" s="1" t="s">
        <v>6999</v>
      </c>
      <c r="B6964" s="1" t="s">
        <v>62</v>
      </c>
      <c r="C6964" s="1" t="n">
        <v>518000</v>
      </c>
      <c r="D6964" s="1" t="n">
        <v>3361.6</v>
      </c>
      <c r="E6964" s="1" t="n">
        <v>0.0302</v>
      </c>
      <c r="F6964" s="1" t="n">
        <v>0.0951</v>
      </c>
    </row>
    <row r="6965" customFormat="false" ht="15" hidden="false" customHeight="false" outlineLevel="0" collapsed="false">
      <c r="A6965" s="1" t="s">
        <v>7000</v>
      </c>
      <c r="B6965" s="1" t="s">
        <v>88</v>
      </c>
      <c r="C6965" s="1" t="n">
        <v>343000</v>
      </c>
      <c r="D6965" s="1" t="n">
        <v>544.5</v>
      </c>
      <c r="E6965" s="1" t="n">
        <v>0.0172</v>
      </c>
      <c r="F6965" s="1" t="n">
        <v>0.2064</v>
      </c>
    </row>
    <row r="6966" customFormat="false" ht="15" hidden="false" customHeight="false" outlineLevel="0" collapsed="false">
      <c r="A6966" s="1" t="s">
        <v>7001</v>
      </c>
      <c r="B6966" s="1" t="s">
        <v>287</v>
      </c>
      <c r="C6966" s="1" t="n">
        <v>301000</v>
      </c>
      <c r="D6966" s="1" t="n">
        <v>5416.7</v>
      </c>
      <c r="E6966" s="1" t="n">
        <v>0.0128</v>
      </c>
      <c r="F6966" s="1" t="n">
        <v>0.0585</v>
      </c>
    </row>
    <row r="6967" customFormat="false" ht="15" hidden="false" customHeight="false" outlineLevel="0" collapsed="false">
      <c r="A6967" s="1" t="s">
        <v>7002</v>
      </c>
      <c r="B6967" s="1" t="s">
        <v>26</v>
      </c>
      <c r="C6967" s="1" t="n">
        <v>399000</v>
      </c>
      <c r="D6967" s="1" t="n">
        <v>15657.6</v>
      </c>
      <c r="E6967" s="1" t="n">
        <v>0.0385</v>
      </c>
      <c r="F6967" s="1" t="n">
        <v>0.0759</v>
      </c>
    </row>
    <row r="6968" customFormat="false" ht="15" hidden="false" customHeight="false" outlineLevel="0" collapsed="false">
      <c r="A6968" s="1" t="s">
        <v>7003</v>
      </c>
      <c r="B6968" s="1" t="s">
        <v>41</v>
      </c>
      <c r="C6968" s="1" t="n">
        <v>382000</v>
      </c>
      <c r="D6968" s="1" t="n">
        <v>9980.7</v>
      </c>
      <c r="E6968" s="1" t="n">
        <v>0.0266</v>
      </c>
      <c r="F6968" s="1" t="n">
        <v>0.0998</v>
      </c>
    </row>
    <row r="6969" customFormat="false" ht="15" hidden="false" customHeight="false" outlineLevel="0" collapsed="false">
      <c r="A6969" s="1" t="s">
        <v>7004</v>
      </c>
      <c r="B6969" s="1" t="s">
        <v>32</v>
      </c>
      <c r="C6969" s="1" t="n">
        <v>331000</v>
      </c>
      <c r="D6969" s="1" t="n">
        <v>56113.3</v>
      </c>
      <c r="E6969" s="1" t="n">
        <v>0.0157</v>
      </c>
      <c r="F6969" s="1" t="n">
        <v>0.0585</v>
      </c>
    </row>
    <row r="6970" customFormat="false" ht="15" hidden="false" customHeight="false" outlineLevel="0" collapsed="false">
      <c r="A6970" s="1" t="s">
        <v>7005</v>
      </c>
      <c r="B6970" s="1" t="s">
        <v>88</v>
      </c>
      <c r="C6970" s="1" t="n">
        <v>289000</v>
      </c>
      <c r="D6970" s="1" t="n">
        <v>7477.6</v>
      </c>
      <c r="E6970" s="1" t="n">
        <v>0.0196</v>
      </c>
      <c r="F6970" s="1" t="n">
        <v>0.1067</v>
      </c>
    </row>
    <row r="6971" customFormat="false" ht="15" hidden="false" customHeight="false" outlineLevel="0" collapsed="false">
      <c r="A6971" s="1" t="s">
        <v>7006</v>
      </c>
      <c r="B6971" s="1" t="s">
        <v>92</v>
      </c>
      <c r="C6971" s="1" t="n">
        <v>299000</v>
      </c>
      <c r="D6971" s="1" t="n">
        <v>1656.5</v>
      </c>
      <c r="E6971" s="1" t="n">
        <v>0.028</v>
      </c>
      <c r="F6971" s="1" t="n">
        <v>0.1066</v>
      </c>
    </row>
    <row r="6972" customFormat="false" ht="15" hidden="false" customHeight="false" outlineLevel="0" collapsed="false">
      <c r="A6972" s="1" t="s">
        <v>7007</v>
      </c>
      <c r="B6972" s="1" t="s">
        <v>35</v>
      </c>
      <c r="C6972" s="1" t="n">
        <v>376000</v>
      </c>
      <c r="D6972" s="1" t="n">
        <v>1276.2</v>
      </c>
      <c r="E6972" s="1" t="n">
        <v>0.003</v>
      </c>
      <c r="F6972" s="1" t="n">
        <v>0.0822</v>
      </c>
    </row>
    <row r="6973" customFormat="false" ht="15" hidden="false" customHeight="false" outlineLevel="0" collapsed="false">
      <c r="A6973" s="1" t="s">
        <v>7008</v>
      </c>
      <c r="B6973" s="1" t="s">
        <v>26</v>
      </c>
      <c r="C6973" s="1" t="n">
        <v>419000</v>
      </c>
      <c r="D6973" s="1" t="n">
        <v>20459.2</v>
      </c>
      <c r="E6973" s="1" t="n">
        <v>0.0795</v>
      </c>
      <c r="F6973" s="1" t="n">
        <v>0.0759</v>
      </c>
    </row>
    <row r="6974" customFormat="false" ht="15" hidden="false" customHeight="false" outlineLevel="0" collapsed="false">
      <c r="A6974" s="1" t="s">
        <v>7009</v>
      </c>
      <c r="B6974" s="1" t="s">
        <v>62</v>
      </c>
      <c r="C6974" s="1" t="n">
        <v>387000</v>
      </c>
      <c r="D6974" s="1" t="n">
        <v>10645.7</v>
      </c>
      <c r="E6974" s="1" t="n">
        <v>0.0476</v>
      </c>
      <c r="F6974" s="1" t="n">
        <v>0.0759</v>
      </c>
    </row>
    <row r="6975" customFormat="false" ht="15" hidden="false" customHeight="false" outlineLevel="0" collapsed="false">
      <c r="A6975" s="1" t="s">
        <v>7010</v>
      </c>
      <c r="B6975" s="1" t="s">
        <v>88</v>
      </c>
      <c r="C6975" s="1" t="n">
        <v>317000</v>
      </c>
      <c r="D6975" s="1" t="n">
        <v>424.3</v>
      </c>
      <c r="E6975" s="1" t="n">
        <v>0.0451</v>
      </c>
      <c r="F6975" s="1" t="n">
        <v>0.1241</v>
      </c>
    </row>
    <row r="6976" customFormat="false" ht="15" hidden="false" customHeight="false" outlineLevel="0" collapsed="false">
      <c r="A6976" s="1" t="s">
        <v>7011</v>
      </c>
      <c r="B6976" s="1" t="s">
        <v>24</v>
      </c>
      <c r="C6976" s="1" t="n">
        <v>304000</v>
      </c>
      <c r="D6976" s="1" t="n">
        <v>5554.2</v>
      </c>
      <c r="E6976" s="1" t="n">
        <v>0.0374</v>
      </c>
      <c r="F6976" s="1" t="n">
        <v>0.0951</v>
      </c>
    </row>
    <row r="6977" customFormat="false" ht="15" hidden="false" customHeight="false" outlineLevel="0" collapsed="false">
      <c r="A6977" s="1" t="s">
        <v>7012</v>
      </c>
      <c r="B6977" s="1" t="s">
        <v>21</v>
      </c>
      <c r="C6977" s="1" t="n">
        <v>330000</v>
      </c>
      <c r="D6977" s="1" t="n">
        <v>31721.3</v>
      </c>
      <c r="E6977" s="1" t="n">
        <v>0.0052</v>
      </c>
      <c r="F6977" s="1" t="n">
        <v>0.0811</v>
      </c>
    </row>
    <row r="6978" customFormat="false" ht="15" hidden="false" customHeight="false" outlineLevel="0" collapsed="false">
      <c r="A6978" s="1" t="s">
        <v>7013</v>
      </c>
      <c r="B6978" s="1" t="s">
        <v>50</v>
      </c>
      <c r="C6978" s="1" t="n">
        <v>309000</v>
      </c>
      <c r="D6978" s="1" t="n">
        <v>2890.9</v>
      </c>
      <c r="E6978" s="1" t="n">
        <v>0.0097</v>
      </c>
      <c r="F6978" s="1" t="n">
        <v>0.1187</v>
      </c>
    </row>
    <row r="6979" customFormat="false" ht="15" hidden="false" customHeight="false" outlineLevel="0" collapsed="false">
      <c r="A6979" s="1" t="s">
        <v>7014</v>
      </c>
      <c r="B6979" s="1" t="s">
        <v>26</v>
      </c>
      <c r="C6979" s="1" t="n">
        <v>283000</v>
      </c>
      <c r="D6979" s="1" t="n">
        <v>450388.5</v>
      </c>
      <c r="E6979" s="1" t="n">
        <v>0.0736</v>
      </c>
      <c r="F6979" s="1" t="n">
        <v>0.0951</v>
      </c>
    </row>
    <row r="6980" customFormat="false" ht="15" hidden="false" customHeight="false" outlineLevel="0" collapsed="false">
      <c r="A6980" s="1" t="s">
        <v>7015</v>
      </c>
      <c r="B6980" s="1" t="s">
        <v>92</v>
      </c>
      <c r="C6980" s="1" t="n">
        <v>413000</v>
      </c>
      <c r="D6980" s="1" t="n">
        <v>59139.5</v>
      </c>
      <c r="E6980" s="1" t="n">
        <v>0.0232</v>
      </c>
      <c r="F6980" s="1" t="n">
        <v>0.0854</v>
      </c>
    </row>
    <row r="6981" customFormat="false" ht="15" hidden="false" customHeight="false" outlineLevel="0" collapsed="false">
      <c r="A6981" s="1" t="s">
        <v>7016</v>
      </c>
      <c r="B6981" s="1" t="s">
        <v>88</v>
      </c>
      <c r="C6981" s="1" t="n">
        <v>763000</v>
      </c>
      <c r="D6981" s="1" t="n">
        <v>141148.9</v>
      </c>
      <c r="E6981" s="1" t="n">
        <v>0.0633</v>
      </c>
      <c r="F6981" s="1" t="n">
        <v>0.0759</v>
      </c>
    </row>
    <row r="6982" customFormat="false" ht="15" hidden="false" customHeight="false" outlineLevel="0" collapsed="false">
      <c r="A6982" s="1" t="s">
        <v>7017</v>
      </c>
      <c r="B6982" s="1" t="s">
        <v>74</v>
      </c>
      <c r="C6982" s="1" t="n">
        <v>274000</v>
      </c>
      <c r="D6982" s="1" t="n">
        <v>2842.8</v>
      </c>
      <c r="E6982" s="1" t="n">
        <v>0.1199</v>
      </c>
      <c r="F6982" s="1" t="n">
        <v>0.0759</v>
      </c>
    </row>
    <row r="6983" customFormat="false" ht="15" hidden="false" customHeight="false" outlineLevel="0" collapsed="false">
      <c r="A6983" s="1" t="s">
        <v>7018</v>
      </c>
      <c r="B6983" s="1" t="s">
        <v>88</v>
      </c>
      <c r="C6983" s="1" t="n">
        <v>319000</v>
      </c>
      <c r="D6983" s="1" t="n">
        <v>68.2</v>
      </c>
      <c r="E6983" s="1" t="n">
        <v>0.0439</v>
      </c>
      <c r="F6983" s="1" t="n">
        <v>0.0938</v>
      </c>
    </row>
    <row r="6984" customFormat="false" ht="15" hidden="false" customHeight="false" outlineLevel="0" collapsed="false">
      <c r="A6984" s="1" t="s">
        <v>7019</v>
      </c>
      <c r="B6984" s="1" t="s">
        <v>35</v>
      </c>
      <c r="C6984" s="1" t="n">
        <v>406000</v>
      </c>
      <c r="D6984" s="1" t="n">
        <v>5802.5</v>
      </c>
      <c r="E6984" s="1" t="n">
        <v>0.0215</v>
      </c>
      <c r="F6984" s="1" t="n">
        <v>0.0854</v>
      </c>
    </row>
    <row r="6985" customFormat="false" ht="15" hidden="false" customHeight="false" outlineLevel="0" collapsed="false">
      <c r="A6985" s="1" t="s">
        <v>7020</v>
      </c>
      <c r="B6985" s="1" t="s">
        <v>88</v>
      </c>
      <c r="C6985" s="1" t="n">
        <v>378000</v>
      </c>
      <c r="D6985" s="1" t="n">
        <v>2527.1</v>
      </c>
      <c r="E6985" s="1" t="n">
        <v>0.0082</v>
      </c>
      <c r="F6985" s="1" t="n">
        <v>0.0822</v>
      </c>
    </row>
    <row r="6986" customFormat="false" ht="15" hidden="false" customHeight="false" outlineLevel="0" collapsed="false">
      <c r="A6986" s="1" t="s">
        <v>7021</v>
      </c>
      <c r="B6986" s="1" t="s">
        <v>41</v>
      </c>
      <c r="C6986" s="1" t="n">
        <v>458000</v>
      </c>
      <c r="D6986" s="1" t="n">
        <v>157.7</v>
      </c>
      <c r="E6986" s="1" t="n">
        <v>0.0329</v>
      </c>
      <c r="F6986" s="1" t="n">
        <v>0.1359</v>
      </c>
    </row>
    <row r="6987" customFormat="false" ht="15" hidden="false" customHeight="false" outlineLevel="0" collapsed="false">
      <c r="A6987" s="1" t="s">
        <v>7022</v>
      </c>
      <c r="B6987" s="1" t="s">
        <v>26</v>
      </c>
      <c r="C6987" s="1" t="n">
        <v>307000</v>
      </c>
      <c r="D6987" s="1" t="n">
        <v>2808</v>
      </c>
      <c r="E6987" s="1" t="n">
        <v>0.0267</v>
      </c>
      <c r="F6987" s="1" t="n">
        <v>0.0759</v>
      </c>
    </row>
    <row r="6988" customFormat="false" ht="15" hidden="false" customHeight="false" outlineLevel="0" collapsed="false">
      <c r="A6988" s="1" t="s">
        <v>7023</v>
      </c>
      <c r="B6988" s="1" t="s">
        <v>50</v>
      </c>
      <c r="C6988" s="1" t="n">
        <v>365000</v>
      </c>
      <c r="D6988" s="1" t="n">
        <v>371.1</v>
      </c>
      <c r="E6988" s="1" t="n">
        <v>0.0336</v>
      </c>
      <c r="F6988" s="1" t="n">
        <v>0.0938</v>
      </c>
    </row>
    <row r="6989" customFormat="false" ht="15" hidden="false" customHeight="false" outlineLevel="0" collapsed="false">
      <c r="A6989" s="1" t="s">
        <v>7024</v>
      </c>
      <c r="B6989" s="1" t="s">
        <v>26</v>
      </c>
      <c r="C6989" s="1" t="n">
        <v>297000</v>
      </c>
      <c r="D6989" s="1" t="n">
        <v>16145.8</v>
      </c>
      <c r="E6989" s="1" t="n">
        <v>0.0389</v>
      </c>
      <c r="F6989" s="1" t="n">
        <v>0.0518</v>
      </c>
    </row>
    <row r="6990" customFormat="false" ht="15" hidden="false" customHeight="false" outlineLevel="0" collapsed="false">
      <c r="A6990" s="1" t="s">
        <v>7025</v>
      </c>
      <c r="B6990" s="1" t="s">
        <v>26</v>
      </c>
      <c r="C6990" s="1" t="n">
        <v>281000</v>
      </c>
      <c r="D6990" s="1" t="n">
        <v>17755.9</v>
      </c>
      <c r="F6990" s="1" t="n">
        <v>0.0518</v>
      </c>
    </row>
    <row r="6991" customFormat="false" ht="15" hidden="false" customHeight="false" outlineLevel="0" collapsed="false">
      <c r="A6991" s="1" t="s">
        <v>7026</v>
      </c>
      <c r="B6991" s="1" t="s">
        <v>41</v>
      </c>
      <c r="C6991" s="1" t="n">
        <v>413000</v>
      </c>
      <c r="D6991" s="1" t="n">
        <v>659.2</v>
      </c>
      <c r="E6991" s="1" t="n">
        <v>0.0121</v>
      </c>
      <c r="F6991" s="1" t="n">
        <v>0.1309</v>
      </c>
    </row>
    <row r="6992" customFormat="false" ht="15" hidden="false" customHeight="false" outlineLevel="0" collapsed="false">
      <c r="A6992" s="1" t="s">
        <v>7027</v>
      </c>
      <c r="B6992" s="1" t="s">
        <v>26</v>
      </c>
      <c r="C6992" s="1" t="n">
        <v>348000</v>
      </c>
      <c r="D6992" s="1" t="n">
        <v>2736</v>
      </c>
      <c r="E6992" s="1" t="n">
        <v>0.0308</v>
      </c>
      <c r="F6992" s="1" t="n">
        <v>0.0938</v>
      </c>
    </row>
    <row r="6993" customFormat="false" ht="15" hidden="false" customHeight="false" outlineLevel="0" collapsed="false">
      <c r="A6993" s="1" t="s">
        <v>7028</v>
      </c>
      <c r="B6993" s="1" t="s">
        <v>32</v>
      </c>
      <c r="C6993" s="1" t="n">
        <v>493000</v>
      </c>
      <c r="D6993" s="1" t="n">
        <v>1508426.3</v>
      </c>
      <c r="E6993" s="1" t="n">
        <v>0.0122</v>
      </c>
      <c r="F6993" s="1" t="n">
        <v>0.0736</v>
      </c>
    </row>
    <row r="6994" customFormat="false" ht="15" hidden="false" customHeight="false" outlineLevel="0" collapsed="false">
      <c r="A6994" s="1" t="s">
        <v>7029</v>
      </c>
      <c r="B6994" s="1" t="s">
        <v>41</v>
      </c>
      <c r="C6994" s="1" t="n">
        <v>559000</v>
      </c>
      <c r="D6994" s="1" t="n">
        <v>7559.5</v>
      </c>
      <c r="E6994" s="1" t="n">
        <v>0.0292</v>
      </c>
      <c r="F6994" s="1" t="n">
        <v>0.051</v>
      </c>
    </row>
    <row r="6995" customFormat="false" ht="15" hidden="false" customHeight="false" outlineLevel="0" collapsed="false">
      <c r="A6995" s="1" t="s">
        <v>7030</v>
      </c>
      <c r="B6995" s="1" t="s">
        <v>26</v>
      </c>
      <c r="C6995" s="1" t="n">
        <v>286000</v>
      </c>
      <c r="D6995" s="1" t="n">
        <v>112.3</v>
      </c>
      <c r="E6995" s="1" t="n">
        <v>0.0169</v>
      </c>
      <c r="F6995" s="1" t="n">
        <v>0.2266</v>
      </c>
    </row>
    <row r="6996" customFormat="false" ht="15" hidden="false" customHeight="false" outlineLevel="0" collapsed="false">
      <c r="A6996" s="1" t="s">
        <v>7031</v>
      </c>
      <c r="B6996" s="1" t="s">
        <v>92</v>
      </c>
      <c r="C6996" s="1" t="n">
        <v>369000</v>
      </c>
      <c r="D6996" s="1" t="n">
        <v>2205.6</v>
      </c>
      <c r="E6996" s="1" t="n">
        <v>0.0272</v>
      </c>
      <c r="F6996" s="1" t="n">
        <v>0.0951</v>
      </c>
    </row>
    <row r="6997" customFormat="false" ht="15" hidden="false" customHeight="false" outlineLevel="0" collapsed="false">
      <c r="A6997" s="1" t="s">
        <v>7032</v>
      </c>
      <c r="B6997" s="1" t="s">
        <v>88</v>
      </c>
      <c r="C6997" s="1" t="n">
        <v>303000</v>
      </c>
      <c r="D6997" s="1" t="n">
        <v>1215.3</v>
      </c>
      <c r="E6997" s="1" t="n">
        <v>0.0564</v>
      </c>
      <c r="F6997" s="1" t="n">
        <v>0.0759</v>
      </c>
    </row>
    <row r="6998" customFormat="false" ht="15" hidden="false" customHeight="false" outlineLevel="0" collapsed="false">
      <c r="A6998" s="1" t="s">
        <v>7033</v>
      </c>
      <c r="B6998" s="1" t="s">
        <v>53</v>
      </c>
      <c r="C6998" s="1" t="n">
        <v>544000</v>
      </c>
      <c r="D6998" s="1" t="n">
        <v>157358.4</v>
      </c>
      <c r="E6998" s="1" t="n">
        <v>0.0309</v>
      </c>
      <c r="F6998" s="1" t="n">
        <v>0.0518</v>
      </c>
    </row>
    <row r="6999" customFormat="false" ht="15" hidden="false" customHeight="false" outlineLevel="0" collapsed="false">
      <c r="A6999" s="1" t="s">
        <v>7034</v>
      </c>
      <c r="B6999" s="1" t="s">
        <v>62</v>
      </c>
      <c r="C6999" s="1" t="n">
        <v>568000</v>
      </c>
      <c r="D6999" s="1" t="n">
        <v>201536.4</v>
      </c>
      <c r="E6999" s="1" t="n">
        <v>0.0216</v>
      </c>
      <c r="F6999" s="1" t="n">
        <v>0.0757</v>
      </c>
    </row>
    <row r="7000" customFormat="false" ht="15" hidden="false" customHeight="false" outlineLevel="0" collapsed="false">
      <c r="A7000" s="1" t="s">
        <v>7035</v>
      </c>
      <c r="B7000" s="1" t="s">
        <v>26</v>
      </c>
      <c r="C7000" s="1" t="n">
        <v>287000</v>
      </c>
      <c r="D7000" s="1" t="n">
        <v>6276.5</v>
      </c>
      <c r="E7000" s="1" t="n">
        <v>0.0423</v>
      </c>
      <c r="F7000" s="1" t="n">
        <v>0.0759</v>
      </c>
    </row>
    <row r="7001" customFormat="false" ht="15" hidden="false" customHeight="false" outlineLevel="0" collapsed="false">
      <c r="A7001" s="1" t="s">
        <v>7036</v>
      </c>
      <c r="B7001" s="1" t="s">
        <v>88</v>
      </c>
      <c r="C7001" s="1" t="n">
        <v>278000</v>
      </c>
      <c r="D7001" s="1" t="n">
        <v>41048.8</v>
      </c>
      <c r="E7001" s="1" t="n">
        <v>0.0501</v>
      </c>
      <c r="F7001" s="1" t="n">
        <v>0.0951</v>
      </c>
    </row>
    <row r="7002" customFormat="false" ht="15" hidden="false" customHeight="false" outlineLevel="0" collapsed="false">
      <c r="A7002" s="1" t="s">
        <v>7037</v>
      </c>
      <c r="B7002" s="1" t="s">
        <v>41</v>
      </c>
      <c r="C7002" s="1" t="n">
        <v>890000</v>
      </c>
      <c r="D7002" s="1" t="n">
        <v>730.8</v>
      </c>
      <c r="E7002" s="1" t="n">
        <v>0.0101</v>
      </c>
      <c r="F7002" s="1" t="n">
        <v>0.0811</v>
      </c>
    </row>
    <row r="7003" customFormat="false" ht="15" hidden="false" customHeight="false" outlineLevel="0" collapsed="false">
      <c r="A7003" s="1" t="s">
        <v>7038</v>
      </c>
      <c r="B7003" s="1" t="s">
        <v>41</v>
      </c>
      <c r="C7003" s="1" t="n">
        <v>975000</v>
      </c>
      <c r="D7003" s="1" t="n">
        <v>1149.2</v>
      </c>
      <c r="E7003" s="1" t="n">
        <v>0.0409</v>
      </c>
      <c r="F7003" s="1" t="n">
        <v>0.1516</v>
      </c>
    </row>
    <row r="7004" customFormat="false" ht="15" hidden="false" customHeight="false" outlineLevel="0" collapsed="false">
      <c r="A7004" s="1" t="s">
        <v>7039</v>
      </c>
      <c r="B7004" s="1" t="s">
        <v>88</v>
      </c>
      <c r="C7004" s="1" t="n">
        <v>356000</v>
      </c>
      <c r="D7004" s="1" t="n">
        <v>540.7</v>
      </c>
      <c r="E7004" s="1" t="n">
        <v>0.04</v>
      </c>
      <c r="F7004" s="1" t="n">
        <v>0.0938</v>
      </c>
    </row>
    <row r="7005" customFormat="false" ht="15" hidden="false" customHeight="false" outlineLevel="0" collapsed="false">
      <c r="A7005" s="1" t="s">
        <v>7040</v>
      </c>
      <c r="B7005" s="1" t="s">
        <v>88</v>
      </c>
      <c r="C7005" s="1" t="n">
        <v>344000</v>
      </c>
      <c r="D7005" s="1" t="n">
        <v>4137.6</v>
      </c>
      <c r="E7005" s="1" t="n">
        <v>0.0607</v>
      </c>
      <c r="F7005" s="1" t="n">
        <v>0.0938</v>
      </c>
    </row>
    <row r="7006" customFormat="false" ht="15" hidden="false" customHeight="false" outlineLevel="0" collapsed="false">
      <c r="A7006" s="1" t="s">
        <v>7041</v>
      </c>
      <c r="B7006" s="1" t="s">
        <v>88</v>
      </c>
      <c r="C7006" s="1" t="n">
        <v>402000</v>
      </c>
      <c r="D7006" s="1" t="n">
        <v>6440.3</v>
      </c>
      <c r="E7006" s="1" t="n">
        <v>0.012</v>
      </c>
      <c r="F7006" s="1" t="n">
        <v>0.0917</v>
      </c>
    </row>
    <row r="7007" customFormat="false" ht="15" hidden="false" customHeight="false" outlineLevel="0" collapsed="false">
      <c r="A7007" s="1" t="s">
        <v>7042</v>
      </c>
      <c r="B7007" s="1" t="s">
        <v>74</v>
      </c>
      <c r="C7007" s="1" t="n">
        <v>273000</v>
      </c>
      <c r="D7007" s="1" t="n">
        <v>1554</v>
      </c>
      <c r="E7007" s="1" t="n">
        <v>0.0257</v>
      </c>
      <c r="F7007" s="1" t="n">
        <v>0.0951</v>
      </c>
    </row>
    <row r="7008" customFormat="false" ht="15" hidden="false" customHeight="false" outlineLevel="0" collapsed="false">
      <c r="A7008" s="1" t="s">
        <v>7043</v>
      </c>
      <c r="B7008" s="1" t="s">
        <v>26</v>
      </c>
      <c r="C7008" s="1" t="n">
        <v>308000</v>
      </c>
      <c r="D7008" s="1" t="n">
        <v>450.3</v>
      </c>
      <c r="E7008" s="1" t="n">
        <v>0.0276</v>
      </c>
      <c r="F7008" s="1" t="n">
        <v>0.5991</v>
      </c>
    </row>
    <row r="7009" customFormat="false" ht="15" hidden="false" customHeight="false" outlineLevel="0" collapsed="false">
      <c r="A7009" s="1" t="s">
        <v>7044</v>
      </c>
      <c r="B7009" s="1" t="s">
        <v>81</v>
      </c>
      <c r="C7009" s="1" t="n">
        <v>317000</v>
      </c>
      <c r="D7009" s="1" t="n">
        <v>503064.3</v>
      </c>
      <c r="E7009" s="1" t="n">
        <v>0.0461</v>
      </c>
      <c r="F7009" s="1" t="n">
        <v>0.0518</v>
      </c>
    </row>
    <row r="7010" customFormat="false" ht="15" hidden="false" customHeight="false" outlineLevel="0" collapsed="false">
      <c r="A7010" s="1" t="s">
        <v>7045</v>
      </c>
      <c r="B7010" s="1" t="s">
        <v>26</v>
      </c>
      <c r="C7010" s="1" t="n">
        <v>263000</v>
      </c>
      <c r="D7010" s="1" t="n">
        <v>120314.9</v>
      </c>
      <c r="E7010" s="1" t="n">
        <v>0.0469</v>
      </c>
      <c r="F7010" s="1" t="n">
        <v>0.0672</v>
      </c>
    </row>
    <row r="7011" customFormat="false" ht="15" hidden="false" customHeight="false" outlineLevel="0" collapsed="false">
      <c r="A7011" s="1" t="s">
        <v>7046</v>
      </c>
      <c r="B7011" s="1" t="s">
        <v>74</v>
      </c>
      <c r="C7011" s="1" t="n">
        <v>443000</v>
      </c>
      <c r="D7011" s="1" t="n">
        <v>7691.1</v>
      </c>
      <c r="E7011" s="1" t="n">
        <v>0.0494</v>
      </c>
      <c r="F7011" s="1" t="n">
        <v>0.0759</v>
      </c>
    </row>
    <row r="7012" customFormat="false" ht="15" hidden="false" customHeight="false" outlineLevel="0" collapsed="false">
      <c r="A7012" s="1" t="s">
        <v>7047</v>
      </c>
      <c r="B7012" s="1" t="s">
        <v>53</v>
      </c>
      <c r="C7012" s="1" t="n">
        <v>282000</v>
      </c>
      <c r="D7012" s="1" t="n">
        <v>38.2</v>
      </c>
      <c r="E7012" s="1" t="n">
        <v>0.0008</v>
      </c>
      <c r="F7012" s="1" t="n">
        <v>0.2657</v>
      </c>
    </row>
    <row r="7013" customFormat="false" ht="15" hidden="false" customHeight="false" outlineLevel="0" collapsed="false">
      <c r="A7013" s="1" t="s">
        <v>7048</v>
      </c>
      <c r="B7013" s="1" t="s">
        <v>26</v>
      </c>
      <c r="C7013" s="1" t="n">
        <v>415000</v>
      </c>
      <c r="D7013" s="1" t="n">
        <v>47574.3</v>
      </c>
      <c r="E7013" s="1" t="n">
        <v>0.0348</v>
      </c>
      <c r="F7013" s="1" t="n">
        <v>0.0759</v>
      </c>
    </row>
    <row r="7014" customFormat="false" ht="15" hidden="false" customHeight="false" outlineLevel="0" collapsed="false">
      <c r="A7014" s="1" t="s">
        <v>7049</v>
      </c>
      <c r="B7014" s="1" t="s">
        <v>26</v>
      </c>
      <c r="C7014" s="1" t="n">
        <v>277000</v>
      </c>
      <c r="D7014" s="1" t="n">
        <v>40252.9</v>
      </c>
      <c r="E7014" s="1" t="n">
        <v>0.069</v>
      </c>
      <c r="F7014" s="1" t="n">
        <v>0.0951</v>
      </c>
    </row>
    <row r="7015" customFormat="false" ht="15" hidden="false" customHeight="false" outlineLevel="0" collapsed="false">
      <c r="A7015" s="1" t="s">
        <v>7050</v>
      </c>
      <c r="B7015" s="1" t="s">
        <v>26</v>
      </c>
      <c r="C7015" s="1" t="n">
        <v>299000</v>
      </c>
      <c r="D7015" s="1" t="n">
        <v>6144.2</v>
      </c>
      <c r="E7015" s="1" t="n">
        <v>0.0367</v>
      </c>
      <c r="F7015" s="1" t="n">
        <v>0.0759</v>
      </c>
    </row>
    <row r="7016" customFormat="false" ht="15" hidden="false" customHeight="false" outlineLevel="0" collapsed="false">
      <c r="A7016" s="1" t="s">
        <v>7051</v>
      </c>
      <c r="B7016" s="1" t="s">
        <v>92</v>
      </c>
      <c r="C7016" s="1" t="n">
        <v>343000</v>
      </c>
      <c r="D7016" s="1" t="n">
        <v>8837.6</v>
      </c>
      <c r="E7016" s="1" t="n">
        <v>0.0302</v>
      </c>
      <c r="F7016" s="1" t="n">
        <v>0.0951</v>
      </c>
    </row>
    <row r="7017" customFormat="false" ht="15" hidden="false" customHeight="false" outlineLevel="0" collapsed="false">
      <c r="A7017" s="1" t="s">
        <v>7052</v>
      </c>
      <c r="B7017" s="1" t="s">
        <v>214</v>
      </c>
      <c r="C7017" s="1" t="n">
        <v>309000</v>
      </c>
      <c r="D7017" s="1" t="n">
        <v>85189.1</v>
      </c>
      <c r="E7017" s="1" t="n">
        <v>0.0404</v>
      </c>
      <c r="F7017" s="1" t="n">
        <v>0.1535</v>
      </c>
    </row>
    <row r="7018" customFormat="false" ht="15" hidden="false" customHeight="false" outlineLevel="0" collapsed="false">
      <c r="A7018" s="1" t="s">
        <v>7053</v>
      </c>
      <c r="B7018" s="1" t="s">
        <v>53</v>
      </c>
      <c r="C7018" s="1" t="n">
        <v>398000</v>
      </c>
      <c r="D7018" s="1" t="n">
        <v>163.9</v>
      </c>
      <c r="F7018" s="1" t="n">
        <v>0.0759</v>
      </c>
    </row>
    <row r="7019" customFormat="false" ht="15" hidden="false" customHeight="false" outlineLevel="0" collapsed="false">
      <c r="A7019" s="1" t="s">
        <v>7054</v>
      </c>
      <c r="B7019" s="1" t="s">
        <v>41</v>
      </c>
      <c r="C7019" s="1" t="n">
        <v>302000</v>
      </c>
      <c r="D7019" s="1" t="n">
        <v>7525.3</v>
      </c>
      <c r="F7019" s="1" t="n">
        <v>0.0518</v>
      </c>
    </row>
    <row r="7020" customFormat="false" ht="15" hidden="false" customHeight="false" outlineLevel="0" collapsed="false">
      <c r="A7020" s="1" t="s">
        <v>7055</v>
      </c>
      <c r="B7020" s="1" t="s">
        <v>62</v>
      </c>
      <c r="C7020" s="1" t="n">
        <v>292000</v>
      </c>
      <c r="D7020" s="1" t="n">
        <v>15764.8</v>
      </c>
      <c r="E7020" s="1" t="n">
        <v>0.0373</v>
      </c>
      <c r="F7020" s="1" t="n">
        <v>0.0759</v>
      </c>
    </row>
    <row r="7021" customFormat="false" ht="15" hidden="false" customHeight="false" outlineLevel="0" collapsed="false">
      <c r="A7021" s="1" t="s">
        <v>7056</v>
      </c>
      <c r="B7021" s="1" t="s">
        <v>88</v>
      </c>
      <c r="C7021" s="1" t="n">
        <v>313000</v>
      </c>
      <c r="D7021" s="1" t="n">
        <v>938.4</v>
      </c>
      <c r="E7021" s="1" t="n">
        <v>0.1005</v>
      </c>
      <c r="F7021" s="1" t="n">
        <v>0.0518</v>
      </c>
    </row>
    <row r="7022" customFormat="false" ht="15" hidden="false" customHeight="false" outlineLevel="0" collapsed="false">
      <c r="A7022" s="1" t="s">
        <v>7057</v>
      </c>
      <c r="B7022" s="1" t="s">
        <v>41</v>
      </c>
      <c r="C7022" s="1" t="n">
        <v>307000</v>
      </c>
      <c r="D7022" s="1" t="n">
        <v>749.1</v>
      </c>
      <c r="E7022" s="1" t="n">
        <v>0.0318</v>
      </c>
      <c r="F7022" s="1" t="n">
        <v>0.0951</v>
      </c>
    </row>
    <row r="7023" customFormat="false" ht="15" hidden="false" customHeight="false" outlineLevel="0" collapsed="false">
      <c r="A7023" s="1" t="s">
        <v>7058</v>
      </c>
      <c r="B7023" s="1" t="s">
        <v>26</v>
      </c>
      <c r="C7023" s="1" t="n">
        <v>304000</v>
      </c>
      <c r="D7023" s="1" t="n">
        <v>865.7</v>
      </c>
      <c r="E7023" s="1" t="n">
        <v>0.0218</v>
      </c>
      <c r="F7023" s="1" t="n">
        <v>0.1325</v>
      </c>
    </row>
    <row r="7024" customFormat="false" ht="15" hidden="false" customHeight="false" outlineLevel="0" collapsed="false">
      <c r="A7024" s="1" t="s">
        <v>7059</v>
      </c>
      <c r="B7024" s="1" t="s">
        <v>74</v>
      </c>
      <c r="C7024" s="1" t="n">
        <v>368000</v>
      </c>
      <c r="D7024" s="1" t="n">
        <v>1407.2</v>
      </c>
      <c r="E7024" s="1" t="n">
        <v>0.0424</v>
      </c>
      <c r="F7024" s="1" t="n">
        <v>0.0759</v>
      </c>
    </row>
    <row r="7025" customFormat="false" ht="15" hidden="false" customHeight="false" outlineLevel="0" collapsed="false">
      <c r="A7025" s="1" t="s">
        <v>7060</v>
      </c>
      <c r="B7025" s="1" t="s">
        <v>92</v>
      </c>
      <c r="C7025" s="1" t="n">
        <v>530000</v>
      </c>
      <c r="D7025" s="1" t="n">
        <v>27571.2</v>
      </c>
      <c r="E7025" s="1" t="n">
        <v>0.0141</v>
      </c>
      <c r="F7025" s="1" t="n">
        <v>0.0736</v>
      </c>
    </row>
    <row r="7026" customFormat="false" ht="15" hidden="false" customHeight="false" outlineLevel="0" collapsed="false">
      <c r="A7026" s="1" t="s">
        <v>7061</v>
      </c>
      <c r="B7026" s="1" t="s">
        <v>195</v>
      </c>
      <c r="C7026" s="1" t="n">
        <v>620000</v>
      </c>
      <c r="D7026" s="1" t="n">
        <v>1145.5</v>
      </c>
      <c r="E7026" s="1" t="n">
        <v>0.0199</v>
      </c>
      <c r="F7026" s="1" t="n">
        <v>0.2064</v>
      </c>
    </row>
    <row r="7027" customFormat="false" ht="15" hidden="false" customHeight="false" outlineLevel="0" collapsed="false">
      <c r="A7027" s="1" t="s">
        <v>7062</v>
      </c>
      <c r="B7027" s="1" t="s">
        <v>32</v>
      </c>
      <c r="C7027" s="1" t="n">
        <v>293000</v>
      </c>
      <c r="D7027" s="1" t="n">
        <v>113.6</v>
      </c>
      <c r="E7027" s="1" t="n">
        <v>0.0544</v>
      </c>
      <c r="F7027" s="1" t="n">
        <v>0.0759</v>
      </c>
    </row>
    <row r="7028" customFormat="false" ht="15" hidden="false" customHeight="false" outlineLevel="0" collapsed="false">
      <c r="A7028" s="1" t="s">
        <v>7063</v>
      </c>
      <c r="B7028" s="1" t="s">
        <v>26</v>
      </c>
      <c r="C7028" s="1" t="n">
        <v>355000</v>
      </c>
      <c r="D7028" s="1" t="n">
        <v>19989.1</v>
      </c>
      <c r="E7028" s="1" t="n">
        <v>0.0801</v>
      </c>
      <c r="F7028" s="1" t="n">
        <v>0.0759</v>
      </c>
    </row>
    <row r="7029" customFormat="false" ht="15" hidden="false" customHeight="false" outlineLevel="0" collapsed="false">
      <c r="A7029" s="1" t="s">
        <v>7064</v>
      </c>
      <c r="B7029" s="1" t="s">
        <v>88</v>
      </c>
      <c r="C7029" s="1" t="n">
        <v>301000</v>
      </c>
      <c r="D7029" s="1" t="n">
        <v>1943.2</v>
      </c>
      <c r="E7029" s="1" t="n">
        <v>0.0373</v>
      </c>
      <c r="F7029" s="1" t="n">
        <v>0.117</v>
      </c>
    </row>
    <row r="7030" customFormat="false" ht="15" hidden="false" customHeight="false" outlineLevel="0" collapsed="false">
      <c r="A7030" s="1" t="s">
        <v>7065</v>
      </c>
      <c r="B7030" s="1" t="s">
        <v>74</v>
      </c>
      <c r="C7030" s="1" t="n">
        <v>502000</v>
      </c>
      <c r="D7030" s="1" t="n">
        <v>1029.4</v>
      </c>
      <c r="E7030" s="1" t="n">
        <v>0.0347</v>
      </c>
      <c r="F7030" s="1" t="n">
        <v>0.0938</v>
      </c>
    </row>
    <row r="7031" customFormat="false" ht="15" hidden="false" customHeight="false" outlineLevel="0" collapsed="false">
      <c r="A7031" s="1" t="s">
        <v>7066</v>
      </c>
      <c r="B7031" s="1" t="s">
        <v>92</v>
      </c>
      <c r="C7031" s="1" t="n">
        <v>300000</v>
      </c>
      <c r="D7031" s="1" t="n">
        <v>2735.4</v>
      </c>
      <c r="E7031" s="1" t="n">
        <v>0.0295</v>
      </c>
      <c r="F7031" s="1" t="n">
        <v>0.0998</v>
      </c>
    </row>
    <row r="7032" customFormat="false" ht="15" hidden="false" customHeight="false" outlineLevel="0" collapsed="false">
      <c r="A7032" s="1" t="s">
        <v>7067</v>
      </c>
      <c r="B7032" s="1" t="s">
        <v>50</v>
      </c>
      <c r="C7032" s="1" t="n">
        <v>543000</v>
      </c>
      <c r="D7032" s="1" t="n">
        <v>424028.5</v>
      </c>
      <c r="E7032" s="1" t="n">
        <v>0.0384</v>
      </c>
      <c r="F7032" s="1" t="n">
        <v>0.0759</v>
      </c>
    </row>
    <row r="7033" customFormat="false" ht="15" hidden="false" customHeight="false" outlineLevel="0" collapsed="false">
      <c r="A7033" s="1" t="s">
        <v>7068</v>
      </c>
      <c r="B7033" s="1" t="s">
        <v>26</v>
      </c>
      <c r="C7033" s="1" t="n">
        <v>361000</v>
      </c>
      <c r="D7033" s="1" t="n">
        <v>1481</v>
      </c>
      <c r="E7033" s="1" t="n">
        <v>0.033</v>
      </c>
      <c r="F7033" s="1" t="n">
        <v>0.0938</v>
      </c>
    </row>
    <row r="7034" customFormat="false" ht="15" hidden="false" customHeight="false" outlineLevel="0" collapsed="false">
      <c r="A7034" s="1" t="s">
        <v>7069</v>
      </c>
      <c r="B7034" s="1" t="s">
        <v>88</v>
      </c>
      <c r="C7034" s="1" t="n">
        <v>368000</v>
      </c>
      <c r="D7034" s="1" t="n">
        <v>3081.6</v>
      </c>
      <c r="E7034" s="1" t="n">
        <v>0.0263</v>
      </c>
      <c r="F7034" s="1" t="n">
        <v>0.0759</v>
      </c>
    </row>
    <row r="7035" customFormat="false" ht="15" hidden="false" customHeight="false" outlineLevel="0" collapsed="false">
      <c r="A7035" s="1" t="s">
        <v>7070</v>
      </c>
      <c r="B7035" s="1" t="s">
        <v>88</v>
      </c>
      <c r="C7035" s="1" t="n">
        <v>514000</v>
      </c>
      <c r="D7035" s="1" t="n">
        <v>358.3</v>
      </c>
      <c r="E7035" s="1" t="n">
        <v>0.0832</v>
      </c>
      <c r="F7035" s="1" t="n">
        <v>0.0938</v>
      </c>
    </row>
    <row r="7036" customFormat="false" ht="15" hidden="false" customHeight="false" outlineLevel="0" collapsed="false">
      <c r="A7036" s="1" t="s">
        <v>7071</v>
      </c>
      <c r="B7036" s="1" t="s">
        <v>24</v>
      </c>
      <c r="C7036" s="1" t="n">
        <v>396000</v>
      </c>
      <c r="D7036" s="1" t="n">
        <v>3864.6</v>
      </c>
      <c r="E7036" s="1" t="n">
        <v>0.0475</v>
      </c>
      <c r="F7036" s="1" t="n">
        <v>0.0938</v>
      </c>
    </row>
    <row r="7037" customFormat="false" ht="15" hidden="false" customHeight="false" outlineLevel="0" collapsed="false">
      <c r="A7037" s="1" t="s">
        <v>7072</v>
      </c>
      <c r="B7037" s="1" t="s">
        <v>287</v>
      </c>
      <c r="C7037" s="1" t="n">
        <v>435000</v>
      </c>
      <c r="D7037" s="1" t="n">
        <v>451806.9</v>
      </c>
      <c r="E7037" s="1" t="n">
        <v>0.0182</v>
      </c>
      <c r="F7037" s="1" t="n">
        <v>0.0854</v>
      </c>
    </row>
    <row r="7038" customFormat="false" ht="15" hidden="false" customHeight="false" outlineLevel="0" collapsed="false">
      <c r="A7038" s="1" t="s">
        <v>7073</v>
      </c>
      <c r="B7038" s="1" t="s">
        <v>88</v>
      </c>
      <c r="C7038" s="1" t="n">
        <v>362000</v>
      </c>
      <c r="D7038" s="1" t="n">
        <v>1057.9</v>
      </c>
      <c r="E7038" s="1" t="n">
        <v>0.038</v>
      </c>
      <c r="F7038" s="1" t="n">
        <v>0.0759</v>
      </c>
    </row>
    <row r="7039" customFormat="false" ht="15" hidden="false" customHeight="false" outlineLevel="0" collapsed="false">
      <c r="A7039" s="1" t="s">
        <v>7074</v>
      </c>
      <c r="B7039" s="1" t="s">
        <v>62</v>
      </c>
      <c r="C7039" s="1" t="n">
        <v>457000</v>
      </c>
      <c r="D7039" s="1" t="n">
        <v>28395.4</v>
      </c>
      <c r="E7039" s="1" t="n">
        <v>0.0417</v>
      </c>
      <c r="F7039" s="1" t="n">
        <v>0.0951</v>
      </c>
    </row>
    <row r="7040" customFormat="false" ht="15" hidden="false" customHeight="false" outlineLevel="0" collapsed="false">
      <c r="A7040" s="1" t="s">
        <v>7075</v>
      </c>
      <c r="B7040" s="1" t="s">
        <v>88</v>
      </c>
      <c r="C7040" s="1" t="n">
        <v>333000</v>
      </c>
      <c r="D7040" s="1" t="n">
        <v>406.7</v>
      </c>
      <c r="E7040" s="1" t="n">
        <v>0.0408</v>
      </c>
      <c r="F7040" s="1" t="n">
        <v>0.095</v>
      </c>
    </row>
    <row r="7041" customFormat="false" ht="15" hidden="false" customHeight="false" outlineLevel="0" collapsed="false">
      <c r="A7041" s="1" t="s">
        <v>7076</v>
      </c>
      <c r="B7041" s="1" t="s">
        <v>24</v>
      </c>
      <c r="C7041" s="1" t="n">
        <v>379000</v>
      </c>
      <c r="D7041" s="1" t="n">
        <v>6100.1</v>
      </c>
      <c r="E7041" s="1" t="n">
        <v>0.0952</v>
      </c>
      <c r="F7041" s="1" t="n">
        <v>0.4483</v>
      </c>
    </row>
    <row r="7042" customFormat="false" ht="15" hidden="false" customHeight="false" outlineLevel="0" collapsed="false">
      <c r="A7042" s="1" t="s">
        <v>7077</v>
      </c>
      <c r="B7042" s="1" t="s">
        <v>88</v>
      </c>
      <c r="C7042" s="1" t="n">
        <v>275000</v>
      </c>
      <c r="D7042" s="1" t="n">
        <v>1570.8</v>
      </c>
      <c r="E7042" s="1" t="n">
        <v>0.0433</v>
      </c>
      <c r="F7042" s="1" t="n">
        <v>0.117</v>
      </c>
    </row>
    <row r="7043" customFormat="false" ht="15" hidden="false" customHeight="false" outlineLevel="0" collapsed="false">
      <c r="A7043" s="1" t="s">
        <v>7078</v>
      </c>
      <c r="B7043" s="1" t="s">
        <v>24</v>
      </c>
      <c r="C7043" s="1" t="n">
        <v>361000</v>
      </c>
      <c r="D7043" s="1" t="n">
        <v>1127.1</v>
      </c>
      <c r="E7043" s="1" t="n">
        <v>0.0104</v>
      </c>
      <c r="F7043" s="1" t="n">
        <v>0.0726</v>
      </c>
    </row>
    <row r="7044" customFormat="false" ht="15" hidden="false" customHeight="false" outlineLevel="0" collapsed="false">
      <c r="A7044" s="1" t="s">
        <v>7079</v>
      </c>
      <c r="B7044" s="1" t="s">
        <v>287</v>
      </c>
      <c r="C7044" s="1" t="n">
        <v>376000</v>
      </c>
      <c r="D7044" s="1" t="n">
        <v>1344</v>
      </c>
      <c r="E7044" s="1" t="n">
        <v>0.0115</v>
      </c>
      <c r="F7044" s="1" t="n">
        <v>0.0811</v>
      </c>
    </row>
    <row r="7045" customFormat="false" ht="15" hidden="false" customHeight="false" outlineLevel="0" collapsed="false">
      <c r="A7045" s="1" t="s">
        <v>7080</v>
      </c>
      <c r="B7045" s="1" t="s">
        <v>41</v>
      </c>
      <c r="C7045" s="1" t="n">
        <v>361000</v>
      </c>
      <c r="D7045" s="1" t="n">
        <v>3061.2</v>
      </c>
      <c r="E7045" s="1" t="n">
        <v>0.0275</v>
      </c>
      <c r="F7045" s="1" t="n">
        <v>0.6271</v>
      </c>
    </row>
    <row r="7046" customFormat="false" ht="15" hidden="false" customHeight="false" outlineLevel="0" collapsed="false">
      <c r="A7046" s="1" t="s">
        <v>7081</v>
      </c>
      <c r="B7046" s="1" t="s">
        <v>24</v>
      </c>
      <c r="C7046" s="1" t="n">
        <v>348000</v>
      </c>
      <c r="D7046" s="1" t="n">
        <v>7160.5</v>
      </c>
      <c r="E7046" s="1" t="n">
        <v>0.0843</v>
      </c>
      <c r="F7046" s="1" t="n">
        <v>0.0759</v>
      </c>
    </row>
    <row r="7047" customFormat="false" ht="15" hidden="false" customHeight="false" outlineLevel="0" collapsed="false">
      <c r="A7047" s="1" t="s">
        <v>7082</v>
      </c>
      <c r="B7047" s="1" t="s">
        <v>26</v>
      </c>
      <c r="C7047" s="1" t="n">
        <v>513000</v>
      </c>
      <c r="D7047" s="1" t="n">
        <v>185015.1</v>
      </c>
      <c r="E7047" s="1" t="n">
        <v>0.01</v>
      </c>
      <c r="F7047" s="1" t="n">
        <v>0.0654</v>
      </c>
    </row>
    <row r="7048" customFormat="false" ht="15" hidden="false" customHeight="false" outlineLevel="0" collapsed="false">
      <c r="A7048" s="1" t="s">
        <v>7083</v>
      </c>
      <c r="B7048" s="1" t="s">
        <v>81</v>
      </c>
      <c r="C7048" s="1" t="n">
        <v>316000</v>
      </c>
      <c r="D7048" s="1" t="n">
        <v>3160.5</v>
      </c>
      <c r="E7048" s="1" t="n">
        <v>0.0195</v>
      </c>
      <c r="F7048" s="1" t="n">
        <v>0.187</v>
      </c>
    </row>
    <row r="7049" customFormat="false" ht="15" hidden="false" customHeight="false" outlineLevel="0" collapsed="false">
      <c r="A7049" s="1" t="s">
        <v>7084</v>
      </c>
      <c r="B7049" s="1" t="s">
        <v>26</v>
      </c>
      <c r="C7049" s="1" t="n">
        <v>334000</v>
      </c>
      <c r="D7049" s="1" t="n">
        <v>4788.7</v>
      </c>
      <c r="E7049" s="1" t="n">
        <v>0.0198</v>
      </c>
      <c r="F7049" s="1" t="n">
        <v>0.0854</v>
      </c>
    </row>
    <row r="7050" customFormat="false" ht="15" hidden="false" customHeight="false" outlineLevel="0" collapsed="false">
      <c r="A7050" s="1" t="s">
        <v>7085</v>
      </c>
      <c r="B7050" s="1" t="s">
        <v>53</v>
      </c>
      <c r="C7050" s="1" t="n">
        <v>275000</v>
      </c>
      <c r="D7050" s="1" t="n">
        <v>2620.3</v>
      </c>
      <c r="E7050" s="1" t="n">
        <v>0.0736</v>
      </c>
      <c r="F7050" s="1" t="n">
        <v>0.0951</v>
      </c>
    </row>
    <row r="7051" customFormat="false" ht="15" hidden="false" customHeight="false" outlineLevel="0" collapsed="false">
      <c r="A7051" s="1" t="s">
        <v>7086</v>
      </c>
      <c r="B7051" s="1" t="s">
        <v>26</v>
      </c>
      <c r="C7051" s="1" t="n">
        <v>1580000</v>
      </c>
      <c r="D7051" s="1" t="n">
        <v>46131.1</v>
      </c>
      <c r="E7051" s="1" t="n">
        <v>0.0133</v>
      </c>
      <c r="F7051" s="1" t="n">
        <v>0.0576</v>
      </c>
    </row>
    <row r="7052" customFormat="false" ht="15" hidden="false" customHeight="false" outlineLevel="0" collapsed="false">
      <c r="A7052" s="1" t="s">
        <v>7087</v>
      </c>
      <c r="B7052" s="1" t="s">
        <v>92</v>
      </c>
      <c r="C7052" s="1" t="n">
        <v>279000</v>
      </c>
      <c r="D7052" s="1" t="n">
        <v>3603.4</v>
      </c>
      <c r="E7052" s="1" t="n">
        <v>0.0243</v>
      </c>
      <c r="F7052" s="1" t="n">
        <v>0.1325</v>
      </c>
    </row>
    <row r="7053" customFormat="false" ht="15" hidden="false" customHeight="false" outlineLevel="0" collapsed="false">
      <c r="A7053" s="1" t="s">
        <v>7088</v>
      </c>
      <c r="B7053" s="1" t="s">
        <v>62</v>
      </c>
      <c r="C7053" s="1" t="n">
        <v>1660000</v>
      </c>
      <c r="D7053" s="1" t="n">
        <v>280009.9</v>
      </c>
      <c r="E7053" s="1" t="n">
        <v>0.0175</v>
      </c>
      <c r="F7053" s="1" t="n">
        <v>0.0576</v>
      </c>
    </row>
    <row r="7054" customFormat="false" ht="15" hidden="false" customHeight="false" outlineLevel="0" collapsed="false">
      <c r="A7054" s="1" t="s">
        <v>7089</v>
      </c>
      <c r="B7054" s="1" t="s">
        <v>88</v>
      </c>
      <c r="C7054" s="1" t="n">
        <v>275000</v>
      </c>
      <c r="D7054" s="1" t="n">
        <v>199.4</v>
      </c>
      <c r="E7054" s="1" t="n">
        <v>0.0617</v>
      </c>
      <c r="F7054" s="1" t="n">
        <v>0.117</v>
      </c>
    </row>
    <row r="7055" customFormat="false" ht="15" hidden="false" customHeight="false" outlineLevel="0" collapsed="false">
      <c r="A7055" s="1" t="s">
        <v>7090</v>
      </c>
      <c r="B7055" s="1" t="s">
        <v>24</v>
      </c>
      <c r="C7055" s="1" t="n">
        <v>342000</v>
      </c>
      <c r="D7055" s="1" t="n">
        <v>2179.4</v>
      </c>
      <c r="E7055" s="1" t="n">
        <v>0.0751</v>
      </c>
      <c r="F7055" s="1" t="n">
        <v>0.0938</v>
      </c>
    </row>
    <row r="7056" customFormat="false" ht="15" hidden="false" customHeight="false" outlineLevel="0" collapsed="false">
      <c r="A7056" s="1" t="s">
        <v>7091</v>
      </c>
      <c r="B7056" s="1" t="s">
        <v>287</v>
      </c>
      <c r="C7056" s="1" t="n">
        <v>405000</v>
      </c>
      <c r="D7056" s="1" t="n">
        <v>16356.7</v>
      </c>
      <c r="E7056" s="1" t="n">
        <v>0.0078</v>
      </c>
      <c r="F7056" s="1" t="n">
        <v>0.1187</v>
      </c>
    </row>
    <row r="7057" customFormat="false" ht="15" hidden="false" customHeight="false" outlineLevel="0" collapsed="false">
      <c r="A7057" s="1" t="s">
        <v>7092</v>
      </c>
      <c r="B7057" s="1" t="s">
        <v>74</v>
      </c>
      <c r="C7057" s="1" t="n">
        <v>319000</v>
      </c>
      <c r="D7057" s="1" t="n">
        <v>3479.9</v>
      </c>
      <c r="E7057" s="1" t="n">
        <v>0.0334</v>
      </c>
      <c r="F7057" s="1" t="n">
        <v>0.0759</v>
      </c>
    </row>
    <row r="7058" customFormat="false" ht="15" hidden="false" customHeight="false" outlineLevel="0" collapsed="false">
      <c r="A7058" s="1" t="s">
        <v>7093</v>
      </c>
      <c r="B7058" s="1" t="s">
        <v>214</v>
      </c>
      <c r="C7058" s="1" t="n">
        <v>457000</v>
      </c>
      <c r="D7058" s="1" t="n">
        <v>12265.8</v>
      </c>
      <c r="E7058" s="1" t="n">
        <v>0.0066</v>
      </c>
      <c r="F7058" s="1" t="n">
        <v>0.0654</v>
      </c>
    </row>
    <row r="7059" customFormat="false" ht="15" hidden="false" customHeight="false" outlineLevel="0" collapsed="false">
      <c r="A7059" s="1" t="s">
        <v>7094</v>
      </c>
      <c r="B7059" s="1" t="s">
        <v>71</v>
      </c>
      <c r="C7059" s="1" t="n">
        <v>364000</v>
      </c>
      <c r="D7059" s="1" t="n">
        <v>32134.3</v>
      </c>
      <c r="E7059" s="1" t="n">
        <v>0.036</v>
      </c>
      <c r="F7059" s="1" t="n">
        <v>0.0759</v>
      </c>
    </row>
    <row r="7060" customFormat="false" ht="15" hidden="false" customHeight="false" outlineLevel="0" collapsed="false">
      <c r="A7060" s="1" t="s">
        <v>7095</v>
      </c>
      <c r="B7060" s="1" t="s">
        <v>26</v>
      </c>
      <c r="C7060" s="1" t="n">
        <v>287000</v>
      </c>
      <c r="D7060" s="1" t="n">
        <v>143</v>
      </c>
      <c r="E7060" s="1" t="n">
        <v>0.0275</v>
      </c>
      <c r="F7060" s="1" t="n">
        <v>0.0951</v>
      </c>
    </row>
    <row r="7061" customFormat="false" ht="15" hidden="false" customHeight="false" outlineLevel="0" collapsed="false">
      <c r="A7061" s="1" t="s">
        <v>7096</v>
      </c>
      <c r="B7061" s="1" t="s">
        <v>92</v>
      </c>
      <c r="C7061" s="1" t="n">
        <v>277000</v>
      </c>
      <c r="D7061" s="1" t="n">
        <v>158.5</v>
      </c>
      <c r="E7061" s="1" t="n">
        <v>0.0301</v>
      </c>
      <c r="F7061" s="1" t="n">
        <v>0.0951</v>
      </c>
    </row>
    <row r="7062" customFormat="false" ht="15" hidden="false" customHeight="false" outlineLevel="0" collapsed="false">
      <c r="A7062" s="1" t="s">
        <v>7097</v>
      </c>
      <c r="B7062" s="1" t="s">
        <v>26</v>
      </c>
      <c r="C7062" s="1" t="n">
        <v>375000</v>
      </c>
      <c r="D7062" s="1" t="n">
        <v>20563.2</v>
      </c>
      <c r="E7062" s="1" t="n">
        <v>0.0661</v>
      </c>
      <c r="F7062" s="1" t="n">
        <v>0.0938</v>
      </c>
    </row>
    <row r="7063" customFormat="false" ht="15" hidden="false" customHeight="false" outlineLevel="0" collapsed="false">
      <c r="A7063" s="1" t="s">
        <v>7098</v>
      </c>
      <c r="B7063" s="1" t="s">
        <v>88</v>
      </c>
      <c r="C7063" s="1" t="n">
        <v>350000</v>
      </c>
      <c r="D7063" s="1" t="n">
        <v>10113.2</v>
      </c>
      <c r="E7063" s="1" t="n">
        <v>0.0621</v>
      </c>
      <c r="F7063" s="1" t="n">
        <v>0.0938</v>
      </c>
    </row>
    <row r="7064" customFormat="false" ht="15" hidden="false" customHeight="false" outlineLevel="0" collapsed="false">
      <c r="A7064" s="1" t="s">
        <v>7099</v>
      </c>
      <c r="B7064" s="1" t="s">
        <v>26</v>
      </c>
      <c r="C7064" s="1" t="n">
        <v>344000</v>
      </c>
      <c r="D7064" s="1" t="n">
        <v>160692.7</v>
      </c>
      <c r="E7064" s="1" t="n">
        <v>0.0326</v>
      </c>
      <c r="F7064" s="1" t="n">
        <v>0.0759</v>
      </c>
    </row>
    <row r="7065" customFormat="false" ht="15" hidden="false" customHeight="false" outlineLevel="0" collapsed="false">
      <c r="A7065" s="1" t="s">
        <v>7100</v>
      </c>
      <c r="B7065" s="1" t="s">
        <v>88</v>
      </c>
      <c r="C7065" s="1" t="n">
        <v>557000</v>
      </c>
      <c r="D7065" s="1" t="n">
        <v>3620</v>
      </c>
      <c r="E7065" s="1" t="n">
        <v>0.0712</v>
      </c>
      <c r="F7065" s="1" t="n">
        <v>0.0938</v>
      </c>
    </row>
    <row r="7066" customFormat="false" ht="15" hidden="false" customHeight="false" outlineLevel="0" collapsed="false">
      <c r="A7066" s="1" t="s">
        <v>7101</v>
      </c>
      <c r="B7066" s="1" t="s">
        <v>26</v>
      </c>
      <c r="C7066" s="1" t="n">
        <v>330000</v>
      </c>
      <c r="D7066" s="1" t="n">
        <v>25347.1</v>
      </c>
      <c r="E7066" s="1" t="n">
        <v>0.0041</v>
      </c>
      <c r="F7066" s="1" t="n">
        <v>0.0654</v>
      </c>
    </row>
    <row r="7067" customFormat="false" ht="15" hidden="false" customHeight="false" outlineLevel="0" collapsed="false">
      <c r="A7067" s="1" t="s">
        <v>7102</v>
      </c>
      <c r="B7067" s="1" t="s">
        <v>214</v>
      </c>
      <c r="C7067" s="1" t="n">
        <v>372000</v>
      </c>
      <c r="D7067" s="1" t="n">
        <v>593.2</v>
      </c>
      <c r="E7067" s="1" t="n">
        <v>0.0188</v>
      </c>
      <c r="F7067" s="1" t="n">
        <v>0.0854</v>
      </c>
    </row>
    <row r="7068" customFormat="false" ht="15" hidden="false" customHeight="false" outlineLevel="0" collapsed="false">
      <c r="A7068" s="1" t="s">
        <v>7103</v>
      </c>
      <c r="B7068" s="1" t="s">
        <v>53</v>
      </c>
      <c r="C7068" s="1" t="n">
        <v>306000</v>
      </c>
      <c r="D7068" s="1" t="n">
        <v>6348.6</v>
      </c>
      <c r="E7068" s="1" t="n">
        <v>0.0027</v>
      </c>
      <c r="F7068" s="1" t="n">
        <v>0.0822</v>
      </c>
    </row>
    <row r="7069" customFormat="false" ht="15" hidden="false" customHeight="false" outlineLevel="0" collapsed="false">
      <c r="A7069" s="1" t="s">
        <v>7104</v>
      </c>
      <c r="B7069" s="1" t="s">
        <v>88</v>
      </c>
      <c r="C7069" s="1" t="n">
        <v>348000</v>
      </c>
      <c r="D7069" s="1" t="n">
        <v>7910.3</v>
      </c>
      <c r="E7069" s="1" t="n">
        <v>0.1038</v>
      </c>
      <c r="F7069" s="1" t="n">
        <v>0.0938</v>
      </c>
    </row>
    <row r="7070" customFormat="false" ht="15" hidden="false" customHeight="false" outlineLevel="0" collapsed="false">
      <c r="A7070" s="1" t="s">
        <v>7105</v>
      </c>
      <c r="B7070" s="1" t="s">
        <v>88</v>
      </c>
      <c r="C7070" s="1" t="n">
        <v>282000</v>
      </c>
      <c r="D7070" s="1" t="n">
        <v>321.1</v>
      </c>
      <c r="E7070" s="1" t="n">
        <v>0.0315</v>
      </c>
      <c r="F7070" s="1" t="n">
        <v>0.0759</v>
      </c>
    </row>
    <row r="7071" customFormat="false" ht="15" hidden="false" customHeight="false" outlineLevel="0" collapsed="false">
      <c r="A7071" s="1" t="s">
        <v>7106</v>
      </c>
      <c r="B7071" s="1" t="s">
        <v>195</v>
      </c>
      <c r="C7071" s="1" t="n">
        <v>285000</v>
      </c>
      <c r="D7071" s="1" t="n">
        <v>16051.6</v>
      </c>
      <c r="E7071" s="1" t="n">
        <v>0.0394</v>
      </c>
      <c r="F7071" s="1" t="n">
        <v>0.0938</v>
      </c>
    </row>
    <row r="7072" customFormat="false" ht="15" hidden="false" customHeight="false" outlineLevel="0" collapsed="false">
      <c r="A7072" s="1" t="s">
        <v>7107</v>
      </c>
      <c r="B7072" s="1" t="s">
        <v>287</v>
      </c>
      <c r="C7072" s="1" t="n">
        <v>277000</v>
      </c>
      <c r="D7072" s="1" t="n">
        <v>3889.5</v>
      </c>
      <c r="E7072" s="1" t="n">
        <v>0.0355</v>
      </c>
      <c r="F7072" s="1" t="n">
        <v>0.301</v>
      </c>
    </row>
    <row r="7073" customFormat="false" ht="15" hidden="false" customHeight="false" outlineLevel="0" collapsed="false">
      <c r="A7073" s="1" t="s">
        <v>7108</v>
      </c>
      <c r="B7073" s="1" t="s">
        <v>26</v>
      </c>
      <c r="C7073" s="1" t="n">
        <v>366000</v>
      </c>
      <c r="D7073" s="1" t="n">
        <v>12744.7</v>
      </c>
      <c r="E7073" s="1" t="n">
        <v>0.066</v>
      </c>
      <c r="F7073" s="1" t="n">
        <v>0.051</v>
      </c>
    </row>
    <row r="7074" customFormat="false" ht="15" hidden="false" customHeight="false" outlineLevel="0" collapsed="false">
      <c r="A7074" s="1" t="s">
        <v>7109</v>
      </c>
      <c r="B7074" s="1" t="s">
        <v>26</v>
      </c>
      <c r="C7074" s="1" t="n">
        <v>518000</v>
      </c>
      <c r="D7074" s="1" t="n">
        <v>94033.1</v>
      </c>
      <c r="E7074" s="1" t="n">
        <v>0.0191</v>
      </c>
      <c r="F7074" s="1" t="n">
        <v>0.0462</v>
      </c>
    </row>
    <row r="7075" customFormat="false" ht="15" hidden="false" customHeight="false" outlineLevel="0" collapsed="false">
      <c r="A7075" s="1" t="s">
        <v>7110</v>
      </c>
      <c r="B7075" s="1" t="s">
        <v>81</v>
      </c>
      <c r="C7075" s="1" t="n">
        <v>281000</v>
      </c>
      <c r="D7075" s="1" t="n">
        <v>135615.3</v>
      </c>
      <c r="E7075" s="1" t="n">
        <v>0.0577</v>
      </c>
      <c r="F7075" s="1" t="n">
        <v>0.0518</v>
      </c>
    </row>
    <row r="7076" customFormat="false" ht="15" hidden="false" customHeight="false" outlineLevel="0" collapsed="false">
      <c r="A7076" s="1" t="s">
        <v>7111</v>
      </c>
      <c r="B7076" s="1" t="s">
        <v>88</v>
      </c>
      <c r="C7076" s="1" t="n">
        <v>292000</v>
      </c>
      <c r="D7076" s="1" t="n">
        <v>548.5</v>
      </c>
      <c r="E7076" s="1" t="n">
        <v>0.0134</v>
      </c>
      <c r="F7076" s="1" t="n">
        <v>0.0682</v>
      </c>
    </row>
    <row r="7077" customFormat="false" ht="15" hidden="false" customHeight="false" outlineLevel="0" collapsed="false">
      <c r="A7077" s="1" t="s">
        <v>7112</v>
      </c>
      <c r="B7077" s="1" t="s">
        <v>32</v>
      </c>
      <c r="C7077" s="1" t="n">
        <v>390000</v>
      </c>
      <c r="D7077" s="1" t="n">
        <v>3817.5</v>
      </c>
      <c r="E7077" s="1" t="n">
        <v>0.0152</v>
      </c>
      <c r="F7077" s="1" t="n">
        <v>0.0585</v>
      </c>
    </row>
    <row r="7078" customFormat="false" ht="15" hidden="false" customHeight="false" outlineLevel="0" collapsed="false">
      <c r="A7078" s="1" t="s">
        <v>7113</v>
      </c>
      <c r="B7078" s="1" t="s">
        <v>35</v>
      </c>
      <c r="C7078" s="1" t="n">
        <v>353000</v>
      </c>
      <c r="D7078" s="1" t="n">
        <v>10.4</v>
      </c>
      <c r="E7078" s="1" t="n">
        <v>0.053</v>
      </c>
      <c r="F7078" s="1" t="n">
        <v>0.241</v>
      </c>
    </row>
    <row r="7079" customFormat="false" ht="15" hidden="false" customHeight="false" outlineLevel="0" collapsed="false">
      <c r="A7079" s="1" t="s">
        <v>7114</v>
      </c>
      <c r="B7079" s="1" t="s">
        <v>214</v>
      </c>
      <c r="C7079" s="1" t="n">
        <v>401000</v>
      </c>
      <c r="D7079" s="1" t="n">
        <v>1377.6</v>
      </c>
      <c r="E7079" s="1" t="n">
        <v>0.0233</v>
      </c>
      <c r="F7079" s="1" t="n">
        <v>0.0759</v>
      </c>
    </row>
    <row r="7080" customFormat="false" ht="15" hidden="false" customHeight="false" outlineLevel="0" collapsed="false">
      <c r="A7080" s="1" t="s">
        <v>7115</v>
      </c>
      <c r="B7080" s="1" t="s">
        <v>92</v>
      </c>
      <c r="C7080" s="1" t="n">
        <v>355000</v>
      </c>
      <c r="D7080" s="1" t="n">
        <v>17322.5</v>
      </c>
      <c r="E7080" s="1" t="n">
        <v>0.0198</v>
      </c>
      <c r="F7080" s="1" t="n">
        <v>0.0759</v>
      </c>
    </row>
    <row r="7081" customFormat="false" ht="15" hidden="false" customHeight="false" outlineLevel="0" collapsed="false">
      <c r="A7081" s="1" t="s">
        <v>7116</v>
      </c>
      <c r="B7081" s="1" t="s">
        <v>92</v>
      </c>
      <c r="C7081" s="1" t="n">
        <v>286000</v>
      </c>
      <c r="D7081" s="1" t="n">
        <v>6672.3</v>
      </c>
      <c r="E7081" s="1" t="n">
        <v>0.0151</v>
      </c>
      <c r="F7081" s="1" t="n">
        <v>0.1067</v>
      </c>
    </row>
    <row r="7082" customFormat="false" ht="15" hidden="false" customHeight="false" outlineLevel="0" collapsed="false">
      <c r="A7082" s="1" t="s">
        <v>7117</v>
      </c>
      <c r="B7082" s="1" t="s">
        <v>24</v>
      </c>
      <c r="C7082" s="1" t="n">
        <v>376000</v>
      </c>
      <c r="D7082" s="1" t="n">
        <v>7639.1</v>
      </c>
      <c r="E7082" s="1" t="n">
        <v>0.0279</v>
      </c>
      <c r="F7082" s="1" t="n">
        <v>0.0759</v>
      </c>
    </row>
    <row r="7083" customFormat="false" ht="15" hidden="false" customHeight="false" outlineLevel="0" collapsed="false">
      <c r="A7083" s="1" t="s">
        <v>7118</v>
      </c>
      <c r="B7083" s="1" t="s">
        <v>41</v>
      </c>
      <c r="C7083" s="1" t="n">
        <v>303000</v>
      </c>
      <c r="D7083" s="1" t="n">
        <v>887.1</v>
      </c>
      <c r="E7083" s="1" t="n">
        <v>0.0124</v>
      </c>
      <c r="F7083" s="1" t="n">
        <v>0.052</v>
      </c>
    </row>
    <row r="7084" customFormat="false" ht="15" hidden="false" customHeight="false" outlineLevel="0" collapsed="false">
      <c r="A7084" s="1" t="s">
        <v>7119</v>
      </c>
      <c r="B7084" s="1" t="s">
        <v>26</v>
      </c>
      <c r="C7084" s="1" t="n">
        <v>319000</v>
      </c>
      <c r="D7084" s="1" t="n">
        <v>30025.4</v>
      </c>
      <c r="E7084" s="1" t="n">
        <v>0.0194</v>
      </c>
      <c r="F7084" s="1" t="n">
        <v>0.1067</v>
      </c>
    </row>
    <row r="7085" customFormat="false" ht="15" hidden="false" customHeight="false" outlineLevel="0" collapsed="false">
      <c r="A7085" s="1" t="s">
        <v>7120</v>
      </c>
      <c r="B7085" s="1" t="s">
        <v>26</v>
      </c>
      <c r="C7085" s="1" t="n">
        <v>402000</v>
      </c>
      <c r="D7085" s="1" t="n">
        <v>112921</v>
      </c>
      <c r="E7085" s="1" t="n">
        <v>0.044</v>
      </c>
      <c r="F7085" s="1" t="n">
        <v>0.0759</v>
      </c>
    </row>
    <row r="7086" customFormat="false" ht="15" hidden="false" customHeight="false" outlineLevel="0" collapsed="false">
      <c r="A7086" s="1" t="s">
        <v>7121</v>
      </c>
      <c r="B7086" s="1" t="s">
        <v>21</v>
      </c>
      <c r="C7086" s="1" t="n">
        <v>302000</v>
      </c>
      <c r="D7086" s="1" t="n">
        <v>590.4</v>
      </c>
      <c r="E7086" s="1" t="n">
        <v>0.0217</v>
      </c>
      <c r="F7086" s="1" t="n">
        <v>0.0937</v>
      </c>
    </row>
    <row r="7087" customFormat="false" ht="15" hidden="false" customHeight="false" outlineLevel="0" collapsed="false">
      <c r="A7087" s="1" t="s">
        <v>7122</v>
      </c>
      <c r="B7087" s="1" t="s">
        <v>41</v>
      </c>
      <c r="C7087" s="1" t="n">
        <v>472000</v>
      </c>
      <c r="D7087" s="1" t="n">
        <v>5377.6</v>
      </c>
      <c r="E7087" s="1" t="n">
        <v>0.0273</v>
      </c>
      <c r="F7087" s="1" t="n">
        <v>0.0938</v>
      </c>
    </row>
    <row r="7088" customFormat="false" ht="15" hidden="false" customHeight="false" outlineLevel="0" collapsed="false">
      <c r="A7088" s="1" t="s">
        <v>7123</v>
      </c>
      <c r="B7088" s="1" t="s">
        <v>21</v>
      </c>
      <c r="C7088" s="1" t="n">
        <v>345000</v>
      </c>
      <c r="D7088" s="1" t="n">
        <v>90127.5</v>
      </c>
      <c r="E7088" s="1" t="n">
        <v>0.0355</v>
      </c>
      <c r="F7088" s="1" t="n">
        <v>0.0759</v>
      </c>
    </row>
    <row r="7089" customFormat="false" ht="15" hidden="false" customHeight="false" outlineLevel="0" collapsed="false">
      <c r="A7089" s="1" t="s">
        <v>7124</v>
      </c>
      <c r="B7089" s="1" t="s">
        <v>21</v>
      </c>
      <c r="C7089" s="1" t="n">
        <v>273000</v>
      </c>
      <c r="D7089" s="1" t="n">
        <v>2418.6</v>
      </c>
      <c r="E7089" s="1" t="n">
        <v>0.0243</v>
      </c>
      <c r="F7089" s="1" t="n">
        <v>0.0409</v>
      </c>
    </row>
    <row r="7090" customFormat="false" ht="15" hidden="false" customHeight="false" outlineLevel="0" collapsed="false">
      <c r="A7090" s="1" t="s">
        <v>7125</v>
      </c>
      <c r="B7090" s="1" t="s">
        <v>81</v>
      </c>
      <c r="C7090" s="1" t="n">
        <v>305000</v>
      </c>
      <c r="D7090" s="1" t="n">
        <v>82.5</v>
      </c>
      <c r="F7090" s="1" t="n">
        <v>0.051</v>
      </c>
    </row>
    <row r="7091" customFormat="false" ht="15" hidden="false" customHeight="false" outlineLevel="0" collapsed="false">
      <c r="A7091" s="1" t="s">
        <v>7126</v>
      </c>
      <c r="B7091" s="1" t="s">
        <v>26</v>
      </c>
      <c r="C7091" s="1" t="n">
        <v>290000</v>
      </c>
      <c r="D7091" s="1" t="n">
        <v>23495.1</v>
      </c>
      <c r="E7091" s="1" t="n">
        <v>0.036</v>
      </c>
      <c r="F7091" s="1" t="n">
        <v>0.0759</v>
      </c>
    </row>
    <row r="7092" customFormat="false" ht="15" hidden="false" customHeight="false" outlineLevel="0" collapsed="false">
      <c r="A7092" s="1" t="s">
        <v>7127</v>
      </c>
      <c r="B7092" s="1" t="s">
        <v>88</v>
      </c>
      <c r="C7092" s="1" t="n">
        <v>466000</v>
      </c>
      <c r="D7092" s="1" t="n">
        <v>12326.5</v>
      </c>
      <c r="E7092" s="1" t="n">
        <v>0.0392</v>
      </c>
      <c r="F7092" s="1" t="n">
        <v>0.0938</v>
      </c>
    </row>
    <row r="7093" customFormat="false" ht="15" hidden="false" customHeight="false" outlineLevel="0" collapsed="false">
      <c r="A7093" s="1" t="s">
        <v>7128</v>
      </c>
      <c r="B7093" s="1" t="s">
        <v>26</v>
      </c>
      <c r="C7093" s="1" t="n">
        <v>276000</v>
      </c>
      <c r="D7093" s="1" t="n">
        <v>961</v>
      </c>
      <c r="E7093" s="1" t="n">
        <v>0.028</v>
      </c>
      <c r="F7093" s="1" t="n">
        <v>0.0951</v>
      </c>
    </row>
    <row r="7094" customFormat="false" ht="15" hidden="false" customHeight="false" outlineLevel="0" collapsed="false">
      <c r="A7094" s="1" t="s">
        <v>7129</v>
      </c>
      <c r="B7094" s="1" t="s">
        <v>32</v>
      </c>
      <c r="C7094" s="1" t="n">
        <v>318000</v>
      </c>
      <c r="D7094" s="1" t="n">
        <v>6146.7</v>
      </c>
      <c r="E7094" s="1" t="n">
        <v>0.0072</v>
      </c>
      <c r="F7094" s="1" t="n">
        <v>0.1886</v>
      </c>
    </row>
    <row r="7095" customFormat="false" ht="15" hidden="false" customHeight="false" outlineLevel="0" collapsed="false">
      <c r="A7095" s="1" t="s">
        <v>7130</v>
      </c>
      <c r="B7095" s="1" t="s">
        <v>88</v>
      </c>
      <c r="C7095" s="1" t="n">
        <v>368000</v>
      </c>
      <c r="D7095" s="1" t="n">
        <v>1205.5</v>
      </c>
      <c r="E7095" s="1" t="n">
        <v>0.0806</v>
      </c>
      <c r="F7095" s="1" t="n">
        <v>0.0938</v>
      </c>
    </row>
    <row r="7096" customFormat="false" ht="15" hidden="false" customHeight="false" outlineLevel="0" collapsed="false">
      <c r="A7096" s="1" t="s">
        <v>7131</v>
      </c>
      <c r="B7096" s="1" t="s">
        <v>214</v>
      </c>
      <c r="C7096" s="1" t="n">
        <v>315000</v>
      </c>
      <c r="D7096" s="1" t="n">
        <v>50929.3</v>
      </c>
      <c r="E7096" s="1" t="n">
        <v>0.0133</v>
      </c>
      <c r="F7096" s="1" t="n">
        <v>0.0549</v>
      </c>
    </row>
    <row r="7097" customFormat="false" ht="15" hidden="false" customHeight="false" outlineLevel="0" collapsed="false">
      <c r="A7097" s="1" t="s">
        <v>7132</v>
      </c>
      <c r="B7097" s="1" t="s">
        <v>92</v>
      </c>
      <c r="C7097" s="1" t="n">
        <v>276000</v>
      </c>
      <c r="D7097" s="1" t="n">
        <v>792.7</v>
      </c>
      <c r="E7097" s="1" t="n">
        <v>0.026</v>
      </c>
      <c r="F7097" s="1" t="n">
        <v>0.2064</v>
      </c>
    </row>
    <row r="7098" customFormat="false" ht="15" hidden="false" customHeight="false" outlineLevel="0" collapsed="false">
      <c r="A7098" s="1" t="s">
        <v>7133</v>
      </c>
      <c r="B7098" s="1" t="s">
        <v>26</v>
      </c>
      <c r="C7098" s="1" t="n">
        <v>363000</v>
      </c>
      <c r="D7098" s="1" t="n">
        <v>2298.9</v>
      </c>
      <c r="E7098" s="1" t="n">
        <v>0.0235</v>
      </c>
      <c r="F7098" s="1" t="n">
        <v>0.0938</v>
      </c>
    </row>
    <row r="7099" customFormat="false" ht="15" hidden="false" customHeight="false" outlineLevel="0" collapsed="false">
      <c r="A7099" s="1" t="s">
        <v>7134</v>
      </c>
      <c r="B7099" s="1" t="s">
        <v>21</v>
      </c>
      <c r="C7099" s="1" t="n">
        <v>345000</v>
      </c>
      <c r="D7099" s="1" t="n">
        <v>144409.3</v>
      </c>
      <c r="E7099" s="1" t="n">
        <v>0.0139</v>
      </c>
      <c r="F7099" s="1" t="n">
        <v>0.0661</v>
      </c>
    </row>
    <row r="7100" customFormat="false" ht="15" hidden="false" customHeight="false" outlineLevel="0" collapsed="false">
      <c r="A7100" s="1" t="s">
        <v>7135</v>
      </c>
      <c r="B7100" s="1" t="s">
        <v>26</v>
      </c>
      <c r="C7100" s="1" t="n">
        <v>324000</v>
      </c>
      <c r="D7100" s="1" t="n">
        <v>933.7</v>
      </c>
      <c r="E7100" s="1" t="n">
        <v>0.0122</v>
      </c>
      <c r="F7100" s="1" t="n">
        <v>0.0654</v>
      </c>
    </row>
    <row r="7101" customFormat="false" ht="15" hidden="false" customHeight="false" outlineLevel="0" collapsed="false">
      <c r="A7101" s="1" t="s">
        <v>7136</v>
      </c>
      <c r="B7101" s="1" t="s">
        <v>81</v>
      </c>
      <c r="C7101" s="1" t="n">
        <v>276000</v>
      </c>
      <c r="D7101" s="1" t="n">
        <v>4882.3</v>
      </c>
      <c r="E7101" s="1" t="n">
        <v>0.0823</v>
      </c>
      <c r="F7101" s="1" t="n">
        <v>0.0951</v>
      </c>
    </row>
    <row r="7102" customFormat="false" ht="15" hidden="false" customHeight="false" outlineLevel="0" collapsed="false">
      <c r="A7102" s="1" t="s">
        <v>7137</v>
      </c>
      <c r="B7102" s="1" t="s">
        <v>26</v>
      </c>
      <c r="C7102" s="1" t="n">
        <v>2260000</v>
      </c>
      <c r="D7102" s="1" t="n">
        <v>24201.7</v>
      </c>
      <c r="E7102" s="1" t="n">
        <v>0.0038</v>
      </c>
      <c r="F7102" s="1" t="n">
        <v>0.0811</v>
      </c>
    </row>
    <row r="7103" customFormat="false" ht="15" hidden="false" customHeight="false" outlineLevel="0" collapsed="false">
      <c r="A7103" s="1" t="s">
        <v>7138</v>
      </c>
      <c r="B7103" s="1" t="s">
        <v>62</v>
      </c>
      <c r="C7103" s="1" t="n">
        <v>574000</v>
      </c>
      <c r="D7103" s="1" t="n">
        <v>23951.5</v>
      </c>
      <c r="E7103" s="1" t="n">
        <v>0.0143</v>
      </c>
      <c r="F7103" s="1" t="n">
        <v>0.0657</v>
      </c>
    </row>
    <row r="7104" customFormat="false" ht="15" hidden="false" customHeight="false" outlineLevel="0" collapsed="false">
      <c r="A7104" s="1" t="s">
        <v>7139</v>
      </c>
      <c r="B7104" s="1" t="s">
        <v>24</v>
      </c>
      <c r="C7104" s="1" t="n">
        <v>275000</v>
      </c>
      <c r="D7104" s="1" t="n">
        <v>11927.7</v>
      </c>
      <c r="E7104" s="1" t="n">
        <v>0.0257</v>
      </c>
      <c r="F7104" s="1" t="n">
        <v>0.0951</v>
      </c>
    </row>
    <row r="7105" customFormat="false" ht="15" hidden="false" customHeight="false" outlineLevel="0" collapsed="false">
      <c r="A7105" s="1" t="s">
        <v>7140</v>
      </c>
      <c r="B7105" s="1" t="s">
        <v>92</v>
      </c>
      <c r="C7105" s="1" t="n">
        <v>278000</v>
      </c>
      <c r="D7105" s="1" t="n">
        <v>2073.7</v>
      </c>
      <c r="E7105" s="1" t="n">
        <v>0.0158</v>
      </c>
      <c r="F7105" s="1" t="n">
        <v>0.3868</v>
      </c>
    </row>
    <row r="7106" customFormat="false" ht="15" hidden="false" customHeight="false" outlineLevel="0" collapsed="false">
      <c r="A7106" s="1" t="s">
        <v>7141</v>
      </c>
      <c r="B7106" s="1" t="s">
        <v>214</v>
      </c>
      <c r="C7106" s="1" t="n">
        <v>924000</v>
      </c>
      <c r="D7106" s="1" t="n">
        <v>35194.4</v>
      </c>
      <c r="E7106" s="1" t="n">
        <v>0.033</v>
      </c>
      <c r="F7106" s="1" t="n">
        <v>0.051</v>
      </c>
    </row>
    <row r="7107" customFormat="false" ht="15" hidden="false" customHeight="false" outlineLevel="0" collapsed="false">
      <c r="A7107" s="1" t="s">
        <v>7142</v>
      </c>
      <c r="B7107" s="1" t="s">
        <v>26</v>
      </c>
      <c r="C7107" s="1" t="n">
        <v>329000</v>
      </c>
      <c r="D7107" s="1" t="n">
        <v>47519.9</v>
      </c>
      <c r="E7107" s="1" t="n">
        <v>0.0698</v>
      </c>
      <c r="F7107" s="1" t="n">
        <v>0.0951</v>
      </c>
    </row>
    <row r="7108" customFormat="false" ht="15" hidden="false" customHeight="false" outlineLevel="0" collapsed="false">
      <c r="A7108" s="1" t="s">
        <v>7143</v>
      </c>
      <c r="B7108" s="1" t="s">
        <v>71</v>
      </c>
      <c r="C7108" s="1" t="n">
        <v>392000</v>
      </c>
      <c r="D7108" s="1" t="n">
        <v>6728.1</v>
      </c>
      <c r="E7108" s="1" t="n">
        <v>0.0466</v>
      </c>
      <c r="F7108" s="1" t="n">
        <v>0.0938</v>
      </c>
    </row>
    <row r="7109" customFormat="false" ht="15" hidden="false" customHeight="false" outlineLevel="0" collapsed="false">
      <c r="A7109" s="1" t="s">
        <v>7144</v>
      </c>
      <c r="B7109" s="1" t="s">
        <v>214</v>
      </c>
      <c r="C7109" s="1" t="n">
        <v>305000</v>
      </c>
      <c r="D7109" s="1" t="n">
        <v>10498.7</v>
      </c>
      <c r="E7109" s="1" t="n">
        <v>0.0408</v>
      </c>
      <c r="F7109" s="1" t="n">
        <v>0.0951</v>
      </c>
    </row>
    <row r="7110" customFormat="false" ht="15" hidden="false" customHeight="false" outlineLevel="0" collapsed="false">
      <c r="A7110" s="1" t="s">
        <v>7145</v>
      </c>
      <c r="B7110" s="1" t="s">
        <v>26</v>
      </c>
      <c r="C7110" s="1" t="n">
        <v>328000</v>
      </c>
      <c r="D7110" s="1" t="n">
        <v>9890.7</v>
      </c>
      <c r="E7110" s="1" t="n">
        <v>0.0253</v>
      </c>
      <c r="F7110" s="1" t="n">
        <v>0.0672</v>
      </c>
    </row>
    <row r="7111" customFormat="false" ht="15" hidden="false" customHeight="false" outlineLevel="0" collapsed="false">
      <c r="A7111" s="1" t="s">
        <v>7146</v>
      </c>
      <c r="B7111" s="1" t="s">
        <v>26</v>
      </c>
      <c r="C7111" s="1" t="n">
        <v>724000</v>
      </c>
      <c r="D7111" s="1" t="n">
        <v>183329.6</v>
      </c>
      <c r="E7111" s="1" t="n">
        <v>0.0358</v>
      </c>
      <c r="F7111" s="1" t="n">
        <v>0.0759</v>
      </c>
    </row>
    <row r="7112" customFormat="false" ht="15" hidden="false" customHeight="false" outlineLevel="0" collapsed="false">
      <c r="A7112" s="1" t="s">
        <v>7147</v>
      </c>
      <c r="B7112" s="1" t="s">
        <v>88</v>
      </c>
      <c r="C7112" s="1" t="n">
        <v>340000</v>
      </c>
      <c r="D7112" s="1" t="n">
        <v>498.7</v>
      </c>
      <c r="E7112" s="1" t="n">
        <v>0.0578</v>
      </c>
      <c r="F7112" s="1" t="n">
        <v>0.0759</v>
      </c>
    </row>
    <row r="7113" customFormat="false" ht="15" hidden="false" customHeight="false" outlineLevel="0" collapsed="false">
      <c r="A7113" s="1" t="s">
        <v>7148</v>
      </c>
      <c r="B7113" s="1" t="s">
        <v>81</v>
      </c>
      <c r="C7113" s="1" t="n">
        <v>307000</v>
      </c>
      <c r="D7113" s="1" t="n">
        <v>6487.7</v>
      </c>
      <c r="E7113" s="1" t="n">
        <v>0.0189</v>
      </c>
      <c r="F7113" s="1" t="n">
        <v>0.0608</v>
      </c>
    </row>
    <row r="7114" customFormat="false" ht="15" hidden="false" customHeight="false" outlineLevel="0" collapsed="false">
      <c r="A7114" s="1" t="s">
        <v>7149</v>
      </c>
      <c r="B7114" s="1" t="s">
        <v>26</v>
      </c>
      <c r="C7114" s="1" t="n">
        <v>273000</v>
      </c>
      <c r="D7114" s="1" t="n">
        <v>482.9</v>
      </c>
      <c r="E7114" s="1" t="n">
        <v>0.0285</v>
      </c>
      <c r="F7114" s="1" t="n">
        <v>0.0518</v>
      </c>
    </row>
    <row r="7115" customFormat="false" ht="15" hidden="false" customHeight="false" outlineLevel="0" collapsed="false">
      <c r="A7115" s="1" t="s">
        <v>7150</v>
      </c>
      <c r="B7115" s="1" t="s">
        <v>71</v>
      </c>
      <c r="C7115" s="1" t="n">
        <v>291000</v>
      </c>
      <c r="D7115" s="1" t="n">
        <v>3161.9</v>
      </c>
      <c r="E7115" s="1" t="n">
        <v>0.0363</v>
      </c>
      <c r="F7115" s="1" t="n">
        <v>0.0759</v>
      </c>
    </row>
    <row r="7116" customFormat="false" ht="15" hidden="false" customHeight="false" outlineLevel="0" collapsed="false">
      <c r="A7116" s="1" t="s">
        <v>7151</v>
      </c>
      <c r="B7116" s="1" t="s">
        <v>26</v>
      </c>
      <c r="C7116" s="1" t="n">
        <v>314000</v>
      </c>
      <c r="D7116" s="1" t="n">
        <v>1449.8</v>
      </c>
      <c r="E7116" s="1" t="n">
        <v>0.0302</v>
      </c>
      <c r="F7116" s="1" t="n">
        <v>0.0518</v>
      </c>
    </row>
    <row r="7117" customFormat="false" ht="15" hidden="false" customHeight="false" outlineLevel="0" collapsed="false">
      <c r="A7117" s="1" t="s">
        <v>7152</v>
      </c>
      <c r="B7117" s="1" t="s">
        <v>195</v>
      </c>
      <c r="C7117" s="1" t="n">
        <v>273000</v>
      </c>
      <c r="D7117" s="1" t="n">
        <v>1349.7</v>
      </c>
      <c r="E7117" s="1" t="n">
        <v>0.0042</v>
      </c>
      <c r="F7117" s="1" t="n">
        <v>0.0654</v>
      </c>
    </row>
    <row r="7118" customFormat="false" ht="15" hidden="false" customHeight="false" outlineLevel="0" collapsed="false">
      <c r="A7118" s="1" t="s">
        <v>7153</v>
      </c>
      <c r="B7118" s="1" t="s">
        <v>71</v>
      </c>
      <c r="C7118" s="1" t="n">
        <v>285000</v>
      </c>
      <c r="D7118" s="1" t="n">
        <v>525799.1</v>
      </c>
      <c r="E7118" s="1" t="n">
        <v>0.0107</v>
      </c>
      <c r="F7118" s="1" t="n">
        <v>0.0736</v>
      </c>
    </row>
    <row r="7119" customFormat="false" ht="15" hidden="false" customHeight="false" outlineLevel="0" collapsed="false">
      <c r="A7119" s="1" t="s">
        <v>7154</v>
      </c>
      <c r="B7119" s="1" t="s">
        <v>26</v>
      </c>
      <c r="C7119" s="1" t="n">
        <v>316000</v>
      </c>
      <c r="D7119" s="1" t="n">
        <v>322398.4</v>
      </c>
      <c r="E7119" s="1" t="n">
        <v>0.0119</v>
      </c>
      <c r="F7119" s="1" t="n">
        <v>0.0462</v>
      </c>
    </row>
    <row r="7120" customFormat="false" ht="15" hidden="false" customHeight="false" outlineLevel="0" collapsed="false">
      <c r="A7120" s="1" t="s">
        <v>7155</v>
      </c>
      <c r="B7120" s="1" t="s">
        <v>24</v>
      </c>
      <c r="C7120" s="1" t="n">
        <v>298000</v>
      </c>
      <c r="D7120" s="1" t="n">
        <v>700564.9</v>
      </c>
      <c r="E7120" s="1" t="n">
        <v>0.0259</v>
      </c>
      <c r="F7120" s="1" t="n">
        <v>0.0845</v>
      </c>
    </row>
    <row r="7121" customFormat="false" ht="15" hidden="false" customHeight="false" outlineLevel="0" collapsed="false">
      <c r="A7121" s="1" t="s">
        <v>7156</v>
      </c>
      <c r="B7121" s="1" t="s">
        <v>195</v>
      </c>
      <c r="C7121" s="1" t="n">
        <v>309000</v>
      </c>
      <c r="D7121" s="1" t="n">
        <v>1192</v>
      </c>
      <c r="E7121" s="1" t="n">
        <v>0.0138</v>
      </c>
      <c r="F7121" s="1" t="n">
        <v>0.0854</v>
      </c>
    </row>
    <row r="7122" customFormat="false" ht="15" hidden="false" customHeight="false" outlineLevel="0" collapsed="false">
      <c r="A7122" s="1" t="s">
        <v>7157</v>
      </c>
      <c r="B7122" s="1" t="s">
        <v>21</v>
      </c>
      <c r="C7122" s="1" t="n">
        <v>334000</v>
      </c>
      <c r="D7122" s="1" t="n">
        <v>7947.6</v>
      </c>
      <c r="E7122" s="1" t="n">
        <v>0.0476</v>
      </c>
      <c r="F7122" s="1" t="n">
        <v>0.0759</v>
      </c>
    </row>
    <row r="7123" customFormat="false" ht="15" hidden="false" customHeight="false" outlineLevel="0" collapsed="false">
      <c r="A7123" s="1" t="s">
        <v>7158</v>
      </c>
      <c r="B7123" s="1" t="s">
        <v>62</v>
      </c>
      <c r="C7123" s="1" t="n">
        <v>304000</v>
      </c>
      <c r="D7123" s="1" t="n">
        <v>20923.3</v>
      </c>
      <c r="E7123" s="1" t="n">
        <v>0.026</v>
      </c>
      <c r="F7123" s="1" t="n">
        <v>0.0518</v>
      </c>
    </row>
    <row r="7124" customFormat="false" ht="15" hidden="false" customHeight="false" outlineLevel="0" collapsed="false">
      <c r="A7124" s="1" t="s">
        <v>7159</v>
      </c>
      <c r="B7124" s="1" t="s">
        <v>26</v>
      </c>
      <c r="C7124" s="1" t="n">
        <v>403000</v>
      </c>
      <c r="D7124" s="1" t="n">
        <v>110.4</v>
      </c>
      <c r="E7124" s="1" t="n">
        <v>0.0527</v>
      </c>
      <c r="F7124" s="1" t="n">
        <v>0.0938</v>
      </c>
    </row>
    <row r="7125" customFormat="false" ht="15" hidden="false" customHeight="false" outlineLevel="0" collapsed="false">
      <c r="A7125" s="1" t="s">
        <v>7160</v>
      </c>
      <c r="B7125" s="1" t="s">
        <v>26</v>
      </c>
      <c r="C7125" s="1" t="n">
        <v>284000</v>
      </c>
      <c r="D7125" s="1" t="n">
        <v>1158.2</v>
      </c>
      <c r="E7125" s="1" t="n">
        <v>0.0291</v>
      </c>
      <c r="F7125" s="1" t="n">
        <v>0.0951</v>
      </c>
    </row>
    <row r="7126" customFormat="false" ht="15" hidden="false" customHeight="false" outlineLevel="0" collapsed="false">
      <c r="A7126" s="1" t="s">
        <v>7161</v>
      </c>
      <c r="B7126" s="1" t="s">
        <v>41</v>
      </c>
      <c r="C7126" s="1" t="n">
        <v>490000</v>
      </c>
      <c r="D7126" s="1" t="n">
        <v>11.8</v>
      </c>
      <c r="E7126" s="1" t="n">
        <v>0.0167</v>
      </c>
      <c r="F7126" s="1" t="n">
        <v>0.4576</v>
      </c>
    </row>
    <row r="7127" customFormat="false" ht="15" hidden="false" customHeight="false" outlineLevel="0" collapsed="false">
      <c r="A7127" s="1" t="s">
        <v>7162</v>
      </c>
      <c r="B7127" s="1" t="s">
        <v>26</v>
      </c>
      <c r="C7127" s="1" t="n">
        <v>470000</v>
      </c>
      <c r="D7127" s="1" t="n">
        <v>12730</v>
      </c>
      <c r="E7127" s="1" t="n">
        <v>0.0539</v>
      </c>
      <c r="F7127" s="1" t="n">
        <v>0.0759</v>
      </c>
    </row>
    <row r="7128" customFormat="false" ht="15" hidden="false" customHeight="false" outlineLevel="0" collapsed="false">
      <c r="A7128" s="1" t="s">
        <v>7163</v>
      </c>
      <c r="B7128" s="1" t="s">
        <v>26</v>
      </c>
      <c r="C7128" s="1" t="n">
        <v>273000</v>
      </c>
      <c r="D7128" s="1" t="n">
        <v>721.3</v>
      </c>
      <c r="E7128" s="1" t="n">
        <v>0.0117</v>
      </c>
      <c r="F7128" s="1" t="n">
        <v>0.0822</v>
      </c>
    </row>
    <row r="7129" customFormat="false" ht="15" hidden="false" customHeight="false" outlineLevel="0" collapsed="false">
      <c r="A7129" s="1" t="s">
        <v>7164</v>
      </c>
      <c r="B7129" s="1" t="s">
        <v>92</v>
      </c>
      <c r="C7129" s="1" t="n">
        <v>302000</v>
      </c>
      <c r="D7129" s="1" t="n">
        <v>6019.5</v>
      </c>
      <c r="E7129" s="1" t="n">
        <v>0.0379</v>
      </c>
      <c r="F7129" s="1" t="n">
        <v>0.0759</v>
      </c>
    </row>
    <row r="7130" customFormat="false" ht="15" hidden="false" customHeight="false" outlineLevel="0" collapsed="false">
      <c r="A7130" s="1" t="s">
        <v>7165</v>
      </c>
      <c r="B7130" s="1" t="s">
        <v>26</v>
      </c>
      <c r="C7130" s="1" t="n">
        <v>460000</v>
      </c>
      <c r="D7130" s="1" t="n">
        <v>106891.2</v>
      </c>
      <c r="E7130" s="1" t="n">
        <v>0.0357</v>
      </c>
      <c r="F7130" s="1" t="n">
        <v>0.0759</v>
      </c>
    </row>
    <row r="7131" customFormat="false" ht="15" hidden="false" customHeight="false" outlineLevel="0" collapsed="false">
      <c r="A7131" s="1" t="s">
        <v>7166</v>
      </c>
      <c r="B7131" s="1" t="s">
        <v>81</v>
      </c>
      <c r="C7131" s="1" t="n">
        <v>555000</v>
      </c>
      <c r="D7131" s="1" t="n">
        <v>26039.8</v>
      </c>
      <c r="E7131" s="1" t="n">
        <v>0.0268</v>
      </c>
      <c r="F7131" s="1" t="n">
        <v>0.0759</v>
      </c>
    </row>
    <row r="7132" customFormat="false" ht="15" hidden="false" customHeight="false" outlineLevel="0" collapsed="false">
      <c r="A7132" s="1" t="s">
        <v>7167</v>
      </c>
      <c r="B7132" s="1" t="s">
        <v>214</v>
      </c>
      <c r="C7132" s="1" t="n">
        <v>311000</v>
      </c>
      <c r="D7132" s="1" t="n">
        <v>2833.9</v>
      </c>
      <c r="E7132" s="1" t="n">
        <v>0.0239</v>
      </c>
      <c r="F7132" s="1" t="n">
        <v>0.0759</v>
      </c>
    </row>
    <row r="7133" customFormat="false" ht="15" hidden="false" customHeight="false" outlineLevel="0" collapsed="false">
      <c r="A7133" s="1" t="s">
        <v>7168</v>
      </c>
      <c r="B7133" s="1" t="s">
        <v>88</v>
      </c>
      <c r="C7133" s="1" t="n">
        <v>393000</v>
      </c>
      <c r="D7133" s="1" t="n">
        <v>620.1</v>
      </c>
      <c r="E7133" s="1" t="n">
        <v>0.0144</v>
      </c>
      <c r="F7133" s="1" t="n">
        <v>0.0576</v>
      </c>
    </row>
    <row r="7134" customFormat="false" ht="15" hidden="false" customHeight="false" outlineLevel="0" collapsed="false">
      <c r="A7134" s="1" t="s">
        <v>7169</v>
      </c>
      <c r="B7134" s="1" t="s">
        <v>41</v>
      </c>
      <c r="C7134" s="1" t="n">
        <v>555000</v>
      </c>
      <c r="D7134" s="1" t="n">
        <v>1824.9</v>
      </c>
      <c r="E7134" s="1" t="n">
        <v>0.0898</v>
      </c>
      <c r="F7134" s="1" t="n">
        <v>0.0759</v>
      </c>
    </row>
    <row r="7135" customFormat="false" ht="15" hidden="false" customHeight="false" outlineLevel="0" collapsed="false">
      <c r="A7135" s="1" t="s">
        <v>7170</v>
      </c>
      <c r="B7135" s="1" t="s">
        <v>41</v>
      </c>
      <c r="C7135" s="1" t="n">
        <v>279000</v>
      </c>
      <c r="D7135" s="1" t="n">
        <v>708.9</v>
      </c>
      <c r="E7135" s="1" t="n">
        <v>0.0379</v>
      </c>
      <c r="F7135" s="1" t="n">
        <v>0.301</v>
      </c>
    </row>
    <row r="7136" customFormat="false" ht="15" hidden="false" customHeight="false" outlineLevel="0" collapsed="false">
      <c r="A7136" s="1" t="s">
        <v>7171</v>
      </c>
      <c r="B7136" s="1" t="s">
        <v>21</v>
      </c>
      <c r="C7136" s="1" t="n">
        <v>273000</v>
      </c>
      <c r="D7136" s="1" t="n">
        <v>26317.5</v>
      </c>
      <c r="E7136" s="1" t="n">
        <v>0.0578</v>
      </c>
      <c r="F7136" s="1" t="n">
        <v>0.0845</v>
      </c>
    </row>
    <row r="7137" customFormat="false" ht="15" hidden="false" customHeight="false" outlineLevel="0" collapsed="false">
      <c r="A7137" s="1" t="s">
        <v>7172</v>
      </c>
      <c r="B7137" s="1" t="s">
        <v>26</v>
      </c>
      <c r="C7137" s="1" t="n">
        <v>296000</v>
      </c>
      <c r="D7137" s="1" t="n">
        <v>4087.2</v>
      </c>
      <c r="E7137" s="1" t="n">
        <v>0.0424</v>
      </c>
      <c r="F7137" s="1" t="n">
        <v>0.0951</v>
      </c>
    </row>
    <row r="7138" customFormat="false" ht="15" hidden="false" customHeight="false" outlineLevel="0" collapsed="false">
      <c r="A7138" s="1" t="s">
        <v>7173</v>
      </c>
      <c r="B7138" s="1" t="s">
        <v>24</v>
      </c>
      <c r="C7138" s="1" t="n">
        <v>408000</v>
      </c>
      <c r="D7138" s="1" t="n">
        <v>23982.6</v>
      </c>
      <c r="E7138" s="1" t="n">
        <v>0.0217</v>
      </c>
      <c r="F7138" s="1" t="n">
        <v>0.0854</v>
      </c>
    </row>
    <row r="7139" customFormat="false" ht="15" hidden="false" customHeight="false" outlineLevel="0" collapsed="false">
      <c r="A7139" s="1" t="s">
        <v>7174</v>
      </c>
      <c r="B7139" s="1" t="s">
        <v>41</v>
      </c>
      <c r="C7139" s="1" t="n">
        <v>286000</v>
      </c>
      <c r="D7139" s="1" t="n">
        <v>26.2</v>
      </c>
      <c r="E7139" s="1" t="n">
        <v>0.0075</v>
      </c>
      <c r="F7139" s="1" t="n">
        <v>0.2095</v>
      </c>
    </row>
    <row r="7140" customFormat="false" ht="15" hidden="false" customHeight="false" outlineLevel="0" collapsed="false">
      <c r="A7140" s="1" t="s">
        <v>7175</v>
      </c>
      <c r="B7140" s="1" t="s">
        <v>53</v>
      </c>
      <c r="C7140" s="1" t="n">
        <v>422000</v>
      </c>
      <c r="D7140" s="1" t="n">
        <v>917.3</v>
      </c>
      <c r="E7140" s="1" t="n">
        <v>0.067</v>
      </c>
      <c r="F7140" s="1" t="n">
        <v>0.0938</v>
      </c>
    </row>
    <row r="7141" customFormat="false" ht="15" hidden="false" customHeight="false" outlineLevel="0" collapsed="false">
      <c r="A7141" s="1" t="s">
        <v>7176</v>
      </c>
      <c r="B7141" s="1" t="s">
        <v>62</v>
      </c>
      <c r="C7141" s="1" t="n">
        <v>559000</v>
      </c>
      <c r="D7141" s="1" t="n">
        <v>3022.6</v>
      </c>
      <c r="E7141" s="1" t="n">
        <v>0.0151</v>
      </c>
      <c r="F7141" s="1" t="n">
        <v>0.1712</v>
      </c>
    </row>
    <row r="7142" customFormat="false" ht="15" hidden="false" customHeight="false" outlineLevel="0" collapsed="false">
      <c r="A7142" s="1" t="s">
        <v>7177</v>
      </c>
      <c r="B7142" s="1" t="s">
        <v>62</v>
      </c>
      <c r="C7142" s="1" t="n">
        <v>386000</v>
      </c>
      <c r="D7142" s="1" t="n">
        <v>24278.6</v>
      </c>
      <c r="E7142" s="1" t="n">
        <v>0.0686</v>
      </c>
      <c r="F7142" s="1" t="n">
        <v>0.0759</v>
      </c>
    </row>
    <row r="7143" customFormat="false" ht="15" hidden="false" customHeight="false" outlineLevel="0" collapsed="false">
      <c r="A7143" s="1" t="s">
        <v>7178</v>
      </c>
      <c r="B7143" s="1" t="s">
        <v>81</v>
      </c>
      <c r="C7143" s="1" t="n">
        <v>312000</v>
      </c>
      <c r="D7143" s="1" t="n">
        <v>13783.9</v>
      </c>
      <c r="E7143" s="1" t="n">
        <v>0.0348</v>
      </c>
      <c r="F7143" s="1" t="n">
        <v>0.0759</v>
      </c>
    </row>
    <row r="7144" customFormat="false" ht="15" hidden="false" customHeight="false" outlineLevel="0" collapsed="false">
      <c r="A7144" s="1" t="s">
        <v>7179</v>
      </c>
      <c r="B7144" s="1" t="s">
        <v>26</v>
      </c>
      <c r="C7144" s="1" t="n">
        <v>267000</v>
      </c>
      <c r="D7144" s="1" t="n">
        <v>8827.6</v>
      </c>
      <c r="E7144" s="1" t="n">
        <v>0.0301</v>
      </c>
      <c r="F7144" s="1" t="n">
        <v>0.0951</v>
      </c>
    </row>
    <row r="7145" customFormat="false" ht="15" hidden="false" customHeight="false" outlineLevel="0" collapsed="false">
      <c r="A7145" s="1" t="s">
        <v>7180</v>
      </c>
      <c r="B7145" s="1" t="s">
        <v>24</v>
      </c>
      <c r="C7145" s="1" t="n">
        <v>312000</v>
      </c>
      <c r="D7145" s="1" t="n">
        <v>9697.5</v>
      </c>
      <c r="E7145" s="1" t="n">
        <v>0.0764</v>
      </c>
      <c r="F7145" s="1" t="n">
        <v>0.0938</v>
      </c>
    </row>
    <row r="7146" customFormat="false" ht="15" hidden="false" customHeight="false" outlineLevel="0" collapsed="false">
      <c r="A7146" s="1" t="s">
        <v>7181</v>
      </c>
      <c r="B7146" s="1" t="s">
        <v>26</v>
      </c>
      <c r="C7146" s="1" t="n">
        <v>270000</v>
      </c>
      <c r="D7146" s="1" t="n">
        <v>3374.1</v>
      </c>
      <c r="E7146" s="1" t="n">
        <v>0.0509</v>
      </c>
      <c r="F7146" s="1" t="n">
        <v>0.0951</v>
      </c>
    </row>
    <row r="7147" customFormat="false" ht="15" hidden="false" customHeight="false" outlineLevel="0" collapsed="false">
      <c r="A7147" s="1" t="s">
        <v>7182</v>
      </c>
      <c r="B7147" s="1" t="s">
        <v>26</v>
      </c>
      <c r="C7147" s="1" t="n">
        <v>345000</v>
      </c>
      <c r="D7147" s="1" t="n">
        <v>11806.2</v>
      </c>
      <c r="E7147" s="1" t="n">
        <v>0.0197</v>
      </c>
      <c r="F7147" s="1" t="n">
        <v>0.0576</v>
      </c>
    </row>
    <row r="7148" customFormat="false" ht="15" hidden="false" customHeight="false" outlineLevel="0" collapsed="false">
      <c r="A7148" s="1" t="s">
        <v>7183</v>
      </c>
      <c r="B7148" s="1" t="s">
        <v>214</v>
      </c>
      <c r="C7148" s="1" t="n">
        <v>274000</v>
      </c>
      <c r="D7148" s="1" t="n">
        <v>488.2</v>
      </c>
      <c r="E7148" s="1" t="n">
        <v>0.0491</v>
      </c>
      <c r="F7148" s="1" t="n">
        <v>0.0951</v>
      </c>
    </row>
    <row r="7149" customFormat="false" ht="15" hidden="false" customHeight="false" outlineLevel="0" collapsed="false">
      <c r="A7149" s="1" t="s">
        <v>7184</v>
      </c>
      <c r="B7149" s="1" t="s">
        <v>88</v>
      </c>
      <c r="C7149" s="1" t="n">
        <v>338000</v>
      </c>
      <c r="D7149" s="1" t="n">
        <v>1490.3</v>
      </c>
      <c r="E7149" s="1" t="n">
        <v>0.0505</v>
      </c>
      <c r="F7149" s="1" t="n">
        <v>0.0672</v>
      </c>
    </row>
    <row r="7150" customFormat="false" ht="15" hidden="false" customHeight="false" outlineLevel="0" collapsed="false">
      <c r="A7150" s="1" t="s">
        <v>7185</v>
      </c>
      <c r="B7150" s="1" t="s">
        <v>74</v>
      </c>
      <c r="C7150" s="1" t="n">
        <v>344000</v>
      </c>
      <c r="D7150" s="1" t="n">
        <v>5216.1</v>
      </c>
      <c r="E7150" s="1" t="n">
        <v>0.0578</v>
      </c>
      <c r="F7150" s="1" t="n">
        <v>0.0759</v>
      </c>
    </row>
    <row r="7151" customFormat="false" ht="15" hidden="false" customHeight="false" outlineLevel="0" collapsed="false">
      <c r="A7151" s="1" t="s">
        <v>7186</v>
      </c>
      <c r="B7151" s="1" t="s">
        <v>26</v>
      </c>
      <c r="C7151" s="1" t="n">
        <v>428000</v>
      </c>
      <c r="D7151" s="1" t="n">
        <v>10568.2</v>
      </c>
      <c r="E7151" s="1" t="n">
        <v>0.0203</v>
      </c>
      <c r="F7151" s="1" t="n">
        <v>0.1053</v>
      </c>
    </row>
    <row r="7152" customFormat="false" ht="15" hidden="false" customHeight="false" outlineLevel="0" collapsed="false">
      <c r="A7152" s="1" t="s">
        <v>7187</v>
      </c>
      <c r="B7152" s="1" t="s">
        <v>26</v>
      </c>
      <c r="C7152" s="1" t="n">
        <v>299000</v>
      </c>
      <c r="D7152" s="1" t="n">
        <v>1640.3</v>
      </c>
      <c r="E7152" s="1" t="n">
        <v>0.0099</v>
      </c>
      <c r="F7152" s="1" t="n">
        <v>0.0822</v>
      </c>
    </row>
    <row r="7153" customFormat="false" ht="15" hidden="false" customHeight="false" outlineLevel="0" collapsed="false">
      <c r="A7153" s="1" t="s">
        <v>7188</v>
      </c>
      <c r="B7153" s="1" t="s">
        <v>74</v>
      </c>
      <c r="C7153" s="1" t="n">
        <v>284000</v>
      </c>
      <c r="D7153" s="1" t="n">
        <v>9792.8</v>
      </c>
      <c r="E7153" s="1" t="n">
        <v>0.0527</v>
      </c>
      <c r="F7153" s="1" t="n">
        <v>0.0951</v>
      </c>
    </row>
    <row r="7154" customFormat="false" ht="15" hidden="false" customHeight="false" outlineLevel="0" collapsed="false">
      <c r="A7154" s="1" t="s">
        <v>7189</v>
      </c>
      <c r="B7154" s="1" t="s">
        <v>26</v>
      </c>
      <c r="C7154" s="1" t="n">
        <v>269000</v>
      </c>
      <c r="D7154" s="1" t="n">
        <v>406030.3</v>
      </c>
      <c r="E7154" s="1" t="n">
        <v>0.0505</v>
      </c>
      <c r="F7154" s="1" t="n">
        <v>0.0845</v>
      </c>
    </row>
    <row r="7155" customFormat="false" ht="15" hidden="false" customHeight="false" outlineLevel="0" collapsed="false">
      <c r="A7155" s="1" t="s">
        <v>7190</v>
      </c>
      <c r="B7155" s="1" t="s">
        <v>26</v>
      </c>
      <c r="C7155" s="1" t="n">
        <v>274000</v>
      </c>
      <c r="D7155" s="1" t="n">
        <v>4332.8</v>
      </c>
      <c r="E7155" s="1" t="n">
        <v>0.0604</v>
      </c>
      <c r="F7155" s="1" t="n">
        <v>0.0951</v>
      </c>
    </row>
    <row r="7156" customFormat="false" ht="15" hidden="false" customHeight="false" outlineLevel="0" collapsed="false">
      <c r="A7156" s="1" t="s">
        <v>7191</v>
      </c>
      <c r="B7156" s="1" t="s">
        <v>74</v>
      </c>
      <c r="C7156" s="1" t="n">
        <v>408000</v>
      </c>
      <c r="D7156" s="1" t="n">
        <v>71657.4</v>
      </c>
      <c r="E7156" s="1" t="n">
        <v>0.0292</v>
      </c>
      <c r="F7156" s="1" t="n">
        <v>0.0951</v>
      </c>
    </row>
    <row r="7157" customFormat="false" ht="15" hidden="false" customHeight="false" outlineLevel="0" collapsed="false">
      <c r="A7157" s="1" t="s">
        <v>7192</v>
      </c>
      <c r="B7157" s="1" t="s">
        <v>71</v>
      </c>
      <c r="C7157" s="1" t="n">
        <v>337000</v>
      </c>
      <c r="D7157" s="1" t="n">
        <v>70343.3</v>
      </c>
      <c r="E7157" s="1" t="n">
        <v>0.0299</v>
      </c>
      <c r="F7157" s="1" t="n">
        <v>0.0759</v>
      </c>
    </row>
    <row r="7158" customFormat="false" ht="15" hidden="false" customHeight="false" outlineLevel="0" collapsed="false">
      <c r="A7158" s="1" t="s">
        <v>7193</v>
      </c>
      <c r="B7158" s="1" t="s">
        <v>41</v>
      </c>
      <c r="C7158" s="1" t="n">
        <v>303000</v>
      </c>
      <c r="D7158" s="1" t="n">
        <v>6025.7</v>
      </c>
      <c r="E7158" s="1" t="n">
        <v>0.0218</v>
      </c>
      <c r="F7158" s="1" t="n">
        <v>0.051</v>
      </c>
    </row>
    <row r="7159" customFormat="false" ht="15" hidden="false" customHeight="false" outlineLevel="0" collapsed="false">
      <c r="A7159" s="1" t="s">
        <v>7194</v>
      </c>
      <c r="B7159" s="1" t="s">
        <v>21</v>
      </c>
      <c r="C7159" s="1" t="n">
        <v>271000</v>
      </c>
      <c r="D7159" s="1" t="n">
        <v>7164.2</v>
      </c>
      <c r="E7159" s="1" t="n">
        <v>0.0318</v>
      </c>
      <c r="F7159" s="1" t="n">
        <v>0.0518</v>
      </c>
    </row>
    <row r="7160" customFormat="false" ht="15" hidden="false" customHeight="false" outlineLevel="0" collapsed="false">
      <c r="A7160" s="1" t="s">
        <v>7195</v>
      </c>
      <c r="B7160" s="1" t="s">
        <v>26</v>
      </c>
      <c r="C7160" s="1" t="n">
        <v>293000</v>
      </c>
      <c r="D7160" s="1" t="n">
        <v>90244.5</v>
      </c>
      <c r="E7160" s="1" t="n">
        <v>0.064</v>
      </c>
      <c r="F7160" s="1" t="n">
        <v>0.0845</v>
      </c>
    </row>
    <row r="7161" customFormat="false" ht="15" hidden="false" customHeight="false" outlineLevel="0" collapsed="false">
      <c r="A7161" s="1" t="s">
        <v>7196</v>
      </c>
      <c r="B7161" s="1" t="s">
        <v>26</v>
      </c>
      <c r="C7161" s="1" t="n">
        <v>398000</v>
      </c>
      <c r="D7161" s="1" t="n">
        <v>3796</v>
      </c>
      <c r="E7161" s="1" t="n">
        <v>0.0436</v>
      </c>
      <c r="F7161" s="1" t="n">
        <v>0.0951</v>
      </c>
    </row>
    <row r="7162" customFormat="false" ht="15" hidden="false" customHeight="false" outlineLevel="0" collapsed="false">
      <c r="A7162" s="1" t="s">
        <v>7197</v>
      </c>
      <c r="B7162" s="1" t="s">
        <v>74</v>
      </c>
      <c r="C7162" s="1" t="n">
        <v>488000</v>
      </c>
      <c r="D7162" s="1" t="n">
        <v>101883</v>
      </c>
      <c r="E7162" s="1" t="n">
        <v>0.033</v>
      </c>
      <c r="F7162" s="1" t="n">
        <v>0.0759</v>
      </c>
    </row>
    <row r="7163" customFormat="false" ht="15" hidden="false" customHeight="false" outlineLevel="0" collapsed="false">
      <c r="A7163" s="1" t="s">
        <v>7198</v>
      </c>
      <c r="B7163" s="1" t="s">
        <v>24</v>
      </c>
      <c r="C7163" s="1" t="n">
        <v>330000</v>
      </c>
      <c r="D7163" s="1" t="n">
        <v>12228.7</v>
      </c>
      <c r="E7163" s="1" t="n">
        <v>0.032</v>
      </c>
      <c r="F7163" s="1" t="n">
        <v>0.0759</v>
      </c>
    </row>
    <row r="7164" customFormat="false" ht="15" hidden="false" customHeight="false" outlineLevel="0" collapsed="false">
      <c r="A7164" s="1" t="s">
        <v>7199</v>
      </c>
      <c r="B7164" s="1" t="s">
        <v>53</v>
      </c>
      <c r="C7164" s="1" t="n">
        <v>279000</v>
      </c>
      <c r="D7164" s="1" t="n">
        <v>6857.3</v>
      </c>
      <c r="E7164" s="1" t="n">
        <v>0.0147</v>
      </c>
      <c r="F7164" s="1" t="n">
        <v>0.2294</v>
      </c>
    </row>
    <row r="7165" customFormat="false" ht="15" hidden="false" customHeight="false" outlineLevel="0" collapsed="false">
      <c r="A7165" s="1" t="s">
        <v>7200</v>
      </c>
      <c r="B7165" s="1" t="s">
        <v>214</v>
      </c>
      <c r="C7165" s="1" t="n">
        <v>279000</v>
      </c>
      <c r="D7165" s="1" t="n">
        <v>214680</v>
      </c>
      <c r="E7165" s="1" t="n">
        <v>0.0273</v>
      </c>
      <c r="F7165" s="1" t="n">
        <v>0.0518</v>
      </c>
    </row>
    <row r="7166" customFormat="false" ht="15" hidden="false" customHeight="false" outlineLevel="0" collapsed="false">
      <c r="A7166" s="1" t="s">
        <v>7201</v>
      </c>
      <c r="B7166" s="1" t="s">
        <v>26</v>
      </c>
      <c r="C7166" s="1" t="n">
        <v>1600000</v>
      </c>
      <c r="D7166" s="1" t="n">
        <v>7225.3</v>
      </c>
      <c r="E7166" s="1" t="n">
        <v>0.0381</v>
      </c>
      <c r="F7166" s="1" t="n">
        <v>0.0672</v>
      </c>
    </row>
    <row r="7167" customFormat="false" ht="15" hidden="false" customHeight="false" outlineLevel="0" collapsed="false">
      <c r="A7167" s="1" t="s">
        <v>7202</v>
      </c>
      <c r="B7167" s="1" t="s">
        <v>92</v>
      </c>
      <c r="C7167" s="1" t="n">
        <v>273000</v>
      </c>
      <c r="D7167" s="1" t="n">
        <v>364.7</v>
      </c>
      <c r="E7167" s="1" t="n">
        <v>0.0162</v>
      </c>
      <c r="F7167" s="1" t="n">
        <v>0.0585</v>
      </c>
    </row>
    <row r="7168" customFormat="false" ht="15" hidden="false" customHeight="false" outlineLevel="0" collapsed="false">
      <c r="A7168" s="1" t="s">
        <v>7203</v>
      </c>
      <c r="B7168" s="1" t="s">
        <v>214</v>
      </c>
      <c r="C7168" s="1" t="n">
        <v>269000</v>
      </c>
      <c r="D7168" s="1" t="n">
        <v>8805.6</v>
      </c>
      <c r="E7168" s="1" t="n">
        <v>0.006</v>
      </c>
      <c r="F7168" s="1" t="n">
        <v>0.0822</v>
      </c>
    </row>
    <row r="7169" customFormat="false" ht="15" hidden="false" customHeight="false" outlineLevel="0" collapsed="false">
      <c r="A7169" s="1" t="s">
        <v>7204</v>
      </c>
      <c r="B7169" s="1" t="s">
        <v>35</v>
      </c>
      <c r="C7169" s="1" t="n">
        <v>301000</v>
      </c>
      <c r="D7169" s="1" t="n">
        <v>1008.2</v>
      </c>
      <c r="E7169" s="1" t="n">
        <v>0.0319</v>
      </c>
      <c r="F7169" s="1" t="n">
        <v>0.0759</v>
      </c>
    </row>
    <row r="7170" customFormat="false" ht="15" hidden="false" customHeight="false" outlineLevel="0" collapsed="false">
      <c r="A7170" s="1" t="s">
        <v>7205</v>
      </c>
      <c r="B7170" s="1" t="s">
        <v>26</v>
      </c>
      <c r="C7170" s="1" t="n">
        <v>293000</v>
      </c>
      <c r="D7170" s="1" t="n">
        <v>22619.1</v>
      </c>
      <c r="E7170" s="1" t="n">
        <v>0.0217</v>
      </c>
      <c r="F7170" s="1" t="n">
        <v>0.0845</v>
      </c>
    </row>
    <row r="7171" customFormat="false" ht="15" hidden="false" customHeight="false" outlineLevel="0" collapsed="false">
      <c r="A7171" s="1" t="s">
        <v>7206</v>
      </c>
      <c r="B7171" s="1" t="s">
        <v>92</v>
      </c>
      <c r="C7171" s="1" t="n">
        <v>270000</v>
      </c>
      <c r="D7171" s="1" t="n">
        <v>8061.1</v>
      </c>
      <c r="E7171" s="1" t="n">
        <v>0.0289</v>
      </c>
      <c r="F7171" s="1" t="n">
        <v>0.0518</v>
      </c>
    </row>
    <row r="7172" customFormat="false" ht="15" hidden="false" customHeight="false" outlineLevel="0" collapsed="false">
      <c r="A7172" s="1" t="s">
        <v>7207</v>
      </c>
      <c r="B7172" s="1" t="s">
        <v>26</v>
      </c>
      <c r="C7172" s="1" t="n">
        <v>340000</v>
      </c>
      <c r="D7172" s="1" t="n">
        <v>78.1</v>
      </c>
      <c r="E7172" s="1" t="n">
        <v>0.01</v>
      </c>
      <c r="F7172" s="1" t="n">
        <v>0.3928</v>
      </c>
    </row>
    <row r="7173" customFormat="false" ht="15" hidden="false" customHeight="false" outlineLevel="0" collapsed="false">
      <c r="A7173" s="1" t="s">
        <v>7208</v>
      </c>
      <c r="B7173" s="1" t="s">
        <v>195</v>
      </c>
      <c r="C7173" s="1" t="n">
        <v>283000</v>
      </c>
      <c r="D7173" s="1" t="n">
        <v>1258.2</v>
      </c>
      <c r="E7173" s="1" t="n">
        <v>0.0362</v>
      </c>
      <c r="F7173" s="1" t="n">
        <v>0.0938</v>
      </c>
    </row>
    <row r="7174" customFormat="false" ht="15" hidden="false" customHeight="false" outlineLevel="0" collapsed="false">
      <c r="A7174" s="1" t="s">
        <v>7209</v>
      </c>
      <c r="B7174" s="1" t="s">
        <v>62</v>
      </c>
      <c r="C7174" s="1" t="n">
        <v>294000</v>
      </c>
      <c r="D7174" s="1" t="n">
        <v>98152</v>
      </c>
      <c r="E7174" s="1" t="n">
        <v>0.0149</v>
      </c>
      <c r="F7174" s="1" t="n">
        <v>0.0585</v>
      </c>
    </row>
    <row r="7175" customFormat="false" ht="15" hidden="false" customHeight="false" outlineLevel="0" collapsed="false">
      <c r="A7175" s="1" t="s">
        <v>7210</v>
      </c>
      <c r="B7175" s="1" t="s">
        <v>88</v>
      </c>
      <c r="C7175" s="1" t="n">
        <v>306000</v>
      </c>
      <c r="D7175" s="1" t="n">
        <v>385</v>
      </c>
      <c r="E7175" s="1" t="n">
        <v>0.0128</v>
      </c>
      <c r="F7175" s="1" t="n">
        <v>0.1176</v>
      </c>
    </row>
    <row r="7176" customFormat="false" ht="15" hidden="false" customHeight="false" outlineLevel="0" collapsed="false">
      <c r="A7176" s="1" t="s">
        <v>7211</v>
      </c>
      <c r="B7176" s="1" t="s">
        <v>26</v>
      </c>
      <c r="C7176" s="1" t="n">
        <v>277000</v>
      </c>
      <c r="D7176" s="1" t="n">
        <v>4122.1</v>
      </c>
      <c r="E7176" s="1" t="n">
        <v>0.0588</v>
      </c>
      <c r="F7176" s="1" t="n">
        <v>0.0951</v>
      </c>
    </row>
    <row r="7177" customFormat="false" ht="15" hidden="false" customHeight="false" outlineLevel="0" collapsed="false">
      <c r="A7177" s="1" t="s">
        <v>7212</v>
      </c>
      <c r="B7177" s="1" t="s">
        <v>26</v>
      </c>
      <c r="C7177" s="1" t="n">
        <v>462000</v>
      </c>
      <c r="D7177" s="1" t="n">
        <v>268648.9</v>
      </c>
      <c r="E7177" s="1" t="n">
        <v>0.0167</v>
      </c>
      <c r="F7177" s="1" t="n">
        <v>0.0854</v>
      </c>
    </row>
    <row r="7178" customFormat="false" ht="15" hidden="false" customHeight="false" outlineLevel="0" collapsed="false">
      <c r="A7178" s="1" t="s">
        <v>7213</v>
      </c>
      <c r="B7178" s="1" t="s">
        <v>30</v>
      </c>
      <c r="C7178" s="1" t="n">
        <v>322000</v>
      </c>
      <c r="D7178" s="1" t="n">
        <v>8068.4</v>
      </c>
      <c r="E7178" s="1" t="n">
        <v>0.0315</v>
      </c>
      <c r="F7178" s="1" t="n">
        <v>0.0672</v>
      </c>
    </row>
    <row r="7179" customFormat="false" ht="15" hidden="false" customHeight="false" outlineLevel="0" collapsed="false">
      <c r="A7179" s="1" t="s">
        <v>7214</v>
      </c>
      <c r="B7179" s="1" t="s">
        <v>24</v>
      </c>
      <c r="C7179" s="1" t="n">
        <v>307000</v>
      </c>
      <c r="D7179" s="1" t="n">
        <v>110894.3</v>
      </c>
      <c r="E7179" s="1" t="n">
        <v>0.0387</v>
      </c>
      <c r="F7179" s="1" t="n">
        <v>0.0951</v>
      </c>
    </row>
    <row r="7180" customFormat="false" ht="15" hidden="false" customHeight="false" outlineLevel="0" collapsed="false">
      <c r="A7180" s="1" t="s">
        <v>7215</v>
      </c>
      <c r="B7180" s="1" t="s">
        <v>28</v>
      </c>
      <c r="C7180" s="1" t="n">
        <v>313000</v>
      </c>
      <c r="D7180" s="1" t="n">
        <v>1097.6</v>
      </c>
      <c r="E7180" s="1" t="n">
        <v>0.0397</v>
      </c>
      <c r="F7180" s="1" t="n">
        <v>0.0951</v>
      </c>
    </row>
    <row r="7181" customFormat="false" ht="15" hidden="false" customHeight="false" outlineLevel="0" collapsed="false">
      <c r="A7181" s="1" t="s">
        <v>7216</v>
      </c>
      <c r="B7181" s="1" t="s">
        <v>92</v>
      </c>
      <c r="C7181" s="1" t="n">
        <v>308000</v>
      </c>
      <c r="D7181" s="1" t="n">
        <v>1966.6</v>
      </c>
      <c r="E7181" s="1" t="n">
        <v>0.005</v>
      </c>
      <c r="F7181" s="1" t="n">
        <v>0.0654</v>
      </c>
    </row>
    <row r="7182" customFormat="false" ht="15" hidden="false" customHeight="false" outlineLevel="0" collapsed="false">
      <c r="A7182" s="1" t="s">
        <v>7217</v>
      </c>
      <c r="B7182" s="1" t="s">
        <v>41</v>
      </c>
      <c r="C7182" s="1" t="n">
        <v>323000</v>
      </c>
      <c r="D7182" s="1" t="n">
        <v>80386.8</v>
      </c>
      <c r="E7182" s="1" t="n">
        <v>0.0256</v>
      </c>
      <c r="F7182" s="1" t="n">
        <v>0.0518</v>
      </c>
    </row>
    <row r="7183" customFormat="false" ht="15" hidden="false" customHeight="false" outlineLevel="0" collapsed="false">
      <c r="A7183" s="1" t="s">
        <v>7218</v>
      </c>
      <c r="B7183" s="1" t="s">
        <v>92</v>
      </c>
      <c r="C7183" s="1" t="n">
        <v>276000</v>
      </c>
      <c r="D7183" s="1" t="n">
        <v>8124.7</v>
      </c>
      <c r="E7183" s="1" t="n">
        <v>0.0102</v>
      </c>
      <c r="F7183" s="1" t="n">
        <v>0.0822</v>
      </c>
    </row>
    <row r="7184" customFormat="false" ht="15" hidden="false" customHeight="false" outlineLevel="0" collapsed="false">
      <c r="A7184" s="1" t="s">
        <v>7219</v>
      </c>
      <c r="B7184" s="1" t="s">
        <v>81</v>
      </c>
      <c r="C7184" s="1" t="n">
        <v>301000</v>
      </c>
      <c r="D7184" s="1" t="n">
        <v>3087.9</v>
      </c>
      <c r="E7184" s="1" t="n">
        <v>0.026</v>
      </c>
      <c r="F7184" s="1" t="n">
        <v>0.0759</v>
      </c>
    </row>
    <row r="7185" customFormat="false" ht="15" hidden="false" customHeight="false" outlineLevel="0" collapsed="false">
      <c r="A7185" s="1" t="s">
        <v>7220</v>
      </c>
      <c r="B7185" s="1" t="s">
        <v>26</v>
      </c>
      <c r="C7185" s="1" t="n">
        <v>385000</v>
      </c>
      <c r="D7185" s="1" t="n">
        <v>7858.7</v>
      </c>
      <c r="E7185" s="1" t="n">
        <v>0.1072</v>
      </c>
      <c r="F7185" s="1" t="n">
        <v>0.0759</v>
      </c>
    </row>
    <row r="7186" customFormat="false" ht="15" hidden="false" customHeight="false" outlineLevel="0" collapsed="false">
      <c r="A7186" s="1" t="s">
        <v>7221</v>
      </c>
      <c r="B7186" s="1" t="s">
        <v>74</v>
      </c>
      <c r="C7186" s="1" t="n">
        <v>326000</v>
      </c>
      <c r="D7186" s="1" t="n">
        <v>9012.1</v>
      </c>
      <c r="E7186" s="1" t="n">
        <v>0.0348</v>
      </c>
      <c r="F7186" s="1" t="n">
        <v>0.0951</v>
      </c>
    </row>
    <row r="7187" customFormat="false" ht="15" hidden="false" customHeight="false" outlineLevel="0" collapsed="false">
      <c r="A7187" s="1" t="s">
        <v>7222</v>
      </c>
      <c r="B7187" s="1" t="s">
        <v>21</v>
      </c>
      <c r="C7187" s="1" t="n">
        <v>305000</v>
      </c>
      <c r="D7187" s="1" t="n">
        <v>27051.8</v>
      </c>
      <c r="E7187" s="1" t="n">
        <v>0.0302</v>
      </c>
      <c r="F7187" s="1" t="n">
        <v>0.0938</v>
      </c>
    </row>
    <row r="7188" customFormat="false" ht="15" hidden="false" customHeight="false" outlineLevel="0" collapsed="false">
      <c r="A7188" s="1" t="s">
        <v>7223</v>
      </c>
      <c r="B7188" s="1" t="s">
        <v>26</v>
      </c>
      <c r="C7188" s="1" t="n">
        <v>298000</v>
      </c>
      <c r="D7188" s="1" t="n">
        <v>1766.5</v>
      </c>
      <c r="E7188" s="1" t="n">
        <v>0.0429</v>
      </c>
      <c r="F7188" s="1" t="n">
        <v>0.0759</v>
      </c>
    </row>
    <row r="7189" customFormat="false" ht="15" hidden="false" customHeight="false" outlineLevel="0" collapsed="false">
      <c r="A7189" s="1" t="s">
        <v>7224</v>
      </c>
      <c r="B7189" s="1" t="s">
        <v>26</v>
      </c>
      <c r="C7189" s="1" t="n">
        <v>386000</v>
      </c>
      <c r="D7189" s="1" t="n">
        <v>11268.4</v>
      </c>
      <c r="E7189" s="1" t="n">
        <v>0.0033</v>
      </c>
      <c r="F7189" s="1" t="n">
        <v>0.0654</v>
      </c>
    </row>
    <row r="7190" customFormat="false" ht="15" hidden="false" customHeight="false" outlineLevel="0" collapsed="false">
      <c r="A7190" s="1" t="s">
        <v>7225</v>
      </c>
      <c r="B7190" s="1" t="s">
        <v>214</v>
      </c>
      <c r="C7190" s="1" t="n">
        <v>342000</v>
      </c>
      <c r="D7190" s="1" t="n">
        <v>11780.3</v>
      </c>
      <c r="E7190" s="1" t="n">
        <v>0.0119</v>
      </c>
      <c r="F7190" s="1" t="n">
        <v>0.0647</v>
      </c>
    </row>
    <row r="7191" customFormat="false" ht="15" hidden="false" customHeight="false" outlineLevel="0" collapsed="false">
      <c r="A7191" s="1" t="s">
        <v>7226</v>
      </c>
      <c r="B7191" s="1" t="s">
        <v>26</v>
      </c>
      <c r="C7191" s="1" t="n">
        <v>291000</v>
      </c>
      <c r="D7191" s="1" t="n">
        <v>51329.6</v>
      </c>
      <c r="E7191" s="1" t="n">
        <v>0.0331</v>
      </c>
      <c r="F7191" s="1" t="n">
        <v>0.0951</v>
      </c>
    </row>
    <row r="7192" customFormat="false" ht="15" hidden="false" customHeight="false" outlineLevel="0" collapsed="false">
      <c r="A7192" s="1" t="s">
        <v>7227</v>
      </c>
      <c r="B7192" s="1" t="s">
        <v>88</v>
      </c>
      <c r="C7192" s="1" t="n">
        <v>332000</v>
      </c>
      <c r="D7192" s="1" t="n">
        <v>223.1</v>
      </c>
      <c r="E7192" s="1" t="n">
        <v>0.0608</v>
      </c>
      <c r="F7192" s="1" t="n">
        <v>0.0938</v>
      </c>
    </row>
    <row r="7193" customFormat="false" ht="15" hidden="false" customHeight="false" outlineLevel="0" collapsed="false">
      <c r="A7193" s="1" t="s">
        <v>7228</v>
      </c>
      <c r="B7193" s="1" t="s">
        <v>26</v>
      </c>
      <c r="C7193" s="1" t="n">
        <v>401000</v>
      </c>
      <c r="D7193" s="1" t="n">
        <v>7367.4</v>
      </c>
      <c r="E7193" s="1" t="n">
        <v>0.025</v>
      </c>
      <c r="F7193" s="1" t="n">
        <v>0.0759</v>
      </c>
    </row>
    <row r="7194" customFormat="false" ht="15" hidden="false" customHeight="false" outlineLevel="0" collapsed="false">
      <c r="A7194" s="1" t="s">
        <v>7229</v>
      </c>
      <c r="B7194" s="1" t="s">
        <v>88</v>
      </c>
      <c r="C7194" s="1" t="n">
        <v>262000</v>
      </c>
      <c r="D7194" s="1" t="n">
        <v>5817.3</v>
      </c>
      <c r="E7194" s="1" t="n">
        <v>0.0442</v>
      </c>
      <c r="F7194" s="1" t="n">
        <v>0.0951</v>
      </c>
    </row>
    <row r="7195" customFormat="false" ht="15" hidden="false" customHeight="false" outlineLevel="0" collapsed="false">
      <c r="A7195" s="1" t="s">
        <v>7230</v>
      </c>
      <c r="B7195" s="1" t="s">
        <v>26</v>
      </c>
      <c r="C7195" s="1" t="n">
        <v>367000</v>
      </c>
      <c r="D7195" s="1" t="n">
        <v>151088.5</v>
      </c>
      <c r="E7195" s="1" t="n">
        <v>0.0172</v>
      </c>
      <c r="F7195" s="1" t="n">
        <v>0.0585</v>
      </c>
    </row>
    <row r="7196" customFormat="false" ht="15" hidden="false" customHeight="false" outlineLevel="0" collapsed="false">
      <c r="A7196" s="1" t="s">
        <v>7231</v>
      </c>
      <c r="B7196" s="1" t="s">
        <v>26</v>
      </c>
      <c r="C7196" s="1" t="n">
        <v>352000</v>
      </c>
      <c r="D7196" s="1" t="n">
        <v>16370.5</v>
      </c>
      <c r="E7196" s="1" t="n">
        <v>0.023</v>
      </c>
      <c r="F7196" s="1" t="n">
        <v>0.0759</v>
      </c>
    </row>
    <row r="7197" customFormat="false" ht="15" hidden="false" customHeight="false" outlineLevel="0" collapsed="false">
      <c r="A7197" s="1" t="s">
        <v>7232</v>
      </c>
      <c r="B7197" s="1" t="s">
        <v>26</v>
      </c>
      <c r="C7197" s="1" t="n">
        <v>617000</v>
      </c>
      <c r="D7197" s="1" t="n">
        <v>6294.8</v>
      </c>
      <c r="E7197" s="1" t="n">
        <v>0.0012</v>
      </c>
      <c r="F7197" s="1" t="n">
        <v>0.223</v>
      </c>
    </row>
    <row r="7198" customFormat="false" ht="15" hidden="false" customHeight="false" outlineLevel="0" collapsed="false">
      <c r="A7198" s="1" t="s">
        <v>7233</v>
      </c>
      <c r="B7198" s="1" t="s">
        <v>41</v>
      </c>
      <c r="C7198" s="1" t="n">
        <v>430000</v>
      </c>
      <c r="D7198" s="1" t="n">
        <v>5643.9</v>
      </c>
      <c r="E7198" s="1" t="n">
        <v>0.04</v>
      </c>
      <c r="F7198" s="1" t="n">
        <v>0.0938</v>
      </c>
    </row>
    <row r="7199" customFormat="false" ht="15" hidden="false" customHeight="false" outlineLevel="0" collapsed="false">
      <c r="A7199" s="1" t="s">
        <v>7234</v>
      </c>
      <c r="B7199" s="1" t="s">
        <v>50</v>
      </c>
      <c r="C7199" s="1" t="n">
        <v>578000</v>
      </c>
      <c r="D7199" s="1" t="n">
        <v>349351</v>
      </c>
      <c r="E7199" s="1" t="n">
        <v>0.0515</v>
      </c>
      <c r="F7199" s="1" t="n">
        <v>0.0938</v>
      </c>
    </row>
    <row r="7200" customFormat="false" ht="15" hidden="false" customHeight="false" outlineLevel="0" collapsed="false">
      <c r="A7200" s="1" t="s">
        <v>7235</v>
      </c>
      <c r="B7200" s="1" t="s">
        <v>88</v>
      </c>
      <c r="C7200" s="1" t="n">
        <v>419000</v>
      </c>
      <c r="D7200" s="1" t="n">
        <v>2425.7</v>
      </c>
      <c r="E7200" s="1" t="n">
        <v>0.0549</v>
      </c>
      <c r="F7200" s="1" t="n">
        <v>0.0938</v>
      </c>
    </row>
    <row r="7201" customFormat="false" ht="15" hidden="false" customHeight="false" outlineLevel="0" collapsed="false">
      <c r="A7201" s="1" t="s">
        <v>7236</v>
      </c>
      <c r="B7201" s="1" t="s">
        <v>74</v>
      </c>
      <c r="C7201" s="1" t="n">
        <v>279000</v>
      </c>
      <c r="D7201" s="1" t="n">
        <v>4104.4</v>
      </c>
      <c r="E7201" s="1" t="n">
        <v>0.0397</v>
      </c>
      <c r="F7201" s="1" t="n">
        <v>0.0759</v>
      </c>
    </row>
    <row r="7202" customFormat="false" ht="15" hidden="false" customHeight="false" outlineLevel="0" collapsed="false">
      <c r="A7202" s="1" t="s">
        <v>7237</v>
      </c>
      <c r="B7202" s="1" t="s">
        <v>287</v>
      </c>
      <c r="C7202" s="1" t="n">
        <v>272000</v>
      </c>
      <c r="D7202" s="1" t="n">
        <v>867.7</v>
      </c>
      <c r="E7202" s="1" t="n">
        <v>0.0422</v>
      </c>
      <c r="F7202" s="1" t="n">
        <v>0.0759</v>
      </c>
    </row>
    <row r="7203" customFormat="false" ht="15" hidden="false" customHeight="false" outlineLevel="0" collapsed="false">
      <c r="A7203" s="1" t="s">
        <v>7238</v>
      </c>
      <c r="B7203" s="1" t="s">
        <v>214</v>
      </c>
      <c r="C7203" s="1" t="n">
        <v>428000</v>
      </c>
      <c r="D7203" s="1" t="n">
        <v>3923.1</v>
      </c>
      <c r="F7203" s="1" t="n">
        <v>0.0409</v>
      </c>
    </row>
    <row r="7204" customFormat="false" ht="15" hidden="false" customHeight="false" outlineLevel="0" collapsed="false">
      <c r="A7204" s="1" t="s">
        <v>7239</v>
      </c>
      <c r="B7204" s="1" t="s">
        <v>26</v>
      </c>
      <c r="C7204" s="1" t="n">
        <v>438000</v>
      </c>
      <c r="D7204" s="1" t="n">
        <v>26871.9</v>
      </c>
      <c r="E7204" s="1" t="n">
        <v>0.0362</v>
      </c>
      <c r="F7204" s="1" t="n">
        <v>0.0759</v>
      </c>
    </row>
    <row r="7205" customFormat="false" ht="15" hidden="false" customHeight="false" outlineLevel="0" collapsed="false">
      <c r="A7205" s="1" t="s">
        <v>7240</v>
      </c>
      <c r="B7205" s="1" t="s">
        <v>41</v>
      </c>
      <c r="C7205" s="1" t="n">
        <v>425000</v>
      </c>
      <c r="D7205" s="1" t="n">
        <v>120.2</v>
      </c>
      <c r="E7205" s="1" t="n">
        <v>0.0154</v>
      </c>
      <c r="F7205" s="1" t="n">
        <v>0.0903</v>
      </c>
    </row>
    <row r="7206" customFormat="false" ht="15" hidden="false" customHeight="false" outlineLevel="0" collapsed="false">
      <c r="A7206" s="1" t="s">
        <v>7241</v>
      </c>
      <c r="B7206" s="1" t="s">
        <v>26</v>
      </c>
      <c r="C7206" s="1" t="n">
        <v>514000</v>
      </c>
      <c r="D7206" s="1" t="n">
        <v>1453.6</v>
      </c>
      <c r="E7206" s="1" t="n">
        <v>0.0173</v>
      </c>
      <c r="F7206" s="1" t="n">
        <v>0.0462</v>
      </c>
    </row>
    <row r="7207" customFormat="false" ht="15" hidden="false" customHeight="false" outlineLevel="0" collapsed="false">
      <c r="A7207" s="1" t="s">
        <v>7242</v>
      </c>
      <c r="B7207" s="1" t="s">
        <v>287</v>
      </c>
      <c r="C7207" s="1" t="n">
        <v>276000</v>
      </c>
      <c r="D7207" s="1" t="n">
        <v>876.4</v>
      </c>
      <c r="E7207" s="1" t="n">
        <v>0.0076</v>
      </c>
      <c r="F7207" s="1" t="n">
        <v>0.1889</v>
      </c>
    </row>
    <row r="7208" customFormat="false" ht="15" hidden="false" customHeight="false" outlineLevel="0" collapsed="false">
      <c r="A7208" s="1" t="s">
        <v>7243</v>
      </c>
      <c r="B7208" s="1" t="s">
        <v>88</v>
      </c>
      <c r="C7208" s="1" t="n">
        <v>273000</v>
      </c>
      <c r="D7208" s="1" t="n">
        <v>874.2</v>
      </c>
      <c r="E7208" s="1" t="n">
        <v>0.0207</v>
      </c>
      <c r="F7208" s="1" t="n">
        <v>0.131</v>
      </c>
    </row>
    <row r="7209" customFormat="false" ht="15" hidden="false" customHeight="false" outlineLevel="0" collapsed="false">
      <c r="A7209" s="1" t="s">
        <v>7244</v>
      </c>
      <c r="B7209" s="1" t="s">
        <v>88</v>
      </c>
      <c r="C7209" s="1" t="n">
        <v>335000</v>
      </c>
      <c r="D7209" s="1" t="n">
        <v>4002.8</v>
      </c>
      <c r="E7209" s="1" t="n">
        <v>0.0397</v>
      </c>
      <c r="F7209" s="1" t="n">
        <v>0.0938</v>
      </c>
    </row>
    <row r="7210" customFormat="false" ht="15" hidden="false" customHeight="false" outlineLevel="0" collapsed="false">
      <c r="A7210" s="1" t="s">
        <v>7245</v>
      </c>
      <c r="B7210" s="1" t="s">
        <v>71</v>
      </c>
      <c r="C7210" s="1" t="n">
        <v>285000</v>
      </c>
      <c r="D7210" s="1" t="n">
        <v>38620.3</v>
      </c>
      <c r="E7210" s="1" t="n">
        <v>0.0154</v>
      </c>
      <c r="F7210" s="1" t="n">
        <v>0.0585</v>
      </c>
    </row>
    <row r="7211" customFormat="false" ht="15" hidden="false" customHeight="false" outlineLevel="0" collapsed="false">
      <c r="A7211" s="1" t="s">
        <v>7246</v>
      </c>
      <c r="B7211" s="1" t="s">
        <v>53</v>
      </c>
      <c r="C7211" s="1" t="n">
        <v>273000</v>
      </c>
      <c r="D7211" s="1" t="n">
        <v>6694.4</v>
      </c>
      <c r="E7211" s="1" t="n">
        <v>0.0164</v>
      </c>
      <c r="F7211" s="1" t="n">
        <v>0.0585</v>
      </c>
    </row>
    <row r="7212" customFormat="false" ht="15" hidden="false" customHeight="false" outlineLevel="0" collapsed="false">
      <c r="A7212" s="1" t="s">
        <v>7247</v>
      </c>
      <c r="B7212" s="1" t="s">
        <v>26</v>
      </c>
      <c r="C7212" s="1" t="n">
        <v>376000</v>
      </c>
      <c r="D7212" s="1" t="n">
        <v>59249.7</v>
      </c>
      <c r="E7212" s="1" t="n">
        <v>0.0185</v>
      </c>
      <c r="F7212" s="1" t="n">
        <v>0.1067</v>
      </c>
    </row>
    <row r="7213" customFormat="false" ht="15" hidden="false" customHeight="false" outlineLevel="0" collapsed="false">
      <c r="A7213" s="1" t="s">
        <v>7248</v>
      </c>
      <c r="B7213" s="1" t="s">
        <v>32</v>
      </c>
      <c r="C7213" s="1" t="n">
        <v>452000</v>
      </c>
      <c r="F7213" s="1" t="n">
        <v>0.0759</v>
      </c>
    </row>
    <row r="7214" customFormat="false" ht="15" hidden="false" customHeight="false" outlineLevel="0" collapsed="false">
      <c r="A7214" s="1" t="s">
        <v>7249</v>
      </c>
      <c r="B7214" s="1" t="s">
        <v>88</v>
      </c>
      <c r="C7214" s="1" t="n">
        <v>1060000</v>
      </c>
      <c r="D7214" s="1" t="n">
        <v>15497.2</v>
      </c>
      <c r="E7214" s="1" t="n">
        <v>0.1044</v>
      </c>
      <c r="F7214" s="1" t="n">
        <v>0.0938</v>
      </c>
    </row>
    <row r="7215" customFormat="false" ht="15" hidden="false" customHeight="false" outlineLevel="0" collapsed="false">
      <c r="A7215" s="1" t="s">
        <v>7250</v>
      </c>
      <c r="B7215" s="1" t="s">
        <v>24</v>
      </c>
      <c r="C7215" s="1" t="n">
        <v>328000</v>
      </c>
      <c r="D7215" s="1" t="n">
        <v>8674.6</v>
      </c>
      <c r="E7215" s="1" t="n">
        <v>0.0115</v>
      </c>
      <c r="F7215" s="1" t="n">
        <v>0.1327</v>
      </c>
    </row>
    <row r="7216" customFormat="false" ht="15" hidden="false" customHeight="false" outlineLevel="0" collapsed="false">
      <c r="A7216" s="1" t="s">
        <v>7251</v>
      </c>
      <c r="B7216" s="1" t="s">
        <v>71</v>
      </c>
      <c r="C7216" s="1" t="n">
        <v>418000</v>
      </c>
      <c r="D7216" s="1" t="n">
        <v>48841.7</v>
      </c>
      <c r="E7216" s="1" t="n">
        <v>0.0492</v>
      </c>
      <c r="F7216" s="1" t="n">
        <v>0.0938</v>
      </c>
    </row>
    <row r="7217" customFormat="false" ht="15" hidden="false" customHeight="false" outlineLevel="0" collapsed="false">
      <c r="A7217" s="1" t="s">
        <v>7252</v>
      </c>
      <c r="B7217" s="1" t="s">
        <v>26</v>
      </c>
      <c r="C7217" s="1" t="n">
        <v>293000</v>
      </c>
      <c r="D7217" s="1" t="n">
        <v>276670</v>
      </c>
      <c r="E7217" s="1" t="n">
        <v>0.019</v>
      </c>
      <c r="F7217" s="1" t="n">
        <v>0.0518</v>
      </c>
    </row>
    <row r="7218" customFormat="false" ht="15" hidden="false" customHeight="false" outlineLevel="0" collapsed="false">
      <c r="A7218" s="1" t="s">
        <v>7253</v>
      </c>
      <c r="B7218" s="1" t="s">
        <v>62</v>
      </c>
      <c r="C7218" s="1" t="n">
        <v>395000</v>
      </c>
      <c r="D7218" s="1" t="n">
        <v>88864.9</v>
      </c>
      <c r="E7218" s="1" t="n">
        <v>0.0195</v>
      </c>
      <c r="F7218" s="1" t="n">
        <v>0.0488</v>
      </c>
    </row>
    <row r="7219" customFormat="false" ht="15" hidden="false" customHeight="false" outlineLevel="0" collapsed="false">
      <c r="A7219" s="1" t="s">
        <v>7254</v>
      </c>
      <c r="B7219" s="1" t="s">
        <v>30</v>
      </c>
      <c r="C7219" s="1" t="n">
        <v>380000</v>
      </c>
      <c r="D7219" s="1" t="n">
        <v>21028.5</v>
      </c>
      <c r="E7219" s="1" t="n">
        <v>0.0104</v>
      </c>
      <c r="F7219" s="1" t="n">
        <v>0.0822</v>
      </c>
    </row>
    <row r="7220" customFormat="false" ht="15" hidden="false" customHeight="false" outlineLevel="0" collapsed="false">
      <c r="A7220" s="1" t="s">
        <v>7255</v>
      </c>
      <c r="B7220" s="1" t="s">
        <v>88</v>
      </c>
      <c r="C7220" s="1" t="n">
        <v>598000</v>
      </c>
      <c r="D7220" s="1" t="n">
        <v>2521.2</v>
      </c>
      <c r="E7220" s="1" t="n">
        <v>0.0076</v>
      </c>
      <c r="F7220" s="1" t="n">
        <v>0.0866</v>
      </c>
    </row>
    <row r="7221" customFormat="false" ht="15" hidden="false" customHeight="false" outlineLevel="0" collapsed="false">
      <c r="A7221" s="1" t="s">
        <v>7256</v>
      </c>
      <c r="B7221" s="1" t="s">
        <v>26</v>
      </c>
      <c r="C7221" s="1" t="n">
        <v>475000</v>
      </c>
      <c r="D7221" s="1" t="n">
        <v>25208.9</v>
      </c>
      <c r="E7221" s="1" t="n">
        <v>0.0285</v>
      </c>
      <c r="F7221" s="1" t="n">
        <v>0.0951</v>
      </c>
    </row>
    <row r="7222" customFormat="false" ht="15" hidden="false" customHeight="false" outlineLevel="0" collapsed="false">
      <c r="A7222" s="1" t="s">
        <v>7257</v>
      </c>
      <c r="B7222" s="1" t="s">
        <v>53</v>
      </c>
      <c r="C7222" s="1" t="n">
        <v>282000</v>
      </c>
      <c r="D7222" s="1" t="n">
        <v>104258.6</v>
      </c>
      <c r="F7222" s="1" t="n">
        <v>0.0409</v>
      </c>
    </row>
    <row r="7223" customFormat="false" ht="15" hidden="false" customHeight="false" outlineLevel="0" collapsed="false">
      <c r="A7223" s="1" t="s">
        <v>7258</v>
      </c>
      <c r="B7223" s="1" t="s">
        <v>24</v>
      </c>
      <c r="C7223" s="1" t="n">
        <v>341000</v>
      </c>
      <c r="D7223" s="1" t="n">
        <v>73027.7</v>
      </c>
      <c r="E7223" s="1" t="n">
        <v>0.0322</v>
      </c>
      <c r="F7223" s="1" t="n">
        <v>0.0759</v>
      </c>
    </row>
    <row r="7224" customFormat="false" ht="15" hidden="false" customHeight="false" outlineLevel="0" collapsed="false">
      <c r="A7224" s="1" t="s">
        <v>7259</v>
      </c>
      <c r="B7224" s="1" t="s">
        <v>81</v>
      </c>
      <c r="C7224" s="1" t="n">
        <v>374000</v>
      </c>
      <c r="D7224" s="1" t="n">
        <v>11931.7</v>
      </c>
      <c r="E7224" s="1" t="n">
        <v>0.053</v>
      </c>
      <c r="F7224" s="1" t="n">
        <v>0.0759</v>
      </c>
    </row>
    <row r="7225" customFormat="false" ht="15" hidden="false" customHeight="false" outlineLevel="0" collapsed="false">
      <c r="A7225" s="1" t="s">
        <v>7260</v>
      </c>
      <c r="B7225" s="1" t="s">
        <v>214</v>
      </c>
      <c r="C7225" s="1" t="n">
        <v>293000</v>
      </c>
      <c r="D7225" s="1" t="n">
        <v>2242</v>
      </c>
      <c r="E7225" s="1" t="n">
        <v>0.0112</v>
      </c>
      <c r="F7225" s="1" t="n">
        <v>0.0654</v>
      </c>
    </row>
    <row r="7226" customFormat="false" ht="15" hidden="false" customHeight="false" outlineLevel="0" collapsed="false">
      <c r="A7226" s="1" t="s">
        <v>7261</v>
      </c>
      <c r="B7226" s="1" t="s">
        <v>74</v>
      </c>
      <c r="C7226" s="1" t="n">
        <v>277000</v>
      </c>
      <c r="D7226" s="1" t="n">
        <v>382.7</v>
      </c>
      <c r="E7226" s="1" t="n">
        <v>0.0291</v>
      </c>
      <c r="F7226" s="1" t="n">
        <v>0.0938</v>
      </c>
    </row>
    <row r="7227" customFormat="false" ht="15" hidden="false" customHeight="false" outlineLevel="0" collapsed="false">
      <c r="A7227" s="1" t="s">
        <v>7262</v>
      </c>
      <c r="B7227" s="1" t="s">
        <v>26</v>
      </c>
      <c r="C7227" s="1" t="n">
        <v>1270000</v>
      </c>
      <c r="D7227" s="1" t="n">
        <v>54982.9</v>
      </c>
      <c r="E7227" s="1" t="n">
        <v>0.0254</v>
      </c>
      <c r="F7227" s="1" t="n">
        <v>0.0409</v>
      </c>
    </row>
    <row r="7228" customFormat="false" ht="15" hidden="false" customHeight="false" outlineLevel="0" collapsed="false">
      <c r="A7228" s="1" t="s">
        <v>7263</v>
      </c>
      <c r="B7228" s="1" t="s">
        <v>26</v>
      </c>
      <c r="C7228" s="1" t="n">
        <v>287000</v>
      </c>
      <c r="D7228" s="1" t="n">
        <v>1758.8</v>
      </c>
      <c r="F7228" s="1" t="n">
        <v>0.0951</v>
      </c>
    </row>
    <row r="7229" customFormat="false" ht="15" hidden="false" customHeight="false" outlineLevel="0" collapsed="false">
      <c r="A7229" s="1" t="s">
        <v>7264</v>
      </c>
      <c r="B7229" s="1" t="s">
        <v>53</v>
      </c>
      <c r="C7229" s="1" t="n">
        <v>323000</v>
      </c>
      <c r="D7229" s="1" t="n">
        <v>13930.9</v>
      </c>
      <c r="E7229" s="1" t="n">
        <v>0.031</v>
      </c>
      <c r="F7229" s="1" t="n">
        <v>0.2545</v>
      </c>
    </row>
    <row r="7230" customFormat="false" ht="15" hidden="false" customHeight="false" outlineLevel="0" collapsed="false">
      <c r="A7230" s="1" t="s">
        <v>7265</v>
      </c>
      <c r="B7230" s="1" t="s">
        <v>214</v>
      </c>
      <c r="C7230" s="1" t="n">
        <v>286000</v>
      </c>
      <c r="D7230" s="1" t="n">
        <v>878.9</v>
      </c>
      <c r="E7230" s="1" t="n">
        <v>0.0108</v>
      </c>
      <c r="F7230" s="1" t="n">
        <v>0.1471</v>
      </c>
    </row>
    <row r="7231" customFormat="false" ht="15" hidden="false" customHeight="false" outlineLevel="0" collapsed="false">
      <c r="A7231" s="1" t="s">
        <v>7266</v>
      </c>
      <c r="B7231" s="1" t="s">
        <v>26</v>
      </c>
      <c r="C7231" s="1" t="n">
        <v>288000</v>
      </c>
      <c r="D7231" s="1" t="n">
        <v>5470.3</v>
      </c>
      <c r="E7231" s="1" t="n">
        <v>0.0391</v>
      </c>
      <c r="F7231" s="1" t="n">
        <v>0.0759</v>
      </c>
    </row>
    <row r="7232" customFormat="false" ht="15" hidden="false" customHeight="false" outlineLevel="0" collapsed="false">
      <c r="A7232" s="1" t="s">
        <v>7267</v>
      </c>
      <c r="B7232" s="1" t="s">
        <v>26</v>
      </c>
      <c r="C7232" s="1" t="n">
        <v>388000</v>
      </c>
      <c r="D7232" s="1" t="n">
        <v>413683.9</v>
      </c>
      <c r="E7232" s="1" t="n">
        <v>0.0409</v>
      </c>
      <c r="F7232" s="1" t="n">
        <v>0.0409</v>
      </c>
    </row>
    <row r="7233" customFormat="false" ht="15" hidden="false" customHeight="false" outlineLevel="0" collapsed="false">
      <c r="A7233" s="1" t="s">
        <v>7268</v>
      </c>
      <c r="B7233" s="1" t="s">
        <v>53</v>
      </c>
      <c r="C7233" s="1" t="n">
        <v>268000</v>
      </c>
      <c r="D7233" s="1" t="n">
        <v>1500.8</v>
      </c>
      <c r="E7233" s="1" t="n">
        <v>0.0084</v>
      </c>
      <c r="F7233" s="1" t="n">
        <v>0.1953</v>
      </c>
    </row>
    <row r="7234" customFormat="false" ht="15" hidden="false" customHeight="false" outlineLevel="0" collapsed="false">
      <c r="A7234" s="1" t="s">
        <v>7269</v>
      </c>
      <c r="B7234" s="1" t="s">
        <v>32</v>
      </c>
      <c r="C7234" s="1" t="n">
        <v>292000</v>
      </c>
      <c r="D7234" s="1" t="n">
        <v>3160.3</v>
      </c>
      <c r="E7234" s="1" t="n">
        <v>0.0187</v>
      </c>
      <c r="F7234" s="1" t="n">
        <v>0.0854</v>
      </c>
    </row>
    <row r="7235" customFormat="false" ht="15" hidden="false" customHeight="false" outlineLevel="0" collapsed="false">
      <c r="A7235" s="1" t="s">
        <v>7270</v>
      </c>
      <c r="B7235" s="1" t="s">
        <v>195</v>
      </c>
      <c r="C7235" s="1" t="n">
        <v>1200000</v>
      </c>
      <c r="D7235" s="1" t="n">
        <v>1235.2</v>
      </c>
      <c r="E7235" s="1" t="n">
        <v>0.0367</v>
      </c>
      <c r="F7235" s="1" t="n">
        <v>0.0409</v>
      </c>
    </row>
    <row r="7236" customFormat="false" ht="15" hidden="false" customHeight="false" outlineLevel="0" collapsed="false">
      <c r="A7236" s="1" t="s">
        <v>7271</v>
      </c>
      <c r="B7236" s="1" t="s">
        <v>26</v>
      </c>
      <c r="C7236" s="1" t="n">
        <v>339000</v>
      </c>
      <c r="D7236" s="1" t="n">
        <v>255443.4</v>
      </c>
      <c r="E7236" s="1" t="n">
        <v>0.0445</v>
      </c>
      <c r="F7236" s="1" t="n">
        <v>0.0518</v>
      </c>
    </row>
    <row r="7237" customFormat="false" ht="15" hidden="false" customHeight="false" outlineLevel="0" collapsed="false">
      <c r="A7237" s="1" t="s">
        <v>7272</v>
      </c>
      <c r="B7237" s="1" t="s">
        <v>41</v>
      </c>
      <c r="C7237" s="1" t="n">
        <v>313000</v>
      </c>
      <c r="D7237" s="1" t="n">
        <v>2969.4</v>
      </c>
      <c r="E7237" s="1" t="n">
        <v>0.015</v>
      </c>
      <c r="F7237" s="1" t="n">
        <v>0.1303</v>
      </c>
    </row>
    <row r="7238" customFormat="false" ht="15" hidden="false" customHeight="false" outlineLevel="0" collapsed="false">
      <c r="A7238" s="1" t="s">
        <v>7273</v>
      </c>
      <c r="B7238" s="1" t="s">
        <v>74</v>
      </c>
      <c r="C7238" s="1" t="n">
        <v>264000</v>
      </c>
      <c r="D7238" s="1" t="n">
        <v>1250.4</v>
      </c>
      <c r="E7238" s="1" t="n">
        <v>0.0713</v>
      </c>
      <c r="F7238" s="1" t="n">
        <v>0.0938</v>
      </c>
    </row>
    <row r="7239" customFormat="false" ht="15" hidden="false" customHeight="false" outlineLevel="0" collapsed="false">
      <c r="A7239" s="1" t="s">
        <v>7274</v>
      </c>
      <c r="B7239" s="1" t="s">
        <v>26</v>
      </c>
      <c r="C7239" s="1" t="n">
        <v>335000</v>
      </c>
      <c r="D7239" s="1" t="n">
        <v>2235.4</v>
      </c>
      <c r="E7239" s="1" t="n">
        <v>0.0362</v>
      </c>
      <c r="F7239" s="1" t="n">
        <v>0.0759</v>
      </c>
    </row>
    <row r="7240" customFormat="false" ht="15" hidden="false" customHeight="false" outlineLevel="0" collapsed="false">
      <c r="A7240" s="1" t="s">
        <v>7275</v>
      </c>
      <c r="B7240" s="1" t="s">
        <v>35</v>
      </c>
      <c r="C7240" s="1" t="n">
        <v>350000</v>
      </c>
      <c r="D7240" s="1" t="n">
        <v>9852.3</v>
      </c>
      <c r="E7240" s="1" t="n">
        <v>0.021</v>
      </c>
      <c r="F7240" s="1" t="n">
        <v>0.0409</v>
      </c>
    </row>
    <row r="7241" customFormat="false" ht="15" hidden="false" customHeight="false" outlineLevel="0" collapsed="false">
      <c r="A7241" s="1" t="s">
        <v>7276</v>
      </c>
      <c r="B7241" s="1" t="s">
        <v>62</v>
      </c>
      <c r="C7241" s="1" t="n">
        <v>298000</v>
      </c>
      <c r="D7241" s="1" t="n">
        <v>8054.1</v>
      </c>
      <c r="E7241" s="1" t="n">
        <v>0.0384</v>
      </c>
      <c r="F7241" s="1" t="n">
        <v>0.0759</v>
      </c>
    </row>
    <row r="7242" customFormat="false" ht="15" hidden="false" customHeight="false" outlineLevel="0" collapsed="false">
      <c r="A7242" s="1" t="s">
        <v>7277</v>
      </c>
      <c r="B7242" s="1" t="s">
        <v>41</v>
      </c>
      <c r="C7242" s="1" t="n">
        <v>283000</v>
      </c>
      <c r="D7242" s="1" t="n">
        <v>315.3</v>
      </c>
      <c r="E7242" s="1" t="n">
        <v>0.0113</v>
      </c>
      <c r="F7242" s="1" t="n">
        <v>0.0811</v>
      </c>
    </row>
    <row r="7243" customFormat="false" ht="15" hidden="false" customHeight="false" outlineLevel="0" collapsed="false">
      <c r="A7243" s="1" t="s">
        <v>7278</v>
      </c>
      <c r="B7243" s="1" t="s">
        <v>287</v>
      </c>
      <c r="C7243" s="1" t="n">
        <v>312000</v>
      </c>
      <c r="D7243" s="1" t="n">
        <v>79375.9</v>
      </c>
      <c r="E7243" s="1" t="n">
        <v>0.0149</v>
      </c>
      <c r="F7243" s="1" t="n">
        <v>0.1067</v>
      </c>
    </row>
    <row r="7244" customFormat="false" ht="15" hidden="false" customHeight="false" outlineLevel="0" collapsed="false">
      <c r="A7244" s="1" t="s">
        <v>7279</v>
      </c>
      <c r="B7244" s="1" t="s">
        <v>26</v>
      </c>
      <c r="C7244" s="1" t="n">
        <v>399000</v>
      </c>
      <c r="D7244" s="1" t="n">
        <v>7043.9</v>
      </c>
      <c r="E7244" s="1" t="n">
        <v>0.0296</v>
      </c>
      <c r="F7244" s="1" t="n">
        <v>0.1066</v>
      </c>
    </row>
    <row r="7245" customFormat="false" ht="15" hidden="false" customHeight="false" outlineLevel="0" collapsed="false">
      <c r="A7245" s="1" t="s">
        <v>7280</v>
      </c>
      <c r="B7245" s="1" t="s">
        <v>71</v>
      </c>
      <c r="C7245" s="1" t="n">
        <v>333000</v>
      </c>
      <c r="D7245" s="1" t="n">
        <v>18444.2</v>
      </c>
      <c r="E7245" s="1" t="n">
        <v>0.034</v>
      </c>
      <c r="F7245" s="1" t="n">
        <v>0.0938</v>
      </c>
    </row>
    <row r="7246" customFormat="false" ht="15" hidden="false" customHeight="false" outlineLevel="0" collapsed="false">
      <c r="A7246" s="1" t="s">
        <v>7281</v>
      </c>
      <c r="B7246" s="1" t="s">
        <v>26</v>
      </c>
      <c r="C7246" s="1" t="n">
        <v>454000</v>
      </c>
      <c r="D7246" s="1" t="n">
        <v>194923.5</v>
      </c>
      <c r="E7246" s="1" t="n">
        <v>0.0216</v>
      </c>
      <c r="F7246" s="1" t="n">
        <v>0.0854</v>
      </c>
    </row>
    <row r="7247" customFormat="false" ht="15" hidden="false" customHeight="false" outlineLevel="0" collapsed="false">
      <c r="A7247" s="1" t="s">
        <v>7282</v>
      </c>
      <c r="B7247" s="1" t="s">
        <v>74</v>
      </c>
      <c r="C7247" s="1" t="n">
        <v>275000</v>
      </c>
      <c r="D7247" s="1" t="n">
        <v>159102.7</v>
      </c>
      <c r="E7247" s="1" t="n">
        <v>0.0188</v>
      </c>
      <c r="F7247" s="1" t="n">
        <v>0.0951</v>
      </c>
    </row>
    <row r="7248" customFormat="false" ht="15" hidden="false" customHeight="false" outlineLevel="0" collapsed="false">
      <c r="A7248" s="1" t="s">
        <v>7283</v>
      </c>
      <c r="B7248" s="1" t="s">
        <v>24</v>
      </c>
      <c r="C7248" s="1" t="n">
        <v>307000</v>
      </c>
      <c r="D7248" s="1" t="n">
        <v>23411.7</v>
      </c>
      <c r="E7248" s="1" t="n">
        <v>0.0212</v>
      </c>
      <c r="F7248" s="1" t="n">
        <v>0.0951</v>
      </c>
    </row>
    <row r="7249" customFormat="false" ht="15" hidden="false" customHeight="false" outlineLevel="0" collapsed="false">
      <c r="A7249" s="1" t="s">
        <v>7284</v>
      </c>
      <c r="B7249" s="1" t="s">
        <v>71</v>
      </c>
      <c r="C7249" s="1" t="n">
        <v>302000</v>
      </c>
      <c r="D7249" s="1" t="n">
        <v>563.7</v>
      </c>
      <c r="E7249" s="1" t="n">
        <v>0.0601</v>
      </c>
      <c r="F7249" s="1" t="n">
        <v>0.0938</v>
      </c>
    </row>
    <row r="7250" customFormat="false" ht="15" hidden="false" customHeight="false" outlineLevel="0" collapsed="false">
      <c r="A7250" s="1" t="s">
        <v>7285</v>
      </c>
      <c r="B7250" s="1" t="s">
        <v>88</v>
      </c>
      <c r="C7250" s="1" t="n">
        <v>455000</v>
      </c>
      <c r="D7250" s="1" t="n">
        <v>3965.5</v>
      </c>
      <c r="F7250" s="1" t="n">
        <v>0.0432</v>
      </c>
    </row>
    <row r="7251" customFormat="false" ht="15" hidden="false" customHeight="false" outlineLevel="0" collapsed="false">
      <c r="A7251" s="1" t="s">
        <v>7286</v>
      </c>
      <c r="B7251" s="1" t="s">
        <v>88</v>
      </c>
      <c r="C7251" s="1" t="n">
        <v>337000</v>
      </c>
      <c r="D7251" s="1" t="n">
        <v>1990.8</v>
      </c>
      <c r="E7251" s="1" t="n">
        <v>0.0275</v>
      </c>
      <c r="F7251" s="1" t="n">
        <v>0.0759</v>
      </c>
    </row>
    <row r="7252" customFormat="false" ht="15" hidden="false" customHeight="false" outlineLevel="0" collapsed="false">
      <c r="A7252" s="1" t="s">
        <v>7287</v>
      </c>
      <c r="B7252" s="1" t="s">
        <v>32</v>
      </c>
      <c r="C7252" s="1" t="n">
        <v>466000</v>
      </c>
      <c r="D7252" s="1" t="n">
        <v>155799</v>
      </c>
      <c r="E7252" s="1" t="n">
        <v>0.0139</v>
      </c>
      <c r="F7252" s="1" t="n">
        <v>0.0822</v>
      </c>
    </row>
    <row r="7253" customFormat="false" ht="15" hidden="false" customHeight="false" outlineLevel="0" collapsed="false">
      <c r="A7253" s="1" t="s">
        <v>7288</v>
      </c>
      <c r="B7253" s="1" t="s">
        <v>26</v>
      </c>
      <c r="C7253" s="1" t="n">
        <v>262000</v>
      </c>
      <c r="D7253" s="1" t="n">
        <v>213255.1</v>
      </c>
      <c r="E7253" s="1" t="n">
        <v>0.0364</v>
      </c>
      <c r="F7253" s="1" t="n">
        <v>0.0951</v>
      </c>
    </row>
    <row r="7254" customFormat="false" ht="15" hidden="false" customHeight="false" outlineLevel="0" collapsed="false">
      <c r="A7254" s="1" t="s">
        <v>7289</v>
      </c>
      <c r="B7254" s="1" t="s">
        <v>24</v>
      </c>
      <c r="C7254" s="1" t="n">
        <v>262000</v>
      </c>
      <c r="D7254" s="1" t="n">
        <v>245.9</v>
      </c>
      <c r="E7254" s="1" t="n">
        <v>0.0256</v>
      </c>
      <c r="F7254" s="1" t="n">
        <v>0.0951</v>
      </c>
    </row>
    <row r="7255" customFormat="false" ht="15" hidden="false" customHeight="false" outlineLevel="0" collapsed="false">
      <c r="A7255" s="1" t="s">
        <v>7290</v>
      </c>
      <c r="B7255" s="1" t="s">
        <v>30</v>
      </c>
      <c r="C7255" s="1" t="n">
        <v>291000</v>
      </c>
      <c r="D7255" s="1" t="n">
        <v>18753.1</v>
      </c>
      <c r="E7255" s="1" t="n">
        <v>0.0064</v>
      </c>
      <c r="F7255" s="1" t="n">
        <v>0.0822</v>
      </c>
    </row>
    <row r="7256" customFormat="false" ht="15" hidden="false" customHeight="false" outlineLevel="0" collapsed="false">
      <c r="A7256" s="1" t="s">
        <v>7291</v>
      </c>
      <c r="B7256" s="1" t="s">
        <v>74</v>
      </c>
      <c r="C7256" s="1" t="n">
        <v>1060000</v>
      </c>
      <c r="D7256" s="1" t="n">
        <v>850.9</v>
      </c>
      <c r="E7256" s="1" t="n">
        <v>0.0142</v>
      </c>
      <c r="F7256" s="1" t="n">
        <v>0.0462</v>
      </c>
    </row>
    <row r="7257" customFormat="false" ht="15" hidden="false" customHeight="false" outlineLevel="0" collapsed="false">
      <c r="A7257" s="1" t="s">
        <v>7292</v>
      </c>
      <c r="B7257" s="1" t="s">
        <v>490</v>
      </c>
      <c r="C7257" s="1" t="n">
        <v>449000</v>
      </c>
      <c r="D7257" s="1" t="n">
        <v>108709.1</v>
      </c>
      <c r="E7257" s="1" t="n">
        <v>0.0076</v>
      </c>
      <c r="F7257" s="1" t="n">
        <v>0.0822</v>
      </c>
    </row>
    <row r="7258" customFormat="false" ht="15" hidden="false" customHeight="false" outlineLevel="0" collapsed="false">
      <c r="A7258" s="1" t="s">
        <v>7293</v>
      </c>
      <c r="B7258" s="1" t="s">
        <v>88</v>
      </c>
      <c r="C7258" s="1" t="n">
        <v>272000</v>
      </c>
      <c r="D7258" s="1" t="n">
        <v>1006.5</v>
      </c>
      <c r="E7258" s="1" t="n">
        <v>0.0557</v>
      </c>
      <c r="F7258" s="1" t="n">
        <v>0.0759</v>
      </c>
    </row>
    <row r="7259" customFormat="false" ht="15" hidden="false" customHeight="false" outlineLevel="0" collapsed="false">
      <c r="A7259" s="1" t="s">
        <v>7294</v>
      </c>
      <c r="B7259" s="1" t="s">
        <v>88</v>
      </c>
      <c r="C7259" s="1" t="n">
        <v>311000</v>
      </c>
      <c r="D7259" s="1" t="n">
        <v>13773.9</v>
      </c>
      <c r="E7259" s="1" t="n">
        <v>0.0461</v>
      </c>
      <c r="F7259" s="1" t="n">
        <v>0.0759</v>
      </c>
    </row>
    <row r="7260" customFormat="false" ht="15" hidden="false" customHeight="false" outlineLevel="0" collapsed="false">
      <c r="A7260" s="1" t="s">
        <v>7295</v>
      </c>
      <c r="B7260" s="1" t="s">
        <v>214</v>
      </c>
      <c r="C7260" s="1" t="n">
        <v>269000</v>
      </c>
      <c r="D7260" s="1" t="n">
        <v>576.7</v>
      </c>
      <c r="E7260" s="1" t="n">
        <v>0.0227</v>
      </c>
      <c r="F7260" s="1" t="n">
        <v>0.0951</v>
      </c>
    </row>
    <row r="7261" customFormat="false" ht="15" hidden="false" customHeight="false" outlineLevel="0" collapsed="false">
      <c r="A7261" s="1" t="s">
        <v>7296</v>
      </c>
      <c r="B7261" s="1" t="s">
        <v>287</v>
      </c>
      <c r="C7261" s="1" t="n">
        <v>303000</v>
      </c>
      <c r="D7261" s="1" t="n">
        <v>1012.9</v>
      </c>
      <c r="E7261" s="1" t="n">
        <v>0.0192</v>
      </c>
      <c r="F7261" s="1" t="n">
        <v>0.0854</v>
      </c>
    </row>
    <row r="7262" customFormat="false" ht="15" hidden="false" customHeight="false" outlineLevel="0" collapsed="false">
      <c r="A7262" s="1" t="s">
        <v>7297</v>
      </c>
      <c r="B7262" s="1" t="s">
        <v>214</v>
      </c>
      <c r="C7262" s="1" t="n">
        <v>291000</v>
      </c>
      <c r="D7262" s="1" t="n">
        <v>3827.4</v>
      </c>
      <c r="E7262" s="1" t="n">
        <v>0.0035</v>
      </c>
      <c r="F7262" s="1" t="n">
        <v>0.0821</v>
      </c>
    </row>
    <row r="7263" customFormat="false" ht="15" hidden="false" customHeight="false" outlineLevel="0" collapsed="false">
      <c r="A7263" s="1" t="s">
        <v>7298</v>
      </c>
      <c r="B7263" s="1" t="s">
        <v>26</v>
      </c>
      <c r="C7263" s="1" t="n">
        <v>262000</v>
      </c>
      <c r="D7263" s="1" t="n">
        <v>1170.7</v>
      </c>
      <c r="E7263" s="1" t="n">
        <v>0.0098</v>
      </c>
      <c r="F7263" s="1" t="n">
        <v>0.0822</v>
      </c>
    </row>
    <row r="7264" customFormat="false" ht="15" hidden="false" customHeight="false" outlineLevel="0" collapsed="false">
      <c r="A7264" s="1" t="s">
        <v>7299</v>
      </c>
      <c r="B7264" s="1" t="s">
        <v>214</v>
      </c>
      <c r="C7264" s="1" t="n">
        <v>295000</v>
      </c>
      <c r="D7264" s="1" t="n">
        <v>10521.6</v>
      </c>
      <c r="E7264" s="1" t="n">
        <v>0.0162</v>
      </c>
      <c r="F7264" s="1" t="n">
        <v>0.0854</v>
      </c>
    </row>
    <row r="7265" customFormat="false" ht="15" hidden="false" customHeight="false" outlineLevel="0" collapsed="false">
      <c r="A7265" s="1" t="s">
        <v>7300</v>
      </c>
      <c r="B7265" s="1" t="s">
        <v>41</v>
      </c>
      <c r="C7265" s="1" t="n">
        <v>449000</v>
      </c>
      <c r="D7265" s="1" t="n">
        <v>24469.5</v>
      </c>
      <c r="E7265" s="1" t="n">
        <v>0.0673</v>
      </c>
      <c r="F7265" s="1" t="n">
        <v>0.0938</v>
      </c>
    </row>
    <row r="7266" customFormat="false" ht="15" hidden="false" customHeight="false" outlineLevel="0" collapsed="false">
      <c r="A7266" s="1" t="s">
        <v>7301</v>
      </c>
      <c r="B7266" s="1" t="s">
        <v>88</v>
      </c>
      <c r="C7266" s="1" t="n">
        <v>262000</v>
      </c>
      <c r="D7266" s="1" t="n">
        <v>723.3</v>
      </c>
      <c r="E7266" s="1" t="n">
        <v>0.0247</v>
      </c>
      <c r="F7266" s="1" t="n">
        <v>0.117</v>
      </c>
    </row>
    <row r="7267" customFormat="false" ht="15" hidden="false" customHeight="false" outlineLevel="0" collapsed="false">
      <c r="A7267" s="1" t="s">
        <v>7302</v>
      </c>
      <c r="B7267" s="1" t="s">
        <v>26</v>
      </c>
      <c r="C7267" s="1" t="n">
        <v>278000</v>
      </c>
      <c r="D7267" s="1" t="n">
        <v>13184.8</v>
      </c>
      <c r="E7267" s="1" t="n">
        <v>0.0285</v>
      </c>
      <c r="F7267" s="1" t="n">
        <v>0.0951</v>
      </c>
    </row>
    <row r="7268" customFormat="false" ht="15" hidden="false" customHeight="false" outlineLevel="0" collapsed="false">
      <c r="A7268" s="1" t="s">
        <v>7303</v>
      </c>
      <c r="B7268" s="1" t="s">
        <v>26</v>
      </c>
      <c r="C7268" s="1" t="n">
        <v>282000</v>
      </c>
      <c r="D7268" s="1" t="n">
        <v>43723.3</v>
      </c>
      <c r="E7268" s="1" t="n">
        <v>0.0411</v>
      </c>
      <c r="F7268" s="1" t="n">
        <v>0.0546</v>
      </c>
    </row>
    <row r="7269" customFormat="false" ht="15" hidden="false" customHeight="false" outlineLevel="0" collapsed="false">
      <c r="A7269" s="1" t="s">
        <v>7304</v>
      </c>
      <c r="B7269" s="1" t="s">
        <v>92</v>
      </c>
      <c r="C7269" s="1" t="n">
        <v>279000</v>
      </c>
      <c r="D7269" s="1" t="n">
        <v>4033.5</v>
      </c>
      <c r="E7269" s="1" t="n">
        <v>0.0274</v>
      </c>
      <c r="F7269" s="1" t="n">
        <v>0.0409</v>
      </c>
    </row>
    <row r="7270" customFormat="false" ht="15" hidden="false" customHeight="false" outlineLevel="0" collapsed="false">
      <c r="A7270" s="1" t="s">
        <v>7305</v>
      </c>
      <c r="B7270" s="1" t="s">
        <v>30</v>
      </c>
      <c r="C7270" s="1" t="n">
        <v>389000</v>
      </c>
      <c r="D7270" s="1" t="n">
        <v>57040.9</v>
      </c>
      <c r="E7270" s="1" t="n">
        <v>0.0223</v>
      </c>
      <c r="F7270" s="1" t="n">
        <v>0.0854</v>
      </c>
    </row>
    <row r="7271" customFormat="false" ht="15" hidden="false" customHeight="false" outlineLevel="0" collapsed="false">
      <c r="A7271" s="1" t="s">
        <v>7306</v>
      </c>
      <c r="B7271" s="1" t="s">
        <v>62</v>
      </c>
      <c r="C7271" s="1" t="n">
        <v>483000</v>
      </c>
      <c r="D7271" s="1" t="n">
        <v>511.9</v>
      </c>
      <c r="E7271" s="1" t="n">
        <v>0.0584</v>
      </c>
      <c r="F7271" s="1" t="n">
        <v>0.0998</v>
      </c>
    </row>
    <row r="7272" customFormat="false" ht="15" hidden="false" customHeight="false" outlineLevel="0" collapsed="false">
      <c r="A7272" s="1" t="s">
        <v>7307</v>
      </c>
      <c r="B7272" s="1" t="s">
        <v>92</v>
      </c>
      <c r="C7272" s="1" t="n">
        <v>276000</v>
      </c>
      <c r="D7272" s="1" t="n">
        <v>36984.9</v>
      </c>
      <c r="E7272" s="1" t="n">
        <v>0.052</v>
      </c>
      <c r="F7272" s="1" t="n">
        <v>0.0951</v>
      </c>
    </row>
    <row r="7273" customFormat="false" ht="15" hidden="false" customHeight="false" outlineLevel="0" collapsed="false">
      <c r="A7273" s="1" t="s">
        <v>7308</v>
      </c>
      <c r="B7273" s="1" t="s">
        <v>50</v>
      </c>
      <c r="C7273" s="1" t="n">
        <v>269000</v>
      </c>
      <c r="D7273" s="1" t="n">
        <v>4071</v>
      </c>
      <c r="E7273" s="1" t="n">
        <v>0.007</v>
      </c>
      <c r="F7273" s="1" t="n">
        <v>0.0822</v>
      </c>
    </row>
    <row r="7274" customFormat="false" ht="15" hidden="false" customHeight="false" outlineLevel="0" collapsed="false">
      <c r="A7274" s="1" t="s">
        <v>7309</v>
      </c>
      <c r="B7274" s="1" t="s">
        <v>30</v>
      </c>
      <c r="C7274" s="1" t="n">
        <v>264000</v>
      </c>
      <c r="D7274" s="1" t="n">
        <v>44882</v>
      </c>
      <c r="E7274" s="1" t="n">
        <v>0.0359</v>
      </c>
      <c r="F7274" s="1" t="n">
        <v>0.0845</v>
      </c>
    </row>
    <row r="7275" customFormat="false" ht="15" hidden="false" customHeight="false" outlineLevel="0" collapsed="false">
      <c r="A7275" s="1" t="s">
        <v>7310</v>
      </c>
      <c r="B7275" s="1" t="s">
        <v>32</v>
      </c>
      <c r="C7275" s="1" t="n">
        <v>688000</v>
      </c>
      <c r="D7275" s="1" t="n">
        <v>5850.3</v>
      </c>
      <c r="E7275" s="1" t="n">
        <v>0.0151</v>
      </c>
      <c r="F7275" s="1" t="n">
        <v>0.0462</v>
      </c>
    </row>
    <row r="7276" customFormat="false" ht="15" hidden="false" customHeight="false" outlineLevel="0" collapsed="false">
      <c r="A7276" s="1" t="s">
        <v>7311</v>
      </c>
      <c r="B7276" s="1" t="s">
        <v>88</v>
      </c>
      <c r="C7276" s="1" t="n">
        <v>273000</v>
      </c>
      <c r="D7276" s="1" t="n">
        <v>4659.1</v>
      </c>
      <c r="E7276" s="1" t="n">
        <v>0.0154</v>
      </c>
      <c r="F7276" s="1" t="n">
        <v>0.3868</v>
      </c>
    </row>
    <row r="7277" customFormat="false" ht="15" hidden="false" customHeight="false" outlineLevel="0" collapsed="false">
      <c r="A7277" s="1" t="s">
        <v>7312</v>
      </c>
      <c r="B7277" s="1" t="s">
        <v>41</v>
      </c>
      <c r="C7277" s="1" t="n">
        <v>909000</v>
      </c>
      <c r="D7277" s="1" t="n">
        <v>12736.9</v>
      </c>
      <c r="E7277" s="1" t="n">
        <v>0.1248</v>
      </c>
      <c r="F7277" s="1" t="n">
        <v>0.0938</v>
      </c>
    </row>
    <row r="7278" customFormat="false" ht="15" hidden="false" customHeight="false" outlineLevel="0" collapsed="false">
      <c r="A7278" s="1" t="s">
        <v>7313</v>
      </c>
      <c r="B7278" s="1" t="s">
        <v>88</v>
      </c>
      <c r="C7278" s="1" t="n">
        <v>342000</v>
      </c>
      <c r="D7278" s="1" t="n">
        <v>2106.9</v>
      </c>
      <c r="E7278" s="1" t="n">
        <v>0.0303</v>
      </c>
      <c r="F7278" s="1" t="n">
        <v>0.0938</v>
      </c>
    </row>
    <row r="7279" customFormat="false" ht="15" hidden="false" customHeight="false" outlineLevel="0" collapsed="false">
      <c r="A7279" s="1" t="s">
        <v>7314</v>
      </c>
      <c r="B7279" s="1" t="s">
        <v>50</v>
      </c>
      <c r="C7279" s="1" t="n">
        <v>319000</v>
      </c>
      <c r="D7279" s="1" t="n">
        <v>11854.9</v>
      </c>
      <c r="E7279" s="1" t="n">
        <v>0.0562</v>
      </c>
      <c r="F7279" s="1" t="n">
        <v>0.0938</v>
      </c>
    </row>
    <row r="7280" customFormat="false" ht="15" hidden="false" customHeight="false" outlineLevel="0" collapsed="false">
      <c r="A7280" s="1" t="s">
        <v>7315</v>
      </c>
      <c r="B7280" s="1" t="s">
        <v>62</v>
      </c>
      <c r="C7280" s="1" t="n">
        <v>275000</v>
      </c>
      <c r="D7280" s="1" t="n">
        <v>58.2</v>
      </c>
      <c r="E7280" s="1" t="n">
        <v>0.0082</v>
      </c>
      <c r="F7280" s="1" t="n">
        <v>0.0822</v>
      </c>
    </row>
    <row r="7281" customFormat="false" ht="15" hidden="false" customHeight="false" outlineLevel="0" collapsed="false">
      <c r="A7281" s="1" t="s">
        <v>7316</v>
      </c>
      <c r="B7281" s="1" t="s">
        <v>62</v>
      </c>
      <c r="C7281" s="1" t="n">
        <v>272000</v>
      </c>
      <c r="D7281" s="1" t="n">
        <v>2124.8</v>
      </c>
      <c r="E7281" s="1" t="n">
        <v>0.015</v>
      </c>
      <c r="F7281" s="1" t="n">
        <v>0.0576</v>
      </c>
    </row>
    <row r="7282" customFormat="false" ht="15" hidden="false" customHeight="false" outlineLevel="0" collapsed="false">
      <c r="A7282" s="1" t="s">
        <v>7317</v>
      </c>
      <c r="B7282" s="1" t="s">
        <v>26</v>
      </c>
      <c r="C7282" s="1" t="n">
        <v>268000</v>
      </c>
      <c r="D7282" s="1" t="n">
        <v>8258.1</v>
      </c>
      <c r="E7282" s="1" t="n">
        <v>0.0183</v>
      </c>
      <c r="F7282" s="1" t="n">
        <v>0.095</v>
      </c>
    </row>
    <row r="7283" customFormat="false" ht="15" hidden="false" customHeight="false" outlineLevel="0" collapsed="false">
      <c r="A7283" s="1" t="s">
        <v>7318</v>
      </c>
      <c r="B7283" s="1" t="s">
        <v>26</v>
      </c>
      <c r="C7283" s="1" t="n">
        <v>264000</v>
      </c>
      <c r="D7283" s="1" t="n">
        <v>811.5</v>
      </c>
      <c r="E7283" s="1" t="n">
        <v>0.0538</v>
      </c>
      <c r="F7283" s="1" t="n">
        <v>0.0546</v>
      </c>
    </row>
    <row r="7284" customFormat="false" ht="15" hidden="false" customHeight="false" outlineLevel="0" collapsed="false">
      <c r="A7284" s="1" t="s">
        <v>7319</v>
      </c>
      <c r="B7284" s="1" t="s">
        <v>26</v>
      </c>
      <c r="C7284" s="1" t="n">
        <v>358000</v>
      </c>
      <c r="D7284" s="1" t="n">
        <v>28456.6</v>
      </c>
      <c r="E7284" s="1" t="n">
        <v>0.0299</v>
      </c>
      <c r="F7284" s="1" t="n">
        <v>0.0759</v>
      </c>
    </row>
    <row r="7285" customFormat="false" ht="15" hidden="false" customHeight="false" outlineLevel="0" collapsed="false">
      <c r="A7285" s="1" t="s">
        <v>7320</v>
      </c>
      <c r="B7285" s="1" t="s">
        <v>214</v>
      </c>
      <c r="C7285" s="1" t="n">
        <v>642000</v>
      </c>
      <c r="D7285" s="1" t="n">
        <v>114956.3</v>
      </c>
      <c r="F7285" s="1" t="n">
        <v>0.0409</v>
      </c>
    </row>
    <row r="7286" customFormat="false" ht="15" hidden="false" customHeight="false" outlineLevel="0" collapsed="false">
      <c r="A7286" s="1" t="s">
        <v>7321</v>
      </c>
      <c r="B7286" s="1" t="s">
        <v>26</v>
      </c>
      <c r="C7286" s="1" t="n">
        <v>302000</v>
      </c>
      <c r="D7286" s="1" t="n">
        <v>1583.7</v>
      </c>
      <c r="E7286" s="1" t="n">
        <v>0.0323</v>
      </c>
      <c r="F7286" s="1" t="n">
        <v>0.0938</v>
      </c>
    </row>
    <row r="7287" customFormat="false" ht="15" hidden="false" customHeight="false" outlineLevel="0" collapsed="false">
      <c r="A7287" s="1" t="s">
        <v>7322</v>
      </c>
      <c r="B7287" s="1" t="s">
        <v>26</v>
      </c>
      <c r="C7287" s="1" t="n">
        <v>376000</v>
      </c>
      <c r="D7287" s="1" t="n">
        <v>70504.1</v>
      </c>
      <c r="E7287" s="1" t="n">
        <v>0.0645</v>
      </c>
      <c r="F7287" s="1" t="n">
        <v>0.0759</v>
      </c>
    </row>
    <row r="7288" customFormat="false" ht="15" hidden="false" customHeight="false" outlineLevel="0" collapsed="false">
      <c r="A7288" s="1" t="s">
        <v>7323</v>
      </c>
      <c r="B7288" s="1" t="s">
        <v>88</v>
      </c>
      <c r="C7288" s="1" t="n">
        <v>291000</v>
      </c>
      <c r="D7288" s="1" t="n">
        <v>316.5</v>
      </c>
      <c r="E7288" s="1" t="n">
        <v>0.0312</v>
      </c>
      <c r="F7288" s="1" t="n">
        <v>0.1226</v>
      </c>
    </row>
    <row r="7289" customFormat="false" ht="15" hidden="false" customHeight="false" outlineLevel="0" collapsed="false">
      <c r="A7289" s="1" t="s">
        <v>7324</v>
      </c>
      <c r="B7289" s="1" t="s">
        <v>50</v>
      </c>
      <c r="C7289" s="1" t="n">
        <v>263000</v>
      </c>
      <c r="D7289" s="1" t="n">
        <v>3492033.2</v>
      </c>
      <c r="E7289" s="1" t="n">
        <v>0.0131</v>
      </c>
      <c r="F7289" s="1" t="n">
        <v>0.0585</v>
      </c>
    </row>
    <row r="7290" customFormat="false" ht="15" hidden="false" customHeight="false" outlineLevel="0" collapsed="false">
      <c r="A7290" s="1" t="s">
        <v>7325</v>
      </c>
      <c r="B7290" s="1" t="s">
        <v>26</v>
      </c>
      <c r="C7290" s="1" t="n">
        <v>350000</v>
      </c>
      <c r="D7290" s="1" t="n">
        <v>12629.8</v>
      </c>
      <c r="E7290" s="1" t="n">
        <v>0.0178</v>
      </c>
      <c r="F7290" s="1" t="n">
        <v>0.0854</v>
      </c>
    </row>
    <row r="7291" customFormat="false" ht="15" hidden="false" customHeight="false" outlineLevel="0" collapsed="false">
      <c r="A7291" s="1" t="s">
        <v>7326</v>
      </c>
      <c r="B7291" s="1" t="s">
        <v>214</v>
      </c>
      <c r="C7291" s="1" t="n">
        <v>386000</v>
      </c>
      <c r="D7291" s="1" t="n">
        <v>8133.5</v>
      </c>
      <c r="E7291" s="1" t="n">
        <v>0.0172</v>
      </c>
      <c r="F7291" s="1" t="n">
        <v>0.0585</v>
      </c>
    </row>
    <row r="7292" customFormat="false" ht="15" hidden="false" customHeight="false" outlineLevel="0" collapsed="false">
      <c r="A7292" s="1" t="s">
        <v>7327</v>
      </c>
      <c r="B7292" s="1" t="s">
        <v>81</v>
      </c>
      <c r="C7292" s="1" t="n">
        <v>331000</v>
      </c>
      <c r="D7292" s="1" t="n">
        <v>19668.4</v>
      </c>
      <c r="E7292" s="1" t="n">
        <v>0.0306</v>
      </c>
      <c r="F7292" s="1" t="n">
        <v>0.0938</v>
      </c>
    </row>
    <row r="7293" customFormat="false" ht="15" hidden="false" customHeight="false" outlineLevel="0" collapsed="false">
      <c r="A7293" s="1" t="s">
        <v>7328</v>
      </c>
      <c r="B7293" s="1" t="s">
        <v>62</v>
      </c>
      <c r="C7293" s="1" t="n">
        <v>336000</v>
      </c>
      <c r="D7293" s="1" t="n">
        <v>2554.3</v>
      </c>
      <c r="E7293" s="1" t="n">
        <v>0.0423</v>
      </c>
      <c r="F7293" s="1" t="n">
        <v>0.0759</v>
      </c>
    </row>
    <row r="7294" customFormat="false" ht="15" hidden="false" customHeight="false" outlineLevel="0" collapsed="false">
      <c r="A7294" s="1" t="s">
        <v>7329</v>
      </c>
      <c r="B7294" s="1" t="s">
        <v>92</v>
      </c>
      <c r="C7294" s="1" t="n">
        <v>529000</v>
      </c>
      <c r="D7294" s="1" t="n">
        <v>28525</v>
      </c>
      <c r="E7294" s="1" t="n">
        <v>0.0313</v>
      </c>
      <c r="F7294" s="1" t="n">
        <v>0.0538</v>
      </c>
    </row>
    <row r="7295" customFormat="false" ht="15" hidden="false" customHeight="false" outlineLevel="0" collapsed="false">
      <c r="A7295" s="1" t="s">
        <v>7330</v>
      </c>
      <c r="B7295" s="1" t="s">
        <v>71</v>
      </c>
      <c r="C7295" s="1" t="n">
        <v>283000</v>
      </c>
      <c r="D7295" s="1" t="n">
        <v>1171.2</v>
      </c>
      <c r="E7295" s="1" t="n">
        <v>0.0244</v>
      </c>
      <c r="F7295" s="1" t="n">
        <v>0.1066</v>
      </c>
    </row>
    <row r="7296" customFormat="false" ht="15" hidden="false" customHeight="false" outlineLevel="0" collapsed="false">
      <c r="A7296" s="1" t="s">
        <v>7331</v>
      </c>
      <c r="B7296" s="1" t="s">
        <v>50</v>
      </c>
      <c r="C7296" s="1" t="n">
        <v>329000</v>
      </c>
      <c r="D7296" s="1" t="n">
        <v>402.5</v>
      </c>
      <c r="E7296" s="1" t="n">
        <v>0.0436</v>
      </c>
      <c r="F7296" s="1" t="n">
        <v>0.0759</v>
      </c>
    </row>
    <row r="7297" customFormat="false" ht="15" hidden="false" customHeight="false" outlineLevel="0" collapsed="false">
      <c r="A7297" s="1" t="s">
        <v>7332</v>
      </c>
      <c r="B7297" s="1" t="s">
        <v>88</v>
      </c>
      <c r="C7297" s="1" t="n">
        <v>338000</v>
      </c>
      <c r="D7297" s="1" t="n">
        <v>1363.8</v>
      </c>
      <c r="E7297" s="1" t="n">
        <v>0.0516</v>
      </c>
      <c r="F7297" s="1" t="n">
        <v>0.0938</v>
      </c>
    </row>
    <row r="7298" customFormat="false" ht="15" hidden="false" customHeight="false" outlineLevel="0" collapsed="false">
      <c r="A7298" s="1" t="s">
        <v>7333</v>
      </c>
      <c r="B7298" s="1" t="s">
        <v>287</v>
      </c>
      <c r="C7298" s="1" t="n">
        <v>263000</v>
      </c>
      <c r="D7298" s="1" t="n">
        <v>863.4</v>
      </c>
      <c r="E7298" s="1" t="n">
        <v>0.0133</v>
      </c>
      <c r="F7298" s="1" t="n">
        <v>0.1067</v>
      </c>
    </row>
    <row r="7299" customFormat="false" ht="15" hidden="false" customHeight="false" outlineLevel="0" collapsed="false">
      <c r="A7299" s="1" t="s">
        <v>7334</v>
      </c>
      <c r="B7299" s="1" t="s">
        <v>24</v>
      </c>
      <c r="C7299" s="1" t="n">
        <v>454000</v>
      </c>
      <c r="D7299" s="1" t="n">
        <v>906</v>
      </c>
      <c r="E7299" s="1" t="n">
        <v>0.0145</v>
      </c>
      <c r="F7299" s="1" t="n">
        <v>0.1013</v>
      </c>
    </row>
    <row r="7300" customFormat="false" ht="15" hidden="false" customHeight="false" outlineLevel="0" collapsed="false">
      <c r="A7300" s="1" t="s">
        <v>7335</v>
      </c>
      <c r="B7300" s="1" t="s">
        <v>53</v>
      </c>
      <c r="C7300" s="1" t="n">
        <v>339000</v>
      </c>
      <c r="D7300" s="1" t="n">
        <v>1327.9</v>
      </c>
      <c r="E7300" s="1" t="n">
        <v>0.0772</v>
      </c>
      <c r="F7300" s="1" t="n">
        <v>0.0938</v>
      </c>
    </row>
    <row r="7301" customFormat="false" ht="15" hidden="false" customHeight="false" outlineLevel="0" collapsed="false">
      <c r="A7301" s="1" t="s">
        <v>7336</v>
      </c>
      <c r="B7301" s="1" t="s">
        <v>35</v>
      </c>
      <c r="C7301" s="1" t="n">
        <v>257000</v>
      </c>
      <c r="D7301" s="1" t="n">
        <v>88</v>
      </c>
      <c r="E7301" s="1" t="n">
        <v>0.0246</v>
      </c>
      <c r="F7301" s="1" t="n">
        <v>0.0759</v>
      </c>
    </row>
    <row r="7302" customFormat="false" ht="15" hidden="false" customHeight="false" outlineLevel="0" collapsed="false">
      <c r="A7302" s="1" t="s">
        <v>7337</v>
      </c>
      <c r="B7302" s="1" t="s">
        <v>26</v>
      </c>
      <c r="C7302" s="1" t="n">
        <v>388000</v>
      </c>
      <c r="D7302" s="1" t="n">
        <v>9125.6</v>
      </c>
      <c r="E7302" s="1" t="n">
        <v>0.0247</v>
      </c>
      <c r="F7302" s="1" t="n">
        <v>0.0759</v>
      </c>
    </row>
    <row r="7303" customFormat="false" ht="15" hidden="false" customHeight="false" outlineLevel="0" collapsed="false">
      <c r="A7303" s="1" t="s">
        <v>7338</v>
      </c>
      <c r="B7303" s="1" t="s">
        <v>24</v>
      </c>
      <c r="C7303" s="1" t="n">
        <v>1130000</v>
      </c>
      <c r="D7303" s="1" t="n">
        <v>106047.6</v>
      </c>
      <c r="E7303" s="1" t="n">
        <v>0.0279</v>
      </c>
      <c r="F7303" s="1" t="n">
        <v>0.0759</v>
      </c>
    </row>
    <row r="7304" customFormat="false" ht="15" hidden="false" customHeight="false" outlineLevel="0" collapsed="false">
      <c r="A7304" s="1" t="s">
        <v>7339</v>
      </c>
      <c r="B7304" s="1" t="s">
        <v>74</v>
      </c>
      <c r="C7304" s="1" t="n">
        <v>259000</v>
      </c>
      <c r="D7304" s="1" t="n">
        <v>75.9</v>
      </c>
      <c r="E7304" s="1" t="n">
        <v>0.0134</v>
      </c>
      <c r="F7304" s="1" t="n">
        <v>0.0814</v>
      </c>
    </row>
    <row r="7305" customFormat="false" ht="15" hidden="false" customHeight="false" outlineLevel="0" collapsed="false">
      <c r="A7305" s="1" t="s">
        <v>7340</v>
      </c>
      <c r="B7305" s="1" t="s">
        <v>26</v>
      </c>
      <c r="C7305" s="1" t="n">
        <v>272000</v>
      </c>
      <c r="D7305" s="1" t="n">
        <v>4749.9</v>
      </c>
      <c r="E7305" s="1" t="n">
        <v>0.0324</v>
      </c>
      <c r="F7305" s="1" t="n">
        <v>0.0951</v>
      </c>
    </row>
    <row r="7306" customFormat="false" ht="15" hidden="false" customHeight="false" outlineLevel="0" collapsed="false">
      <c r="A7306" s="1" t="s">
        <v>7341</v>
      </c>
      <c r="B7306" s="1" t="s">
        <v>214</v>
      </c>
      <c r="C7306" s="1" t="n">
        <v>332000</v>
      </c>
      <c r="D7306" s="1" t="n">
        <v>5908.4</v>
      </c>
      <c r="E7306" s="1" t="n">
        <v>0.0675</v>
      </c>
      <c r="F7306" s="1" t="n">
        <v>0.0759</v>
      </c>
    </row>
    <row r="7307" customFormat="false" ht="15" hidden="false" customHeight="false" outlineLevel="0" collapsed="false">
      <c r="A7307" s="1" t="s">
        <v>7342</v>
      </c>
      <c r="B7307" s="1" t="s">
        <v>92</v>
      </c>
      <c r="C7307" s="1" t="n">
        <v>1030000</v>
      </c>
      <c r="D7307" s="1" t="n">
        <v>28983</v>
      </c>
      <c r="F7307" s="1" t="n">
        <v>0.0759</v>
      </c>
    </row>
    <row r="7308" customFormat="false" ht="15" hidden="false" customHeight="false" outlineLevel="0" collapsed="false">
      <c r="A7308" s="1" t="s">
        <v>7343</v>
      </c>
      <c r="B7308" s="1" t="s">
        <v>26</v>
      </c>
      <c r="C7308" s="1" t="n">
        <v>350000</v>
      </c>
      <c r="D7308" s="1" t="n">
        <v>56585.7</v>
      </c>
      <c r="E7308" s="1" t="n">
        <v>0.0339</v>
      </c>
      <c r="F7308" s="1" t="n">
        <v>0.0759</v>
      </c>
    </row>
    <row r="7309" customFormat="false" ht="15" hidden="false" customHeight="false" outlineLevel="0" collapsed="false">
      <c r="A7309" s="1" t="s">
        <v>7344</v>
      </c>
      <c r="B7309" s="1" t="s">
        <v>26</v>
      </c>
      <c r="C7309" s="1" t="n">
        <v>407000</v>
      </c>
      <c r="D7309" s="1" t="n">
        <v>78484</v>
      </c>
      <c r="E7309" s="1" t="n">
        <v>0.0205</v>
      </c>
      <c r="F7309" s="1" t="n">
        <v>0.0409</v>
      </c>
    </row>
    <row r="7310" customFormat="false" ht="15" hidden="false" customHeight="false" outlineLevel="0" collapsed="false">
      <c r="A7310" s="1" t="s">
        <v>7345</v>
      </c>
      <c r="B7310" s="1" t="s">
        <v>41</v>
      </c>
      <c r="C7310" s="1" t="n">
        <v>254000</v>
      </c>
      <c r="D7310" s="1" t="n">
        <v>1940.6</v>
      </c>
      <c r="E7310" s="1" t="n">
        <v>0.0338</v>
      </c>
      <c r="F7310" s="1" t="n">
        <v>0.0951</v>
      </c>
    </row>
    <row r="7311" customFormat="false" ht="15" hidden="false" customHeight="false" outlineLevel="0" collapsed="false">
      <c r="A7311" s="1" t="s">
        <v>7346</v>
      </c>
      <c r="B7311" s="1" t="s">
        <v>62</v>
      </c>
      <c r="C7311" s="1" t="n">
        <v>351000</v>
      </c>
      <c r="D7311" s="1" t="n">
        <v>231981.2</v>
      </c>
      <c r="E7311" s="1" t="n">
        <v>0.0175</v>
      </c>
      <c r="F7311" s="1" t="n">
        <v>0.0585</v>
      </c>
    </row>
    <row r="7312" customFormat="false" ht="15" hidden="false" customHeight="false" outlineLevel="0" collapsed="false">
      <c r="A7312" s="1" t="s">
        <v>7347</v>
      </c>
      <c r="B7312" s="1" t="s">
        <v>26</v>
      </c>
      <c r="C7312" s="1" t="n">
        <v>268000</v>
      </c>
      <c r="D7312" s="1" t="n">
        <v>2928.1</v>
      </c>
      <c r="E7312" s="1" t="n">
        <v>0.0168</v>
      </c>
      <c r="F7312" s="1" t="n">
        <v>0.0462</v>
      </c>
    </row>
    <row r="7313" customFormat="false" ht="15" hidden="false" customHeight="false" outlineLevel="0" collapsed="false">
      <c r="A7313" s="1" t="s">
        <v>7348</v>
      </c>
      <c r="B7313" s="1" t="s">
        <v>92</v>
      </c>
      <c r="C7313" s="1" t="n">
        <v>300000</v>
      </c>
      <c r="D7313" s="1" t="n">
        <v>276.1</v>
      </c>
      <c r="E7313" s="1" t="n">
        <v>0.0216</v>
      </c>
      <c r="F7313" s="1" t="n">
        <v>0.0938</v>
      </c>
    </row>
    <row r="7314" customFormat="false" ht="15" hidden="false" customHeight="false" outlineLevel="0" collapsed="false">
      <c r="A7314" s="1" t="s">
        <v>7349</v>
      </c>
      <c r="B7314" s="1" t="s">
        <v>74</v>
      </c>
      <c r="C7314" s="1" t="n">
        <v>278000</v>
      </c>
      <c r="D7314" s="1" t="n">
        <v>28568.1</v>
      </c>
      <c r="F7314" s="1" t="n">
        <v>0.0951</v>
      </c>
    </row>
    <row r="7315" customFormat="false" ht="15" hidden="false" customHeight="false" outlineLevel="0" collapsed="false">
      <c r="A7315" s="1" t="s">
        <v>7350</v>
      </c>
      <c r="B7315" s="1" t="s">
        <v>41</v>
      </c>
      <c r="C7315" s="1" t="n">
        <v>411000</v>
      </c>
      <c r="D7315" s="1" t="n">
        <v>43673.5</v>
      </c>
      <c r="E7315" s="1" t="n">
        <v>0.0548</v>
      </c>
      <c r="F7315" s="1" t="n">
        <v>0.0951</v>
      </c>
    </row>
    <row r="7316" customFormat="false" ht="15" hidden="false" customHeight="false" outlineLevel="0" collapsed="false">
      <c r="A7316" s="1" t="s">
        <v>7351</v>
      </c>
      <c r="B7316" s="1" t="s">
        <v>30</v>
      </c>
      <c r="C7316" s="1" t="n">
        <v>283000</v>
      </c>
      <c r="D7316" s="1" t="n">
        <v>3434.2</v>
      </c>
      <c r="E7316" s="1" t="n">
        <v>0.0062</v>
      </c>
      <c r="F7316" s="1" t="n">
        <v>0.0822</v>
      </c>
    </row>
    <row r="7317" customFormat="false" ht="15" hidden="false" customHeight="false" outlineLevel="0" collapsed="false">
      <c r="A7317" s="1" t="s">
        <v>7352</v>
      </c>
      <c r="B7317" s="1" t="s">
        <v>41</v>
      </c>
      <c r="C7317" s="1" t="n">
        <v>264000</v>
      </c>
      <c r="D7317" s="1" t="n">
        <v>695270.6</v>
      </c>
      <c r="E7317" s="1" t="n">
        <v>0.0121</v>
      </c>
      <c r="F7317" s="1" t="n">
        <v>0.0585</v>
      </c>
    </row>
    <row r="7318" customFormat="false" ht="15" hidden="false" customHeight="false" outlineLevel="0" collapsed="false">
      <c r="A7318" s="1" t="s">
        <v>7353</v>
      </c>
      <c r="B7318" s="1" t="s">
        <v>214</v>
      </c>
      <c r="C7318" s="1" t="n">
        <v>389000</v>
      </c>
      <c r="D7318" s="1" t="n">
        <v>458.3</v>
      </c>
      <c r="E7318" s="1" t="n">
        <v>0.0065</v>
      </c>
      <c r="F7318" s="1" t="n">
        <v>0.0903</v>
      </c>
    </row>
    <row r="7319" customFormat="false" ht="15" hidden="false" customHeight="false" outlineLevel="0" collapsed="false">
      <c r="A7319" s="1" t="s">
        <v>7354</v>
      </c>
      <c r="B7319" s="1" t="s">
        <v>50</v>
      </c>
      <c r="C7319" s="1" t="n">
        <v>385000</v>
      </c>
      <c r="D7319" s="1" t="n">
        <v>3672.4</v>
      </c>
      <c r="E7319" s="1" t="n">
        <v>0.0246</v>
      </c>
      <c r="F7319" s="1" t="n">
        <v>0.0938</v>
      </c>
    </row>
    <row r="7320" customFormat="false" ht="15" hidden="false" customHeight="false" outlineLevel="0" collapsed="false">
      <c r="A7320" s="1" t="s">
        <v>7355</v>
      </c>
      <c r="B7320" s="1" t="s">
        <v>88</v>
      </c>
      <c r="C7320" s="1" t="n">
        <v>594000</v>
      </c>
      <c r="D7320" s="1" t="n">
        <v>1413.1</v>
      </c>
      <c r="E7320" s="1" t="n">
        <v>0.0576</v>
      </c>
      <c r="F7320" s="1" t="n">
        <v>0.0938</v>
      </c>
    </row>
    <row r="7321" customFormat="false" ht="15" hidden="false" customHeight="false" outlineLevel="0" collapsed="false">
      <c r="A7321" s="1" t="s">
        <v>7356</v>
      </c>
      <c r="B7321" s="1" t="s">
        <v>287</v>
      </c>
      <c r="C7321" s="1" t="n">
        <v>266000</v>
      </c>
      <c r="D7321" s="1" t="n">
        <v>14261.8</v>
      </c>
      <c r="E7321" s="1" t="n">
        <v>0.024</v>
      </c>
      <c r="F7321" s="1" t="n">
        <v>0.171</v>
      </c>
    </row>
    <row r="7322" customFormat="false" ht="15" hidden="false" customHeight="false" outlineLevel="0" collapsed="false">
      <c r="A7322" s="1" t="s">
        <v>7357</v>
      </c>
      <c r="B7322" s="1" t="s">
        <v>50</v>
      </c>
      <c r="C7322" s="1" t="n">
        <v>268000</v>
      </c>
      <c r="D7322" s="1" t="n">
        <v>57.6</v>
      </c>
      <c r="E7322" s="1" t="n">
        <v>0.0771</v>
      </c>
      <c r="F7322" s="1" t="n">
        <v>0.0759</v>
      </c>
    </row>
    <row r="7323" customFormat="false" ht="15" hidden="false" customHeight="false" outlineLevel="0" collapsed="false">
      <c r="A7323" s="1" t="s">
        <v>7358</v>
      </c>
      <c r="B7323" s="1" t="s">
        <v>81</v>
      </c>
      <c r="C7323" s="1" t="n">
        <v>277000</v>
      </c>
      <c r="D7323" s="1" t="n">
        <v>11021.2</v>
      </c>
      <c r="E7323" s="1" t="n">
        <v>0.0763</v>
      </c>
      <c r="F7323" s="1" t="n">
        <v>0.0951</v>
      </c>
    </row>
    <row r="7324" customFormat="false" ht="15" hidden="false" customHeight="false" outlineLevel="0" collapsed="false">
      <c r="A7324" s="1" t="s">
        <v>7359</v>
      </c>
      <c r="B7324" s="1" t="s">
        <v>26</v>
      </c>
      <c r="C7324" s="1" t="n">
        <v>278000</v>
      </c>
      <c r="D7324" s="1" t="n">
        <v>8666</v>
      </c>
      <c r="E7324" s="1" t="n">
        <v>0.0392</v>
      </c>
      <c r="F7324" s="1" t="n">
        <v>0.0951</v>
      </c>
    </row>
    <row r="7325" customFormat="false" ht="15" hidden="false" customHeight="false" outlineLevel="0" collapsed="false">
      <c r="A7325" s="1" t="s">
        <v>7360</v>
      </c>
      <c r="B7325" s="1" t="s">
        <v>21</v>
      </c>
      <c r="C7325" s="1" t="n">
        <v>280000</v>
      </c>
      <c r="D7325" s="1" t="n">
        <v>4151.3</v>
      </c>
      <c r="E7325" s="1" t="n">
        <v>0.0174</v>
      </c>
      <c r="F7325" s="1" t="n">
        <v>0.0585</v>
      </c>
    </row>
    <row r="7326" customFormat="false" ht="15" hidden="false" customHeight="false" outlineLevel="0" collapsed="false">
      <c r="A7326" s="1" t="s">
        <v>7361</v>
      </c>
      <c r="B7326" s="1" t="s">
        <v>214</v>
      </c>
      <c r="C7326" s="1" t="n">
        <v>433000</v>
      </c>
      <c r="D7326" s="1" t="n">
        <v>7482.1</v>
      </c>
      <c r="E7326" s="1" t="n">
        <v>0.0507</v>
      </c>
      <c r="F7326" s="1" t="n">
        <v>0.0759</v>
      </c>
    </row>
    <row r="7327" customFormat="false" ht="15" hidden="false" customHeight="false" outlineLevel="0" collapsed="false">
      <c r="A7327" s="1" t="s">
        <v>7362</v>
      </c>
      <c r="B7327" s="1" t="s">
        <v>214</v>
      </c>
      <c r="C7327" s="1" t="n">
        <v>472000</v>
      </c>
      <c r="D7327" s="1" t="n">
        <v>2218.8</v>
      </c>
      <c r="E7327" s="1" t="n">
        <v>0.0118</v>
      </c>
      <c r="F7327" s="1" t="n">
        <v>0.1377</v>
      </c>
    </row>
    <row r="7328" customFormat="false" ht="15" hidden="false" customHeight="false" outlineLevel="0" collapsed="false">
      <c r="A7328" s="1" t="s">
        <v>7363</v>
      </c>
      <c r="B7328" s="1" t="s">
        <v>26</v>
      </c>
      <c r="C7328" s="1" t="n">
        <v>792000</v>
      </c>
      <c r="D7328" s="1" t="n">
        <v>21216.9</v>
      </c>
      <c r="E7328" s="1" t="n">
        <v>0.0083</v>
      </c>
      <c r="F7328" s="1" t="n">
        <v>0.0903</v>
      </c>
    </row>
    <row r="7329" customFormat="false" ht="15" hidden="false" customHeight="false" outlineLevel="0" collapsed="false">
      <c r="A7329" s="1" t="s">
        <v>7364</v>
      </c>
      <c r="B7329" s="1" t="s">
        <v>88</v>
      </c>
      <c r="C7329" s="1" t="n">
        <v>271000</v>
      </c>
      <c r="D7329" s="1" t="n">
        <v>1539.5</v>
      </c>
      <c r="E7329" s="1" t="n">
        <v>0.0538</v>
      </c>
      <c r="F7329" s="1" t="n">
        <v>0.0951</v>
      </c>
    </row>
    <row r="7330" customFormat="false" ht="15" hidden="false" customHeight="false" outlineLevel="0" collapsed="false">
      <c r="A7330" s="1" t="s">
        <v>7365</v>
      </c>
      <c r="B7330" s="1" t="s">
        <v>41</v>
      </c>
      <c r="C7330" s="1" t="n">
        <v>785000</v>
      </c>
      <c r="D7330" s="1" t="n">
        <v>1318.9</v>
      </c>
      <c r="E7330" s="1" t="n">
        <v>0.0265</v>
      </c>
      <c r="F7330" s="1" t="n">
        <v>0.0938</v>
      </c>
    </row>
    <row r="7331" customFormat="false" ht="15" hidden="false" customHeight="false" outlineLevel="0" collapsed="false">
      <c r="A7331" s="1" t="s">
        <v>7366</v>
      </c>
      <c r="B7331" s="1" t="s">
        <v>26</v>
      </c>
      <c r="C7331" s="1" t="n">
        <v>318000</v>
      </c>
      <c r="D7331" s="1" t="n">
        <v>5708.3</v>
      </c>
      <c r="E7331" s="1" t="n">
        <v>0.0125</v>
      </c>
      <c r="F7331" s="1" t="n">
        <v>0.0647</v>
      </c>
    </row>
    <row r="7332" customFormat="false" ht="15" hidden="false" customHeight="false" outlineLevel="0" collapsed="false">
      <c r="A7332" s="1" t="s">
        <v>7367</v>
      </c>
      <c r="B7332" s="1" t="s">
        <v>88</v>
      </c>
      <c r="C7332" s="1" t="n">
        <v>281000</v>
      </c>
      <c r="D7332" s="1" t="n">
        <v>610.8</v>
      </c>
      <c r="E7332" s="1" t="n">
        <v>0.0149</v>
      </c>
      <c r="F7332" s="1" t="n">
        <v>0.0576</v>
      </c>
    </row>
    <row r="7333" customFormat="false" ht="15" hidden="false" customHeight="false" outlineLevel="0" collapsed="false">
      <c r="A7333" s="1" t="s">
        <v>7368</v>
      </c>
      <c r="B7333" s="1" t="s">
        <v>26</v>
      </c>
      <c r="C7333" s="1" t="n">
        <v>334000</v>
      </c>
      <c r="D7333" s="1" t="n">
        <v>24004.3</v>
      </c>
      <c r="E7333" s="1" t="n">
        <v>0.0208</v>
      </c>
      <c r="F7333" s="1" t="n">
        <v>0.0854</v>
      </c>
    </row>
    <row r="7334" customFormat="false" ht="15" hidden="false" customHeight="false" outlineLevel="0" collapsed="false">
      <c r="A7334" s="1" t="s">
        <v>7369</v>
      </c>
      <c r="B7334" s="1" t="s">
        <v>195</v>
      </c>
      <c r="C7334" s="1" t="n">
        <v>637000</v>
      </c>
      <c r="D7334" s="1" t="n">
        <v>58701.9</v>
      </c>
      <c r="E7334" s="1" t="n">
        <v>0.0211</v>
      </c>
      <c r="F7334" s="1" t="n">
        <v>0.1067</v>
      </c>
    </row>
    <row r="7335" customFormat="false" ht="15" hidden="false" customHeight="false" outlineLevel="0" collapsed="false">
      <c r="A7335" s="1" t="s">
        <v>7370</v>
      </c>
      <c r="B7335" s="1" t="s">
        <v>74</v>
      </c>
      <c r="C7335" s="1" t="n">
        <v>357000</v>
      </c>
      <c r="D7335" s="1" t="n">
        <v>8192.9</v>
      </c>
      <c r="E7335" s="1" t="n">
        <v>0.0368</v>
      </c>
      <c r="F7335" s="1" t="n">
        <v>0.0951</v>
      </c>
    </row>
    <row r="7336" customFormat="false" ht="15" hidden="false" customHeight="false" outlineLevel="0" collapsed="false">
      <c r="A7336" s="1" t="s">
        <v>7371</v>
      </c>
      <c r="B7336" s="1" t="s">
        <v>26</v>
      </c>
      <c r="C7336" s="1" t="n">
        <v>388000</v>
      </c>
      <c r="D7336" s="1" t="n">
        <v>15558.4</v>
      </c>
      <c r="E7336" s="1" t="n">
        <v>0.0145</v>
      </c>
      <c r="F7336" s="1" t="n">
        <v>0.0462</v>
      </c>
    </row>
    <row r="7337" customFormat="false" ht="15" hidden="false" customHeight="false" outlineLevel="0" collapsed="false">
      <c r="A7337" s="1" t="s">
        <v>7372</v>
      </c>
      <c r="B7337" s="1" t="s">
        <v>26</v>
      </c>
      <c r="C7337" s="1" t="n">
        <v>262000</v>
      </c>
      <c r="D7337" s="1" t="n">
        <v>220.4</v>
      </c>
      <c r="E7337" s="1" t="n">
        <v>0.0422</v>
      </c>
      <c r="F7337" s="1" t="n">
        <v>0.0951</v>
      </c>
    </row>
    <row r="7338" customFormat="false" ht="15" hidden="false" customHeight="false" outlineLevel="0" collapsed="false">
      <c r="A7338" s="1" t="s">
        <v>7373</v>
      </c>
      <c r="B7338" s="1" t="s">
        <v>62</v>
      </c>
      <c r="C7338" s="1" t="n">
        <v>262000</v>
      </c>
      <c r="D7338" s="1" t="n">
        <v>8218.6</v>
      </c>
      <c r="E7338" s="1" t="n">
        <v>0.0288</v>
      </c>
      <c r="F7338" s="1" t="n">
        <v>0.0951</v>
      </c>
    </row>
    <row r="7339" customFormat="false" ht="15" hidden="false" customHeight="false" outlineLevel="0" collapsed="false">
      <c r="A7339" s="1" t="s">
        <v>7374</v>
      </c>
      <c r="B7339" s="1" t="s">
        <v>92</v>
      </c>
      <c r="C7339" s="1" t="n">
        <v>458000</v>
      </c>
      <c r="D7339" s="1" t="n">
        <v>2521.3</v>
      </c>
      <c r="E7339" s="1" t="n">
        <v>0.0157</v>
      </c>
      <c r="F7339" s="1" t="n">
        <v>0.0462</v>
      </c>
    </row>
    <row r="7340" customFormat="false" ht="15" hidden="false" customHeight="false" outlineLevel="0" collapsed="false">
      <c r="A7340" s="1" t="s">
        <v>7375</v>
      </c>
      <c r="B7340" s="1" t="s">
        <v>92</v>
      </c>
      <c r="C7340" s="1" t="n">
        <v>277000</v>
      </c>
      <c r="D7340" s="1" t="n">
        <v>4611.5</v>
      </c>
      <c r="E7340" s="1" t="n">
        <v>0.0208</v>
      </c>
      <c r="F7340" s="1" t="n">
        <v>0.0951</v>
      </c>
    </row>
    <row r="7341" customFormat="false" ht="15" hidden="false" customHeight="false" outlineLevel="0" collapsed="false">
      <c r="A7341" s="1" t="s">
        <v>7376</v>
      </c>
      <c r="B7341" s="1" t="s">
        <v>26</v>
      </c>
      <c r="C7341" s="1" t="n">
        <v>270000</v>
      </c>
      <c r="D7341" s="1" t="n">
        <v>1117.8</v>
      </c>
      <c r="E7341" s="1" t="n">
        <v>0.0291</v>
      </c>
      <c r="F7341" s="1" t="n">
        <v>0.0951</v>
      </c>
    </row>
    <row r="7342" customFormat="false" ht="15" hidden="false" customHeight="false" outlineLevel="0" collapsed="false">
      <c r="A7342" s="1" t="s">
        <v>7377</v>
      </c>
      <c r="B7342" s="1" t="s">
        <v>26</v>
      </c>
      <c r="C7342" s="1" t="n">
        <v>284000</v>
      </c>
      <c r="D7342" s="1" t="n">
        <v>1365.9</v>
      </c>
      <c r="E7342" s="1" t="n">
        <v>0.0457</v>
      </c>
      <c r="F7342" s="1" t="n">
        <v>0.0759</v>
      </c>
    </row>
    <row r="7343" customFormat="false" ht="15" hidden="false" customHeight="false" outlineLevel="0" collapsed="false">
      <c r="A7343" s="1" t="s">
        <v>7378</v>
      </c>
      <c r="B7343" s="1" t="s">
        <v>88</v>
      </c>
      <c r="C7343" s="1" t="n">
        <v>258000</v>
      </c>
      <c r="D7343" s="1" t="n">
        <v>398.2</v>
      </c>
      <c r="E7343" s="1" t="n">
        <v>0.035</v>
      </c>
      <c r="F7343" s="1" t="n">
        <v>0.1241</v>
      </c>
    </row>
    <row r="7344" customFormat="false" ht="15" hidden="false" customHeight="false" outlineLevel="0" collapsed="false">
      <c r="A7344" s="1" t="s">
        <v>7379</v>
      </c>
      <c r="B7344" s="1" t="s">
        <v>50</v>
      </c>
      <c r="C7344" s="1" t="n">
        <v>215000</v>
      </c>
      <c r="D7344" s="1" t="n">
        <v>908398.4</v>
      </c>
      <c r="E7344" s="1" t="n">
        <v>0.0358</v>
      </c>
      <c r="F7344" s="1" t="n">
        <v>0.0518</v>
      </c>
    </row>
    <row r="7345" customFormat="false" ht="15" hidden="false" customHeight="false" outlineLevel="0" collapsed="false">
      <c r="A7345" s="1" t="s">
        <v>7380</v>
      </c>
      <c r="B7345" s="1" t="s">
        <v>26</v>
      </c>
      <c r="C7345" s="1" t="n">
        <v>261000</v>
      </c>
      <c r="D7345" s="1" t="n">
        <v>5907.9</v>
      </c>
      <c r="E7345" s="1" t="n">
        <v>0.0104</v>
      </c>
      <c r="F7345" s="1" t="n">
        <v>0.0657</v>
      </c>
    </row>
    <row r="7346" customFormat="false" ht="15" hidden="false" customHeight="false" outlineLevel="0" collapsed="false">
      <c r="A7346" s="1" t="s">
        <v>7381</v>
      </c>
      <c r="B7346" s="1" t="s">
        <v>88</v>
      </c>
      <c r="C7346" s="1" t="n">
        <v>364000</v>
      </c>
      <c r="D7346" s="1" t="n">
        <v>71614.3</v>
      </c>
      <c r="E7346" s="1" t="n">
        <v>0.0601</v>
      </c>
      <c r="F7346" s="1" t="n">
        <v>0.0938</v>
      </c>
    </row>
    <row r="7347" customFormat="false" ht="15" hidden="false" customHeight="false" outlineLevel="0" collapsed="false">
      <c r="A7347" s="1" t="s">
        <v>7382</v>
      </c>
      <c r="B7347" s="1" t="s">
        <v>53</v>
      </c>
      <c r="C7347" s="1" t="n">
        <v>267000</v>
      </c>
      <c r="D7347" s="1" t="n">
        <v>2267.7</v>
      </c>
      <c r="E7347" s="1" t="n">
        <v>0.0279</v>
      </c>
      <c r="F7347" s="1" t="n">
        <v>0.0951</v>
      </c>
    </row>
    <row r="7348" customFormat="false" ht="15" hidden="false" customHeight="false" outlineLevel="0" collapsed="false">
      <c r="A7348" s="1" t="s">
        <v>7383</v>
      </c>
      <c r="B7348" s="1" t="s">
        <v>26</v>
      </c>
      <c r="C7348" s="1" t="n">
        <v>396000</v>
      </c>
      <c r="D7348" s="1" t="n">
        <v>74227.6</v>
      </c>
      <c r="E7348" s="1" t="n">
        <v>0.04</v>
      </c>
      <c r="F7348" s="1" t="n">
        <v>0.0759</v>
      </c>
    </row>
    <row r="7349" customFormat="false" ht="15" hidden="false" customHeight="false" outlineLevel="0" collapsed="false">
      <c r="A7349" s="1" t="s">
        <v>7384</v>
      </c>
      <c r="B7349" s="1" t="s">
        <v>92</v>
      </c>
      <c r="C7349" s="1" t="n">
        <v>282000</v>
      </c>
      <c r="D7349" s="1" t="n">
        <v>870.5</v>
      </c>
      <c r="E7349" s="1" t="n">
        <v>0.0192</v>
      </c>
      <c r="F7349" s="1" t="n">
        <v>0.1067</v>
      </c>
    </row>
    <row r="7350" customFormat="false" ht="15" hidden="false" customHeight="false" outlineLevel="0" collapsed="false">
      <c r="A7350" s="1" t="s">
        <v>7385</v>
      </c>
      <c r="B7350" s="1" t="s">
        <v>24</v>
      </c>
      <c r="C7350" s="1" t="n">
        <v>319000</v>
      </c>
      <c r="D7350" s="1" t="n">
        <v>1993.5</v>
      </c>
      <c r="E7350" s="1" t="n">
        <v>0.0348</v>
      </c>
      <c r="F7350" s="1" t="n">
        <v>0.0951</v>
      </c>
    </row>
    <row r="7351" customFormat="false" ht="15" hidden="false" customHeight="false" outlineLevel="0" collapsed="false">
      <c r="A7351" s="1" t="s">
        <v>7386</v>
      </c>
      <c r="B7351" s="1" t="s">
        <v>26</v>
      </c>
      <c r="C7351" s="1" t="n">
        <v>267000</v>
      </c>
      <c r="D7351" s="1" t="n">
        <v>14141.4</v>
      </c>
      <c r="E7351" s="1" t="n">
        <v>0.0404</v>
      </c>
      <c r="F7351" s="1" t="n">
        <v>0.0759</v>
      </c>
    </row>
    <row r="7352" customFormat="false" ht="15" hidden="false" customHeight="false" outlineLevel="0" collapsed="false">
      <c r="A7352" s="1" t="s">
        <v>7387</v>
      </c>
      <c r="B7352" s="1" t="s">
        <v>24</v>
      </c>
      <c r="C7352" s="1" t="n">
        <v>320000</v>
      </c>
      <c r="D7352" s="1" t="n">
        <v>3920.3</v>
      </c>
      <c r="E7352" s="1" t="n">
        <v>0.0928</v>
      </c>
      <c r="F7352" s="1" t="n">
        <v>0.0938</v>
      </c>
    </row>
    <row r="7353" customFormat="false" ht="15" hidden="false" customHeight="false" outlineLevel="0" collapsed="false">
      <c r="A7353" s="1" t="s">
        <v>7388</v>
      </c>
      <c r="B7353" s="1" t="s">
        <v>62</v>
      </c>
      <c r="C7353" s="1" t="n">
        <v>612000</v>
      </c>
      <c r="D7353" s="1" t="n">
        <v>34910.6</v>
      </c>
      <c r="E7353" s="1" t="n">
        <v>0.077</v>
      </c>
      <c r="F7353" s="1" t="n">
        <v>0.0518</v>
      </c>
    </row>
    <row r="7354" customFormat="false" ht="15" hidden="false" customHeight="false" outlineLevel="0" collapsed="false">
      <c r="A7354" s="1" t="s">
        <v>7389</v>
      </c>
      <c r="B7354" s="1" t="s">
        <v>88</v>
      </c>
      <c r="C7354" s="1" t="n">
        <v>420000</v>
      </c>
      <c r="D7354" s="1" t="n">
        <v>91.2</v>
      </c>
      <c r="E7354" s="1" t="n">
        <v>0.0568</v>
      </c>
      <c r="F7354" s="1" t="n">
        <v>0.0938</v>
      </c>
    </row>
    <row r="7355" customFormat="false" ht="15" hidden="false" customHeight="false" outlineLevel="0" collapsed="false">
      <c r="A7355" s="1" t="s">
        <v>7390</v>
      </c>
      <c r="B7355" s="1" t="s">
        <v>26</v>
      </c>
      <c r="C7355" s="1" t="n">
        <v>340000</v>
      </c>
      <c r="D7355" s="1" t="n">
        <v>1385.5</v>
      </c>
      <c r="E7355" s="1" t="n">
        <v>0.0405</v>
      </c>
      <c r="F7355" s="1" t="n">
        <v>0.0951</v>
      </c>
    </row>
    <row r="7356" customFormat="false" ht="15" hidden="false" customHeight="false" outlineLevel="0" collapsed="false">
      <c r="A7356" s="1" t="s">
        <v>7391</v>
      </c>
      <c r="B7356" s="1" t="s">
        <v>26</v>
      </c>
      <c r="C7356" s="1" t="n">
        <v>257000</v>
      </c>
      <c r="D7356" s="1" t="n">
        <v>127110.7</v>
      </c>
      <c r="E7356" s="1" t="n">
        <v>0.1503</v>
      </c>
      <c r="F7356" s="1" t="n">
        <v>0.0951</v>
      </c>
    </row>
    <row r="7357" customFormat="false" ht="15" hidden="false" customHeight="false" outlineLevel="0" collapsed="false">
      <c r="A7357" s="1" t="s">
        <v>7392</v>
      </c>
      <c r="B7357" s="1" t="s">
        <v>74</v>
      </c>
      <c r="C7357" s="1" t="n">
        <v>469000</v>
      </c>
      <c r="D7357" s="1" t="n">
        <v>47.4</v>
      </c>
      <c r="E7357" s="1" t="n">
        <v>0.0054</v>
      </c>
      <c r="F7357" s="1" t="n">
        <v>0.2371</v>
      </c>
    </row>
    <row r="7358" customFormat="false" ht="15" hidden="false" customHeight="false" outlineLevel="0" collapsed="false">
      <c r="A7358" s="1" t="s">
        <v>7393</v>
      </c>
      <c r="B7358" s="1" t="s">
        <v>21</v>
      </c>
      <c r="C7358" s="1" t="n">
        <v>705000</v>
      </c>
      <c r="D7358" s="1" t="n">
        <v>1143.6</v>
      </c>
      <c r="E7358" s="1" t="n">
        <v>0.0244</v>
      </c>
      <c r="F7358" s="1" t="n">
        <v>0.0938</v>
      </c>
    </row>
    <row r="7359" customFormat="false" ht="15" hidden="false" customHeight="false" outlineLevel="0" collapsed="false">
      <c r="A7359" s="1" t="s">
        <v>7394</v>
      </c>
      <c r="B7359" s="1" t="s">
        <v>214</v>
      </c>
      <c r="C7359" s="1" t="n">
        <v>353000</v>
      </c>
      <c r="D7359" s="1" t="n">
        <v>44652.2</v>
      </c>
      <c r="E7359" s="1" t="n">
        <v>0.0093</v>
      </c>
      <c r="F7359" s="1" t="n">
        <v>0.0654</v>
      </c>
    </row>
    <row r="7360" customFormat="false" ht="15" hidden="false" customHeight="false" outlineLevel="0" collapsed="false">
      <c r="A7360" s="1" t="s">
        <v>7395</v>
      </c>
      <c r="B7360" s="1" t="s">
        <v>41</v>
      </c>
      <c r="C7360" s="1" t="n">
        <v>260000</v>
      </c>
      <c r="D7360" s="1" t="n">
        <v>618</v>
      </c>
      <c r="F7360" s="1" t="n">
        <v>0.0951</v>
      </c>
    </row>
    <row r="7361" customFormat="false" ht="15" hidden="false" customHeight="false" outlineLevel="0" collapsed="false">
      <c r="A7361" s="1" t="s">
        <v>7396</v>
      </c>
      <c r="B7361" s="1" t="s">
        <v>214</v>
      </c>
      <c r="C7361" s="1" t="n">
        <v>357000</v>
      </c>
      <c r="D7361" s="1" t="n">
        <v>4381.9</v>
      </c>
      <c r="E7361" s="1" t="n">
        <v>0.0434</v>
      </c>
      <c r="F7361" s="1" t="n">
        <v>0.0759</v>
      </c>
    </row>
    <row r="7362" customFormat="false" ht="15" hidden="false" customHeight="false" outlineLevel="0" collapsed="false">
      <c r="A7362" s="1" t="s">
        <v>7397</v>
      </c>
      <c r="B7362" s="1" t="s">
        <v>26</v>
      </c>
      <c r="C7362" s="1" t="n">
        <v>278000</v>
      </c>
      <c r="D7362" s="1" t="n">
        <v>62181</v>
      </c>
      <c r="E7362" s="1" t="n">
        <v>0.0496</v>
      </c>
      <c r="F7362" s="1" t="n">
        <v>0.0951</v>
      </c>
    </row>
    <row r="7363" customFormat="false" ht="15" hidden="false" customHeight="false" outlineLevel="0" collapsed="false">
      <c r="A7363" s="1" t="s">
        <v>7398</v>
      </c>
      <c r="B7363" s="1" t="s">
        <v>214</v>
      </c>
      <c r="C7363" s="1" t="n">
        <v>284000</v>
      </c>
      <c r="D7363" s="1" t="n">
        <v>23380.2</v>
      </c>
      <c r="F7363" s="1" t="n">
        <v>0.0759</v>
      </c>
    </row>
    <row r="7364" customFormat="false" ht="15" hidden="false" customHeight="false" outlineLevel="0" collapsed="false">
      <c r="A7364" s="1" t="s">
        <v>7399</v>
      </c>
      <c r="B7364" s="1" t="s">
        <v>92</v>
      </c>
      <c r="C7364" s="1" t="n">
        <v>437000</v>
      </c>
      <c r="D7364" s="1" t="n">
        <v>250423.3</v>
      </c>
      <c r="E7364" s="1" t="n">
        <v>0.0085</v>
      </c>
      <c r="F7364" s="1" t="n">
        <v>0.0822</v>
      </c>
    </row>
    <row r="7365" customFormat="false" ht="15" hidden="false" customHeight="false" outlineLevel="0" collapsed="false">
      <c r="A7365" s="1" t="s">
        <v>7400</v>
      </c>
      <c r="B7365" s="1" t="s">
        <v>26</v>
      </c>
      <c r="C7365" s="1" t="n">
        <v>286000</v>
      </c>
      <c r="D7365" s="1" t="n">
        <v>611.2</v>
      </c>
      <c r="F7365" s="1" t="n">
        <v>0.117</v>
      </c>
    </row>
    <row r="7366" customFormat="false" ht="15" hidden="false" customHeight="false" outlineLevel="0" collapsed="false">
      <c r="A7366" s="1" t="s">
        <v>7401</v>
      </c>
      <c r="B7366" s="1" t="s">
        <v>26</v>
      </c>
      <c r="C7366" s="1" t="n">
        <v>355000</v>
      </c>
      <c r="D7366" s="1" t="n">
        <v>3772.9</v>
      </c>
      <c r="E7366" s="1" t="n">
        <v>0.0334</v>
      </c>
      <c r="F7366" s="1" t="n">
        <v>0.0759</v>
      </c>
    </row>
    <row r="7367" customFormat="false" ht="15" hidden="false" customHeight="false" outlineLevel="0" collapsed="false">
      <c r="A7367" s="1" t="s">
        <v>7402</v>
      </c>
      <c r="B7367" s="1" t="s">
        <v>30</v>
      </c>
      <c r="C7367" s="1" t="n">
        <v>404000</v>
      </c>
      <c r="D7367" s="1" t="n">
        <v>100665.9</v>
      </c>
      <c r="E7367" s="1" t="n">
        <v>0.0365</v>
      </c>
      <c r="F7367" s="1" t="n">
        <v>0.0759</v>
      </c>
    </row>
    <row r="7368" customFormat="false" ht="15" hidden="false" customHeight="false" outlineLevel="0" collapsed="false">
      <c r="A7368" s="1" t="s">
        <v>7403</v>
      </c>
      <c r="B7368" s="1" t="s">
        <v>26</v>
      </c>
      <c r="C7368" s="1" t="n">
        <v>255000</v>
      </c>
      <c r="D7368" s="1" t="n">
        <v>10540.5</v>
      </c>
      <c r="E7368" s="1" t="n">
        <v>0.0122</v>
      </c>
      <c r="F7368" s="1" t="n">
        <v>0.0736</v>
      </c>
    </row>
    <row r="7369" customFormat="false" ht="15" hidden="false" customHeight="false" outlineLevel="0" collapsed="false">
      <c r="A7369" s="1" t="s">
        <v>7404</v>
      </c>
      <c r="B7369" s="1" t="s">
        <v>30</v>
      </c>
      <c r="C7369" s="1" t="n">
        <v>675000</v>
      </c>
      <c r="D7369" s="1" t="n">
        <v>598897</v>
      </c>
      <c r="E7369" s="1" t="n">
        <v>0.0069</v>
      </c>
      <c r="F7369" s="1" t="n">
        <v>0.0822</v>
      </c>
    </row>
    <row r="7370" customFormat="false" ht="15" hidden="false" customHeight="false" outlineLevel="0" collapsed="false">
      <c r="A7370" s="1" t="s">
        <v>7405</v>
      </c>
      <c r="B7370" s="1" t="s">
        <v>26</v>
      </c>
      <c r="C7370" s="1" t="n">
        <v>307000</v>
      </c>
      <c r="D7370" s="1" t="n">
        <v>42733.6</v>
      </c>
      <c r="E7370" s="1" t="n">
        <v>0.0112</v>
      </c>
      <c r="F7370" s="1" t="n">
        <v>0.0736</v>
      </c>
    </row>
    <row r="7371" customFormat="false" ht="15" hidden="false" customHeight="false" outlineLevel="0" collapsed="false">
      <c r="A7371" s="1" t="s">
        <v>7406</v>
      </c>
      <c r="B7371" s="1" t="s">
        <v>88</v>
      </c>
      <c r="C7371" s="1" t="n">
        <v>418000</v>
      </c>
      <c r="D7371" s="1" t="n">
        <v>8422.4</v>
      </c>
      <c r="E7371" s="1" t="n">
        <v>0.0493</v>
      </c>
      <c r="F7371" s="1" t="n">
        <v>0.0759</v>
      </c>
    </row>
    <row r="7372" customFormat="false" ht="15" hidden="false" customHeight="false" outlineLevel="0" collapsed="false">
      <c r="A7372" s="1" t="s">
        <v>7407</v>
      </c>
      <c r="B7372" s="1" t="s">
        <v>26</v>
      </c>
      <c r="C7372" s="1" t="n">
        <v>350000</v>
      </c>
      <c r="D7372" s="1" t="n">
        <v>6362.2</v>
      </c>
      <c r="E7372" s="1" t="n">
        <v>0.0672</v>
      </c>
      <c r="F7372" s="1" t="n">
        <v>0.0759</v>
      </c>
    </row>
    <row r="7373" customFormat="false" ht="15" hidden="false" customHeight="false" outlineLevel="0" collapsed="false">
      <c r="A7373" s="1" t="s">
        <v>7408</v>
      </c>
      <c r="B7373" s="1" t="s">
        <v>24</v>
      </c>
      <c r="C7373" s="1" t="n">
        <v>332000</v>
      </c>
      <c r="D7373" s="1" t="n">
        <v>6169.2</v>
      </c>
      <c r="E7373" s="1" t="n">
        <v>0.0261</v>
      </c>
      <c r="F7373" s="1" t="n">
        <v>0.0759</v>
      </c>
    </row>
    <row r="7374" customFormat="false" ht="15" hidden="false" customHeight="false" outlineLevel="0" collapsed="false">
      <c r="A7374" s="1" t="s">
        <v>7409</v>
      </c>
      <c r="B7374" s="1" t="s">
        <v>26</v>
      </c>
      <c r="C7374" s="1" t="n">
        <v>464000</v>
      </c>
      <c r="D7374" s="1" t="n">
        <v>90032</v>
      </c>
      <c r="E7374" s="1" t="n">
        <v>0.0152</v>
      </c>
      <c r="F7374" s="1" t="n">
        <v>0.0576</v>
      </c>
    </row>
    <row r="7375" customFormat="false" ht="15" hidden="false" customHeight="false" outlineLevel="0" collapsed="false">
      <c r="A7375" s="1" t="s">
        <v>7410</v>
      </c>
      <c r="B7375" s="1" t="s">
        <v>88</v>
      </c>
      <c r="C7375" s="1" t="n">
        <v>269000</v>
      </c>
      <c r="D7375" s="1" t="n">
        <v>1046485.8</v>
      </c>
      <c r="E7375" s="1" t="n">
        <v>0.0382</v>
      </c>
      <c r="F7375" s="1" t="n">
        <v>0.0951</v>
      </c>
    </row>
    <row r="7376" customFormat="false" ht="15" hidden="false" customHeight="false" outlineLevel="0" collapsed="false">
      <c r="A7376" s="1" t="s">
        <v>7411</v>
      </c>
      <c r="B7376" s="1" t="s">
        <v>92</v>
      </c>
      <c r="C7376" s="1" t="n">
        <v>369000</v>
      </c>
      <c r="D7376" s="1" t="n">
        <v>32161.5</v>
      </c>
      <c r="E7376" s="1" t="n">
        <v>0.0405</v>
      </c>
      <c r="F7376" s="1" t="n">
        <v>0.0672</v>
      </c>
    </row>
    <row r="7377" customFormat="false" ht="15" hidden="false" customHeight="false" outlineLevel="0" collapsed="false">
      <c r="A7377" s="1" t="s">
        <v>7412</v>
      </c>
      <c r="B7377" s="1" t="s">
        <v>62</v>
      </c>
      <c r="C7377" s="1" t="n">
        <v>234000</v>
      </c>
      <c r="D7377" s="1" t="n">
        <v>1107.3</v>
      </c>
      <c r="E7377" s="1" t="n">
        <v>0.0079</v>
      </c>
      <c r="F7377" s="1" t="n">
        <v>0.1027</v>
      </c>
    </row>
    <row r="7378" customFormat="false" ht="15" hidden="false" customHeight="false" outlineLevel="0" collapsed="false">
      <c r="A7378" s="1" t="s">
        <v>7413</v>
      </c>
      <c r="B7378" s="1" t="s">
        <v>92</v>
      </c>
      <c r="C7378" s="1" t="n">
        <v>584000</v>
      </c>
      <c r="D7378" s="1" t="n">
        <v>8777.9</v>
      </c>
      <c r="E7378" s="1" t="n">
        <v>0.0128</v>
      </c>
      <c r="F7378" s="1" t="n">
        <v>0.1067</v>
      </c>
    </row>
    <row r="7379" customFormat="false" ht="15" hidden="false" customHeight="false" outlineLevel="0" collapsed="false">
      <c r="A7379" s="1" t="s">
        <v>7414</v>
      </c>
      <c r="B7379" s="1" t="s">
        <v>490</v>
      </c>
      <c r="C7379" s="1" t="n">
        <v>259000</v>
      </c>
      <c r="D7379" s="1" t="n">
        <v>689.6</v>
      </c>
      <c r="E7379" s="1" t="n">
        <v>0.0195</v>
      </c>
      <c r="F7379" s="1" t="n">
        <v>0.1067</v>
      </c>
    </row>
    <row r="7380" customFormat="false" ht="15" hidden="false" customHeight="false" outlineLevel="0" collapsed="false">
      <c r="A7380" s="1" t="s">
        <v>7415</v>
      </c>
      <c r="B7380" s="1" t="s">
        <v>24</v>
      </c>
      <c r="C7380" s="1" t="n">
        <v>296000</v>
      </c>
      <c r="D7380" s="1" t="n">
        <v>4001.4</v>
      </c>
      <c r="E7380" s="1" t="n">
        <v>0.0138</v>
      </c>
      <c r="F7380" s="1" t="n">
        <v>0.0821</v>
      </c>
    </row>
    <row r="7381" customFormat="false" ht="15" hidden="false" customHeight="false" outlineLevel="0" collapsed="false">
      <c r="A7381" s="1" t="s">
        <v>7416</v>
      </c>
      <c r="B7381" s="1" t="s">
        <v>26</v>
      </c>
      <c r="C7381" s="1" t="n">
        <v>266000</v>
      </c>
      <c r="D7381" s="1" t="n">
        <v>1771.1</v>
      </c>
      <c r="E7381" s="1" t="n">
        <v>0.018</v>
      </c>
      <c r="F7381" s="1" t="n">
        <v>0.0585</v>
      </c>
    </row>
    <row r="7382" customFormat="false" ht="15" hidden="false" customHeight="false" outlineLevel="0" collapsed="false">
      <c r="A7382" s="1" t="s">
        <v>7417</v>
      </c>
      <c r="B7382" s="1" t="s">
        <v>30</v>
      </c>
      <c r="C7382" s="1" t="n">
        <v>455000</v>
      </c>
      <c r="D7382" s="1" t="n">
        <v>246098</v>
      </c>
      <c r="E7382" s="1" t="n">
        <v>0.04</v>
      </c>
      <c r="F7382" s="1" t="n">
        <v>0.2446</v>
      </c>
    </row>
    <row r="7383" customFormat="false" ht="15" hidden="false" customHeight="false" outlineLevel="0" collapsed="false">
      <c r="A7383" s="1" t="s">
        <v>7418</v>
      </c>
      <c r="B7383" s="1" t="s">
        <v>41</v>
      </c>
      <c r="C7383" s="1" t="n">
        <v>309000</v>
      </c>
      <c r="D7383" s="1" t="n">
        <v>4797.4</v>
      </c>
      <c r="E7383" s="1" t="n">
        <v>0.0458</v>
      </c>
      <c r="F7383" s="1" t="n">
        <v>0.0938</v>
      </c>
    </row>
    <row r="7384" customFormat="false" ht="15" hidden="false" customHeight="false" outlineLevel="0" collapsed="false">
      <c r="A7384" s="1" t="s">
        <v>7419</v>
      </c>
      <c r="B7384" s="1" t="s">
        <v>88</v>
      </c>
      <c r="C7384" s="1" t="n">
        <v>255000</v>
      </c>
      <c r="D7384" s="1" t="n">
        <v>237.1</v>
      </c>
      <c r="E7384" s="1" t="n">
        <v>0.0498</v>
      </c>
      <c r="F7384" s="1" t="n">
        <v>0.0409</v>
      </c>
    </row>
    <row r="7385" customFormat="false" ht="15" hidden="false" customHeight="false" outlineLevel="0" collapsed="false">
      <c r="A7385" s="1" t="s">
        <v>7420</v>
      </c>
      <c r="B7385" s="1" t="s">
        <v>92</v>
      </c>
      <c r="C7385" s="1" t="n">
        <v>341000</v>
      </c>
      <c r="D7385" s="1" t="n">
        <v>8687</v>
      </c>
      <c r="E7385" s="1" t="n">
        <v>0.0101</v>
      </c>
      <c r="F7385" s="1" t="n">
        <v>0.0654</v>
      </c>
    </row>
    <row r="7386" customFormat="false" ht="15" hidden="false" customHeight="false" outlineLevel="0" collapsed="false">
      <c r="A7386" s="1" t="s">
        <v>7421</v>
      </c>
      <c r="B7386" s="1" t="s">
        <v>81</v>
      </c>
      <c r="C7386" s="1" t="n">
        <v>305000</v>
      </c>
      <c r="D7386" s="1" t="n">
        <v>77385</v>
      </c>
      <c r="E7386" s="1" t="n">
        <v>0.0411</v>
      </c>
      <c r="F7386" s="1" t="n">
        <v>0.0759</v>
      </c>
    </row>
    <row r="7387" customFormat="false" ht="15" hidden="false" customHeight="false" outlineLevel="0" collapsed="false">
      <c r="A7387" s="1" t="s">
        <v>7422</v>
      </c>
      <c r="B7387" s="1" t="s">
        <v>21</v>
      </c>
      <c r="C7387" s="1" t="n">
        <v>329000</v>
      </c>
      <c r="D7387" s="1" t="n">
        <v>1209</v>
      </c>
      <c r="E7387" s="1" t="n">
        <v>0.0212</v>
      </c>
      <c r="F7387" s="1" t="n">
        <v>0.051</v>
      </c>
    </row>
    <row r="7388" customFormat="false" ht="15" hidden="false" customHeight="false" outlineLevel="0" collapsed="false">
      <c r="A7388" s="1" t="s">
        <v>7423</v>
      </c>
      <c r="B7388" s="1" t="s">
        <v>92</v>
      </c>
      <c r="C7388" s="1" t="n">
        <v>345000</v>
      </c>
      <c r="D7388" s="1" t="n">
        <v>43781.9</v>
      </c>
      <c r="E7388" s="1" t="n">
        <v>0.0259</v>
      </c>
      <c r="F7388" s="1" t="n">
        <v>0.0759</v>
      </c>
    </row>
    <row r="7389" customFormat="false" ht="15" hidden="false" customHeight="false" outlineLevel="0" collapsed="false">
      <c r="A7389" s="1" t="s">
        <v>7424</v>
      </c>
      <c r="B7389" s="1" t="s">
        <v>88</v>
      </c>
      <c r="C7389" s="1" t="n">
        <v>362000</v>
      </c>
      <c r="D7389" s="1" t="n">
        <v>145415.2</v>
      </c>
      <c r="E7389" s="1" t="n">
        <v>0.0113</v>
      </c>
      <c r="F7389" s="1" t="n">
        <v>0.0736</v>
      </c>
    </row>
    <row r="7390" customFormat="false" ht="15" hidden="false" customHeight="false" outlineLevel="0" collapsed="false">
      <c r="A7390" s="1" t="s">
        <v>7425</v>
      </c>
      <c r="B7390" s="1" t="s">
        <v>32</v>
      </c>
      <c r="C7390" s="1" t="n">
        <v>1560000</v>
      </c>
      <c r="D7390" s="1" t="n">
        <v>4698.6</v>
      </c>
      <c r="E7390" s="1" t="n">
        <v>0.0461</v>
      </c>
      <c r="F7390" s="1" t="n">
        <v>0.0938</v>
      </c>
    </row>
    <row r="7391" customFormat="false" ht="15" hidden="false" customHeight="false" outlineLevel="0" collapsed="false">
      <c r="A7391" s="1" t="s">
        <v>7426</v>
      </c>
      <c r="B7391" s="1" t="s">
        <v>26</v>
      </c>
      <c r="C7391" s="1" t="n">
        <v>272000</v>
      </c>
      <c r="D7391" s="1" t="n">
        <v>1544784.8</v>
      </c>
      <c r="E7391" s="1" t="n">
        <v>0.0068</v>
      </c>
      <c r="F7391" s="1" t="n">
        <v>0.0822</v>
      </c>
    </row>
    <row r="7392" customFormat="false" ht="15" hidden="false" customHeight="false" outlineLevel="0" collapsed="false">
      <c r="A7392" s="1" t="s">
        <v>7427</v>
      </c>
      <c r="B7392" s="1" t="s">
        <v>26</v>
      </c>
      <c r="C7392" s="1" t="n">
        <v>340000</v>
      </c>
      <c r="D7392" s="1" t="n">
        <v>254727.7</v>
      </c>
      <c r="E7392" s="1" t="n">
        <v>0.0336</v>
      </c>
      <c r="F7392" s="1" t="n">
        <v>0.0518</v>
      </c>
    </row>
    <row r="7393" customFormat="false" ht="15" hidden="false" customHeight="false" outlineLevel="0" collapsed="false">
      <c r="A7393" s="1" t="s">
        <v>7428</v>
      </c>
      <c r="B7393" s="1" t="s">
        <v>214</v>
      </c>
      <c r="C7393" s="1" t="n">
        <v>1840000</v>
      </c>
      <c r="D7393" s="1" t="n">
        <v>16040.4</v>
      </c>
      <c r="E7393" s="1" t="n">
        <v>0.0088</v>
      </c>
      <c r="F7393" s="1" t="n">
        <v>0.0811</v>
      </c>
    </row>
    <row r="7394" customFormat="false" ht="15" hidden="false" customHeight="false" outlineLevel="0" collapsed="false">
      <c r="A7394" s="1" t="s">
        <v>7429</v>
      </c>
      <c r="B7394" s="1" t="s">
        <v>50</v>
      </c>
      <c r="C7394" s="1" t="n">
        <v>411000</v>
      </c>
      <c r="D7394" s="1" t="n">
        <v>96459.7</v>
      </c>
      <c r="E7394" s="1" t="n">
        <v>0.0564</v>
      </c>
      <c r="F7394" s="1" t="n">
        <v>0.0759</v>
      </c>
    </row>
    <row r="7395" customFormat="false" ht="15" hidden="false" customHeight="false" outlineLevel="0" collapsed="false">
      <c r="A7395" s="1" t="s">
        <v>7430</v>
      </c>
      <c r="B7395" s="1" t="s">
        <v>53</v>
      </c>
      <c r="C7395" s="1" t="n">
        <v>269000</v>
      </c>
      <c r="D7395" s="1" t="n">
        <v>6684.1</v>
      </c>
      <c r="E7395" s="1" t="n">
        <v>0.0425</v>
      </c>
      <c r="F7395" s="1" t="n">
        <v>0.0759</v>
      </c>
    </row>
    <row r="7396" customFormat="false" ht="15" hidden="false" customHeight="false" outlineLevel="0" collapsed="false">
      <c r="A7396" s="1" t="s">
        <v>7431</v>
      </c>
      <c r="B7396" s="1" t="s">
        <v>21</v>
      </c>
      <c r="C7396" s="1" t="n">
        <v>284000</v>
      </c>
      <c r="D7396" s="1" t="n">
        <v>2320.2</v>
      </c>
      <c r="E7396" s="1" t="n">
        <v>0.0283</v>
      </c>
      <c r="F7396" s="1" t="n">
        <v>0.0759</v>
      </c>
    </row>
    <row r="7397" customFormat="false" ht="15" hidden="false" customHeight="false" outlineLevel="0" collapsed="false">
      <c r="A7397" s="1" t="s">
        <v>7432</v>
      </c>
      <c r="B7397" s="1" t="s">
        <v>92</v>
      </c>
      <c r="C7397" s="1" t="n">
        <v>252000</v>
      </c>
      <c r="D7397" s="1" t="n">
        <v>41408.7</v>
      </c>
      <c r="E7397" s="1" t="n">
        <v>0.0322</v>
      </c>
      <c r="F7397" s="1" t="n">
        <v>0.0951</v>
      </c>
    </row>
    <row r="7398" customFormat="false" ht="15" hidden="false" customHeight="false" outlineLevel="0" collapsed="false">
      <c r="A7398" s="1" t="s">
        <v>7433</v>
      </c>
      <c r="B7398" s="1" t="s">
        <v>92</v>
      </c>
      <c r="C7398" s="1" t="n">
        <v>541000</v>
      </c>
      <c r="D7398" s="1" t="n">
        <v>76949.2</v>
      </c>
      <c r="E7398" s="1" t="n">
        <v>0.0704</v>
      </c>
      <c r="F7398" s="1" t="n">
        <v>0.0409</v>
      </c>
    </row>
    <row r="7399" customFormat="false" ht="15" hidden="false" customHeight="false" outlineLevel="0" collapsed="false">
      <c r="A7399" s="1" t="s">
        <v>7434</v>
      </c>
      <c r="B7399" s="1" t="s">
        <v>88</v>
      </c>
      <c r="C7399" s="1" t="n">
        <v>290000</v>
      </c>
      <c r="D7399" s="1" t="n">
        <v>3362.5</v>
      </c>
      <c r="E7399" s="1" t="n">
        <v>0.0336</v>
      </c>
      <c r="F7399" s="1" t="n">
        <v>0.0759</v>
      </c>
    </row>
    <row r="7400" customFormat="false" ht="15" hidden="false" customHeight="false" outlineLevel="0" collapsed="false">
      <c r="A7400" s="1" t="s">
        <v>7435</v>
      </c>
      <c r="B7400" s="1" t="s">
        <v>30</v>
      </c>
      <c r="C7400" s="1" t="n">
        <v>329000</v>
      </c>
      <c r="D7400" s="1" t="n">
        <v>10834119.9</v>
      </c>
      <c r="E7400" s="1" t="n">
        <v>0.0051</v>
      </c>
      <c r="F7400" s="1" t="n">
        <v>0.0822</v>
      </c>
    </row>
    <row r="7401" customFormat="false" ht="15" hidden="false" customHeight="false" outlineLevel="0" collapsed="false">
      <c r="A7401" s="1" t="s">
        <v>7436</v>
      </c>
      <c r="B7401" s="1" t="s">
        <v>81</v>
      </c>
      <c r="C7401" s="1" t="n">
        <v>370000</v>
      </c>
      <c r="D7401" s="1" t="n">
        <v>5390.7</v>
      </c>
      <c r="E7401" s="1" t="n">
        <v>0.0213</v>
      </c>
      <c r="F7401" s="1" t="n">
        <v>0.0576</v>
      </c>
    </row>
    <row r="7402" customFormat="false" ht="15" hidden="false" customHeight="false" outlineLevel="0" collapsed="false">
      <c r="A7402" s="1" t="s">
        <v>7437</v>
      </c>
      <c r="B7402" s="1" t="s">
        <v>92</v>
      </c>
      <c r="C7402" s="1" t="n">
        <v>262000</v>
      </c>
      <c r="D7402" s="1" t="n">
        <v>1209</v>
      </c>
      <c r="E7402" s="1" t="n">
        <v>0.0112</v>
      </c>
      <c r="F7402" s="1" t="n">
        <v>0.1471</v>
      </c>
    </row>
    <row r="7403" customFormat="false" ht="15" hidden="false" customHeight="false" outlineLevel="0" collapsed="false">
      <c r="A7403" s="1" t="s">
        <v>7438</v>
      </c>
      <c r="B7403" s="1" t="s">
        <v>24</v>
      </c>
      <c r="C7403" s="1" t="n">
        <v>296000</v>
      </c>
      <c r="D7403" s="1" t="n">
        <v>759.4</v>
      </c>
      <c r="E7403" s="1" t="n">
        <v>0.0193</v>
      </c>
      <c r="F7403" s="1" t="n">
        <v>0.095</v>
      </c>
    </row>
    <row r="7404" customFormat="false" ht="15" hidden="false" customHeight="false" outlineLevel="0" collapsed="false">
      <c r="A7404" s="1" t="s">
        <v>7439</v>
      </c>
      <c r="B7404" s="1" t="s">
        <v>26</v>
      </c>
      <c r="C7404" s="1" t="n">
        <v>253000</v>
      </c>
      <c r="D7404" s="1" t="n">
        <v>656.7</v>
      </c>
      <c r="E7404" s="1" t="n">
        <v>0.0294</v>
      </c>
      <c r="F7404" s="1" t="n">
        <v>0.0951</v>
      </c>
    </row>
    <row r="7405" customFormat="false" ht="15" hidden="false" customHeight="false" outlineLevel="0" collapsed="false">
      <c r="A7405" s="1" t="s">
        <v>7440</v>
      </c>
      <c r="B7405" s="1" t="s">
        <v>41</v>
      </c>
      <c r="C7405" s="1" t="n">
        <v>363000</v>
      </c>
      <c r="D7405" s="1" t="n">
        <v>22139.5</v>
      </c>
      <c r="E7405" s="1" t="n">
        <v>0.0722</v>
      </c>
      <c r="F7405" s="1" t="n">
        <v>0.0938</v>
      </c>
    </row>
    <row r="7406" customFormat="false" ht="15" hidden="false" customHeight="false" outlineLevel="0" collapsed="false">
      <c r="A7406" s="1" t="s">
        <v>7441</v>
      </c>
      <c r="B7406" s="1" t="s">
        <v>26</v>
      </c>
      <c r="C7406" s="1" t="n">
        <v>623000</v>
      </c>
      <c r="D7406" s="1" t="n">
        <v>84697.8</v>
      </c>
      <c r="E7406" s="1" t="n">
        <v>0.026</v>
      </c>
      <c r="F7406" s="1" t="n">
        <v>0.1067</v>
      </c>
    </row>
    <row r="7407" customFormat="false" ht="15" hidden="false" customHeight="false" outlineLevel="0" collapsed="false">
      <c r="A7407" s="1" t="s">
        <v>7442</v>
      </c>
      <c r="B7407" s="1" t="s">
        <v>26</v>
      </c>
      <c r="C7407" s="1" t="n">
        <v>454000</v>
      </c>
      <c r="D7407" s="1" t="n">
        <v>29745</v>
      </c>
      <c r="E7407" s="1" t="n">
        <v>0.0958</v>
      </c>
      <c r="F7407" s="1" t="n">
        <v>0.0759</v>
      </c>
    </row>
    <row r="7408" customFormat="false" ht="15" hidden="false" customHeight="false" outlineLevel="0" collapsed="false">
      <c r="A7408" s="1" t="s">
        <v>7443</v>
      </c>
      <c r="B7408" s="1" t="s">
        <v>92</v>
      </c>
      <c r="C7408" s="1" t="n">
        <v>332000</v>
      </c>
      <c r="D7408" s="1" t="n">
        <v>15359.3</v>
      </c>
      <c r="E7408" s="1" t="n">
        <v>0.0212</v>
      </c>
      <c r="F7408" s="1" t="n">
        <v>0.0951</v>
      </c>
    </row>
    <row r="7409" customFormat="false" ht="15" hidden="false" customHeight="false" outlineLevel="0" collapsed="false">
      <c r="A7409" s="1" t="s">
        <v>7444</v>
      </c>
      <c r="B7409" s="1" t="s">
        <v>26</v>
      </c>
      <c r="C7409" s="1" t="n">
        <v>439000</v>
      </c>
      <c r="D7409" s="1" t="n">
        <v>116833</v>
      </c>
      <c r="E7409" s="1" t="n">
        <v>0.0398</v>
      </c>
      <c r="F7409" s="1" t="n">
        <v>0.0951</v>
      </c>
    </row>
    <row r="7410" customFormat="false" ht="15" hidden="false" customHeight="false" outlineLevel="0" collapsed="false">
      <c r="A7410" s="1" t="s">
        <v>7445</v>
      </c>
      <c r="B7410" s="1" t="s">
        <v>41</v>
      </c>
      <c r="C7410" s="1" t="n">
        <v>594000</v>
      </c>
      <c r="D7410" s="1" t="n">
        <v>603.3</v>
      </c>
      <c r="E7410" s="1" t="n">
        <v>0.0195</v>
      </c>
      <c r="F7410" s="1" t="n">
        <v>0.3227</v>
      </c>
    </row>
    <row r="7411" customFormat="false" ht="15" hidden="false" customHeight="false" outlineLevel="0" collapsed="false">
      <c r="A7411" s="1" t="s">
        <v>7446</v>
      </c>
      <c r="B7411" s="1" t="s">
        <v>41</v>
      </c>
      <c r="C7411" s="1" t="n">
        <v>366000</v>
      </c>
      <c r="D7411" s="1" t="n">
        <v>871.1</v>
      </c>
      <c r="E7411" s="1" t="n">
        <v>0.0299</v>
      </c>
      <c r="F7411" s="1" t="n">
        <v>0.0938</v>
      </c>
    </row>
    <row r="7412" customFormat="false" ht="15" hidden="false" customHeight="false" outlineLevel="0" collapsed="false">
      <c r="A7412" s="1" t="s">
        <v>7447</v>
      </c>
      <c r="B7412" s="1" t="s">
        <v>26</v>
      </c>
      <c r="C7412" s="1" t="n">
        <v>337000</v>
      </c>
      <c r="D7412" s="1" t="n">
        <v>47874.1</v>
      </c>
      <c r="E7412" s="1" t="n">
        <v>0.0194</v>
      </c>
      <c r="F7412" s="1" t="n">
        <v>0.0854</v>
      </c>
    </row>
    <row r="7413" customFormat="false" ht="15" hidden="false" customHeight="false" outlineLevel="0" collapsed="false">
      <c r="A7413" s="1" t="s">
        <v>7448</v>
      </c>
      <c r="B7413" s="1" t="s">
        <v>26</v>
      </c>
      <c r="C7413" s="1" t="n">
        <v>317000</v>
      </c>
      <c r="D7413" s="1" t="n">
        <v>39572.4</v>
      </c>
      <c r="E7413" s="1" t="n">
        <v>0.0171</v>
      </c>
      <c r="F7413" s="1" t="n">
        <v>0.0462</v>
      </c>
    </row>
    <row r="7414" customFormat="false" ht="15" hidden="false" customHeight="false" outlineLevel="0" collapsed="false">
      <c r="A7414" s="1" t="s">
        <v>7449</v>
      </c>
      <c r="B7414" s="1" t="s">
        <v>26</v>
      </c>
      <c r="C7414" s="1" t="n">
        <v>319000</v>
      </c>
      <c r="D7414" s="1" t="n">
        <v>38068.4</v>
      </c>
      <c r="E7414" s="1" t="n">
        <v>0.081</v>
      </c>
      <c r="F7414" s="1" t="n">
        <v>0.0938</v>
      </c>
    </row>
    <row r="7415" customFormat="false" ht="15" hidden="false" customHeight="false" outlineLevel="0" collapsed="false">
      <c r="A7415" s="1" t="s">
        <v>7450</v>
      </c>
      <c r="B7415" s="1" t="s">
        <v>21</v>
      </c>
      <c r="C7415" s="1" t="n">
        <v>264000</v>
      </c>
      <c r="F7415" s="1" t="n">
        <v>0.0759</v>
      </c>
    </row>
    <row r="7416" customFormat="false" ht="15" hidden="false" customHeight="false" outlineLevel="0" collapsed="false">
      <c r="A7416" s="1" t="s">
        <v>7451</v>
      </c>
      <c r="B7416" s="1" t="s">
        <v>26</v>
      </c>
      <c r="C7416" s="1" t="n">
        <v>317000</v>
      </c>
      <c r="D7416" s="1" t="n">
        <v>18059</v>
      </c>
      <c r="E7416" s="1" t="n">
        <v>0.034</v>
      </c>
      <c r="F7416" s="1" t="n">
        <v>0.0518</v>
      </c>
    </row>
    <row r="7417" customFormat="false" ht="15" hidden="false" customHeight="false" outlineLevel="0" collapsed="false">
      <c r="A7417" s="1" t="s">
        <v>7452</v>
      </c>
      <c r="B7417" s="1" t="s">
        <v>62</v>
      </c>
      <c r="C7417" s="1" t="n">
        <v>252000</v>
      </c>
      <c r="D7417" s="1" t="n">
        <v>2113.3</v>
      </c>
      <c r="E7417" s="1" t="n">
        <v>0.0267</v>
      </c>
      <c r="F7417" s="1" t="n">
        <v>0.0644</v>
      </c>
    </row>
    <row r="7418" customFormat="false" ht="15" hidden="false" customHeight="false" outlineLevel="0" collapsed="false">
      <c r="A7418" s="1" t="s">
        <v>7453</v>
      </c>
      <c r="B7418" s="1" t="s">
        <v>41</v>
      </c>
      <c r="C7418" s="1" t="n">
        <v>434000</v>
      </c>
      <c r="D7418" s="1" t="n">
        <v>1156.5</v>
      </c>
      <c r="E7418" s="1" t="n">
        <v>0.0378</v>
      </c>
      <c r="F7418" s="1" t="n">
        <v>0.0759</v>
      </c>
    </row>
    <row r="7419" customFormat="false" ht="15" hidden="false" customHeight="false" outlineLevel="0" collapsed="false">
      <c r="A7419" s="1" t="s">
        <v>7454</v>
      </c>
      <c r="B7419" s="1" t="s">
        <v>24</v>
      </c>
      <c r="C7419" s="1" t="n">
        <v>355000</v>
      </c>
      <c r="D7419" s="1" t="n">
        <v>8595.6</v>
      </c>
      <c r="E7419" s="1" t="n">
        <v>0.0373</v>
      </c>
      <c r="F7419" s="1" t="n">
        <v>0.0759</v>
      </c>
    </row>
    <row r="7420" customFormat="false" ht="15" hidden="false" customHeight="false" outlineLevel="0" collapsed="false">
      <c r="A7420" s="1" t="s">
        <v>7455</v>
      </c>
      <c r="B7420" s="1" t="s">
        <v>26</v>
      </c>
      <c r="C7420" s="1" t="n">
        <v>263000</v>
      </c>
      <c r="D7420" s="1" t="n">
        <v>1154.8</v>
      </c>
      <c r="E7420" s="1" t="n">
        <v>0.0338</v>
      </c>
      <c r="F7420" s="1" t="n">
        <v>0.0951</v>
      </c>
    </row>
    <row r="7421" customFormat="false" ht="15" hidden="false" customHeight="false" outlineLevel="0" collapsed="false">
      <c r="A7421" s="1" t="s">
        <v>7456</v>
      </c>
      <c r="B7421" s="1" t="s">
        <v>32</v>
      </c>
      <c r="C7421" s="1" t="n">
        <v>289000</v>
      </c>
      <c r="D7421" s="1" t="n">
        <v>312872.1</v>
      </c>
      <c r="E7421" s="1" t="n">
        <v>0.0179</v>
      </c>
      <c r="F7421" s="1" t="n">
        <v>0.1067</v>
      </c>
    </row>
    <row r="7422" customFormat="false" ht="15" hidden="false" customHeight="false" outlineLevel="0" collapsed="false">
      <c r="A7422" s="1" t="s">
        <v>7457</v>
      </c>
      <c r="B7422" s="1" t="s">
        <v>62</v>
      </c>
      <c r="C7422" s="1" t="n">
        <v>279000</v>
      </c>
      <c r="D7422" s="1" t="n">
        <v>376.1</v>
      </c>
      <c r="E7422" s="1" t="n">
        <v>0.021</v>
      </c>
      <c r="F7422" s="1" t="n">
        <v>0.0726</v>
      </c>
    </row>
    <row r="7423" customFormat="false" ht="15" hidden="false" customHeight="false" outlineLevel="0" collapsed="false">
      <c r="A7423" s="1" t="s">
        <v>7458</v>
      </c>
      <c r="B7423" s="1" t="s">
        <v>74</v>
      </c>
      <c r="C7423" s="1" t="n">
        <v>297000</v>
      </c>
      <c r="D7423" s="1" t="n">
        <v>2414.8</v>
      </c>
      <c r="E7423" s="1" t="n">
        <v>0.0238</v>
      </c>
      <c r="F7423" s="1" t="n">
        <v>0.0854</v>
      </c>
    </row>
    <row r="7424" customFormat="false" ht="15" hidden="false" customHeight="false" outlineLevel="0" collapsed="false">
      <c r="A7424" s="1" t="s">
        <v>7459</v>
      </c>
      <c r="B7424" s="1" t="s">
        <v>41</v>
      </c>
      <c r="C7424" s="1" t="n">
        <v>380000</v>
      </c>
      <c r="D7424" s="1" t="n">
        <v>964</v>
      </c>
      <c r="E7424" s="1" t="n">
        <v>0.0264</v>
      </c>
      <c r="F7424" s="1" t="n">
        <v>0.0938</v>
      </c>
    </row>
    <row r="7425" customFormat="false" ht="15" hidden="false" customHeight="false" outlineLevel="0" collapsed="false">
      <c r="A7425" s="1" t="s">
        <v>7460</v>
      </c>
      <c r="B7425" s="1" t="s">
        <v>26</v>
      </c>
      <c r="C7425" s="1" t="n">
        <v>280000</v>
      </c>
      <c r="D7425" s="1" t="n">
        <v>1062279.7</v>
      </c>
      <c r="E7425" s="1" t="n">
        <v>0.0764</v>
      </c>
      <c r="F7425" s="1" t="n">
        <v>0.0951</v>
      </c>
    </row>
    <row r="7426" customFormat="false" ht="15" hidden="false" customHeight="false" outlineLevel="0" collapsed="false">
      <c r="A7426" s="1" t="s">
        <v>7461</v>
      </c>
      <c r="B7426" s="1" t="s">
        <v>490</v>
      </c>
      <c r="C7426" s="1" t="n">
        <v>370000</v>
      </c>
      <c r="D7426" s="1" t="n">
        <v>29374.3</v>
      </c>
      <c r="E7426" s="1" t="n">
        <v>0.0113</v>
      </c>
      <c r="F7426" s="1" t="n">
        <v>0.0726</v>
      </c>
    </row>
    <row r="7427" customFormat="false" ht="15" hidden="false" customHeight="false" outlineLevel="0" collapsed="false">
      <c r="A7427" s="1" t="s">
        <v>7462</v>
      </c>
      <c r="B7427" s="1" t="s">
        <v>26</v>
      </c>
      <c r="C7427" s="1" t="n">
        <v>359000</v>
      </c>
      <c r="D7427" s="1" t="n">
        <v>1469.3</v>
      </c>
      <c r="E7427" s="1" t="n">
        <v>0.0367</v>
      </c>
      <c r="F7427" s="1" t="n">
        <v>0.0938</v>
      </c>
    </row>
    <row r="7428" customFormat="false" ht="15" hidden="false" customHeight="false" outlineLevel="0" collapsed="false">
      <c r="A7428" s="1" t="s">
        <v>7463</v>
      </c>
      <c r="B7428" s="1" t="s">
        <v>92</v>
      </c>
      <c r="C7428" s="1" t="n">
        <v>257000</v>
      </c>
      <c r="D7428" s="1" t="n">
        <v>22696.8</v>
      </c>
      <c r="E7428" s="1" t="n">
        <v>0.032</v>
      </c>
      <c r="F7428" s="1" t="n">
        <v>0.0951</v>
      </c>
    </row>
    <row r="7429" customFormat="false" ht="15" hidden="false" customHeight="false" outlineLevel="0" collapsed="false">
      <c r="A7429" s="1" t="s">
        <v>7464</v>
      </c>
      <c r="B7429" s="1" t="s">
        <v>26</v>
      </c>
      <c r="C7429" s="1" t="n">
        <v>453000</v>
      </c>
      <c r="D7429" s="1" t="n">
        <v>19350.8</v>
      </c>
      <c r="E7429" s="1" t="n">
        <v>0.046</v>
      </c>
      <c r="F7429" s="1" t="n">
        <v>0.0458</v>
      </c>
    </row>
    <row r="7430" customFormat="false" ht="15" hidden="false" customHeight="false" outlineLevel="0" collapsed="false">
      <c r="A7430" s="1" t="s">
        <v>7465</v>
      </c>
      <c r="B7430" s="1" t="s">
        <v>74</v>
      </c>
      <c r="C7430" s="1" t="n">
        <v>383000</v>
      </c>
      <c r="D7430" s="1" t="n">
        <v>6771.8</v>
      </c>
      <c r="E7430" s="1" t="n">
        <v>0.0493</v>
      </c>
      <c r="F7430" s="1" t="n">
        <v>0.0951</v>
      </c>
    </row>
    <row r="7431" customFormat="false" ht="15" hidden="false" customHeight="false" outlineLevel="0" collapsed="false">
      <c r="A7431" s="1" t="s">
        <v>7466</v>
      </c>
      <c r="B7431" s="1" t="s">
        <v>88</v>
      </c>
      <c r="C7431" s="1" t="n">
        <v>290000</v>
      </c>
      <c r="D7431" s="1" t="n">
        <v>576.4</v>
      </c>
      <c r="E7431" s="1" t="n">
        <v>0.0086</v>
      </c>
      <c r="F7431" s="1" t="n">
        <v>0.1471</v>
      </c>
    </row>
    <row r="7432" customFormat="false" ht="15" hidden="false" customHeight="false" outlineLevel="0" collapsed="false">
      <c r="A7432" s="1" t="s">
        <v>7467</v>
      </c>
      <c r="B7432" s="1" t="s">
        <v>74</v>
      </c>
      <c r="C7432" s="1" t="n">
        <v>254000</v>
      </c>
      <c r="D7432" s="1" t="n">
        <v>1827.1</v>
      </c>
      <c r="E7432" s="1" t="n">
        <v>0.0489</v>
      </c>
      <c r="F7432" s="1" t="n">
        <v>0.0951</v>
      </c>
    </row>
    <row r="7433" customFormat="false" ht="15" hidden="false" customHeight="false" outlineLevel="0" collapsed="false">
      <c r="A7433" s="1" t="s">
        <v>7468</v>
      </c>
      <c r="B7433" s="1" t="s">
        <v>50</v>
      </c>
      <c r="C7433" s="1" t="n">
        <v>263000</v>
      </c>
      <c r="D7433" s="1" t="n">
        <v>124824.2</v>
      </c>
      <c r="E7433" s="1" t="n">
        <v>0.0119</v>
      </c>
      <c r="F7433" s="1" t="n">
        <v>0.1471</v>
      </c>
    </row>
    <row r="7434" customFormat="false" ht="15" hidden="false" customHeight="false" outlineLevel="0" collapsed="false">
      <c r="A7434" s="1" t="s">
        <v>7469</v>
      </c>
      <c r="B7434" s="1" t="s">
        <v>88</v>
      </c>
      <c r="C7434" s="1" t="n">
        <v>283000</v>
      </c>
      <c r="D7434" s="1" t="n">
        <v>2785</v>
      </c>
      <c r="E7434" s="1" t="n">
        <v>0.0302</v>
      </c>
      <c r="F7434" s="1" t="n">
        <v>0.0759</v>
      </c>
    </row>
    <row r="7435" customFormat="false" ht="15" hidden="false" customHeight="false" outlineLevel="0" collapsed="false">
      <c r="A7435" s="1" t="s">
        <v>7470</v>
      </c>
      <c r="B7435" s="1" t="s">
        <v>88</v>
      </c>
      <c r="C7435" s="1" t="n">
        <v>398000</v>
      </c>
      <c r="D7435" s="1" t="n">
        <v>16660.8</v>
      </c>
      <c r="E7435" s="1" t="n">
        <v>0.0879</v>
      </c>
      <c r="F7435" s="1" t="n">
        <v>0.0938</v>
      </c>
    </row>
    <row r="7436" customFormat="false" ht="15" hidden="false" customHeight="false" outlineLevel="0" collapsed="false">
      <c r="A7436" s="1" t="s">
        <v>7471</v>
      </c>
      <c r="B7436" s="1" t="s">
        <v>26</v>
      </c>
      <c r="C7436" s="1" t="n">
        <v>435000</v>
      </c>
      <c r="D7436" s="1" t="n">
        <v>1085.7</v>
      </c>
      <c r="E7436" s="1" t="n">
        <v>0.0089</v>
      </c>
      <c r="F7436" s="1" t="n">
        <v>0.0811</v>
      </c>
    </row>
    <row r="7437" customFormat="false" ht="15" hidden="false" customHeight="false" outlineLevel="0" collapsed="false">
      <c r="A7437" s="1" t="s">
        <v>7472</v>
      </c>
      <c r="B7437" s="1" t="s">
        <v>26</v>
      </c>
      <c r="C7437" s="1" t="n">
        <v>352000</v>
      </c>
      <c r="D7437" s="1" t="n">
        <v>1790.7</v>
      </c>
      <c r="E7437" s="1" t="n">
        <v>0.0316</v>
      </c>
      <c r="F7437" s="1" t="n">
        <v>0.0938</v>
      </c>
    </row>
    <row r="7438" customFormat="false" ht="15" hidden="false" customHeight="false" outlineLevel="0" collapsed="false">
      <c r="A7438" s="1" t="s">
        <v>7473</v>
      </c>
      <c r="B7438" s="1" t="s">
        <v>53</v>
      </c>
      <c r="C7438" s="1" t="n">
        <v>306000</v>
      </c>
      <c r="D7438" s="1" t="n">
        <v>13760.6</v>
      </c>
      <c r="E7438" s="1" t="n">
        <v>0.0523</v>
      </c>
      <c r="F7438" s="1" t="n">
        <v>0.0938</v>
      </c>
    </row>
    <row r="7439" customFormat="false" ht="15" hidden="false" customHeight="false" outlineLevel="0" collapsed="false">
      <c r="A7439" s="1" t="s">
        <v>7474</v>
      </c>
      <c r="B7439" s="1" t="s">
        <v>21</v>
      </c>
      <c r="C7439" s="1" t="n">
        <v>359000</v>
      </c>
      <c r="D7439" s="1" t="n">
        <v>798.4</v>
      </c>
      <c r="E7439" s="1" t="n">
        <v>0.0106</v>
      </c>
      <c r="F7439" s="1" t="n">
        <v>0.0811</v>
      </c>
    </row>
    <row r="7440" customFormat="false" ht="15" hidden="false" customHeight="false" outlineLevel="0" collapsed="false">
      <c r="A7440" s="1" t="s">
        <v>7475</v>
      </c>
      <c r="B7440" s="1" t="s">
        <v>26</v>
      </c>
      <c r="C7440" s="1" t="n">
        <v>375000</v>
      </c>
      <c r="D7440" s="1" t="n">
        <v>2366.4</v>
      </c>
      <c r="E7440" s="1" t="n">
        <v>0.0444</v>
      </c>
      <c r="F7440" s="1" t="n">
        <v>0.0938</v>
      </c>
    </row>
    <row r="7441" customFormat="false" ht="15" hidden="false" customHeight="false" outlineLevel="0" collapsed="false">
      <c r="A7441" s="1" t="s">
        <v>7476</v>
      </c>
      <c r="B7441" s="1" t="s">
        <v>92</v>
      </c>
      <c r="C7441" s="1" t="n">
        <v>419000</v>
      </c>
      <c r="D7441" s="1" t="n">
        <v>52586.9</v>
      </c>
      <c r="E7441" s="1" t="n">
        <v>0.0414</v>
      </c>
      <c r="F7441" s="1" t="n">
        <v>0.0409</v>
      </c>
    </row>
    <row r="7442" customFormat="false" ht="15" hidden="false" customHeight="false" outlineLevel="0" collapsed="false">
      <c r="A7442" s="1" t="s">
        <v>7477</v>
      </c>
      <c r="B7442" s="1" t="s">
        <v>26</v>
      </c>
      <c r="C7442" s="1" t="n">
        <v>256000</v>
      </c>
      <c r="D7442" s="1" t="n">
        <v>23911.9</v>
      </c>
      <c r="E7442" s="1" t="n">
        <v>0.0572</v>
      </c>
      <c r="F7442" s="1" t="n">
        <v>0.0951</v>
      </c>
    </row>
    <row r="7443" customFormat="false" ht="15" hidden="false" customHeight="false" outlineLevel="0" collapsed="false">
      <c r="A7443" s="1" t="s">
        <v>7478</v>
      </c>
      <c r="B7443" s="1" t="s">
        <v>92</v>
      </c>
      <c r="C7443" s="1" t="n">
        <v>482000</v>
      </c>
      <c r="D7443" s="1" t="n">
        <v>17307.2</v>
      </c>
      <c r="E7443" s="1" t="n">
        <v>0.0238</v>
      </c>
      <c r="F7443" s="1" t="n">
        <v>0.0409</v>
      </c>
    </row>
    <row r="7444" customFormat="false" ht="15" hidden="false" customHeight="false" outlineLevel="0" collapsed="false">
      <c r="A7444" s="1" t="s">
        <v>7479</v>
      </c>
      <c r="B7444" s="1" t="s">
        <v>81</v>
      </c>
      <c r="C7444" s="1" t="n">
        <v>274000</v>
      </c>
      <c r="D7444" s="1" t="n">
        <v>3522.2</v>
      </c>
      <c r="E7444" s="1" t="n">
        <v>0.0189</v>
      </c>
      <c r="F7444" s="1" t="n">
        <v>0.0757</v>
      </c>
    </row>
    <row r="7445" customFormat="false" ht="15" hidden="false" customHeight="false" outlineLevel="0" collapsed="false">
      <c r="A7445" s="1" t="s">
        <v>7480</v>
      </c>
      <c r="B7445" s="1" t="s">
        <v>41</v>
      </c>
      <c r="C7445" s="1" t="n">
        <v>550000</v>
      </c>
      <c r="D7445" s="1" t="n">
        <v>112489</v>
      </c>
      <c r="E7445" s="1" t="n">
        <v>0.0235</v>
      </c>
      <c r="F7445" s="1" t="n">
        <v>0.0951</v>
      </c>
    </row>
    <row r="7446" customFormat="false" ht="15" hidden="false" customHeight="false" outlineLevel="0" collapsed="false">
      <c r="A7446" s="1" t="s">
        <v>7481</v>
      </c>
      <c r="B7446" s="1" t="s">
        <v>24</v>
      </c>
      <c r="C7446" s="1" t="n">
        <v>304000</v>
      </c>
      <c r="D7446" s="1" t="n">
        <v>1764.5</v>
      </c>
      <c r="E7446" s="1" t="n">
        <v>0.0375</v>
      </c>
      <c r="F7446" s="1" t="n">
        <v>0.0409</v>
      </c>
    </row>
    <row r="7447" customFormat="false" ht="15" hidden="false" customHeight="false" outlineLevel="0" collapsed="false">
      <c r="A7447" s="1" t="s">
        <v>7482</v>
      </c>
      <c r="B7447" s="1" t="s">
        <v>53</v>
      </c>
      <c r="C7447" s="1" t="n">
        <v>303000</v>
      </c>
      <c r="D7447" s="1" t="n">
        <v>62170.4</v>
      </c>
      <c r="E7447" s="1" t="n">
        <v>0.0673</v>
      </c>
      <c r="F7447" s="1" t="n">
        <v>0.0759</v>
      </c>
    </row>
    <row r="7448" customFormat="false" ht="15" hidden="false" customHeight="false" outlineLevel="0" collapsed="false">
      <c r="A7448" s="1" t="s">
        <v>7483</v>
      </c>
      <c r="B7448" s="1" t="s">
        <v>71</v>
      </c>
      <c r="C7448" s="1" t="n">
        <v>261000</v>
      </c>
      <c r="D7448" s="1" t="n">
        <v>46045</v>
      </c>
      <c r="E7448" s="1" t="n">
        <v>0.0635</v>
      </c>
      <c r="F7448" s="1" t="n">
        <v>0.0951</v>
      </c>
    </row>
    <row r="7449" customFormat="false" ht="15" hidden="false" customHeight="false" outlineLevel="0" collapsed="false">
      <c r="A7449" s="1" t="s">
        <v>7484</v>
      </c>
      <c r="B7449" s="1" t="s">
        <v>62</v>
      </c>
      <c r="C7449" s="1" t="n">
        <v>318000</v>
      </c>
      <c r="D7449" s="1" t="n">
        <v>2487.4</v>
      </c>
      <c r="E7449" s="1" t="n">
        <v>0.0231</v>
      </c>
      <c r="F7449" s="1" t="n">
        <v>0.0854</v>
      </c>
    </row>
    <row r="7450" customFormat="false" ht="15" hidden="false" customHeight="false" outlineLevel="0" collapsed="false">
      <c r="A7450" s="1" t="s">
        <v>7485</v>
      </c>
      <c r="B7450" s="1" t="s">
        <v>71</v>
      </c>
      <c r="C7450" s="1" t="n">
        <v>264000</v>
      </c>
      <c r="D7450" s="1" t="n">
        <v>2521</v>
      </c>
      <c r="E7450" s="1" t="n">
        <v>0.0169</v>
      </c>
      <c r="F7450" s="1" t="n">
        <v>0.1067</v>
      </c>
    </row>
    <row r="7451" customFormat="false" ht="15" hidden="false" customHeight="false" outlineLevel="0" collapsed="false">
      <c r="A7451" s="1" t="s">
        <v>7486</v>
      </c>
      <c r="B7451" s="1" t="s">
        <v>92</v>
      </c>
      <c r="C7451" s="1" t="n">
        <v>282000</v>
      </c>
      <c r="D7451" s="1" t="n">
        <v>5589.9</v>
      </c>
      <c r="E7451" s="1" t="n">
        <v>0.0444</v>
      </c>
      <c r="F7451" s="1" t="n">
        <v>0.0938</v>
      </c>
    </row>
    <row r="7452" customFormat="false" ht="15" hidden="false" customHeight="false" outlineLevel="0" collapsed="false">
      <c r="A7452" s="1" t="s">
        <v>7487</v>
      </c>
      <c r="B7452" s="1" t="s">
        <v>32</v>
      </c>
      <c r="C7452" s="1" t="n">
        <v>234000</v>
      </c>
      <c r="D7452" s="1" t="n">
        <v>847.4</v>
      </c>
      <c r="E7452" s="1" t="n">
        <v>0.0331</v>
      </c>
      <c r="F7452" s="1" t="n">
        <v>0.0845</v>
      </c>
    </row>
    <row r="7453" customFormat="false" ht="15" hidden="false" customHeight="false" outlineLevel="0" collapsed="false">
      <c r="A7453" s="1" t="s">
        <v>7488</v>
      </c>
      <c r="B7453" s="1" t="s">
        <v>26</v>
      </c>
      <c r="C7453" s="1" t="n">
        <v>310000</v>
      </c>
      <c r="D7453" s="1" t="n">
        <v>2269.2</v>
      </c>
      <c r="E7453" s="1" t="n">
        <v>0.0588</v>
      </c>
      <c r="F7453" s="1" t="n">
        <v>0.0951</v>
      </c>
    </row>
    <row r="7454" customFormat="false" ht="15" hidden="false" customHeight="false" outlineLevel="0" collapsed="false">
      <c r="A7454" s="1" t="s">
        <v>7489</v>
      </c>
      <c r="B7454" s="1" t="s">
        <v>53</v>
      </c>
      <c r="C7454" s="1" t="n">
        <v>273000</v>
      </c>
      <c r="D7454" s="1" t="n">
        <v>31034</v>
      </c>
      <c r="E7454" s="1" t="n">
        <v>0.0565</v>
      </c>
      <c r="F7454" s="1" t="n">
        <v>0.0951</v>
      </c>
    </row>
    <row r="7455" customFormat="false" ht="15" hidden="false" customHeight="false" outlineLevel="0" collapsed="false">
      <c r="A7455" s="1" t="s">
        <v>7490</v>
      </c>
      <c r="B7455" s="1" t="s">
        <v>53</v>
      </c>
      <c r="C7455" s="1" t="n">
        <v>424000</v>
      </c>
      <c r="D7455" s="1" t="n">
        <v>24358.9</v>
      </c>
      <c r="E7455" s="1" t="n">
        <v>0.0204</v>
      </c>
      <c r="F7455" s="1" t="n">
        <v>0.0854</v>
      </c>
    </row>
    <row r="7456" customFormat="false" ht="15" hidden="false" customHeight="false" outlineLevel="0" collapsed="false">
      <c r="A7456" s="1" t="s">
        <v>7491</v>
      </c>
      <c r="B7456" s="1" t="s">
        <v>32</v>
      </c>
      <c r="C7456" s="1" t="n">
        <v>302000</v>
      </c>
      <c r="D7456" s="1" t="n">
        <v>94009</v>
      </c>
      <c r="F7456" s="1" t="n">
        <v>0.0951</v>
      </c>
    </row>
    <row r="7457" customFormat="false" ht="15" hidden="false" customHeight="false" outlineLevel="0" collapsed="false">
      <c r="A7457" s="1" t="s">
        <v>7492</v>
      </c>
      <c r="B7457" s="1" t="s">
        <v>81</v>
      </c>
      <c r="C7457" s="1" t="n">
        <v>328000</v>
      </c>
      <c r="D7457" s="1" t="n">
        <v>13015.9</v>
      </c>
      <c r="E7457" s="1" t="n">
        <v>0.0105</v>
      </c>
      <c r="F7457" s="1" t="n">
        <v>0.0584</v>
      </c>
    </row>
    <row r="7458" customFormat="false" ht="15" hidden="false" customHeight="false" outlineLevel="0" collapsed="false">
      <c r="A7458" s="1" t="s">
        <v>7493</v>
      </c>
      <c r="B7458" s="1" t="s">
        <v>92</v>
      </c>
      <c r="C7458" s="1" t="n">
        <v>300000</v>
      </c>
      <c r="D7458" s="1" t="n">
        <v>7573.1</v>
      </c>
      <c r="E7458" s="1" t="n">
        <v>0.0522</v>
      </c>
      <c r="F7458" s="1" t="n">
        <v>0.0951</v>
      </c>
    </row>
    <row r="7459" customFormat="false" ht="15" hidden="false" customHeight="false" outlineLevel="0" collapsed="false">
      <c r="A7459" s="1" t="s">
        <v>7494</v>
      </c>
      <c r="B7459" s="1" t="s">
        <v>50</v>
      </c>
      <c r="C7459" s="1" t="n">
        <v>468000</v>
      </c>
      <c r="D7459" s="1" t="n">
        <v>3063.9</v>
      </c>
      <c r="E7459" s="1" t="n">
        <v>0.0136</v>
      </c>
      <c r="F7459" s="1" t="n">
        <v>0.0589</v>
      </c>
    </row>
    <row r="7460" customFormat="false" ht="15" hidden="false" customHeight="false" outlineLevel="0" collapsed="false">
      <c r="A7460" s="1" t="s">
        <v>7495</v>
      </c>
      <c r="B7460" s="1" t="s">
        <v>88</v>
      </c>
      <c r="C7460" s="1" t="n">
        <v>300000</v>
      </c>
      <c r="D7460" s="1" t="n">
        <v>1918.3</v>
      </c>
      <c r="E7460" s="1" t="n">
        <v>0.032</v>
      </c>
      <c r="F7460" s="1" t="n">
        <v>0.0759</v>
      </c>
    </row>
    <row r="7461" customFormat="false" ht="15" hidden="false" customHeight="false" outlineLevel="0" collapsed="false">
      <c r="A7461" s="1" t="s">
        <v>7496</v>
      </c>
      <c r="B7461" s="1" t="s">
        <v>26</v>
      </c>
      <c r="C7461" s="1" t="n">
        <v>255000</v>
      </c>
      <c r="D7461" s="1" t="n">
        <v>3189.8</v>
      </c>
      <c r="E7461" s="1" t="n">
        <v>0.0611</v>
      </c>
      <c r="F7461" s="1" t="n">
        <v>0.0951</v>
      </c>
    </row>
    <row r="7462" customFormat="false" ht="15" hidden="false" customHeight="false" outlineLevel="0" collapsed="false">
      <c r="A7462" s="1" t="s">
        <v>7497</v>
      </c>
      <c r="B7462" s="1" t="s">
        <v>26</v>
      </c>
      <c r="C7462" s="1" t="n">
        <v>252000</v>
      </c>
      <c r="F7462" s="1" t="n">
        <v>0.0759</v>
      </c>
    </row>
    <row r="7463" customFormat="false" ht="15" hidden="false" customHeight="false" outlineLevel="0" collapsed="false">
      <c r="A7463" s="1" t="s">
        <v>7498</v>
      </c>
      <c r="B7463" s="1" t="s">
        <v>88</v>
      </c>
      <c r="C7463" s="1" t="n">
        <v>265000</v>
      </c>
      <c r="D7463" s="1" t="n">
        <v>1080.6</v>
      </c>
      <c r="E7463" s="1" t="n">
        <v>0.0944</v>
      </c>
      <c r="F7463" s="1" t="n">
        <v>0.0759</v>
      </c>
    </row>
    <row r="7464" customFormat="false" ht="15" hidden="false" customHeight="false" outlineLevel="0" collapsed="false">
      <c r="A7464" s="1" t="s">
        <v>7499</v>
      </c>
      <c r="B7464" s="1" t="s">
        <v>88</v>
      </c>
      <c r="C7464" s="1" t="n">
        <v>249000</v>
      </c>
      <c r="D7464" s="1" t="n">
        <v>220.4</v>
      </c>
      <c r="E7464" s="1" t="n">
        <v>0.0709</v>
      </c>
      <c r="F7464" s="1" t="n">
        <v>0.0951</v>
      </c>
    </row>
    <row r="7465" customFormat="false" ht="15" hidden="false" customHeight="false" outlineLevel="0" collapsed="false">
      <c r="A7465" s="1" t="s">
        <v>7500</v>
      </c>
      <c r="B7465" s="1" t="s">
        <v>26</v>
      </c>
      <c r="C7465" s="1" t="n">
        <v>382000</v>
      </c>
      <c r="D7465" s="1" t="n">
        <v>68487.3</v>
      </c>
      <c r="E7465" s="1" t="n">
        <v>0.043</v>
      </c>
      <c r="F7465" s="1" t="n">
        <v>0.0759</v>
      </c>
    </row>
    <row r="7466" customFormat="false" ht="15" hidden="false" customHeight="false" outlineLevel="0" collapsed="false">
      <c r="A7466" s="1" t="s">
        <v>7501</v>
      </c>
      <c r="B7466" s="1" t="s">
        <v>74</v>
      </c>
      <c r="C7466" s="1" t="n">
        <v>315000</v>
      </c>
      <c r="D7466" s="1" t="n">
        <v>7732.4</v>
      </c>
      <c r="E7466" s="1" t="n">
        <v>0.0335</v>
      </c>
      <c r="F7466" s="1" t="n">
        <v>0.0409</v>
      </c>
    </row>
    <row r="7467" customFormat="false" ht="15" hidden="false" customHeight="false" outlineLevel="0" collapsed="false">
      <c r="A7467" s="1" t="s">
        <v>7502</v>
      </c>
      <c r="B7467" s="1" t="s">
        <v>41</v>
      </c>
      <c r="C7467" s="1" t="n">
        <v>322000</v>
      </c>
      <c r="D7467" s="1" t="n">
        <v>4442.3</v>
      </c>
      <c r="E7467" s="1" t="n">
        <v>0.0208</v>
      </c>
      <c r="F7467" s="1" t="n">
        <v>0.1053</v>
      </c>
    </row>
    <row r="7468" customFormat="false" ht="15" hidden="false" customHeight="false" outlineLevel="0" collapsed="false">
      <c r="A7468" s="1" t="s">
        <v>7503</v>
      </c>
      <c r="B7468" s="1" t="s">
        <v>26</v>
      </c>
      <c r="C7468" s="1" t="n">
        <v>257000</v>
      </c>
      <c r="D7468" s="1" t="n">
        <v>246</v>
      </c>
      <c r="E7468" s="1" t="n">
        <v>0.0962</v>
      </c>
      <c r="F7468" s="1" t="n">
        <v>0.0759</v>
      </c>
    </row>
    <row r="7469" customFormat="false" ht="15" hidden="false" customHeight="false" outlineLevel="0" collapsed="false">
      <c r="A7469" s="1" t="s">
        <v>7504</v>
      </c>
      <c r="B7469" s="1" t="s">
        <v>30</v>
      </c>
      <c r="C7469" s="1" t="n">
        <v>582000</v>
      </c>
      <c r="D7469" s="1" t="n">
        <v>168741.2</v>
      </c>
      <c r="E7469" s="1" t="n">
        <v>0.0055</v>
      </c>
      <c r="F7469" s="1" t="n">
        <v>0.0822</v>
      </c>
    </row>
    <row r="7470" customFormat="false" ht="15" hidden="false" customHeight="false" outlineLevel="0" collapsed="false">
      <c r="A7470" s="1" t="s">
        <v>7505</v>
      </c>
      <c r="B7470" s="1" t="s">
        <v>74</v>
      </c>
      <c r="C7470" s="1" t="n">
        <v>279000</v>
      </c>
      <c r="D7470" s="1" t="n">
        <v>46120.6</v>
      </c>
      <c r="E7470" s="1" t="n">
        <v>0.0311</v>
      </c>
      <c r="F7470" s="1" t="n">
        <v>0.0759</v>
      </c>
    </row>
    <row r="7471" customFormat="false" ht="15" hidden="false" customHeight="false" outlineLevel="0" collapsed="false">
      <c r="A7471" s="1" t="s">
        <v>7506</v>
      </c>
      <c r="B7471" s="1" t="s">
        <v>26</v>
      </c>
      <c r="C7471" s="1" t="n">
        <v>279000</v>
      </c>
      <c r="D7471" s="1" t="n">
        <v>4028.7</v>
      </c>
      <c r="E7471" s="1" t="n">
        <v>0.0195</v>
      </c>
      <c r="F7471" s="1" t="n">
        <v>0.1067</v>
      </c>
    </row>
    <row r="7472" customFormat="false" ht="15" hidden="false" customHeight="false" outlineLevel="0" collapsed="false">
      <c r="A7472" s="1" t="s">
        <v>7507</v>
      </c>
      <c r="B7472" s="1" t="s">
        <v>74</v>
      </c>
      <c r="C7472" s="1" t="n">
        <v>254000</v>
      </c>
      <c r="D7472" s="1" t="n">
        <v>1184.6</v>
      </c>
      <c r="E7472" s="1" t="n">
        <v>0.0203</v>
      </c>
      <c r="F7472" s="1" t="n">
        <v>0.0757</v>
      </c>
    </row>
    <row r="7473" customFormat="false" ht="15" hidden="false" customHeight="false" outlineLevel="0" collapsed="false">
      <c r="A7473" s="1" t="s">
        <v>7508</v>
      </c>
      <c r="B7473" s="1" t="s">
        <v>24</v>
      </c>
      <c r="C7473" s="1" t="n">
        <v>268000</v>
      </c>
      <c r="D7473" s="1" t="n">
        <v>6589.5</v>
      </c>
      <c r="E7473" s="1" t="n">
        <v>0.0237</v>
      </c>
      <c r="F7473" s="1" t="n">
        <v>0.0951</v>
      </c>
    </row>
    <row r="7474" customFormat="false" ht="15" hidden="false" customHeight="false" outlineLevel="0" collapsed="false">
      <c r="A7474" s="1" t="s">
        <v>7509</v>
      </c>
      <c r="B7474" s="1" t="s">
        <v>53</v>
      </c>
      <c r="C7474" s="1" t="n">
        <v>6430000</v>
      </c>
      <c r="D7474" s="1" t="n">
        <v>564843.2</v>
      </c>
      <c r="E7474" s="1" t="n">
        <v>0.0282</v>
      </c>
      <c r="F7474" s="1" t="n">
        <v>0.0409</v>
      </c>
    </row>
    <row r="7475" customFormat="false" ht="15" hidden="false" customHeight="false" outlineLevel="0" collapsed="false">
      <c r="A7475" s="1" t="s">
        <v>7510</v>
      </c>
      <c r="B7475" s="1" t="s">
        <v>214</v>
      </c>
      <c r="C7475" s="1" t="n">
        <v>269000</v>
      </c>
      <c r="D7475" s="1" t="n">
        <v>8958.4</v>
      </c>
      <c r="E7475" s="1" t="n">
        <v>0.013</v>
      </c>
      <c r="F7475" s="1" t="n">
        <v>0.0585</v>
      </c>
    </row>
    <row r="7476" customFormat="false" ht="15" hidden="false" customHeight="false" outlineLevel="0" collapsed="false">
      <c r="A7476" s="1" t="s">
        <v>7511</v>
      </c>
      <c r="B7476" s="1" t="s">
        <v>53</v>
      </c>
      <c r="C7476" s="1" t="n">
        <v>368000</v>
      </c>
      <c r="D7476" s="1" t="n">
        <v>24066.7</v>
      </c>
      <c r="E7476" s="1" t="n">
        <v>0.0812</v>
      </c>
      <c r="F7476" s="1" t="n">
        <v>0.0759</v>
      </c>
    </row>
    <row r="7477" customFormat="false" ht="15" hidden="false" customHeight="false" outlineLevel="0" collapsed="false">
      <c r="A7477" s="1" t="s">
        <v>7512</v>
      </c>
      <c r="B7477" s="1" t="s">
        <v>490</v>
      </c>
      <c r="C7477" s="1" t="n">
        <v>338000</v>
      </c>
      <c r="D7477" s="1" t="n">
        <v>3935.4</v>
      </c>
      <c r="F7477" s="1" t="n">
        <v>0.051</v>
      </c>
    </row>
    <row r="7478" customFormat="false" ht="15" hidden="false" customHeight="false" outlineLevel="0" collapsed="false">
      <c r="A7478" s="1" t="s">
        <v>7513</v>
      </c>
      <c r="B7478" s="1" t="s">
        <v>287</v>
      </c>
      <c r="C7478" s="1" t="n">
        <v>302000</v>
      </c>
      <c r="D7478" s="1" t="n">
        <v>6068.6</v>
      </c>
      <c r="E7478" s="1" t="n">
        <v>0.0116</v>
      </c>
      <c r="F7478" s="1" t="n">
        <v>0.0654</v>
      </c>
    </row>
    <row r="7479" customFormat="false" ht="15" hidden="false" customHeight="false" outlineLevel="0" collapsed="false">
      <c r="A7479" s="1" t="s">
        <v>7514</v>
      </c>
      <c r="B7479" s="1" t="s">
        <v>74</v>
      </c>
      <c r="C7479" s="1" t="n">
        <v>278000</v>
      </c>
      <c r="D7479" s="1" t="n">
        <v>1641.4</v>
      </c>
      <c r="F7479" s="1" t="n">
        <v>0.0759</v>
      </c>
    </row>
    <row r="7480" customFormat="false" ht="15" hidden="false" customHeight="false" outlineLevel="0" collapsed="false">
      <c r="A7480" s="1" t="s">
        <v>7515</v>
      </c>
      <c r="B7480" s="1" t="s">
        <v>28</v>
      </c>
      <c r="C7480" s="1" t="n">
        <v>255000</v>
      </c>
      <c r="D7480" s="1" t="n">
        <v>1857.7</v>
      </c>
      <c r="F7480" s="1" t="n">
        <v>0.0759</v>
      </c>
    </row>
    <row r="7481" customFormat="false" ht="15" hidden="false" customHeight="false" outlineLevel="0" collapsed="false">
      <c r="A7481" s="1" t="s">
        <v>7516</v>
      </c>
      <c r="B7481" s="1" t="s">
        <v>26</v>
      </c>
      <c r="C7481" s="1" t="n">
        <v>263000</v>
      </c>
      <c r="D7481" s="1" t="n">
        <v>3149.2</v>
      </c>
      <c r="E7481" s="1" t="n">
        <v>0.0274</v>
      </c>
      <c r="F7481" s="1" t="n">
        <v>0.0412</v>
      </c>
    </row>
    <row r="7482" customFormat="false" ht="15" hidden="false" customHeight="false" outlineLevel="0" collapsed="false">
      <c r="A7482" s="1" t="s">
        <v>7517</v>
      </c>
      <c r="B7482" s="1" t="s">
        <v>26</v>
      </c>
      <c r="C7482" s="1" t="n">
        <v>455000</v>
      </c>
      <c r="D7482" s="1" t="n">
        <v>161893.1</v>
      </c>
      <c r="E7482" s="1" t="n">
        <v>0.0318</v>
      </c>
      <c r="F7482" s="1" t="n">
        <v>0.0409</v>
      </c>
    </row>
    <row r="7483" customFormat="false" ht="15" hidden="false" customHeight="false" outlineLevel="0" collapsed="false">
      <c r="A7483" s="1" t="s">
        <v>7518</v>
      </c>
      <c r="B7483" s="1" t="s">
        <v>88</v>
      </c>
      <c r="C7483" s="1" t="n">
        <v>296000</v>
      </c>
      <c r="D7483" s="1" t="n">
        <v>461.2</v>
      </c>
      <c r="E7483" s="1" t="n">
        <v>0.0446</v>
      </c>
      <c r="F7483" s="1" t="n">
        <v>0.0759</v>
      </c>
    </row>
    <row r="7484" customFormat="false" ht="15" hidden="false" customHeight="false" outlineLevel="0" collapsed="false">
      <c r="A7484" s="1" t="s">
        <v>7519</v>
      </c>
      <c r="B7484" s="1" t="s">
        <v>71</v>
      </c>
      <c r="C7484" s="1" t="n">
        <v>378000</v>
      </c>
      <c r="D7484" s="1" t="n">
        <v>15553.8</v>
      </c>
      <c r="E7484" s="1" t="n">
        <v>0.0291</v>
      </c>
      <c r="F7484" s="1" t="n">
        <v>0.0759</v>
      </c>
    </row>
    <row r="7485" customFormat="false" ht="15" hidden="false" customHeight="false" outlineLevel="0" collapsed="false">
      <c r="A7485" s="1" t="s">
        <v>7520</v>
      </c>
      <c r="B7485" s="1" t="s">
        <v>26</v>
      </c>
      <c r="C7485" s="1" t="n">
        <v>283000</v>
      </c>
      <c r="D7485" s="1" t="n">
        <v>49138.6</v>
      </c>
      <c r="E7485" s="1" t="n">
        <v>0.0162</v>
      </c>
      <c r="F7485" s="1" t="n">
        <v>0.0854</v>
      </c>
    </row>
    <row r="7486" customFormat="false" ht="15" hidden="false" customHeight="false" outlineLevel="0" collapsed="false">
      <c r="A7486" s="1" t="s">
        <v>7521</v>
      </c>
      <c r="B7486" s="1" t="s">
        <v>41</v>
      </c>
      <c r="C7486" s="1" t="n">
        <v>267000</v>
      </c>
      <c r="D7486" s="1" t="n">
        <v>261.2</v>
      </c>
      <c r="E7486" s="1" t="n">
        <v>0.027</v>
      </c>
      <c r="F7486" s="1" t="n">
        <v>0.117</v>
      </c>
    </row>
    <row r="7487" customFormat="false" ht="15" hidden="false" customHeight="false" outlineLevel="0" collapsed="false">
      <c r="A7487" s="1" t="s">
        <v>7522</v>
      </c>
      <c r="B7487" s="1" t="s">
        <v>41</v>
      </c>
      <c r="C7487" s="1" t="n">
        <v>270000</v>
      </c>
      <c r="D7487" s="1" t="n">
        <v>1387.3</v>
      </c>
      <c r="E7487" s="1" t="n">
        <v>0.0158</v>
      </c>
      <c r="F7487" s="1" t="n">
        <v>0.402</v>
      </c>
    </row>
    <row r="7488" customFormat="false" ht="15" hidden="false" customHeight="false" outlineLevel="0" collapsed="false">
      <c r="A7488" s="1" t="s">
        <v>7523</v>
      </c>
      <c r="B7488" s="1" t="s">
        <v>26</v>
      </c>
      <c r="C7488" s="1" t="n">
        <v>249000</v>
      </c>
      <c r="D7488" s="1" t="n">
        <v>2326.1</v>
      </c>
      <c r="E7488" s="1" t="n">
        <v>0.0282</v>
      </c>
      <c r="F7488" s="1" t="n">
        <v>0.0951</v>
      </c>
    </row>
    <row r="7489" customFormat="false" ht="15" hidden="false" customHeight="false" outlineLevel="0" collapsed="false">
      <c r="A7489" s="1" t="s">
        <v>7524</v>
      </c>
      <c r="B7489" s="1" t="s">
        <v>50</v>
      </c>
      <c r="C7489" s="1" t="n">
        <v>425000</v>
      </c>
      <c r="D7489" s="1" t="n">
        <v>783063.5</v>
      </c>
      <c r="E7489" s="1" t="n">
        <v>0.0498</v>
      </c>
      <c r="F7489" s="1" t="n">
        <v>0.0951</v>
      </c>
    </row>
    <row r="7490" customFormat="false" ht="15" hidden="false" customHeight="false" outlineLevel="0" collapsed="false">
      <c r="A7490" s="1" t="s">
        <v>7525</v>
      </c>
      <c r="B7490" s="1" t="s">
        <v>26</v>
      </c>
      <c r="C7490" s="1" t="n">
        <v>274000</v>
      </c>
      <c r="D7490" s="1" t="n">
        <v>20398.2</v>
      </c>
      <c r="E7490" s="1" t="n">
        <v>0.042</v>
      </c>
      <c r="F7490" s="1" t="n">
        <v>0.0951</v>
      </c>
    </row>
    <row r="7491" customFormat="false" ht="15" hidden="false" customHeight="false" outlineLevel="0" collapsed="false">
      <c r="A7491" s="1" t="s">
        <v>7526</v>
      </c>
      <c r="B7491" s="1" t="s">
        <v>88</v>
      </c>
      <c r="C7491" s="1" t="n">
        <v>670000</v>
      </c>
      <c r="D7491" s="1" t="n">
        <v>5858.9</v>
      </c>
      <c r="E7491" s="1" t="n">
        <v>0.0603</v>
      </c>
      <c r="F7491" s="1" t="n">
        <v>0.0938</v>
      </c>
    </row>
    <row r="7492" customFormat="false" ht="15" hidden="false" customHeight="false" outlineLevel="0" collapsed="false">
      <c r="A7492" s="1" t="s">
        <v>7527</v>
      </c>
      <c r="B7492" s="1" t="s">
        <v>26</v>
      </c>
      <c r="C7492" s="1" t="n">
        <v>252000</v>
      </c>
      <c r="D7492" s="1" t="n">
        <v>1287.9</v>
      </c>
      <c r="E7492" s="1" t="n">
        <v>0.0254</v>
      </c>
      <c r="F7492" s="1" t="n">
        <v>0.1067</v>
      </c>
    </row>
    <row r="7493" customFormat="false" ht="15" hidden="false" customHeight="false" outlineLevel="0" collapsed="false">
      <c r="A7493" s="1" t="s">
        <v>7528</v>
      </c>
      <c r="B7493" s="1" t="s">
        <v>74</v>
      </c>
      <c r="C7493" s="1" t="n">
        <v>320000</v>
      </c>
      <c r="D7493" s="1" t="n">
        <v>3342.2</v>
      </c>
      <c r="E7493" s="1" t="n">
        <v>0.0313</v>
      </c>
      <c r="F7493" s="1" t="n">
        <v>0.0759</v>
      </c>
    </row>
    <row r="7494" customFormat="false" ht="15" hidden="false" customHeight="false" outlineLevel="0" collapsed="false">
      <c r="A7494" s="1" t="s">
        <v>7529</v>
      </c>
      <c r="B7494" s="1" t="s">
        <v>26</v>
      </c>
      <c r="C7494" s="1" t="n">
        <v>6430000</v>
      </c>
      <c r="D7494" s="1" t="n">
        <v>33382.1</v>
      </c>
      <c r="E7494" s="1" t="n">
        <v>0.0088</v>
      </c>
      <c r="F7494" s="1" t="n">
        <v>0.0654</v>
      </c>
    </row>
    <row r="7495" customFormat="false" ht="15" hidden="false" customHeight="false" outlineLevel="0" collapsed="false">
      <c r="A7495" s="1" t="s">
        <v>7530</v>
      </c>
      <c r="B7495" s="1" t="s">
        <v>74</v>
      </c>
      <c r="C7495" s="1" t="n">
        <v>277000</v>
      </c>
      <c r="D7495" s="1" t="n">
        <v>6688.2</v>
      </c>
      <c r="E7495" s="1" t="n">
        <v>0.0702</v>
      </c>
      <c r="F7495" s="1" t="n">
        <v>0.0759</v>
      </c>
    </row>
    <row r="7496" customFormat="false" ht="15" hidden="false" customHeight="false" outlineLevel="0" collapsed="false">
      <c r="A7496" s="1" t="s">
        <v>7531</v>
      </c>
      <c r="B7496" s="1" t="s">
        <v>88</v>
      </c>
      <c r="C7496" s="1" t="n">
        <v>256000</v>
      </c>
      <c r="D7496" s="1" t="n">
        <v>1902.8</v>
      </c>
      <c r="E7496" s="1" t="n">
        <v>0.017</v>
      </c>
      <c r="F7496" s="1" t="n">
        <v>0.2064</v>
      </c>
    </row>
    <row r="7497" customFormat="false" ht="15" hidden="false" customHeight="false" outlineLevel="0" collapsed="false">
      <c r="A7497" s="1" t="s">
        <v>7532</v>
      </c>
      <c r="B7497" s="1" t="s">
        <v>26</v>
      </c>
      <c r="C7497" s="1" t="n">
        <v>382000</v>
      </c>
      <c r="D7497" s="1" t="n">
        <v>25107.6</v>
      </c>
      <c r="E7497" s="1" t="n">
        <v>0.0644</v>
      </c>
      <c r="F7497" s="1" t="n">
        <v>0.0938</v>
      </c>
    </row>
    <row r="7498" customFormat="false" ht="15" hidden="false" customHeight="false" outlineLevel="0" collapsed="false">
      <c r="A7498" s="1" t="s">
        <v>7533</v>
      </c>
      <c r="B7498" s="1" t="s">
        <v>26</v>
      </c>
      <c r="C7498" s="1" t="n">
        <v>255000</v>
      </c>
      <c r="D7498" s="1" t="n">
        <v>1857.8</v>
      </c>
      <c r="E7498" s="1" t="n">
        <v>0.0268</v>
      </c>
      <c r="F7498" s="1" t="n">
        <v>0.0546</v>
      </c>
    </row>
    <row r="7499" customFormat="false" ht="15" hidden="false" customHeight="false" outlineLevel="0" collapsed="false">
      <c r="A7499" s="1" t="s">
        <v>7534</v>
      </c>
      <c r="B7499" s="1" t="s">
        <v>287</v>
      </c>
      <c r="C7499" s="1" t="n">
        <v>264000</v>
      </c>
      <c r="D7499" s="1" t="n">
        <v>13532.7</v>
      </c>
      <c r="E7499" s="1" t="n">
        <v>0.0377</v>
      </c>
      <c r="F7499" s="1" t="n">
        <v>0.0759</v>
      </c>
    </row>
    <row r="7500" customFormat="false" ht="15" hidden="false" customHeight="false" outlineLevel="0" collapsed="false">
      <c r="A7500" s="1" t="s">
        <v>7535</v>
      </c>
      <c r="B7500" s="1" t="s">
        <v>214</v>
      </c>
      <c r="C7500" s="1" t="n">
        <v>261000</v>
      </c>
      <c r="D7500" s="1" t="n">
        <v>390</v>
      </c>
      <c r="E7500" s="1" t="n">
        <v>0.0116</v>
      </c>
      <c r="F7500" s="1" t="n">
        <v>0.0576</v>
      </c>
    </row>
    <row r="7501" customFormat="false" ht="15" hidden="false" customHeight="false" outlineLevel="0" collapsed="false">
      <c r="A7501" s="1" t="s">
        <v>7536</v>
      </c>
      <c r="B7501" s="1" t="s">
        <v>26</v>
      </c>
      <c r="C7501" s="1" t="n">
        <v>398000</v>
      </c>
      <c r="D7501" s="1" t="n">
        <v>80454</v>
      </c>
      <c r="E7501" s="1" t="n">
        <v>0.0555</v>
      </c>
      <c r="F7501" s="1" t="n">
        <v>0.0518</v>
      </c>
    </row>
    <row r="7502" customFormat="false" ht="15" hidden="false" customHeight="false" outlineLevel="0" collapsed="false">
      <c r="A7502" s="1" t="s">
        <v>7537</v>
      </c>
      <c r="B7502" s="1" t="s">
        <v>41</v>
      </c>
      <c r="C7502" s="1" t="n">
        <v>535000</v>
      </c>
      <c r="D7502" s="1" t="n">
        <v>99095.2</v>
      </c>
      <c r="E7502" s="1" t="n">
        <v>0.0173</v>
      </c>
      <c r="F7502" s="1" t="n">
        <v>0.0757</v>
      </c>
    </row>
    <row r="7503" customFormat="false" ht="15" hidden="false" customHeight="false" outlineLevel="0" collapsed="false">
      <c r="A7503" s="1" t="s">
        <v>7538</v>
      </c>
      <c r="B7503" s="1" t="s">
        <v>62</v>
      </c>
      <c r="C7503" s="1" t="n">
        <v>259000</v>
      </c>
      <c r="D7503" s="1" t="n">
        <v>8682.8</v>
      </c>
      <c r="E7503" s="1" t="n">
        <v>0.0636</v>
      </c>
      <c r="F7503" s="1" t="n">
        <v>0.0951</v>
      </c>
    </row>
    <row r="7504" customFormat="false" ht="15" hidden="false" customHeight="false" outlineLevel="0" collapsed="false">
      <c r="A7504" s="1" t="s">
        <v>7539</v>
      </c>
      <c r="B7504" s="1" t="s">
        <v>26</v>
      </c>
      <c r="C7504" s="1" t="n">
        <v>363000</v>
      </c>
      <c r="D7504" s="1" t="n">
        <v>8701</v>
      </c>
      <c r="E7504" s="1" t="n">
        <v>0.0119</v>
      </c>
      <c r="F7504" s="1" t="n">
        <v>0.1298</v>
      </c>
    </row>
    <row r="7505" customFormat="false" ht="15" hidden="false" customHeight="false" outlineLevel="0" collapsed="false">
      <c r="A7505" s="1" t="s">
        <v>7540</v>
      </c>
      <c r="B7505" s="1" t="s">
        <v>88</v>
      </c>
      <c r="C7505" s="1" t="n">
        <v>255000</v>
      </c>
      <c r="D7505" s="1" t="n">
        <v>2766.9</v>
      </c>
      <c r="E7505" s="1" t="n">
        <v>0.0335</v>
      </c>
      <c r="F7505" s="1" t="n">
        <v>0.0951</v>
      </c>
    </row>
    <row r="7506" customFormat="false" ht="15" hidden="false" customHeight="false" outlineLevel="0" collapsed="false">
      <c r="A7506" s="1" t="s">
        <v>7541</v>
      </c>
      <c r="B7506" s="1" t="s">
        <v>287</v>
      </c>
      <c r="C7506" s="1" t="n">
        <v>252000</v>
      </c>
      <c r="D7506" s="1" t="n">
        <v>5166.9</v>
      </c>
      <c r="E7506" s="1" t="n">
        <v>0.038</v>
      </c>
      <c r="F7506" s="1" t="n">
        <v>0.0518</v>
      </c>
    </row>
    <row r="7507" customFormat="false" ht="15" hidden="false" customHeight="false" outlineLevel="0" collapsed="false">
      <c r="A7507" s="1" t="s">
        <v>7542</v>
      </c>
      <c r="B7507" s="1" t="s">
        <v>41</v>
      </c>
      <c r="C7507" s="1" t="n">
        <v>279000</v>
      </c>
      <c r="D7507" s="1" t="n">
        <v>1281.8</v>
      </c>
      <c r="E7507" s="1" t="n">
        <v>0.0344</v>
      </c>
      <c r="F7507" s="1" t="n">
        <v>0.1226</v>
      </c>
    </row>
    <row r="7508" customFormat="false" ht="15" hidden="false" customHeight="false" outlineLevel="0" collapsed="false">
      <c r="A7508" s="1" t="s">
        <v>7543</v>
      </c>
      <c r="B7508" s="1" t="s">
        <v>26</v>
      </c>
      <c r="C7508" s="1" t="n">
        <v>442000</v>
      </c>
      <c r="D7508" s="1" t="n">
        <v>57591.2</v>
      </c>
      <c r="E7508" s="1" t="n">
        <v>0.0262</v>
      </c>
      <c r="F7508" s="1" t="n">
        <v>0.0759</v>
      </c>
    </row>
    <row r="7509" customFormat="false" ht="15" hidden="false" customHeight="false" outlineLevel="0" collapsed="false">
      <c r="A7509" s="1" t="s">
        <v>7544</v>
      </c>
      <c r="B7509" s="1" t="s">
        <v>214</v>
      </c>
      <c r="C7509" s="1" t="n">
        <v>314000</v>
      </c>
      <c r="D7509" s="1" t="n">
        <v>22745.8</v>
      </c>
      <c r="E7509" s="1" t="n">
        <v>0.02</v>
      </c>
      <c r="F7509" s="1" t="n">
        <v>0.0616</v>
      </c>
    </row>
    <row r="7510" customFormat="false" ht="15" hidden="false" customHeight="false" outlineLevel="0" collapsed="false">
      <c r="A7510" s="1" t="s">
        <v>7545</v>
      </c>
      <c r="B7510" s="1" t="s">
        <v>26</v>
      </c>
      <c r="C7510" s="1" t="n">
        <v>288000</v>
      </c>
      <c r="D7510" s="1" t="n">
        <v>696.8</v>
      </c>
      <c r="E7510" s="1" t="n">
        <v>0.0209</v>
      </c>
      <c r="F7510" s="1" t="n">
        <v>0.0759</v>
      </c>
    </row>
    <row r="7511" customFormat="false" ht="15" hidden="false" customHeight="false" outlineLevel="0" collapsed="false">
      <c r="A7511" s="1" t="s">
        <v>7546</v>
      </c>
      <c r="B7511" s="1" t="s">
        <v>24</v>
      </c>
      <c r="C7511" s="1" t="n">
        <v>312000</v>
      </c>
      <c r="D7511" s="1" t="n">
        <v>291.4</v>
      </c>
      <c r="E7511" s="1" t="n">
        <v>0.0261</v>
      </c>
      <c r="F7511" s="1" t="n">
        <v>0.0938</v>
      </c>
    </row>
    <row r="7512" customFormat="false" ht="15" hidden="false" customHeight="false" outlineLevel="0" collapsed="false">
      <c r="A7512" s="1" t="s">
        <v>7547</v>
      </c>
      <c r="B7512" s="1" t="s">
        <v>71</v>
      </c>
      <c r="C7512" s="1" t="n">
        <v>302000</v>
      </c>
      <c r="D7512" s="1" t="n">
        <v>35141.2</v>
      </c>
      <c r="E7512" s="1" t="n">
        <v>0.0412</v>
      </c>
      <c r="F7512" s="1" t="n">
        <v>0.0845</v>
      </c>
    </row>
    <row r="7513" customFormat="false" ht="15" hidden="false" customHeight="false" outlineLevel="0" collapsed="false">
      <c r="A7513" s="1" t="s">
        <v>7548</v>
      </c>
      <c r="B7513" s="1" t="s">
        <v>88</v>
      </c>
      <c r="C7513" s="1" t="n">
        <v>293000</v>
      </c>
      <c r="D7513" s="1" t="n">
        <v>2083</v>
      </c>
      <c r="E7513" s="1" t="n">
        <v>0.0205</v>
      </c>
      <c r="F7513" s="1" t="n">
        <v>0.1053</v>
      </c>
    </row>
    <row r="7514" customFormat="false" ht="15" hidden="false" customHeight="false" outlineLevel="0" collapsed="false">
      <c r="A7514" s="1" t="s">
        <v>7549</v>
      </c>
      <c r="B7514" s="1" t="s">
        <v>26</v>
      </c>
      <c r="C7514" s="1" t="n">
        <v>282000</v>
      </c>
      <c r="D7514" s="1" t="n">
        <v>767</v>
      </c>
      <c r="E7514" s="1" t="n">
        <v>0.0221</v>
      </c>
      <c r="F7514" s="1" t="n">
        <v>0.1053</v>
      </c>
    </row>
    <row r="7515" customFormat="false" ht="15" hidden="false" customHeight="false" outlineLevel="0" collapsed="false">
      <c r="A7515" s="1" t="s">
        <v>7550</v>
      </c>
      <c r="B7515" s="1" t="s">
        <v>53</v>
      </c>
      <c r="C7515" s="1" t="n">
        <v>248000</v>
      </c>
      <c r="D7515" s="1" t="n">
        <v>1613.2</v>
      </c>
      <c r="E7515" s="1" t="n">
        <v>0.0096</v>
      </c>
      <c r="F7515" s="1" t="n">
        <v>0.1015</v>
      </c>
    </row>
    <row r="7516" customFormat="false" ht="15" hidden="false" customHeight="false" outlineLevel="0" collapsed="false">
      <c r="A7516" s="1" t="s">
        <v>7551</v>
      </c>
      <c r="B7516" s="1" t="s">
        <v>62</v>
      </c>
      <c r="C7516" s="1" t="n">
        <v>285000</v>
      </c>
      <c r="D7516" s="1" t="n">
        <v>1158</v>
      </c>
      <c r="E7516" s="1" t="n">
        <v>0.0118</v>
      </c>
      <c r="F7516" s="1" t="n">
        <v>0.0654</v>
      </c>
    </row>
    <row r="7517" customFormat="false" ht="15" hidden="false" customHeight="false" outlineLevel="0" collapsed="false">
      <c r="A7517" s="1" t="s">
        <v>7552</v>
      </c>
      <c r="B7517" s="1" t="s">
        <v>26</v>
      </c>
      <c r="C7517" s="1" t="n">
        <v>279000</v>
      </c>
      <c r="D7517" s="1" t="n">
        <v>11186.1</v>
      </c>
      <c r="E7517" s="1" t="n">
        <v>0.0211</v>
      </c>
      <c r="F7517" s="1" t="n">
        <v>0.0735</v>
      </c>
    </row>
    <row r="7518" customFormat="false" ht="15" hidden="false" customHeight="false" outlineLevel="0" collapsed="false">
      <c r="A7518" s="1" t="s">
        <v>7553</v>
      </c>
      <c r="B7518" s="1" t="s">
        <v>214</v>
      </c>
      <c r="C7518" s="1" t="n">
        <v>384000</v>
      </c>
      <c r="D7518" s="1" t="n">
        <v>1586.7</v>
      </c>
      <c r="E7518" s="1" t="n">
        <v>0.0231</v>
      </c>
      <c r="F7518" s="1" t="n">
        <v>0.095</v>
      </c>
    </row>
    <row r="7519" customFormat="false" ht="15" hidden="false" customHeight="false" outlineLevel="0" collapsed="false">
      <c r="A7519" s="1" t="s">
        <v>7554</v>
      </c>
      <c r="B7519" s="1" t="s">
        <v>24</v>
      </c>
      <c r="C7519" s="1" t="n">
        <v>257000</v>
      </c>
      <c r="D7519" s="1" t="n">
        <v>990.2</v>
      </c>
      <c r="E7519" s="1" t="n">
        <v>0.0294</v>
      </c>
      <c r="F7519" s="1" t="n">
        <v>0.0759</v>
      </c>
    </row>
    <row r="7520" customFormat="false" ht="15" hidden="false" customHeight="false" outlineLevel="0" collapsed="false">
      <c r="A7520" s="1" t="s">
        <v>7555</v>
      </c>
      <c r="B7520" s="1" t="s">
        <v>53</v>
      </c>
      <c r="C7520" s="1" t="n">
        <v>276000</v>
      </c>
      <c r="D7520" s="1" t="n">
        <v>462381.5</v>
      </c>
      <c r="E7520" s="1" t="n">
        <v>0.0078</v>
      </c>
      <c r="F7520" s="1" t="n">
        <v>0.0915</v>
      </c>
    </row>
    <row r="7521" customFormat="false" ht="15" hidden="false" customHeight="false" outlineLevel="0" collapsed="false">
      <c r="A7521" s="1" t="s">
        <v>7556</v>
      </c>
      <c r="B7521" s="1" t="s">
        <v>53</v>
      </c>
      <c r="C7521" s="1" t="n">
        <v>259000</v>
      </c>
      <c r="D7521" s="1" t="n">
        <v>2206.2</v>
      </c>
      <c r="E7521" s="1" t="n">
        <v>0.0958</v>
      </c>
      <c r="F7521" s="1" t="n">
        <v>0.0938</v>
      </c>
    </row>
    <row r="7522" customFormat="false" ht="15" hidden="false" customHeight="false" outlineLevel="0" collapsed="false">
      <c r="A7522" s="1" t="s">
        <v>7557</v>
      </c>
      <c r="B7522" s="1" t="s">
        <v>41</v>
      </c>
      <c r="C7522" s="1" t="n">
        <v>454000</v>
      </c>
      <c r="D7522" s="1" t="n">
        <v>10594</v>
      </c>
      <c r="E7522" s="1" t="n">
        <v>0.0627</v>
      </c>
      <c r="F7522" s="1" t="n">
        <v>0.0759</v>
      </c>
    </row>
    <row r="7523" customFormat="false" ht="15" hidden="false" customHeight="false" outlineLevel="0" collapsed="false">
      <c r="A7523" s="1" t="s">
        <v>7558</v>
      </c>
      <c r="B7523" s="1" t="s">
        <v>26</v>
      </c>
      <c r="C7523" s="1" t="n">
        <v>312000</v>
      </c>
      <c r="D7523" s="1" t="n">
        <v>78626.1</v>
      </c>
      <c r="E7523" s="1" t="n">
        <v>0.0669</v>
      </c>
      <c r="F7523" s="1" t="n">
        <v>0.0759</v>
      </c>
    </row>
    <row r="7524" customFormat="false" ht="15" hidden="false" customHeight="false" outlineLevel="0" collapsed="false">
      <c r="A7524" s="1" t="s">
        <v>7559</v>
      </c>
      <c r="B7524" s="1" t="s">
        <v>24</v>
      </c>
      <c r="C7524" s="1" t="n">
        <v>342000</v>
      </c>
      <c r="D7524" s="1" t="n">
        <v>108399.7</v>
      </c>
      <c r="E7524" s="1" t="n">
        <v>0.0389</v>
      </c>
      <c r="F7524" s="1" t="n">
        <v>0.0951</v>
      </c>
    </row>
    <row r="7525" customFormat="false" ht="15" hidden="false" customHeight="false" outlineLevel="0" collapsed="false">
      <c r="A7525" s="1" t="s">
        <v>7560</v>
      </c>
      <c r="B7525" s="1" t="s">
        <v>81</v>
      </c>
      <c r="C7525" s="1" t="n">
        <v>319000</v>
      </c>
      <c r="D7525" s="1" t="n">
        <v>4087.3</v>
      </c>
      <c r="E7525" s="1" t="n">
        <v>0.0191</v>
      </c>
      <c r="F7525" s="1" t="n">
        <v>0.1053</v>
      </c>
    </row>
    <row r="7526" customFormat="false" ht="15" hidden="false" customHeight="false" outlineLevel="0" collapsed="false">
      <c r="A7526" s="1" t="s">
        <v>7561</v>
      </c>
      <c r="B7526" s="1" t="s">
        <v>88</v>
      </c>
      <c r="C7526" s="1" t="n">
        <v>287000</v>
      </c>
      <c r="D7526" s="1" t="n">
        <v>16014.2</v>
      </c>
      <c r="E7526" s="1" t="n">
        <v>0.0135</v>
      </c>
      <c r="F7526" s="1" t="n">
        <v>0.1471</v>
      </c>
    </row>
    <row r="7527" customFormat="false" ht="15" hidden="false" customHeight="false" outlineLevel="0" collapsed="false">
      <c r="A7527" s="1" t="s">
        <v>7562</v>
      </c>
      <c r="B7527" s="1" t="s">
        <v>92</v>
      </c>
      <c r="C7527" s="1" t="n">
        <v>266000</v>
      </c>
      <c r="D7527" s="1" t="n">
        <v>1003.4</v>
      </c>
      <c r="E7527" s="1" t="n">
        <v>0.0165</v>
      </c>
      <c r="F7527" s="1" t="n">
        <v>0.1067</v>
      </c>
    </row>
    <row r="7528" customFormat="false" ht="15" hidden="false" customHeight="false" outlineLevel="0" collapsed="false">
      <c r="A7528" s="1" t="s">
        <v>7563</v>
      </c>
      <c r="B7528" s="1" t="s">
        <v>81</v>
      </c>
      <c r="C7528" s="1" t="n">
        <v>259000</v>
      </c>
      <c r="D7528" s="1" t="n">
        <v>3061.8</v>
      </c>
      <c r="E7528" s="1" t="n">
        <v>0.0165</v>
      </c>
      <c r="F7528" s="1" t="n">
        <v>0.0585</v>
      </c>
    </row>
    <row r="7529" customFormat="false" ht="15" hidden="false" customHeight="false" outlineLevel="0" collapsed="false">
      <c r="A7529" s="1" t="s">
        <v>7564</v>
      </c>
      <c r="B7529" s="1" t="s">
        <v>24</v>
      </c>
      <c r="C7529" s="1" t="n">
        <v>341000</v>
      </c>
      <c r="D7529" s="1" t="n">
        <v>30525.4</v>
      </c>
      <c r="E7529" s="1" t="n">
        <v>0.0503</v>
      </c>
      <c r="F7529" s="1" t="n">
        <v>0.0951</v>
      </c>
    </row>
    <row r="7530" customFormat="false" ht="15" hidden="false" customHeight="false" outlineLevel="0" collapsed="false">
      <c r="A7530" s="1" t="s">
        <v>7565</v>
      </c>
      <c r="B7530" s="1" t="s">
        <v>195</v>
      </c>
      <c r="C7530" s="1" t="n">
        <v>258000</v>
      </c>
      <c r="D7530" s="1" t="n">
        <v>702.3</v>
      </c>
      <c r="E7530" s="1" t="n">
        <v>0.011</v>
      </c>
      <c r="F7530" s="1" t="n">
        <v>0.0822</v>
      </c>
    </row>
    <row r="7531" customFormat="false" ht="15" hidden="false" customHeight="false" outlineLevel="0" collapsed="false">
      <c r="A7531" s="1" t="s">
        <v>7566</v>
      </c>
      <c r="B7531" s="1" t="s">
        <v>81</v>
      </c>
      <c r="C7531" s="1" t="n">
        <v>375000</v>
      </c>
      <c r="D7531" s="1" t="n">
        <v>11922.5</v>
      </c>
      <c r="E7531" s="1" t="n">
        <v>0.0123</v>
      </c>
      <c r="F7531" s="1" t="n">
        <v>0.0654</v>
      </c>
    </row>
    <row r="7532" customFormat="false" ht="15" hidden="false" customHeight="false" outlineLevel="0" collapsed="false">
      <c r="A7532" s="1" t="s">
        <v>7567</v>
      </c>
      <c r="B7532" s="1" t="s">
        <v>62</v>
      </c>
      <c r="C7532" s="1" t="n">
        <v>315000</v>
      </c>
      <c r="D7532" s="1" t="n">
        <v>3079.1</v>
      </c>
      <c r="E7532" s="1" t="n">
        <v>0.0719</v>
      </c>
      <c r="F7532" s="1" t="n">
        <v>0.0759</v>
      </c>
    </row>
    <row r="7533" customFormat="false" ht="15" hidden="false" customHeight="false" outlineLevel="0" collapsed="false">
      <c r="A7533" s="1" t="s">
        <v>7568</v>
      </c>
      <c r="B7533" s="1" t="s">
        <v>50</v>
      </c>
      <c r="C7533" s="1" t="n">
        <v>335000</v>
      </c>
      <c r="D7533" s="1" t="n">
        <v>17099.8</v>
      </c>
      <c r="E7533" s="1" t="n">
        <v>0.1224</v>
      </c>
      <c r="F7533" s="1" t="n">
        <v>0.0938</v>
      </c>
    </row>
    <row r="7534" customFormat="false" ht="15" hidden="false" customHeight="false" outlineLevel="0" collapsed="false">
      <c r="A7534" s="1" t="s">
        <v>7569</v>
      </c>
      <c r="B7534" s="1" t="s">
        <v>88</v>
      </c>
      <c r="C7534" s="1" t="n">
        <v>251000</v>
      </c>
      <c r="D7534" s="1" t="n">
        <v>78371.2</v>
      </c>
      <c r="E7534" s="1" t="n">
        <v>0.0183</v>
      </c>
      <c r="F7534" s="1" t="n">
        <v>0.1067</v>
      </c>
    </row>
    <row r="7535" customFormat="false" ht="15" hidden="false" customHeight="false" outlineLevel="0" collapsed="false">
      <c r="A7535" s="1" t="s">
        <v>7570</v>
      </c>
      <c r="B7535" s="1" t="s">
        <v>24</v>
      </c>
      <c r="C7535" s="1" t="n">
        <v>356000</v>
      </c>
      <c r="D7535" s="1" t="n">
        <v>9773.3</v>
      </c>
      <c r="E7535" s="1" t="n">
        <v>0.0086</v>
      </c>
      <c r="F7535" s="1" t="n">
        <v>0.0822</v>
      </c>
    </row>
    <row r="7536" customFormat="false" ht="15" hidden="false" customHeight="false" outlineLevel="0" collapsed="false">
      <c r="A7536" s="1" t="s">
        <v>7571</v>
      </c>
      <c r="B7536" s="1" t="s">
        <v>287</v>
      </c>
      <c r="C7536" s="1" t="n">
        <v>901000</v>
      </c>
      <c r="D7536" s="1" t="n">
        <v>132789.3</v>
      </c>
      <c r="E7536" s="1" t="n">
        <v>0.0216</v>
      </c>
      <c r="F7536" s="1" t="n">
        <v>0.0409</v>
      </c>
    </row>
    <row r="7537" customFormat="false" ht="15" hidden="false" customHeight="false" outlineLevel="0" collapsed="false">
      <c r="A7537" s="1" t="s">
        <v>7572</v>
      </c>
      <c r="B7537" s="1" t="s">
        <v>62</v>
      </c>
      <c r="C7537" s="1" t="n">
        <v>1370000</v>
      </c>
      <c r="D7537" s="1" t="n">
        <v>565631.7</v>
      </c>
      <c r="E7537" s="1" t="n">
        <v>0.0249</v>
      </c>
      <c r="F7537" s="1" t="n">
        <v>0.0409</v>
      </c>
    </row>
    <row r="7538" customFormat="false" ht="15" hidden="false" customHeight="false" outlineLevel="0" collapsed="false">
      <c r="A7538" s="1" t="s">
        <v>7573</v>
      </c>
      <c r="B7538" s="1" t="s">
        <v>287</v>
      </c>
      <c r="C7538" s="1" t="n">
        <v>280000</v>
      </c>
      <c r="D7538" s="1" t="n">
        <v>14341.8</v>
      </c>
      <c r="F7538" s="1" t="n">
        <v>0.117</v>
      </c>
    </row>
    <row r="7539" customFormat="false" ht="15" hidden="false" customHeight="false" outlineLevel="0" collapsed="false">
      <c r="A7539" s="1" t="s">
        <v>7574</v>
      </c>
      <c r="B7539" s="1" t="s">
        <v>81</v>
      </c>
      <c r="C7539" s="1" t="n">
        <v>568000</v>
      </c>
      <c r="D7539" s="1" t="n">
        <v>257418.1</v>
      </c>
      <c r="E7539" s="1" t="n">
        <v>0.0854</v>
      </c>
      <c r="F7539" s="1" t="n">
        <v>0.0759</v>
      </c>
    </row>
    <row r="7540" customFormat="false" ht="15" hidden="false" customHeight="false" outlineLevel="0" collapsed="false">
      <c r="A7540" s="1" t="s">
        <v>7575</v>
      </c>
      <c r="B7540" s="1" t="s">
        <v>74</v>
      </c>
      <c r="C7540" s="1" t="n">
        <v>457000</v>
      </c>
      <c r="D7540" s="1" t="n">
        <v>36157.3</v>
      </c>
      <c r="E7540" s="1" t="n">
        <v>0.0371</v>
      </c>
      <c r="F7540" s="1" t="n">
        <v>0.0759</v>
      </c>
    </row>
    <row r="7541" customFormat="false" ht="15" hidden="false" customHeight="false" outlineLevel="0" collapsed="false">
      <c r="A7541" s="1" t="s">
        <v>7576</v>
      </c>
      <c r="B7541" s="1" t="s">
        <v>50</v>
      </c>
      <c r="C7541" s="1" t="n">
        <v>448000</v>
      </c>
      <c r="D7541" s="1" t="n">
        <v>137059.2</v>
      </c>
      <c r="E7541" s="1" t="n">
        <v>0.018</v>
      </c>
      <c r="F7541" s="1" t="n">
        <v>0.0488</v>
      </c>
    </row>
    <row r="7542" customFormat="false" ht="15" hidden="false" customHeight="false" outlineLevel="0" collapsed="false">
      <c r="A7542" s="1" t="s">
        <v>7577</v>
      </c>
      <c r="B7542" s="1" t="s">
        <v>26</v>
      </c>
      <c r="C7542" s="1" t="n">
        <v>1140000</v>
      </c>
      <c r="D7542" s="1" t="n">
        <v>10409.2</v>
      </c>
      <c r="E7542" s="1" t="n">
        <v>0.0268</v>
      </c>
      <c r="F7542" s="1" t="n">
        <v>0.1041</v>
      </c>
    </row>
    <row r="7543" customFormat="false" ht="15" hidden="false" customHeight="false" outlineLevel="0" collapsed="false">
      <c r="A7543" s="1" t="s">
        <v>7578</v>
      </c>
      <c r="B7543" s="1" t="s">
        <v>490</v>
      </c>
      <c r="C7543" s="1" t="n">
        <v>348000</v>
      </c>
      <c r="D7543" s="1" t="n">
        <v>24553.5</v>
      </c>
      <c r="E7543" s="1" t="n">
        <v>0.0505</v>
      </c>
      <c r="F7543" s="1" t="n">
        <v>0.0759</v>
      </c>
    </row>
    <row r="7544" customFormat="false" ht="15" hidden="false" customHeight="false" outlineLevel="0" collapsed="false">
      <c r="A7544" s="1" t="s">
        <v>7579</v>
      </c>
      <c r="B7544" s="1" t="s">
        <v>30</v>
      </c>
      <c r="C7544" s="1" t="n">
        <v>364000</v>
      </c>
      <c r="D7544" s="1" t="n">
        <v>14947.2</v>
      </c>
      <c r="E7544" s="1" t="n">
        <v>0.0441</v>
      </c>
      <c r="F7544" s="1" t="n">
        <v>0.0951</v>
      </c>
    </row>
    <row r="7545" customFormat="false" ht="15" hidden="false" customHeight="false" outlineLevel="0" collapsed="false">
      <c r="A7545" s="1" t="s">
        <v>7580</v>
      </c>
      <c r="B7545" s="1" t="s">
        <v>88</v>
      </c>
      <c r="C7545" s="1" t="n">
        <v>251000</v>
      </c>
      <c r="D7545" s="1" t="n">
        <v>347.8</v>
      </c>
      <c r="E7545" s="1" t="n">
        <v>0.0195</v>
      </c>
      <c r="F7545" s="1" t="n">
        <v>0.0585</v>
      </c>
    </row>
    <row r="7546" customFormat="false" ht="15" hidden="false" customHeight="false" outlineLevel="0" collapsed="false">
      <c r="A7546" s="1" t="s">
        <v>7581</v>
      </c>
      <c r="B7546" s="1" t="s">
        <v>287</v>
      </c>
      <c r="C7546" s="1" t="n">
        <v>414000</v>
      </c>
      <c r="D7546" s="1" t="n">
        <v>11515.1</v>
      </c>
      <c r="E7546" s="1" t="n">
        <v>0.0278</v>
      </c>
      <c r="F7546" s="1" t="n">
        <v>0.0759</v>
      </c>
    </row>
    <row r="7547" customFormat="false" ht="15" hidden="false" customHeight="false" outlineLevel="0" collapsed="false">
      <c r="A7547" s="1" t="s">
        <v>7582</v>
      </c>
      <c r="B7547" s="1" t="s">
        <v>30</v>
      </c>
      <c r="C7547" s="1" t="n">
        <v>354000</v>
      </c>
      <c r="D7547" s="1" t="n">
        <v>18735.2</v>
      </c>
      <c r="E7547" s="1" t="n">
        <v>0.0091</v>
      </c>
      <c r="F7547" s="1" t="n">
        <v>0.0822</v>
      </c>
    </row>
    <row r="7548" customFormat="false" ht="15" hidden="false" customHeight="false" outlineLevel="0" collapsed="false">
      <c r="A7548" s="1" t="s">
        <v>7583</v>
      </c>
      <c r="B7548" s="1" t="s">
        <v>26</v>
      </c>
      <c r="C7548" s="1" t="n">
        <v>312000</v>
      </c>
      <c r="D7548" s="1" t="n">
        <v>35604.2</v>
      </c>
      <c r="E7548" s="1" t="n">
        <v>0.0434</v>
      </c>
      <c r="F7548" s="1" t="n">
        <v>0.0951</v>
      </c>
    </row>
    <row r="7549" customFormat="false" ht="15" hidden="false" customHeight="false" outlineLevel="0" collapsed="false">
      <c r="A7549" s="1" t="s">
        <v>7584</v>
      </c>
      <c r="B7549" s="1" t="s">
        <v>287</v>
      </c>
      <c r="C7549" s="1" t="n">
        <v>271000</v>
      </c>
      <c r="D7549" s="1" t="n">
        <v>4755</v>
      </c>
      <c r="E7549" s="1" t="n">
        <v>0.0419</v>
      </c>
      <c r="F7549" s="1" t="n">
        <v>0.0951</v>
      </c>
    </row>
    <row r="7550" customFormat="false" ht="15" hidden="false" customHeight="false" outlineLevel="0" collapsed="false">
      <c r="A7550" s="1" t="s">
        <v>7585</v>
      </c>
      <c r="B7550" s="1" t="s">
        <v>92</v>
      </c>
      <c r="C7550" s="1" t="n">
        <v>530000</v>
      </c>
      <c r="D7550" s="1" t="n">
        <v>97745.3</v>
      </c>
      <c r="E7550" s="1" t="n">
        <v>0.0309</v>
      </c>
      <c r="F7550" s="1" t="n">
        <v>0.0409</v>
      </c>
    </row>
    <row r="7551" customFormat="false" ht="15" hidden="false" customHeight="false" outlineLevel="0" collapsed="false">
      <c r="A7551" s="1" t="s">
        <v>7586</v>
      </c>
      <c r="B7551" s="1" t="s">
        <v>71</v>
      </c>
      <c r="C7551" s="1" t="n">
        <v>270000</v>
      </c>
      <c r="D7551" s="1" t="n">
        <v>1648.4</v>
      </c>
      <c r="F7551" s="1" t="n">
        <v>0.0938</v>
      </c>
    </row>
    <row r="7552" customFormat="false" ht="15" hidden="false" customHeight="false" outlineLevel="0" collapsed="false">
      <c r="A7552" s="1" t="s">
        <v>7587</v>
      </c>
      <c r="B7552" s="1" t="s">
        <v>214</v>
      </c>
      <c r="C7552" s="1" t="n">
        <v>354000</v>
      </c>
      <c r="D7552" s="1" t="n">
        <v>3848.1</v>
      </c>
      <c r="E7552" s="1" t="n">
        <v>0.0283</v>
      </c>
      <c r="F7552" s="1" t="n">
        <v>0.0759</v>
      </c>
    </row>
    <row r="7553" customFormat="false" ht="15" hidden="false" customHeight="false" outlineLevel="0" collapsed="false">
      <c r="A7553" s="1" t="s">
        <v>7588</v>
      </c>
      <c r="B7553" s="1" t="s">
        <v>26</v>
      </c>
      <c r="C7553" s="1" t="n">
        <v>257000</v>
      </c>
      <c r="D7553" s="1" t="n">
        <v>78.2</v>
      </c>
      <c r="E7553" s="1" t="n">
        <v>0.016</v>
      </c>
      <c r="F7553" s="1" t="n">
        <v>0.248</v>
      </c>
    </row>
    <row r="7554" customFormat="false" ht="15" hidden="false" customHeight="false" outlineLevel="0" collapsed="false">
      <c r="A7554" s="1" t="s">
        <v>7589</v>
      </c>
      <c r="B7554" s="1" t="s">
        <v>50</v>
      </c>
      <c r="C7554" s="1" t="n">
        <v>312000</v>
      </c>
      <c r="D7554" s="1" t="n">
        <v>83447.2</v>
      </c>
      <c r="E7554" s="1" t="n">
        <v>0.0194</v>
      </c>
      <c r="F7554" s="1" t="n">
        <v>0.0585</v>
      </c>
    </row>
    <row r="7555" customFormat="false" ht="15" hidden="false" customHeight="false" outlineLevel="0" collapsed="false">
      <c r="A7555" s="1" t="s">
        <v>7590</v>
      </c>
      <c r="B7555" s="1" t="s">
        <v>74</v>
      </c>
      <c r="C7555" s="1" t="n">
        <v>352000</v>
      </c>
      <c r="D7555" s="1" t="n">
        <v>2035.8</v>
      </c>
      <c r="E7555" s="1" t="n">
        <v>0.0566</v>
      </c>
      <c r="F7555" s="1" t="n">
        <v>0.0759</v>
      </c>
    </row>
    <row r="7556" customFormat="false" ht="15" hidden="false" customHeight="false" outlineLevel="0" collapsed="false">
      <c r="A7556" s="1" t="s">
        <v>7591</v>
      </c>
      <c r="B7556" s="1" t="s">
        <v>26</v>
      </c>
      <c r="C7556" s="1" t="n">
        <v>302000</v>
      </c>
      <c r="D7556" s="1" t="n">
        <v>25388.5</v>
      </c>
      <c r="E7556" s="1" t="n">
        <v>0.0364</v>
      </c>
      <c r="F7556" s="1" t="n">
        <v>0.0759</v>
      </c>
    </row>
    <row r="7557" customFormat="false" ht="15" hidden="false" customHeight="false" outlineLevel="0" collapsed="false">
      <c r="A7557" s="1" t="s">
        <v>7592</v>
      </c>
      <c r="B7557" s="1" t="s">
        <v>26</v>
      </c>
      <c r="C7557" s="1" t="n">
        <v>324000</v>
      </c>
      <c r="D7557" s="1" t="n">
        <v>26670.9</v>
      </c>
      <c r="E7557" s="1" t="n">
        <v>0.0299</v>
      </c>
      <c r="F7557" s="1" t="n">
        <v>0.0759</v>
      </c>
    </row>
    <row r="7558" customFormat="false" ht="15" hidden="false" customHeight="false" outlineLevel="0" collapsed="false">
      <c r="A7558" s="1" t="s">
        <v>7593</v>
      </c>
      <c r="B7558" s="1" t="s">
        <v>88</v>
      </c>
      <c r="C7558" s="1" t="n">
        <v>292000</v>
      </c>
      <c r="D7558" s="1" t="n">
        <v>113.1</v>
      </c>
      <c r="E7558" s="1" t="n">
        <v>0.0918</v>
      </c>
      <c r="F7558" s="1" t="n">
        <v>0.1168</v>
      </c>
    </row>
    <row r="7559" customFormat="false" ht="15" hidden="false" customHeight="false" outlineLevel="0" collapsed="false">
      <c r="A7559" s="1" t="s">
        <v>7594</v>
      </c>
      <c r="B7559" s="1" t="s">
        <v>26</v>
      </c>
      <c r="C7559" s="1" t="n">
        <v>318000</v>
      </c>
      <c r="D7559" s="1" t="n">
        <v>18928.6</v>
      </c>
      <c r="E7559" s="1" t="n">
        <v>0.0062</v>
      </c>
      <c r="F7559" s="1" t="n">
        <v>0.0822</v>
      </c>
    </row>
    <row r="7560" customFormat="false" ht="15" hidden="false" customHeight="false" outlineLevel="0" collapsed="false">
      <c r="A7560" s="1" t="s">
        <v>7595</v>
      </c>
      <c r="B7560" s="1" t="s">
        <v>88</v>
      </c>
      <c r="C7560" s="1" t="n">
        <v>246000</v>
      </c>
      <c r="D7560" s="1" t="n">
        <v>2161.8</v>
      </c>
      <c r="E7560" s="1" t="n">
        <v>0.0218</v>
      </c>
      <c r="F7560" s="1" t="n">
        <v>0.117</v>
      </c>
    </row>
    <row r="7561" customFormat="false" ht="15" hidden="false" customHeight="false" outlineLevel="0" collapsed="false">
      <c r="A7561" s="1" t="s">
        <v>7596</v>
      </c>
      <c r="B7561" s="1" t="s">
        <v>214</v>
      </c>
      <c r="C7561" s="1" t="n">
        <v>259000</v>
      </c>
      <c r="D7561" s="1" t="n">
        <v>12326.6</v>
      </c>
      <c r="E7561" s="1" t="n">
        <v>0.0621</v>
      </c>
      <c r="F7561" s="1" t="n">
        <v>0.1241</v>
      </c>
    </row>
    <row r="7562" customFormat="false" ht="15" hidden="false" customHeight="false" outlineLevel="0" collapsed="false">
      <c r="A7562" s="1" t="s">
        <v>7597</v>
      </c>
      <c r="B7562" s="1" t="s">
        <v>50</v>
      </c>
      <c r="C7562" s="1" t="n">
        <v>265000</v>
      </c>
      <c r="D7562" s="1" t="n">
        <v>5607.9</v>
      </c>
      <c r="E7562" s="1" t="n">
        <v>0.0173</v>
      </c>
      <c r="F7562" s="1" t="n">
        <v>0.0616</v>
      </c>
    </row>
    <row r="7563" customFormat="false" ht="15" hidden="false" customHeight="false" outlineLevel="0" collapsed="false">
      <c r="A7563" s="1" t="s">
        <v>7598</v>
      </c>
      <c r="B7563" s="1" t="s">
        <v>74</v>
      </c>
      <c r="C7563" s="1" t="n">
        <v>600000</v>
      </c>
      <c r="D7563" s="1" t="n">
        <v>22571.6</v>
      </c>
      <c r="E7563" s="1" t="n">
        <v>0.0284</v>
      </c>
      <c r="F7563" s="1" t="n">
        <v>0.1387</v>
      </c>
    </row>
    <row r="7564" customFormat="false" ht="15" hidden="false" customHeight="false" outlineLevel="0" collapsed="false">
      <c r="A7564" s="1" t="s">
        <v>7599</v>
      </c>
      <c r="B7564" s="1" t="s">
        <v>214</v>
      </c>
      <c r="C7564" s="1" t="n">
        <v>266000</v>
      </c>
      <c r="D7564" s="1" t="n">
        <v>1959.4</v>
      </c>
      <c r="E7564" s="1" t="n">
        <v>0.0115</v>
      </c>
      <c r="F7564" s="1" t="n">
        <v>0.0822</v>
      </c>
    </row>
    <row r="7565" customFormat="false" ht="15" hidden="false" customHeight="false" outlineLevel="0" collapsed="false">
      <c r="A7565" s="1" t="s">
        <v>7600</v>
      </c>
      <c r="B7565" s="1" t="s">
        <v>88</v>
      </c>
      <c r="C7565" s="1" t="n">
        <v>289000</v>
      </c>
      <c r="D7565" s="1" t="n">
        <v>342.3</v>
      </c>
      <c r="E7565" s="1" t="n">
        <v>0.0627</v>
      </c>
      <c r="F7565" s="1" t="n">
        <v>0.5382</v>
      </c>
    </row>
    <row r="7566" customFormat="false" ht="15" hidden="false" customHeight="false" outlineLevel="0" collapsed="false">
      <c r="A7566" s="1" t="s">
        <v>7601</v>
      </c>
      <c r="B7566" s="1" t="s">
        <v>26</v>
      </c>
      <c r="C7566" s="1" t="n">
        <v>306000</v>
      </c>
      <c r="D7566" s="1" t="n">
        <v>38135.7</v>
      </c>
      <c r="E7566" s="1" t="n">
        <v>0.0511</v>
      </c>
      <c r="F7566" s="1" t="n">
        <v>0.0759</v>
      </c>
    </row>
    <row r="7567" customFormat="false" ht="15" hidden="false" customHeight="false" outlineLevel="0" collapsed="false">
      <c r="A7567" s="1" t="s">
        <v>7602</v>
      </c>
      <c r="B7567" s="1" t="s">
        <v>88</v>
      </c>
      <c r="C7567" s="1" t="n">
        <v>243000</v>
      </c>
      <c r="D7567" s="1" t="n">
        <v>3432.9</v>
      </c>
      <c r="E7567" s="1" t="n">
        <v>0.0074</v>
      </c>
      <c r="F7567" s="1" t="n">
        <v>0.1187</v>
      </c>
    </row>
    <row r="7568" customFormat="false" ht="15" hidden="false" customHeight="false" outlineLevel="0" collapsed="false">
      <c r="A7568" s="1" t="s">
        <v>7603</v>
      </c>
      <c r="B7568" s="1" t="s">
        <v>26</v>
      </c>
      <c r="C7568" s="1" t="n">
        <v>246000</v>
      </c>
      <c r="D7568" s="1" t="n">
        <v>927.6</v>
      </c>
      <c r="E7568" s="1" t="n">
        <v>0.0126</v>
      </c>
      <c r="F7568" s="1" t="n">
        <v>0.0654</v>
      </c>
    </row>
    <row r="7569" customFormat="false" ht="15" hidden="false" customHeight="false" outlineLevel="0" collapsed="false">
      <c r="A7569" s="1" t="s">
        <v>7604</v>
      </c>
      <c r="B7569" s="1" t="s">
        <v>26</v>
      </c>
      <c r="C7569" s="1" t="n">
        <v>252000</v>
      </c>
      <c r="D7569" s="1" t="n">
        <v>2887.4</v>
      </c>
      <c r="E7569" s="1" t="n">
        <v>0.0373</v>
      </c>
      <c r="F7569" s="1" t="n">
        <v>0.0951</v>
      </c>
    </row>
    <row r="7570" customFormat="false" ht="15" hidden="false" customHeight="false" outlineLevel="0" collapsed="false">
      <c r="A7570" s="1" t="s">
        <v>7605</v>
      </c>
      <c r="B7570" s="1" t="s">
        <v>26</v>
      </c>
      <c r="C7570" s="1" t="n">
        <v>244000</v>
      </c>
      <c r="D7570" s="1" t="n">
        <v>2131.6</v>
      </c>
      <c r="E7570" s="1" t="n">
        <v>0.0206</v>
      </c>
      <c r="F7570" s="1" t="n">
        <v>0.1067</v>
      </c>
    </row>
    <row r="7571" customFormat="false" ht="15" hidden="false" customHeight="false" outlineLevel="0" collapsed="false">
      <c r="A7571" s="1" t="s">
        <v>7606</v>
      </c>
      <c r="B7571" s="1" t="s">
        <v>88</v>
      </c>
      <c r="C7571" s="1" t="n">
        <v>253000</v>
      </c>
      <c r="D7571" s="1" t="n">
        <v>1448.5</v>
      </c>
      <c r="E7571" s="1" t="n">
        <v>0.043</v>
      </c>
      <c r="F7571" s="1" t="n">
        <v>0.0951</v>
      </c>
    </row>
    <row r="7572" customFormat="false" ht="15" hidden="false" customHeight="false" outlineLevel="0" collapsed="false">
      <c r="A7572" s="1" t="s">
        <v>7607</v>
      </c>
      <c r="B7572" s="1" t="s">
        <v>30</v>
      </c>
      <c r="C7572" s="1" t="n">
        <v>289000</v>
      </c>
      <c r="D7572" s="1" t="n">
        <v>925909.1</v>
      </c>
      <c r="E7572" s="1" t="n">
        <v>0.0807</v>
      </c>
      <c r="F7572" s="1" t="n">
        <v>0.0644</v>
      </c>
    </row>
    <row r="7573" customFormat="false" ht="15" hidden="false" customHeight="false" outlineLevel="0" collapsed="false">
      <c r="A7573" s="1" t="s">
        <v>7608</v>
      </c>
      <c r="B7573" s="1" t="s">
        <v>71</v>
      </c>
      <c r="C7573" s="1" t="n">
        <v>248000</v>
      </c>
      <c r="D7573" s="1" t="n">
        <v>21453.8</v>
      </c>
      <c r="E7573" s="1" t="n">
        <v>0.0209</v>
      </c>
      <c r="F7573" s="1" t="n">
        <v>0.0759</v>
      </c>
    </row>
    <row r="7574" customFormat="false" ht="15" hidden="false" customHeight="false" outlineLevel="0" collapsed="false">
      <c r="A7574" s="1" t="s">
        <v>7609</v>
      </c>
      <c r="B7574" s="1" t="s">
        <v>92</v>
      </c>
      <c r="C7574" s="1" t="n">
        <v>377000</v>
      </c>
      <c r="D7574" s="1" t="n">
        <v>140682.4</v>
      </c>
      <c r="E7574" s="1" t="n">
        <v>0.042</v>
      </c>
      <c r="F7574" s="1" t="n">
        <v>0.0951</v>
      </c>
    </row>
    <row r="7575" customFormat="false" ht="15" hidden="false" customHeight="false" outlineLevel="0" collapsed="false">
      <c r="A7575" s="1" t="s">
        <v>7610</v>
      </c>
      <c r="B7575" s="1" t="s">
        <v>50</v>
      </c>
      <c r="C7575" s="1" t="n">
        <v>375000</v>
      </c>
      <c r="D7575" s="1" t="n">
        <v>4110.5</v>
      </c>
      <c r="E7575" s="1" t="n">
        <v>0.0344</v>
      </c>
      <c r="F7575" s="1" t="n">
        <v>0.0759</v>
      </c>
    </row>
    <row r="7576" customFormat="false" ht="15" hidden="false" customHeight="false" outlineLevel="0" collapsed="false">
      <c r="A7576" s="1" t="s">
        <v>7611</v>
      </c>
      <c r="B7576" s="1" t="s">
        <v>41</v>
      </c>
      <c r="C7576" s="1" t="n">
        <v>251000</v>
      </c>
      <c r="D7576" s="1" t="n">
        <v>676.2</v>
      </c>
      <c r="E7576" s="1" t="n">
        <v>0.012</v>
      </c>
      <c r="F7576" s="1" t="n">
        <v>0.2066</v>
      </c>
    </row>
    <row r="7577" customFormat="false" ht="15" hidden="false" customHeight="false" outlineLevel="0" collapsed="false">
      <c r="A7577" s="1" t="s">
        <v>7612</v>
      </c>
      <c r="B7577" s="1" t="s">
        <v>32</v>
      </c>
      <c r="C7577" s="1" t="n">
        <v>1390000</v>
      </c>
      <c r="D7577" s="1" t="n">
        <v>159</v>
      </c>
      <c r="E7577" s="1" t="n">
        <v>0</v>
      </c>
      <c r="F7577" s="1" t="n">
        <v>0.0822</v>
      </c>
    </row>
    <row r="7578" customFormat="false" ht="15" hidden="false" customHeight="false" outlineLevel="0" collapsed="false">
      <c r="A7578" s="1" t="s">
        <v>7613</v>
      </c>
      <c r="B7578" s="1" t="s">
        <v>214</v>
      </c>
      <c r="C7578" s="1" t="n">
        <v>247000</v>
      </c>
      <c r="D7578" s="1" t="n">
        <v>823.8</v>
      </c>
      <c r="E7578" s="1" t="n">
        <v>0.0449</v>
      </c>
      <c r="F7578" s="1" t="n">
        <v>0.0951</v>
      </c>
    </row>
    <row r="7579" customFormat="false" ht="15" hidden="false" customHeight="false" outlineLevel="0" collapsed="false">
      <c r="A7579" s="1" t="s">
        <v>7614</v>
      </c>
      <c r="B7579" s="1" t="s">
        <v>26</v>
      </c>
      <c r="C7579" s="1" t="n">
        <v>241000</v>
      </c>
      <c r="D7579" s="1" t="n">
        <v>2662.8</v>
      </c>
      <c r="F7579" s="1" t="n">
        <v>0.0951</v>
      </c>
    </row>
    <row r="7580" customFormat="false" ht="15" hidden="false" customHeight="false" outlineLevel="0" collapsed="false">
      <c r="A7580" s="1" t="s">
        <v>7615</v>
      </c>
      <c r="B7580" s="1" t="s">
        <v>26</v>
      </c>
      <c r="C7580" s="1" t="n">
        <v>263000</v>
      </c>
      <c r="D7580" s="1" t="n">
        <v>1050</v>
      </c>
      <c r="E7580" s="1" t="n">
        <v>0.0197</v>
      </c>
      <c r="F7580" s="1" t="n">
        <v>0.0409</v>
      </c>
    </row>
    <row r="7581" customFormat="false" ht="15" hidden="false" customHeight="false" outlineLevel="0" collapsed="false">
      <c r="A7581" s="1" t="s">
        <v>7616</v>
      </c>
      <c r="B7581" s="1" t="s">
        <v>26</v>
      </c>
      <c r="C7581" s="1" t="n">
        <v>371000</v>
      </c>
      <c r="D7581" s="1" t="n">
        <v>44974.7</v>
      </c>
      <c r="E7581" s="1" t="n">
        <v>0.0248</v>
      </c>
      <c r="F7581" s="1" t="n">
        <v>0.1067</v>
      </c>
    </row>
    <row r="7582" customFormat="false" ht="15" hidden="false" customHeight="false" outlineLevel="0" collapsed="false">
      <c r="A7582" s="1" t="s">
        <v>7617</v>
      </c>
      <c r="B7582" s="1" t="s">
        <v>26</v>
      </c>
      <c r="C7582" s="1" t="n">
        <v>125000</v>
      </c>
      <c r="D7582" s="1" t="n">
        <v>38180.4</v>
      </c>
      <c r="E7582" s="1" t="n">
        <v>0.0257</v>
      </c>
      <c r="F7582" s="1" t="n">
        <v>0.0951</v>
      </c>
    </row>
    <row r="7583" customFormat="false" ht="15" hidden="false" customHeight="false" outlineLevel="0" collapsed="false">
      <c r="A7583" s="1" t="s">
        <v>7618</v>
      </c>
      <c r="B7583" s="1" t="s">
        <v>26</v>
      </c>
      <c r="C7583" s="1" t="n">
        <v>251000</v>
      </c>
      <c r="D7583" s="1" t="n">
        <v>5735.2</v>
      </c>
      <c r="E7583" s="1" t="n">
        <v>0.0177</v>
      </c>
      <c r="F7583" s="1" t="n">
        <v>0.1545</v>
      </c>
    </row>
    <row r="7584" customFormat="false" ht="15" hidden="false" customHeight="false" outlineLevel="0" collapsed="false">
      <c r="A7584" s="1" t="s">
        <v>7619</v>
      </c>
      <c r="B7584" s="1" t="s">
        <v>26</v>
      </c>
      <c r="C7584" s="1" t="n">
        <v>304000</v>
      </c>
      <c r="D7584" s="1" t="n">
        <v>12971.5</v>
      </c>
      <c r="E7584" s="1" t="n">
        <v>0.0746</v>
      </c>
      <c r="F7584" s="1" t="n">
        <v>0.0759</v>
      </c>
    </row>
    <row r="7585" customFormat="false" ht="15" hidden="false" customHeight="false" outlineLevel="0" collapsed="false">
      <c r="A7585" s="1" t="s">
        <v>7620</v>
      </c>
      <c r="B7585" s="1" t="s">
        <v>32</v>
      </c>
      <c r="C7585" s="1" t="n">
        <v>547000</v>
      </c>
      <c r="D7585" s="1" t="n">
        <v>203327.1</v>
      </c>
      <c r="E7585" s="1" t="n">
        <v>0.0211</v>
      </c>
      <c r="F7585" s="1" t="n">
        <v>0.0679</v>
      </c>
    </row>
    <row r="7586" customFormat="false" ht="15" hidden="false" customHeight="false" outlineLevel="0" collapsed="false">
      <c r="A7586" s="1" t="s">
        <v>7621</v>
      </c>
      <c r="B7586" s="1" t="s">
        <v>28</v>
      </c>
      <c r="C7586" s="1" t="n">
        <v>248000</v>
      </c>
      <c r="D7586" s="1" t="n">
        <v>119978.1</v>
      </c>
      <c r="E7586" s="1" t="n">
        <v>0.0262</v>
      </c>
      <c r="F7586" s="1" t="n">
        <v>0.0951</v>
      </c>
    </row>
    <row r="7587" customFormat="false" ht="15" hidden="false" customHeight="false" outlineLevel="0" collapsed="false">
      <c r="A7587" s="1" t="s">
        <v>7622</v>
      </c>
      <c r="B7587" s="1" t="s">
        <v>21</v>
      </c>
      <c r="C7587" s="1" t="n">
        <v>358000</v>
      </c>
      <c r="D7587" s="1" t="n">
        <v>22836.5</v>
      </c>
      <c r="E7587" s="1" t="n">
        <v>0.0808</v>
      </c>
      <c r="F7587" s="1" t="n">
        <v>0.0938</v>
      </c>
    </row>
    <row r="7588" customFormat="false" ht="15" hidden="false" customHeight="false" outlineLevel="0" collapsed="false">
      <c r="A7588" s="1" t="s">
        <v>7623</v>
      </c>
      <c r="B7588" s="1" t="s">
        <v>92</v>
      </c>
      <c r="C7588" s="1" t="n">
        <v>604000</v>
      </c>
      <c r="D7588" s="1" t="n">
        <v>66836.1</v>
      </c>
      <c r="E7588" s="1" t="n">
        <v>0.0137</v>
      </c>
      <c r="F7588" s="1" t="n">
        <v>0.1067</v>
      </c>
    </row>
    <row r="7589" customFormat="false" ht="15" hidden="false" customHeight="false" outlineLevel="0" collapsed="false">
      <c r="A7589" s="1" t="s">
        <v>7624</v>
      </c>
      <c r="B7589" s="1" t="s">
        <v>26</v>
      </c>
      <c r="C7589" s="1" t="n">
        <v>520000</v>
      </c>
      <c r="D7589" s="1" t="n">
        <v>144721.9</v>
      </c>
      <c r="E7589" s="1" t="n">
        <v>0.0294</v>
      </c>
      <c r="F7589" s="1" t="n">
        <v>0.0759</v>
      </c>
    </row>
    <row r="7590" customFormat="false" ht="15" hidden="false" customHeight="false" outlineLevel="0" collapsed="false">
      <c r="A7590" s="1" t="s">
        <v>7625</v>
      </c>
      <c r="B7590" s="1" t="s">
        <v>88</v>
      </c>
      <c r="C7590" s="1" t="n">
        <v>278000</v>
      </c>
      <c r="D7590" s="1" t="n">
        <v>2650.9</v>
      </c>
      <c r="E7590" s="1" t="n">
        <v>0.0271</v>
      </c>
      <c r="F7590" s="1" t="n">
        <v>0.117</v>
      </c>
    </row>
    <row r="7591" customFormat="false" ht="15" hidden="false" customHeight="false" outlineLevel="0" collapsed="false">
      <c r="A7591" s="1" t="s">
        <v>7626</v>
      </c>
      <c r="B7591" s="1" t="s">
        <v>287</v>
      </c>
      <c r="C7591" s="1" t="n">
        <v>318000</v>
      </c>
      <c r="D7591" s="1" t="n">
        <v>2532.8</v>
      </c>
      <c r="E7591" s="1" t="n">
        <v>0.0085</v>
      </c>
      <c r="F7591" s="1" t="n">
        <v>0.0822</v>
      </c>
    </row>
    <row r="7592" customFormat="false" ht="15" hidden="false" customHeight="false" outlineLevel="0" collapsed="false">
      <c r="A7592" s="1" t="s">
        <v>7627</v>
      </c>
      <c r="B7592" s="1" t="s">
        <v>26</v>
      </c>
      <c r="C7592" s="1" t="n">
        <v>261000</v>
      </c>
      <c r="D7592" s="1" t="n">
        <v>18755.8</v>
      </c>
      <c r="E7592" s="1" t="n">
        <v>0.0359</v>
      </c>
      <c r="F7592" s="1" t="n">
        <v>0.0759</v>
      </c>
    </row>
    <row r="7593" customFormat="false" ht="15" hidden="false" customHeight="false" outlineLevel="0" collapsed="false">
      <c r="A7593" s="1" t="s">
        <v>7628</v>
      </c>
      <c r="B7593" s="1" t="s">
        <v>88</v>
      </c>
      <c r="C7593" s="1" t="n">
        <v>399000</v>
      </c>
      <c r="D7593" s="1" t="n">
        <v>14582.2</v>
      </c>
      <c r="E7593" s="1" t="n">
        <v>0.0126</v>
      </c>
      <c r="F7593" s="1" t="n">
        <v>0.0849</v>
      </c>
    </row>
    <row r="7594" customFormat="false" ht="15" hidden="false" customHeight="false" outlineLevel="0" collapsed="false">
      <c r="A7594" s="1" t="s">
        <v>7629</v>
      </c>
      <c r="B7594" s="1" t="s">
        <v>26</v>
      </c>
      <c r="C7594" s="1" t="n">
        <v>240000</v>
      </c>
      <c r="D7594" s="1" t="n">
        <v>62786.8</v>
      </c>
      <c r="E7594" s="1" t="n">
        <v>0.0464</v>
      </c>
      <c r="F7594" s="1" t="n">
        <v>0.0951</v>
      </c>
    </row>
    <row r="7595" customFormat="false" ht="15" hidden="false" customHeight="false" outlineLevel="0" collapsed="false">
      <c r="A7595" s="1" t="s">
        <v>7630</v>
      </c>
      <c r="B7595" s="1" t="s">
        <v>26</v>
      </c>
      <c r="C7595" s="1" t="n">
        <v>460000</v>
      </c>
      <c r="D7595" s="1" t="n">
        <v>263375.9</v>
      </c>
      <c r="E7595" s="1" t="n">
        <v>0.0267</v>
      </c>
      <c r="F7595" s="1" t="n">
        <v>0.0409</v>
      </c>
    </row>
    <row r="7596" customFormat="false" ht="15" hidden="false" customHeight="false" outlineLevel="0" collapsed="false">
      <c r="A7596" s="1" t="s">
        <v>7631</v>
      </c>
      <c r="B7596" s="1" t="s">
        <v>24</v>
      </c>
      <c r="C7596" s="1" t="n">
        <v>259000</v>
      </c>
      <c r="D7596" s="1" t="n">
        <v>652.9</v>
      </c>
      <c r="E7596" s="1" t="n">
        <v>0.021</v>
      </c>
      <c r="F7596" s="1" t="n">
        <v>0.1243</v>
      </c>
    </row>
    <row r="7597" customFormat="false" ht="15" hidden="false" customHeight="false" outlineLevel="0" collapsed="false">
      <c r="A7597" s="1" t="s">
        <v>7632</v>
      </c>
      <c r="B7597" s="1" t="s">
        <v>71</v>
      </c>
      <c r="C7597" s="1" t="n">
        <v>239000</v>
      </c>
      <c r="D7597" s="1" t="n">
        <v>55</v>
      </c>
      <c r="E7597" s="1" t="n">
        <v>0</v>
      </c>
      <c r="F7597" s="1" t="n">
        <v>0.0822</v>
      </c>
    </row>
    <row r="7598" customFormat="false" ht="15" hidden="false" customHeight="false" outlineLevel="0" collapsed="false">
      <c r="A7598" s="1" t="s">
        <v>7633</v>
      </c>
      <c r="B7598" s="1" t="s">
        <v>24</v>
      </c>
      <c r="C7598" s="1" t="n">
        <v>284000</v>
      </c>
      <c r="D7598" s="1" t="n">
        <v>6868.7</v>
      </c>
      <c r="E7598" s="1" t="n">
        <v>0.0311</v>
      </c>
      <c r="F7598" s="1" t="n">
        <v>0.1184</v>
      </c>
    </row>
    <row r="7599" customFormat="false" ht="15" hidden="false" customHeight="false" outlineLevel="0" collapsed="false">
      <c r="A7599" s="1" t="s">
        <v>7634</v>
      </c>
      <c r="B7599" s="1" t="s">
        <v>26</v>
      </c>
      <c r="C7599" s="1" t="n">
        <v>255000</v>
      </c>
      <c r="D7599" s="1" t="n">
        <v>9342.1</v>
      </c>
      <c r="F7599" s="1" t="n">
        <v>0.0759</v>
      </c>
    </row>
    <row r="7600" customFormat="false" ht="15" hidden="false" customHeight="false" outlineLevel="0" collapsed="false">
      <c r="A7600" s="1" t="s">
        <v>7635</v>
      </c>
      <c r="B7600" s="1" t="s">
        <v>26</v>
      </c>
      <c r="C7600" s="1" t="n">
        <v>282000</v>
      </c>
      <c r="D7600" s="1" t="n">
        <v>21410.8</v>
      </c>
      <c r="E7600" s="1" t="n">
        <v>0.067</v>
      </c>
      <c r="F7600" s="1" t="n">
        <v>0.0759</v>
      </c>
    </row>
    <row r="7601" customFormat="false" ht="15" hidden="false" customHeight="false" outlineLevel="0" collapsed="false">
      <c r="A7601" s="1" t="s">
        <v>7636</v>
      </c>
      <c r="B7601" s="1" t="s">
        <v>88</v>
      </c>
      <c r="C7601" s="1" t="n">
        <v>245000</v>
      </c>
      <c r="D7601" s="1" t="n">
        <v>3254.2</v>
      </c>
      <c r="E7601" s="1" t="n">
        <v>0.0091</v>
      </c>
      <c r="F7601" s="1" t="n">
        <v>0.0654</v>
      </c>
    </row>
    <row r="7602" customFormat="false" ht="15" hidden="false" customHeight="false" outlineLevel="0" collapsed="false">
      <c r="A7602" s="1" t="s">
        <v>7637</v>
      </c>
      <c r="B7602" s="1" t="s">
        <v>74</v>
      </c>
      <c r="C7602" s="1" t="n">
        <v>276000</v>
      </c>
      <c r="D7602" s="1" t="n">
        <v>4795.9</v>
      </c>
      <c r="E7602" s="1" t="n">
        <v>0.0496</v>
      </c>
      <c r="F7602" s="1" t="n">
        <v>0.0759</v>
      </c>
    </row>
    <row r="7603" customFormat="false" ht="15" hidden="false" customHeight="false" outlineLevel="0" collapsed="false">
      <c r="A7603" s="1" t="s">
        <v>7638</v>
      </c>
      <c r="B7603" s="1" t="s">
        <v>490</v>
      </c>
      <c r="C7603" s="1" t="n">
        <v>256000</v>
      </c>
      <c r="D7603" s="1" t="n">
        <v>3782.1</v>
      </c>
      <c r="E7603" s="1" t="n">
        <v>0.0067</v>
      </c>
      <c r="F7603" s="1" t="n">
        <v>0.0811</v>
      </c>
    </row>
    <row r="7604" customFormat="false" ht="15" hidden="false" customHeight="false" outlineLevel="0" collapsed="false">
      <c r="A7604" s="1" t="s">
        <v>7639</v>
      </c>
      <c r="B7604" s="1" t="s">
        <v>26</v>
      </c>
      <c r="C7604" s="1" t="n">
        <v>278000</v>
      </c>
      <c r="D7604" s="1" t="n">
        <v>33467.6</v>
      </c>
      <c r="E7604" s="1" t="n">
        <v>0.0215</v>
      </c>
      <c r="F7604" s="1" t="n">
        <v>0.0409</v>
      </c>
    </row>
    <row r="7605" customFormat="false" ht="15" hidden="false" customHeight="false" outlineLevel="0" collapsed="false">
      <c r="A7605" s="1" t="s">
        <v>7640</v>
      </c>
      <c r="B7605" s="1" t="s">
        <v>41</v>
      </c>
      <c r="C7605" s="1" t="n">
        <v>261000</v>
      </c>
      <c r="D7605" s="1" t="n">
        <v>7526.3</v>
      </c>
      <c r="E7605" s="1" t="n">
        <v>0.0919</v>
      </c>
      <c r="F7605" s="1" t="n">
        <v>0.0759</v>
      </c>
    </row>
    <row r="7606" customFormat="false" ht="15" hidden="false" customHeight="false" outlineLevel="0" collapsed="false">
      <c r="A7606" s="1" t="s">
        <v>7641</v>
      </c>
      <c r="B7606" s="1" t="s">
        <v>26</v>
      </c>
      <c r="C7606" s="1" t="n">
        <v>529000</v>
      </c>
      <c r="D7606" s="1" t="n">
        <v>622125.6</v>
      </c>
      <c r="F7606" s="1" t="n">
        <v>0.0409</v>
      </c>
    </row>
    <row r="7607" customFormat="false" ht="15" hidden="false" customHeight="false" outlineLevel="0" collapsed="false">
      <c r="A7607" s="1" t="s">
        <v>7642</v>
      </c>
      <c r="B7607" s="1" t="s">
        <v>24</v>
      </c>
      <c r="C7607" s="1" t="n">
        <v>274000</v>
      </c>
      <c r="D7607" s="1" t="n">
        <v>24280.9</v>
      </c>
      <c r="E7607" s="1" t="n">
        <v>0.0415</v>
      </c>
      <c r="F7607" s="1" t="n">
        <v>0.117</v>
      </c>
    </row>
    <row r="7608" customFormat="false" ht="15" hidden="false" customHeight="false" outlineLevel="0" collapsed="false">
      <c r="A7608" s="1" t="s">
        <v>7643</v>
      </c>
      <c r="B7608" s="1" t="s">
        <v>214</v>
      </c>
      <c r="C7608" s="1" t="n">
        <v>280000</v>
      </c>
      <c r="D7608" s="1" t="n">
        <v>16485.8</v>
      </c>
      <c r="E7608" s="1" t="n">
        <v>0.0376</v>
      </c>
      <c r="F7608" s="1" t="n">
        <v>0.0951</v>
      </c>
    </row>
    <row r="7609" customFormat="false" ht="15" hidden="false" customHeight="false" outlineLevel="0" collapsed="false">
      <c r="A7609" s="1" t="s">
        <v>7644</v>
      </c>
      <c r="B7609" s="1" t="s">
        <v>41</v>
      </c>
      <c r="C7609" s="1" t="n">
        <v>249000</v>
      </c>
      <c r="D7609" s="1" t="n">
        <v>2833.5</v>
      </c>
      <c r="E7609" s="1" t="n">
        <v>0.0202</v>
      </c>
      <c r="F7609" s="1" t="n">
        <v>0.095</v>
      </c>
    </row>
    <row r="7610" customFormat="false" ht="15" hidden="false" customHeight="false" outlineLevel="0" collapsed="false">
      <c r="A7610" s="1" t="s">
        <v>7645</v>
      </c>
      <c r="B7610" s="1" t="s">
        <v>71</v>
      </c>
      <c r="C7610" s="1" t="n">
        <v>278000</v>
      </c>
      <c r="D7610" s="1" t="n">
        <v>24456.8</v>
      </c>
      <c r="E7610" s="1" t="n">
        <v>0.0129</v>
      </c>
      <c r="F7610" s="1" t="n">
        <v>0.1067</v>
      </c>
    </row>
    <row r="7611" customFormat="false" ht="15" hidden="false" customHeight="false" outlineLevel="0" collapsed="false">
      <c r="A7611" s="1" t="s">
        <v>7646</v>
      </c>
      <c r="B7611" s="1" t="s">
        <v>26</v>
      </c>
      <c r="C7611" s="1" t="n">
        <v>366000</v>
      </c>
      <c r="D7611" s="1" t="n">
        <v>70554.7</v>
      </c>
      <c r="E7611" s="1" t="n">
        <v>0.0326</v>
      </c>
      <c r="F7611" s="1" t="n">
        <v>0.0518</v>
      </c>
    </row>
    <row r="7612" customFormat="false" ht="15" hidden="false" customHeight="false" outlineLevel="0" collapsed="false">
      <c r="A7612" s="1" t="s">
        <v>7647</v>
      </c>
      <c r="B7612" s="1" t="s">
        <v>74</v>
      </c>
      <c r="C7612" s="1" t="n">
        <v>261000</v>
      </c>
      <c r="D7612" s="1" t="n">
        <v>39052.9</v>
      </c>
      <c r="E7612" s="1" t="n">
        <v>0.0216</v>
      </c>
      <c r="F7612" s="1" t="n">
        <v>0.0951</v>
      </c>
    </row>
    <row r="7613" customFormat="false" ht="15" hidden="false" customHeight="false" outlineLevel="0" collapsed="false">
      <c r="A7613" s="1" t="s">
        <v>7648</v>
      </c>
      <c r="B7613" s="1" t="s">
        <v>62</v>
      </c>
      <c r="C7613" s="1" t="n">
        <v>252000</v>
      </c>
      <c r="D7613" s="1" t="n">
        <v>10732.2</v>
      </c>
      <c r="E7613" s="1" t="n">
        <v>0.0101</v>
      </c>
      <c r="F7613" s="1" t="n">
        <v>0.0822</v>
      </c>
    </row>
    <row r="7614" customFormat="false" ht="15" hidden="false" customHeight="false" outlineLevel="0" collapsed="false">
      <c r="A7614" s="1" t="s">
        <v>7649</v>
      </c>
      <c r="B7614" s="1" t="s">
        <v>26</v>
      </c>
      <c r="C7614" s="1" t="n">
        <v>295000</v>
      </c>
      <c r="D7614" s="1" t="n">
        <v>3131.5</v>
      </c>
      <c r="E7614" s="1" t="n">
        <v>0.0167</v>
      </c>
      <c r="F7614" s="1" t="n">
        <v>0.0488</v>
      </c>
    </row>
    <row r="7615" customFormat="false" ht="15" hidden="false" customHeight="false" outlineLevel="0" collapsed="false">
      <c r="A7615" s="1" t="s">
        <v>7650</v>
      </c>
      <c r="B7615" s="1" t="s">
        <v>490</v>
      </c>
      <c r="C7615" s="1" t="n">
        <v>340000</v>
      </c>
      <c r="D7615" s="1" t="n">
        <v>611.8</v>
      </c>
      <c r="E7615" s="1" t="n">
        <v>0.0407</v>
      </c>
      <c r="F7615" s="1" t="n">
        <v>0.051</v>
      </c>
    </row>
    <row r="7616" customFormat="false" ht="15" hidden="false" customHeight="false" outlineLevel="0" collapsed="false">
      <c r="A7616" s="1" t="s">
        <v>7651</v>
      </c>
      <c r="B7616" s="1" t="s">
        <v>24</v>
      </c>
      <c r="C7616" s="1" t="n">
        <v>245000</v>
      </c>
      <c r="D7616" s="1" t="n">
        <v>173906.1</v>
      </c>
      <c r="E7616" s="1" t="n">
        <v>0.0277</v>
      </c>
      <c r="F7616" s="1" t="n">
        <v>0.0951</v>
      </c>
    </row>
    <row r="7617" customFormat="false" ht="15" hidden="false" customHeight="false" outlineLevel="0" collapsed="false">
      <c r="A7617" s="1" t="s">
        <v>7652</v>
      </c>
      <c r="B7617" s="1" t="s">
        <v>214</v>
      </c>
      <c r="C7617" s="1" t="n">
        <v>264000</v>
      </c>
      <c r="D7617" s="1" t="n">
        <v>2076.9</v>
      </c>
      <c r="E7617" s="1" t="n">
        <v>0.0077</v>
      </c>
      <c r="F7617" s="1" t="n">
        <v>0.073</v>
      </c>
    </row>
    <row r="7618" customFormat="false" ht="15" hidden="false" customHeight="false" outlineLevel="0" collapsed="false">
      <c r="A7618" s="1" t="s">
        <v>7653</v>
      </c>
      <c r="B7618" s="1" t="s">
        <v>50</v>
      </c>
      <c r="C7618" s="1" t="n">
        <v>272000</v>
      </c>
      <c r="D7618" s="1" t="n">
        <v>49975.7</v>
      </c>
      <c r="E7618" s="1" t="n">
        <v>0.0253</v>
      </c>
      <c r="F7618" s="1" t="n">
        <v>0.0951</v>
      </c>
    </row>
    <row r="7619" customFormat="false" ht="15" hidden="false" customHeight="false" outlineLevel="0" collapsed="false">
      <c r="A7619" s="1" t="s">
        <v>7654</v>
      </c>
      <c r="B7619" s="1" t="s">
        <v>195</v>
      </c>
      <c r="C7619" s="1" t="n">
        <v>298000</v>
      </c>
      <c r="D7619" s="1" t="n">
        <v>7881.9</v>
      </c>
      <c r="E7619" s="1" t="n">
        <v>0.0142</v>
      </c>
      <c r="F7619" s="1" t="n">
        <v>0.1327</v>
      </c>
    </row>
    <row r="7620" customFormat="false" ht="15" hidden="false" customHeight="false" outlineLevel="0" collapsed="false">
      <c r="A7620" s="1" t="s">
        <v>7655</v>
      </c>
      <c r="B7620" s="1" t="s">
        <v>214</v>
      </c>
      <c r="C7620" s="1" t="n">
        <v>325000</v>
      </c>
      <c r="D7620" s="1" t="n">
        <v>4433.2</v>
      </c>
      <c r="E7620" s="1" t="n">
        <v>0.0387</v>
      </c>
      <c r="F7620" s="1" t="n">
        <v>0.0951</v>
      </c>
    </row>
    <row r="7621" customFormat="false" ht="15" hidden="false" customHeight="false" outlineLevel="0" collapsed="false">
      <c r="A7621" s="1" t="s">
        <v>7656</v>
      </c>
      <c r="B7621" s="1" t="s">
        <v>490</v>
      </c>
      <c r="C7621" s="1" t="n">
        <v>279000</v>
      </c>
      <c r="D7621" s="1" t="n">
        <v>1447.6</v>
      </c>
      <c r="E7621" s="1" t="n">
        <v>0.0209</v>
      </c>
      <c r="F7621" s="1" t="n">
        <v>0.0462</v>
      </c>
    </row>
    <row r="7622" customFormat="false" ht="15" hidden="false" customHeight="false" outlineLevel="0" collapsed="false">
      <c r="A7622" s="1" t="s">
        <v>7657</v>
      </c>
      <c r="B7622" s="1" t="s">
        <v>88</v>
      </c>
      <c r="C7622" s="1" t="n">
        <v>250000</v>
      </c>
      <c r="D7622" s="1" t="n">
        <v>10972.6</v>
      </c>
      <c r="E7622" s="1" t="n">
        <v>0.0032</v>
      </c>
      <c r="F7622" s="1" t="n">
        <v>0.0654</v>
      </c>
    </row>
    <row r="7623" customFormat="false" ht="15" hidden="false" customHeight="false" outlineLevel="0" collapsed="false">
      <c r="A7623" s="1" t="s">
        <v>7658</v>
      </c>
      <c r="B7623" s="1" t="s">
        <v>214</v>
      </c>
      <c r="C7623" s="1" t="n">
        <v>280000</v>
      </c>
      <c r="D7623" s="1" t="n">
        <v>793.1</v>
      </c>
      <c r="E7623" s="1" t="n">
        <v>0.0433</v>
      </c>
      <c r="F7623" s="1" t="n">
        <v>0.0759</v>
      </c>
    </row>
    <row r="7624" customFormat="false" ht="15" hidden="false" customHeight="false" outlineLevel="0" collapsed="false">
      <c r="A7624" s="1" t="s">
        <v>7659</v>
      </c>
      <c r="B7624" s="1" t="s">
        <v>88</v>
      </c>
      <c r="C7624" s="1" t="n">
        <v>407000</v>
      </c>
      <c r="D7624" s="1" t="n">
        <v>27982.6</v>
      </c>
      <c r="E7624" s="1" t="n">
        <v>0.0391</v>
      </c>
      <c r="F7624" s="1" t="n">
        <v>0.0759</v>
      </c>
    </row>
    <row r="7625" customFormat="false" ht="15" hidden="false" customHeight="false" outlineLevel="0" collapsed="false">
      <c r="A7625" s="1" t="s">
        <v>7660</v>
      </c>
      <c r="B7625" s="1" t="s">
        <v>195</v>
      </c>
      <c r="C7625" s="1" t="n">
        <v>277000</v>
      </c>
      <c r="D7625" s="1" t="n">
        <v>3612.2</v>
      </c>
      <c r="E7625" s="1" t="n">
        <v>0.0087</v>
      </c>
      <c r="F7625" s="1" t="n">
        <v>0.0654</v>
      </c>
    </row>
    <row r="7626" customFormat="false" ht="15" hidden="false" customHeight="false" outlineLevel="0" collapsed="false">
      <c r="A7626" s="1" t="s">
        <v>7661</v>
      </c>
      <c r="B7626" s="1" t="s">
        <v>214</v>
      </c>
      <c r="C7626" s="1" t="n">
        <v>261000</v>
      </c>
      <c r="D7626" s="1" t="n">
        <v>1594.5</v>
      </c>
      <c r="E7626" s="1" t="n">
        <v>0.0395</v>
      </c>
      <c r="F7626" s="1" t="n">
        <v>0.0759</v>
      </c>
    </row>
    <row r="7627" customFormat="false" ht="15" hidden="false" customHeight="false" outlineLevel="0" collapsed="false">
      <c r="A7627" s="1" t="s">
        <v>7662</v>
      </c>
      <c r="B7627" s="1" t="s">
        <v>26</v>
      </c>
      <c r="C7627" s="1" t="n">
        <v>266000</v>
      </c>
      <c r="D7627" s="1" t="n">
        <v>21557.3</v>
      </c>
      <c r="E7627" s="1" t="n">
        <v>0.0066</v>
      </c>
      <c r="F7627" s="1" t="n">
        <v>0.0822</v>
      </c>
    </row>
    <row r="7628" customFormat="false" ht="15" hidden="false" customHeight="false" outlineLevel="0" collapsed="false">
      <c r="A7628" s="1" t="s">
        <v>7663</v>
      </c>
      <c r="B7628" s="1" t="s">
        <v>81</v>
      </c>
      <c r="C7628" s="1" t="n">
        <v>248000</v>
      </c>
      <c r="D7628" s="1" t="n">
        <v>587.5</v>
      </c>
      <c r="E7628" s="1" t="n">
        <v>0.0217</v>
      </c>
      <c r="F7628" s="1" t="n">
        <v>0.0735</v>
      </c>
    </row>
    <row r="7629" customFormat="false" ht="15" hidden="false" customHeight="false" outlineLevel="0" collapsed="false">
      <c r="A7629" s="1" t="s">
        <v>7664</v>
      </c>
      <c r="B7629" s="1" t="s">
        <v>26</v>
      </c>
      <c r="C7629" s="1" t="n">
        <v>391000</v>
      </c>
      <c r="D7629" s="1" t="n">
        <v>10138.8</v>
      </c>
      <c r="E7629" s="1" t="n">
        <v>0.0055</v>
      </c>
      <c r="F7629" s="1" t="n">
        <v>0.0654</v>
      </c>
    </row>
    <row r="7630" customFormat="false" ht="15" hidden="false" customHeight="false" outlineLevel="0" collapsed="false">
      <c r="A7630" s="1" t="s">
        <v>7665</v>
      </c>
      <c r="B7630" s="1" t="s">
        <v>26</v>
      </c>
      <c r="C7630" s="1" t="n">
        <v>246000</v>
      </c>
      <c r="D7630" s="1" t="n">
        <v>8493.5</v>
      </c>
      <c r="E7630" s="1" t="n">
        <v>0.0327</v>
      </c>
      <c r="F7630" s="1" t="n">
        <v>0.0951</v>
      </c>
    </row>
    <row r="7631" customFormat="false" ht="15" hidden="false" customHeight="false" outlineLevel="0" collapsed="false">
      <c r="A7631" s="1" t="s">
        <v>7666</v>
      </c>
      <c r="B7631" s="1" t="s">
        <v>50</v>
      </c>
      <c r="C7631" s="1" t="n">
        <v>275000</v>
      </c>
      <c r="D7631" s="1" t="n">
        <v>4421.4</v>
      </c>
      <c r="E7631" s="1" t="n">
        <v>0.0702</v>
      </c>
      <c r="F7631" s="1" t="n">
        <v>0.0938</v>
      </c>
    </row>
    <row r="7632" customFormat="false" ht="15" hidden="false" customHeight="false" outlineLevel="0" collapsed="false">
      <c r="A7632" s="1" t="s">
        <v>7667</v>
      </c>
      <c r="B7632" s="1" t="s">
        <v>88</v>
      </c>
      <c r="C7632" s="1" t="n">
        <v>301000</v>
      </c>
      <c r="D7632" s="1" t="n">
        <v>42892.9</v>
      </c>
      <c r="E7632" s="1" t="n">
        <v>0.0321</v>
      </c>
      <c r="F7632" s="1" t="n">
        <v>0.0951</v>
      </c>
    </row>
    <row r="7633" customFormat="false" ht="15" hidden="false" customHeight="false" outlineLevel="0" collapsed="false">
      <c r="A7633" s="1" t="s">
        <v>7668</v>
      </c>
      <c r="B7633" s="1" t="s">
        <v>41</v>
      </c>
      <c r="C7633" s="1" t="n">
        <v>256000</v>
      </c>
      <c r="D7633" s="1" t="n">
        <v>2170.7</v>
      </c>
      <c r="E7633" s="1" t="n">
        <v>0.0535</v>
      </c>
      <c r="F7633" s="1" t="n">
        <v>0.1241</v>
      </c>
    </row>
    <row r="7634" customFormat="false" ht="15" hidden="false" customHeight="false" outlineLevel="0" collapsed="false">
      <c r="A7634" s="1" t="s">
        <v>7669</v>
      </c>
      <c r="B7634" s="1" t="s">
        <v>490</v>
      </c>
      <c r="C7634" s="1" t="n">
        <v>339000</v>
      </c>
      <c r="D7634" s="1" t="n">
        <v>16921.6</v>
      </c>
      <c r="E7634" s="1" t="n">
        <v>0.0139</v>
      </c>
      <c r="F7634" s="1" t="n">
        <v>0.0462</v>
      </c>
    </row>
    <row r="7635" customFormat="false" ht="15" hidden="false" customHeight="false" outlineLevel="0" collapsed="false">
      <c r="A7635" s="1" t="s">
        <v>7670</v>
      </c>
      <c r="B7635" s="1" t="s">
        <v>81</v>
      </c>
      <c r="C7635" s="1" t="n">
        <v>297000</v>
      </c>
      <c r="D7635" s="1" t="n">
        <v>1368.3</v>
      </c>
      <c r="E7635" s="1" t="n">
        <v>0.0329</v>
      </c>
      <c r="F7635" s="1" t="n">
        <v>0.1241</v>
      </c>
    </row>
    <row r="7636" customFormat="false" ht="15" hidden="false" customHeight="false" outlineLevel="0" collapsed="false">
      <c r="A7636" s="1" t="s">
        <v>7671</v>
      </c>
      <c r="B7636" s="1" t="s">
        <v>214</v>
      </c>
      <c r="C7636" s="1" t="n">
        <v>839000</v>
      </c>
      <c r="D7636" s="1" t="n">
        <v>210109.7</v>
      </c>
      <c r="E7636" s="1" t="n">
        <v>0.0147</v>
      </c>
      <c r="F7636" s="1" t="n">
        <v>0.1067</v>
      </c>
    </row>
    <row r="7637" customFormat="false" ht="15" hidden="false" customHeight="false" outlineLevel="0" collapsed="false">
      <c r="A7637" s="1" t="s">
        <v>7672</v>
      </c>
      <c r="B7637" s="1" t="s">
        <v>26</v>
      </c>
      <c r="C7637" s="1" t="n">
        <v>346000</v>
      </c>
      <c r="D7637" s="1" t="n">
        <v>1385.1</v>
      </c>
      <c r="E7637" s="1" t="n">
        <v>0.1058</v>
      </c>
      <c r="F7637" s="1" t="n">
        <v>0.0759</v>
      </c>
    </row>
    <row r="7638" customFormat="false" ht="15" hidden="false" customHeight="false" outlineLevel="0" collapsed="false">
      <c r="A7638" s="1" t="s">
        <v>7673</v>
      </c>
      <c r="B7638" s="1" t="s">
        <v>26</v>
      </c>
      <c r="C7638" s="1" t="n">
        <v>256000</v>
      </c>
      <c r="D7638" s="1" t="n">
        <v>2342</v>
      </c>
      <c r="E7638" s="1" t="n">
        <v>0.0621</v>
      </c>
      <c r="F7638" s="1" t="n">
        <v>0.0759</v>
      </c>
    </row>
    <row r="7639" customFormat="false" ht="15" hidden="false" customHeight="false" outlineLevel="0" collapsed="false">
      <c r="A7639" s="1" t="s">
        <v>7674</v>
      </c>
      <c r="B7639" s="1" t="s">
        <v>21</v>
      </c>
      <c r="C7639" s="1" t="n">
        <v>414000</v>
      </c>
      <c r="D7639" s="1" t="n">
        <v>3394.8</v>
      </c>
      <c r="E7639" s="1" t="n">
        <v>0.0089</v>
      </c>
      <c r="F7639" s="1" t="n">
        <v>0.0811</v>
      </c>
    </row>
    <row r="7640" customFormat="false" ht="15" hidden="false" customHeight="false" outlineLevel="0" collapsed="false">
      <c r="A7640" s="1" t="s">
        <v>7675</v>
      </c>
      <c r="B7640" s="1" t="s">
        <v>88</v>
      </c>
      <c r="C7640" s="1" t="n">
        <v>246000</v>
      </c>
      <c r="D7640" s="1" t="n">
        <v>6516.9</v>
      </c>
      <c r="E7640" s="1" t="n">
        <v>0.0238</v>
      </c>
      <c r="F7640" s="1" t="n">
        <v>0.117</v>
      </c>
    </row>
    <row r="7641" customFormat="false" ht="15" hidden="false" customHeight="false" outlineLevel="0" collapsed="false">
      <c r="A7641" s="1" t="s">
        <v>7676</v>
      </c>
      <c r="B7641" s="1" t="s">
        <v>92</v>
      </c>
      <c r="C7641" s="1" t="n">
        <v>319000</v>
      </c>
      <c r="D7641" s="1" t="n">
        <v>47828.8</v>
      </c>
      <c r="E7641" s="1" t="n">
        <v>0.0292</v>
      </c>
      <c r="F7641" s="1" t="n">
        <v>0.0409</v>
      </c>
    </row>
    <row r="7642" customFormat="false" ht="15" hidden="false" customHeight="false" outlineLevel="0" collapsed="false">
      <c r="A7642" s="1" t="s">
        <v>7677</v>
      </c>
      <c r="B7642" s="1" t="s">
        <v>26</v>
      </c>
      <c r="C7642" s="1" t="n">
        <v>231000</v>
      </c>
      <c r="D7642" s="1" t="n">
        <v>5410.3</v>
      </c>
      <c r="E7642" s="1" t="n">
        <v>0.0846</v>
      </c>
      <c r="F7642" s="1" t="n">
        <v>0.0759</v>
      </c>
    </row>
    <row r="7643" customFormat="false" ht="15" hidden="false" customHeight="false" outlineLevel="0" collapsed="false">
      <c r="A7643" s="1" t="s">
        <v>7678</v>
      </c>
      <c r="B7643" s="1" t="s">
        <v>92</v>
      </c>
      <c r="C7643" s="1" t="n">
        <v>243000</v>
      </c>
      <c r="D7643" s="1" t="n">
        <v>1404.8</v>
      </c>
      <c r="E7643" s="1" t="n">
        <v>0.0117</v>
      </c>
      <c r="F7643" s="1" t="n">
        <v>0.0736</v>
      </c>
    </row>
    <row r="7644" customFormat="false" ht="15" hidden="false" customHeight="false" outlineLevel="0" collapsed="false">
      <c r="A7644" s="1" t="s">
        <v>7679</v>
      </c>
      <c r="B7644" s="1" t="s">
        <v>26</v>
      </c>
      <c r="C7644" s="1" t="n">
        <v>351000</v>
      </c>
      <c r="D7644" s="1" t="n">
        <v>2798.8</v>
      </c>
      <c r="E7644" s="1" t="n">
        <v>0.0433</v>
      </c>
      <c r="F7644" s="1" t="n">
        <v>0.0409</v>
      </c>
    </row>
    <row r="7645" customFormat="false" ht="15" hidden="false" customHeight="false" outlineLevel="0" collapsed="false">
      <c r="A7645" s="1" t="s">
        <v>7680</v>
      </c>
      <c r="B7645" s="1" t="s">
        <v>41</v>
      </c>
      <c r="C7645" s="1" t="n">
        <v>473000</v>
      </c>
      <c r="D7645" s="1" t="n">
        <v>109825.6</v>
      </c>
      <c r="E7645" s="1" t="n">
        <v>0.0464</v>
      </c>
      <c r="F7645" s="1" t="n">
        <v>0.0409</v>
      </c>
    </row>
    <row r="7646" customFormat="false" ht="15" hidden="false" customHeight="false" outlineLevel="0" collapsed="false">
      <c r="A7646" s="1" t="s">
        <v>7681</v>
      </c>
      <c r="B7646" s="1" t="s">
        <v>26</v>
      </c>
      <c r="C7646" s="1" t="n">
        <v>422000</v>
      </c>
      <c r="D7646" s="1" t="n">
        <v>1884.1</v>
      </c>
      <c r="F7646" s="1" t="n">
        <v>0.0938</v>
      </c>
    </row>
    <row r="7647" customFormat="false" ht="15" hidden="false" customHeight="false" outlineLevel="0" collapsed="false">
      <c r="A7647" s="1" t="s">
        <v>7682</v>
      </c>
      <c r="B7647" s="1" t="s">
        <v>26</v>
      </c>
      <c r="C7647" s="1" t="n">
        <v>250000</v>
      </c>
      <c r="D7647" s="1" t="n">
        <v>7729.2</v>
      </c>
      <c r="E7647" s="1" t="n">
        <v>0.0407</v>
      </c>
      <c r="F7647" s="1" t="n">
        <v>0.0938</v>
      </c>
    </row>
    <row r="7648" customFormat="false" ht="15" hidden="false" customHeight="false" outlineLevel="0" collapsed="false">
      <c r="A7648" s="1" t="s">
        <v>7683</v>
      </c>
      <c r="B7648" s="1" t="s">
        <v>92</v>
      </c>
      <c r="C7648" s="1" t="n">
        <v>259000</v>
      </c>
      <c r="D7648" s="1" t="n">
        <v>4559</v>
      </c>
      <c r="F7648" s="1" t="n">
        <v>0.0409</v>
      </c>
    </row>
    <row r="7649" customFormat="false" ht="15" hidden="false" customHeight="false" outlineLevel="0" collapsed="false">
      <c r="A7649" s="1" t="s">
        <v>7684</v>
      </c>
      <c r="B7649" s="1" t="s">
        <v>53</v>
      </c>
      <c r="C7649" s="1" t="n">
        <v>247000</v>
      </c>
      <c r="D7649" s="1" t="n">
        <v>4474</v>
      </c>
      <c r="E7649" s="1" t="n">
        <v>0.0063</v>
      </c>
      <c r="F7649" s="1" t="n">
        <v>0.0822</v>
      </c>
    </row>
    <row r="7650" customFormat="false" ht="15" hidden="false" customHeight="false" outlineLevel="0" collapsed="false">
      <c r="A7650" s="1" t="s">
        <v>7685</v>
      </c>
      <c r="B7650" s="1" t="s">
        <v>88</v>
      </c>
      <c r="C7650" s="1" t="n">
        <v>628000</v>
      </c>
      <c r="D7650" s="1" t="n">
        <v>8545.3</v>
      </c>
      <c r="E7650" s="1" t="n">
        <v>0.064</v>
      </c>
      <c r="F7650" s="1" t="n">
        <v>0.0938</v>
      </c>
    </row>
    <row r="7651" customFormat="false" ht="15" hidden="false" customHeight="false" outlineLevel="0" collapsed="false">
      <c r="A7651" s="1" t="s">
        <v>7686</v>
      </c>
      <c r="B7651" s="1" t="s">
        <v>81</v>
      </c>
      <c r="C7651" s="1" t="n">
        <v>296000</v>
      </c>
      <c r="D7651" s="1" t="n">
        <v>13340.2</v>
      </c>
      <c r="E7651" s="1" t="n">
        <v>0.0297</v>
      </c>
      <c r="F7651" s="1" t="n">
        <v>0.0759</v>
      </c>
    </row>
    <row r="7652" customFormat="false" ht="15" hidden="false" customHeight="false" outlineLevel="0" collapsed="false">
      <c r="A7652" s="1" t="s">
        <v>7687</v>
      </c>
      <c r="B7652" s="1" t="s">
        <v>88</v>
      </c>
      <c r="C7652" s="1" t="n">
        <v>306000</v>
      </c>
      <c r="D7652" s="1" t="n">
        <v>590</v>
      </c>
      <c r="E7652" s="1" t="n">
        <v>0.0147</v>
      </c>
      <c r="F7652" s="1" t="n">
        <v>0.1119</v>
      </c>
    </row>
    <row r="7653" customFormat="false" ht="15" hidden="false" customHeight="false" outlineLevel="0" collapsed="false">
      <c r="A7653" s="1" t="s">
        <v>7688</v>
      </c>
      <c r="B7653" s="1" t="s">
        <v>26</v>
      </c>
      <c r="C7653" s="1" t="n">
        <v>471000</v>
      </c>
      <c r="D7653" s="1" t="n">
        <v>164886.2</v>
      </c>
      <c r="E7653" s="1" t="n">
        <v>0.0324</v>
      </c>
      <c r="F7653" s="1" t="n">
        <v>0.0759</v>
      </c>
    </row>
    <row r="7654" customFormat="false" ht="15" hidden="false" customHeight="false" outlineLevel="0" collapsed="false">
      <c r="A7654" s="1" t="s">
        <v>7689</v>
      </c>
      <c r="B7654" s="1" t="s">
        <v>24</v>
      </c>
      <c r="C7654" s="1" t="n">
        <v>310000</v>
      </c>
      <c r="D7654" s="1" t="n">
        <v>480.3</v>
      </c>
      <c r="E7654" s="1" t="n">
        <v>0.1311</v>
      </c>
      <c r="F7654" s="1" t="n">
        <v>0.0938</v>
      </c>
    </row>
    <row r="7655" customFormat="false" ht="15" hidden="false" customHeight="false" outlineLevel="0" collapsed="false">
      <c r="A7655" s="1" t="s">
        <v>7690</v>
      </c>
      <c r="B7655" s="1" t="s">
        <v>195</v>
      </c>
      <c r="C7655" s="1" t="n">
        <v>364000</v>
      </c>
      <c r="D7655" s="1" t="n">
        <v>16176</v>
      </c>
      <c r="E7655" s="1" t="n">
        <v>0.0235</v>
      </c>
      <c r="F7655" s="1" t="n">
        <v>0.0759</v>
      </c>
    </row>
    <row r="7656" customFormat="false" ht="15" hidden="false" customHeight="false" outlineLevel="0" collapsed="false">
      <c r="A7656" s="1" t="s">
        <v>7691</v>
      </c>
      <c r="B7656" s="1" t="s">
        <v>214</v>
      </c>
      <c r="C7656" s="1" t="n">
        <v>243000</v>
      </c>
      <c r="D7656" s="1" t="n">
        <v>315.7</v>
      </c>
      <c r="E7656" s="1" t="n">
        <v>0.0305</v>
      </c>
      <c r="F7656" s="1" t="n">
        <v>0.0951</v>
      </c>
    </row>
    <row r="7657" customFormat="false" ht="15" hidden="false" customHeight="false" outlineLevel="0" collapsed="false">
      <c r="A7657" s="1" t="s">
        <v>7692</v>
      </c>
      <c r="B7657" s="1" t="s">
        <v>74</v>
      </c>
      <c r="C7657" s="1" t="n">
        <v>424000</v>
      </c>
      <c r="D7657" s="1" t="n">
        <v>23608.2</v>
      </c>
      <c r="E7657" s="1" t="n">
        <v>0.017</v>
      </c>
      <c r="F7657" s="1" t="n">
        <v>0.0488</v>
      </c>
    </row>
    <row r="7658" customFormat="false" ht="15" hidden="false" customHeight="false" outlineLevel="0" collapsed="false">
      <c r="A7658" s="1" t="s">
        <v>7693</v>
      </c>
      <c r="B7658" s="1" t="s">
        <v>81</v>
      </c>
      <c r="C7658" s="1" t="n">
        <v>559000</v>
      </c>
      <c r="D7658" s="1" t="n">
        <v>8952.6</v>
      </c>
      <c r="E7658" s="1" t="n">
        <v>0.0465</v>
      </c>
      <c r="F7658" s="1" t="n">
        <v>0.0938</v>
      </c>
    </row>
    <row r="7659" customFormat="false" ht="15" hidden="false" customHeight="false" outlineLevel="0" collapsed="false">
      <c r="A7659" s="1" t="s">
        <v>7694</v>
      </c>
      <c r="B7659" s="1" t="s">
        <v>26</v>
      </c>
      <c r="C7659" s="1" t="n">
        <v>249000</v>
      </c>
      <c r="D7659" s="1" t="n">
        <v>2484.1</v>
      </c>
      <c r="E7659" s="1" t="n">
        <v>0.0178</v>
      </c>
      <c r="F7659" s="1" t="n">
        <v>0.1383</v>
      </c>
    </row>
    <row r="7660" customFormat="false" ht="15" hidden="false" customHeight="false" outlineLevel="0" collapsed="false">
      <c r="A7660" s="1" t="s">
        <v>7695</v>
      </c>
      <c r="B7660" s="1" t="s">
        <v>195</v>
      </c>
      <c r="C7660" s="1" t="n">
        <v>303000</v>
      </c>
      <c r="D7660" s="1" t="n">
        <v>2175.7</v>
      </c>
      <c r="E7660" s="1" t="n">
        <v>0.0144</v>
      </c>
      <c r="F7660" s="1" t="n">
        <v>0.0462</v>
      </c>
    </row>
    <row r="7661" customFormat="false" ht="15" hidden="false" customHeight="false" outlineLevel="0" collapsed="false">
      <c r="A7661" s="1" t="s">
        <v>7696</v>
      </c>
      <c r="B7661" s="1" t="s">
        <v>26</v>
      </c>
      <c r="C7661" s="1" t="n">
        <v>274000</v>
      </c>
      <c r="D7661" s="1" t="n">
        <v>316228.7</v>
      </c>
      <c r="E7661" s="1" t="n">
        <v>0.0451</v>
      </c>
      <c r="F7661" s="1" t="n">
        <v>0.0951</v>
      </c>
    </row>
    <row r="7662" customFormat="false" ht="15" hidden="false" customHeight="false" outlineLevel="0" collapsed="false">
      <c r="A7662" s="1" t="s">
        <v>7697</v>
      </c>
      <c r="B7662" s="1" t="s">
        <v>26</v>
      </c>
      <c r="C7662" s="1" t="n">
        <v>485000</v>
      </c>
      <c r="D7662" s="1" t="n">
        <v>9336.4</v>
      </c>
      <c r="E7662" s="1" t="n">
        <v>0.0074</v>
      </c>
      <c r="F7662" s="1" t="n">
        <v>0.0811</v>
      </c>
    </row>
    <row r="7663" customFormat="false" ht="15" hidden="false" customHeight="false" outlineLevel="0" collapsed="false">
      <c r="A7663" s="1" t="s">
        <v>7698</v>
      </c>
      <c r="B7663" s="1" t="s">
        <v>26</v>
      </c>
      <c r="C7663" s="1" t="n">
        <v>244000</v>
      </c>
      <c r="D7663" s="1" t="n">
        <v>271.7</v>
      </c>
      <c r="E7663" s="1" t="n">
        <v>0.0021</v>
      </c>
      <c r="F7663" s="1" t="n">
        <v>0.1113</v>
      </c>
    </row>
    <row r="7664" customFormat="false" ht="15" hidden="false" customHeight="false" outlineLevel="0" collapsed="false">
      <c r="A7664" s="1" t="s">
        <v>7699</v>
      </c>
      <c r="B7664" s="1" t="s">
        <v>24</v>
      </c>
      <c r="C7664" s="1" t="n">
        <v>279000</v>
      </c>
      <c r="D7664" s="1" t="n">
        <v>9118</v>
      </c>
      <c r="E7664" s="1" t="n">
        <v>0.0313</v>
      </c>
      <c r="F7664" s="1" t="n">
        <v>0.0759</v>
      </c>
    </row>
    <row r="7665" customFormat="false" ht="15" hidden="false" customHeight="false" outlineLevel="0" collapsed="false">
      <c r="A7665" s="1" t="s">
        <v>7700</v>
      </c>
      <c r="B7665" s="1" t="s">
        <v>26</v>
      </c>
      <c r="C7665" s="1" t="n">
        <v>245000</v>
      </c>
      <c r="F7665" s="1" t="n">
        <v>0.0759</v>
      </c>
    </row>
    <row r="7666" customFormat="false" ht="15" hidden="false" customHeight="false" outlineLevel="0" collapsed="false">
      <c r="A7666" s="1" t="s">
        <v>7701</v>
      </c>
      <c r="B7666" s="1" t="s">
        <v>50</v>
      </c>
      <c r="C7666" s="1" t="n">
        <v>243000</v>
      </c>
      <c r="D7666" s="1" t="n">
        <v>1311.9</v>
      </c>
      <c r="E7666" s="1" t="n">
        <v>0.0844</v>
      </c>
      <c r="F7666" s="1" t="n">
        <v>0.0951</v>
      </c>
    </row>
    <row r="7667" customFormat="false" ht="15" hidden="false" customHeight="false" outlineLevel="0" collapsed="false">
      <c r="A7667" s="1" t="s">
        <v>7702</v>
      </c>
      <c r="B7667" s="1" t="s">
        <v>214</v>
      </c>
      <c r="C7667" s="1" t="n">
        <v>409000</v>
      </c>
      <c r="D7667" s="1" t="n">
        <v>19892.5</v>
      </c>
      <c r="E7667" s="1" t="n">
        <v>0.0365</v>
      </c>
      <c r="F7667" s="1" t="n">
        <v>0.0759</v>
      </c>
    </row>
    <row r="7668" customFormat="false" ht="15" hidden="false" customHeight="false" outlineLevel="0" collapsed="false">
      <c r="A7668" s="1" t="s">
        <v>7703</v>
      </c>
      <c r="B7668" s="1" t="s">
        <v>41</v>
      </c>
      <c r="C7668" s="1" t="n">
        <v>422000</v>
      </c>
      <c r="D7668" s="1" t="n">
        <v>10132.9</v>
      </c>
      <c r="E7668" s="1" t="n">
        <v>0.0194</v>
      </c>
      <c r="F7668" s="1" t="n">
        <v>0.1053</v>
      </c>
    </row>
    <row r="7669" customFormat="false" ht="15" hidden="false" customHeight="false" outlineLevel="0" collapsed="false">
      <c r="A7669" s="1" t="s">
        <v>7704</v>
      </c>
      <c r="B7669" s="1" t="s">
        <v>81</v>
      </c>
      <c r="C7669" s="1" t="n">
        <v>253000</v>
      </c>
      <c r="D7669" s="1" t="n">
        <v>6253.1</v>
      </c>
      <c r="E7669" s="1" t="n">
        <v>0.0227</v>
      </c>
      <c r="F7669" s="1" t="n">
        <v>0.0759</v>
      </c>
    </row>
    <row r="7670" customFormat="false" ht="15" hidden="false" customHeight="false" outlineLevel="0" collapsed="false">
      <c r="A7670" s="1" t="s">
        <v>7705</v>
      </c>
      <c r="B7670" s="1" t="s">
        <v>50</v>
      </c>
      <c r="C7670" s="1" t="n">
        <v>248000</v>
      </c>
      <c r="D7670" s="1" t="n">
        <v>1148.2</v>
      </c>
      <c r="E7670" s="1" t="n">
        <v>0.0549</v>
      </c>
      <c r="F7670" s="1" t="n">
        <v>0.0759</v>
      </c>
    </row>
    <row r="7671" customFormat="false" ht="15" hidden="false" customHeight="false" outlineLevel="0" collapsed="false">
      <c r="A7671" s="1" t="s">
        <v>7706</v>
      </c>
      <c r="B7671" s="1" t="s">
        <v>26</v>
      </c>
      <c r="C7671" s="1" t="n">
        <v>334000</v>
      </c>
      <c r="D7671" s="1" t="n">
        <v>216192.8</v>
      </c>
      <c r="E7671" s="1" t="n">
        <v>0.0177</v>
      </c>
      <c r="F7671" s="1" t="n">
        <v>0.0589</v>
      </c>
    </row>
    <row r="7672" customFormat="false" ht="15" hidden="false" customHeight="false" outlineLevel="0" collapsed="false">
      <c r="A7672" s="1" t="s">
        <v>7707</v>
      </c>
      <c r="B7672" s="1" t="s">
        <v>287</v>
      </c>
      <c r="C7672" s="1" t="n">
        <v>248000</v>
      </c>
      <c r="D7672" s="1" t="n">
        <v>132.5</v>
      </c>
      <c r="E7672" s="1" t="n">
        <v>0.0308</v>
      </c>
      <c r="F7672" s="1" t="n">
        <v>0.0546</v>
      </c>
    </row>
    <row r="7673" customFormat="false" ht="15" hidden="false" customHeight="false" outlineLevel="0" collapsed="false">
      <c r="A7673" s="1" t="s">
        <v>7708</v>
      </c>
      <c r="B7673" s="1" t="s">
        <v>88</v>
      </c>
      <c r="C7673" s="1" t="n">
        <v>290000</v>
      </c>
      <c r="D7673" s="1" t="n">
        <v>2182.2</v>
      </c>
      <c r="E7673" s="1" t="n">
        <v>0.0257</v>
      </c>
      <c r="F7673" s="1" t="n">
        <v>0.1226</v>
      </c>
    </row>
    <row r="7674" customFormat="false" ht="15" hidden="false" customHeight="false" outlineLevel="0" collapsed="false">
      <c r="A7674" s="1" t="s">
        <v>7709</v>
      </c>
      <c r="B7674" s="1" t="s">
        <v>287</v>
      </c>
      <c r="C7674" s="1" t="n">
        <v>247000</v>
      </c>
      <c r="D7674" s="1" t="n">
        <v>7694.1</v>
      </c>
      <c r="E7674" s="1" t="n">
        <v>0.0152</v>
      </c>
      <c r="F7674" s="1" t="n">
        <v>0.1067</v>
      </c>
    </row>
    <row r="7675" customFormat="false" ht="15" hidden="false" customHeight="false" outlineLevel="0" collapsed="false">
      <c r="A7675" s="1" t="s">
        <v>7710</v>
      </c>
      <c r="B7675" s="1" t="s">
        <v>92</v>
      </c>
      <c r="C7675" s="1" t="n">
        <v>310000</v>
      </c>
      <c r="D7675" s="1" t="n">
        <v>9428.3</v>
      </c>
      <c r="E7675" s="1" t="n">
        <v>0.0228</v>
      </c>
      <c r="F7675" s="1" t="n">
        <v>0.0951</v>
      </c>
    </row>
    <row r="7676" customFormat="false" ht="15" hidden="false" customHeight="false" outlineLevel="0" collapsed="false">
      <c r="A7676" s="1" t="s">
        <v>7711</v>
      </c>
      <c r="B7676" s="1" t="s">
        <v>26</v>
      </c>
      <c r="C7676" s="1" t="n">
        <v>261000</v>
      </c>
      <c r="D7676" s="1" t="n">
        <v>54194.3</v>
      </c>
      <c r="E7676" s="1" t="n">
        <v>0.0251</v>
      </c>
      <c r="F7676" s="1" t="n">
        <v>0.0546</v>
      </c>
    </row>
    <row r="7677" customFormat="false" ht="15" hidden="false" customHeight="false" outlineLevel="0" collapsed="false">
      <c r="A7677" s="1" t="s">
        <v>7712</v>
      </c>
      <c r="B7677" s="1" t="s">
        <v>24</v>
      </c>
      <c r="C7677" s="1" t="n">
        <v>255000</v>
      </c>
      <c r="D7677" s="1" t="n">
        <v>871.2</v>
      </c>
      <c r="E7677" s="1" t="n">
        <v>0.0238</v>
      </c>
      <c r="F7677" s="1" t="n">
        <v>0.0951</v>
      </c>
    </row>
    <row r="7678" customFormat="false" ht="15" hidden="false" customHeight="false" outlineLevel="0" collapsed="false">
      <c r="A7678" s="1" t="s">
        <v>7713</v>
      </c>
      <c r="B7678" s="1" t="s">
        <v>74</v>
      </c>
      <c r="C7678" s="1" t="n">
        <v>275000</v>
      </c>
      <c r="D7678" s="1" t="n">
        <v>1558.2</v>
      </c>
      <c r="E7678" s="1" t="n">
        <v>0.032</v>
      </c>
      <c r="F7678" s="1" t="n">
        <v>0.0759</v>
      </c>
    </row>
    <row r="7679" customFormat="false" ht="15" hidden="false" customHeight="false" outlineLevel="0" collapsed="false">
      <c r="A7679" s="1" t="s">
        <v>7714</v>
      </c>
      <c r="B7679" s="1" t="s">
        <v>62</v>
      </c>
      <c r="C7679" s="1" t="n">
        <v>249000</v>
      </c>
      <c r="D7679" s="1" t="n">
        <v>17843.3</v>
      </c>
      <c r="E7679" s="1" t="n">
        <v>0.097</v>
      </c>
      <c r="F7679" s="1" t="n">
        <v>0.0759</v>
      </c>
    </row>
    <row r="7680" customFormat="false" ht="15" hidden="false" customHeight="false" outlineLevel="0" collapsed="false">
      <c r="A7680" s="1" t="s">
        <v>7715</v>
      </c>
      <c r="B7680" s="1" t="s">
        <v>195</v>
      </c>
      <c r="C7680" s="1" t="n">
        <v>343000</v>
      </c>
      <c r="D7680" s="1" t="n">
        <v>4122.6</v>
      </c>
      <c r="E7680" s="1" t="n">
        <v>0.0228</v>
      </c>
      <c r="F7680" s="1" t="n">
        <v>0.0938</v>
      </c>
    </row>
    <row r="7681" customFormat="false" ht="15" hidden="false" customHeight="false" outlineLevel="0" collapsed="false">
      <c r="A7681" s="1" t="s">
        <v>7716</v>
      </c>
      <c r="B7681" s="1" t="s">
        <v>32</v>
      </c>
      <c r="C7681" s="1" t="n">
        <v>266000</v>
      </c>
      <c r="D7681" s="1" t="n">
        <v>16047722.8</v>
      </c>
      <c r="E7681" s="1" t="n">
        <v>0.02</v>
      </c>
      <c r="F7681" s="1" t="n">
        <v>0.0518</v>
      </c>
    </row>
    <row r="7682" customFormat="false" ht="15" hidden="false" customHeight="false" outlineLevel="0" collapsed="false">
      <c r="A7682" s="1" t="s">
        <v>7717</v>
      </c>
      <c r="B7682" s="1" t="s">
        <v>41</v>
      </c>
      <c r="C7682" s="1" t="n">
        <v>538000</v>
      </c>
      <c r="D7682" s="1" t="n">
        <v>11903.7</v>
      </c>
      <c r="E7682" s="1" t="n">
        <v>0.0228</v>
      </c>
      <c r="F7682" s="1" t="n">
        <v>0.1688</v>
      </c>
    </row>
    <row r="7683" customFormat="false" ht="15" hidden="false" customHeight="false" outlineLevel="0" collapsed="false">
      <c r="A7683" s="1" t="s">
        <v>7718</v>
      </c>
      <c r="B7683" s="1" t="s">
        <v>88</v>
      </c>
      <c r="C7683" s="1" t="n">
        <v>333000</v>
      </c>
      <c r="D7683" s="1" t="n">
        <v>37990.9</v>
      </c>
      <c r="E7683" s="1" t="n">
        <v>0.0542</v>
      </c>
      <c r="F7683" s="1" t="n">
        <v>0.0951</v>
      </c>
    </row>
    <row r="7684" customFormat="false" ht="15" hidden="false" customHeight="false" outlineLevel="0" collapsed="false">
      <c r="A7684" s="1" t="s">
        <v>7719</v>
      </c>
      <c r="B7684" s="1" t="s">
        <v>26</v>
      </c>
      <c r="C7684" s="1" t="n">
        <v>322000</v>
      </c>
      <c r="D7684" s="1" t="n">
        <v>13168.7</v>
      </c>
      <c r="E7684" s="1" t="n">
        <v>0.0234</v>
      </c>
      <c r="F7684" s="1" t="n">
        <v>0.131</v>
      </c>
    </row>
    <row r="7685" customFormat="false" ht="15" hidden="false" customHeight="false" outlineLevel="0" collapsed="false">
      <c r="A7685" s="1" t="s">
        <v>7720</v>
      </c>
      <c r="B7685" s="1" t="s">
        <v>26</v>
      </c>
      <c r="C7685" s="1" t="n">
        <v>279000</v>
      </c>
      <c r="D7685" s="1" t="n">
        <v>11427.3</v>
      </c>
      <c r="E7685" s="1" t="n">
        <v>0.0218</v>
      </c>
      <c r="F7685" s="1" t="n">
        <v>0.0409</v>
      </c>
    </row>
    <row r="7686" customFormat="false" ht="15" hidden="false" customHeight="false" outlineLevel="0" collapsed="false">
      <c r="A7686" s="1" t="s">
        <v>7721</v>
      </c>
      <c r="B7686" s="1" t="s">
        <v>26</v>
      </c>
      <c r="C7686" s="1" t="n">
        <v>308000</v>
      </c>
      <c r="D7686" s="1" t="n">
        <v>91888.5</v>
      </c>
      <c r="E7686" s="1" t="n">
        <v>0.0412</v>
      </c>
      <c r="F7686" s="1" t="n">
        <v>0.0518</v>
      </c>
    </row>
    <row r="7687" customFormat="false" ht="15" hidden="false" customHeight="false" outlineLevel="0" collapsed="false">
      <c r="A7687" s="1" t="s">
        <v>7722</v>
      </c>
      <c r="B7687" s="1" t="s">
        <v>24</v>
      </c>
      <c r="C7687" s="1" t="n">
        <v>243000</v>
      </c>
      <c r="D7687" s="1" t="n">
        <v>346</v>
      </c>
      <c r="E7687" s="1" t="n">
        <v>0.016</v>
      </c>
      <c r="F7687" s="1" t="n">
        <v>0.0616</v>
      </c>
    </row>
    <row r="7688" customFormat="false" ht="15" hidden="false" customHeight="false" outlineLevel="0" collapsed="false">
      <c r="A7688" s="1" t="s">
        <v>7723</v>
      </c>
      <c r="B7688" s="1" t="s">
        <v>71</v>
      </c>
      <c r="C7688" s="1" t="n">
        <v>377000</v>
      </c>
      <c r="D7688" s="1" t="n">
        <v>469324.1</v>
      </c>
      <c r="E7688" s="1" t="n">
        <v>0.0257</v>
      </c>
      <c r="F7688" s="1" t="n">
        <v>0.0951</v>
      </c>
    </row>
    <row r="7689" customFormat="false" ht="15" hidden="false" customHeight="false" outlineLevel="0" collapsed="false">
      <c r="A7689" s="1" t="s">
        <v>7724</v>
      </c>
      <c r="B7689" s="1" t="s">
        <v>26</v>
      </c>
      <c r="C7689" s="1" t="n">
        <v>254000</v>
      </c>
      <c r="D7689" s="1" t="n">
        <v>884.1</v>
      </c>
      <c r="E7689" s="1" t="n">
        <v>0.0107</v>
      </c>
      <c r="F7689" s="1" t="n">
        <v>0.0775</v>
      </c>
    </row>
    <row r="7690" customFormat="false" ht="15" hidden="false" customHeight="false" outlineLevel="0" collapsed="false">
      <c r="A7690" s="1" t="s">
        <v>7725</v>
      </c>
      <c r="B7690" s="1" t="s">
        <v>41</v>
      </c>
      <c r="C7690" s="1" t="n">
        <v>377000</v>
      </c>
      <c r="D7690" s="1" t="n">
        <v>576</v>
      </c>
      <c r="E7690" s="1" t="n">
        <v>0.0304</v>
      </c>
      <c r="F7690" s="1" t="n">
        <v>0.0938</v>
      </c>
    </row>
    <row r="7691" customFormat="false" ht="15" hidden="false" customHeight="false" outlineLevel="0" collapsed="false">
      <c r="A7691" s="1" t="s">
        <v>7726</v>
      </c>
      <c r="B7691" s="1" t="s">
        <v>26</v>
      </c>
      <c r="C7691" s="1" t="n">
        <v>893000</v>
      </c>
      <c r="D7691" s="1" t="n">
        <v>4678.7</v>
      </c>
      <c r="E7691" s="1" t="n">
        <v>0.0058</v>
      </c>
      <c r="F7691" s="1" t="n">
        <v>0.0811</v>
      </c>
    </row>
    <row r="7692" customFormat="false" ht="15" hidden="false" customHeight="false" outlineLevel="0" collapsed="false">
      <c r="A7692" s="1" t="s">
        <v>7727</v>
      </c>
      <c r="B7692" s="1" t="s">
        <v>26</v>
      </c>
      <c r="C7692" s="1" t="n">
        <v>260000</v>
      </c>
      <c r="D7692" s="1" t="n">
        <v>2239.5</v>
      </c>
      <c r="E7692" s="1" t="n">
        <v>0.0413</v>
      </c>
      <c r="F7692" s="1" t="n">
        <v>0.0759</v>
      </c>
    </row>
    <row r="7693" customFormat="false" ht="15" hidden="false" customHeight="false" outlineLevel="0" collapsed="false">
      <c r="A7693" s="1" t="s">
        <v>7728</v>
      </c>
      <c r="B7693" s="1" t="s">
        <v>74</v>
      </c>
      <c r="C7693" s="1" t="n">
        <v>273000</v>
      </c>
      <c r="D7693" s="1" t="n">
        <v>6160.2</v>
      </c>
      <c r="E7693" s="1" t="n">
        <v>0.0359</v>
      </c>
      <c r="F7693" s="1" t="n">
        <v>0.0938</v>
      </c>
    </row>
    <row r="7694" customFormat="false" ht="15" hidden="false" customHeight="false" outlineLevel="0" collapsed="false">
      <c r="A7694" s="1" t="s">
        <v>7729</v>
      </c>
      <c r="B7694" s="1" t="s">
        <v>41</v>
      </c>
      <c r="C7694" s="1" t="n">
        <v>331000</v>
      </c>
      <c r="D7694" s="1" t="n">
        <v>4291.3</v>
      </c>
      <c r="E7694" s="1" t="n">
        <v>0.0208</v>
      </c>
      <c r="F7694" s="1" t="n">
        <v>0.0938</v>
      </c>
    </row>
    <row r="7695" customFormat="false" ht="15" hidden="false" customHeight="false" outlineLevel="0" collapsed="false">
      <c r="A7695" s="1" t="s">
        <v>7730</v>
      </c>
      <c r="B7695" s="1" t="s">
        <v>26</v>
      </c>
      <c r="C7695" s="1" t="n">
        <v>562000</v>
      </c>
      <c r="D7695" s="1" t="n">
        <v>44286.3</v>
      </c>
      <c r="E7695" s="1" t="n">
        <v>0.032</v>
      </c>
      <c r="F7695" s="1" t="n">
        <v>0.0759</v>
      </c>
    </row>
    <row r="7696" customFormat="false" ht="15" hidden="false" customHeight="false" outlineLevel="0" collapsed="false">
      <c r="A7696" s="1" t="s">
        <v>7731</v>
      </c>
      <c r="B7696" s="1" t="s">
        <v>26</v>
      </c>
      <c r="C7696" s="1" t="n">
        <v>243000</v>
      </c>
      <c r="D7696" s="1" t="n">
        <v>51.8</v>
      </c>
      <c r="E7696" s="1" t="n">
        <v>0.0015</v>
      </c>
      <c r="F7696" s="1" t="n">
        <v>0.2533</v>
      </c>
    </row>
    <row r="7697" customFormat="false" ht="15" hidden="false" customHeight="false" outlineLevel="0" collapsed="false">
      <c r="A7697" s="1" t="s">
        <v>7732</v>
      </c>
      <c r="B7697" s="1" t="s">
        <v>92</v>
      </c>
      <c r="C7697" s="1" t="n">
        <v>268000</v>
      </c>
      <c r="D7697" s="1" t="n">
        <v>13423.4</v>
      </c>
      <c r="E7697" s="1" t="n">
        <v>0.0165</v>
      </c>
      <c r="F7697" s="1" t="n">
        <v>0.0736</v>
      </c>
    </row>
    <row r="7698" customFormat="false" ht="15" hidden="false" customHeight="false" outlineLevel="0" collapsed="false">
      <c r="A7698" s="1" t="s">
        <v>7733</v>
      </c>
      <c r="B7698" s="1" t="s">
        <v>24</v>
      </c>
      <c r="C7698" s="1" t="n">
        <v>384000</v>
      </c>
      <c r="D7698" s="1" t="n">
        <v>6779.9</v>
      </c>
      <c r="E7698" s="1" t="n">
        <v>0.0532</v>
      </c>
      <c r="F7698" s="1" t="n">
        <v>0.095</v>
      </c>
    </row>
    <row r="7699" customFormat="false" ht="15" hidden="false" customHeight="false" outlineLevel="0" collapsed="false">
      <c r="A7699" s="1" t="s">
        <v>7734</v>
      </c>
      <c r="B7699" s="1" t="s">
        <v>71</v>
      </c>
      <c r="C7699" s="1" t="n">
        <v>236000</v>
      </c>
      <c r="D7699" s="1" t="n">
        <v>2459.7</v>
      </c>
      <c r="E7699" s="1" t="n">
        <v>0.103</v>
      </c>
      <c r="F7699" s="1" t="n">
        <v>0.0951</v>
      </c>
    </row>
    <row r="7700" customFormat="false" ht="15" hidden="false" customHeight="false" outlineLevel="0" collapsed="false">
      <c r="A7700" s="1" t="s">
        <v>7735</v>
      </c>
      <c r="B7700" s="1" t="s">
        <v>21</v>
      </c>
      <c r="C7700" s="1" t="n">
        <v>257000</v>
      </c>
      <c r="D7700" s="1" t="n">
        <v>1338.8</v>
      </c>
      <c r="E7700" s="1" t="n">
        <v>0.0052</v>
      </c>
      <c r="F7700" s="1" t="n">
        <v>0.1015</v>
      </c>
    </row>
    <row r="7701" customFormat="false" ht="15" hidden="false" customHeight="false" outlineLevel="0" collapsed="false">
      <c r="A7701" s="1" t="s">
        <v>7736</v>
      </c>
      <c r="B7701" s="1" t="s">
        <v>88</v>
      </c>
      <c r="C7701" s="1" t="n">
        <v>1690000</v>
      </c>
      <c r="D7701" s="1" t="n">
        <v>391891.9</v>
      </c>
      <c r="E7701" s="1" t="n">
        <v>0.0514</v>
      </c>
      <c r="F7701" s="1" t="n">
        <v>0.0951</v>
      </c>
    </row>
    <row r="7702" customFormat="false" ht="15" hidden="false" customHeight="false" outlineLevel="0" collapsed="false">
      <c r="A7702" s="1" t="s">
        <v>7737</v>
      </c>
      <c r="B7702" s="1" t="s">
        <v>26</v>
      </c>
      <c r="C7702" s="1" t="n">
        <v>269000</v>
      </c>
      <c r="D7702" s="1" t="n">
        <v>96563.1</v>
      </c>
      <c r="E7702" s="1" t="n">
        <v>0.0516</v>
      </c>
      <c r="F7702" s="1" t="n">
        <v>0.0722</v>
      </c>
    </row>
    <row r="7703" customFormat="false" ht="15" hidden="false" customHeight="false" outlineLevel="0" collapsed="false">
      <c r="A7703" s="1" t="s">
        <v>7738</v>
      </c>
      <c r="B7703" s="1" t="s">
        <v>88</v>
      </c>
      <c r="C7703" s="1" t="n">
        <v>272000</v>
      </c>
      <c r="D7703" s="1" t="n">
        <v>74907.8</v>
      </c>
      <c r="E7703" s="1" t="n">
        <v>0.0625</v>
      </c>
      <c r="F7703" s="1" t="n">
        <v>0.0759</v>
      </c>
    </row>
    <row r="7704" customFormat="false" ht="15" hidden="false" customHeight="false" outlineLevel="0" collapsed="false">
      <c r="A7704" s="1" t="s">
        <v>7739</v>
      </c>
      <c r="B7704" s="1" t="s">
        <v>214</v>
      </c>
      <c r="C7704" s="1" t="n">
        <v>295000</v>
      </c>
      <c r="D7704" s="1" t="n">
        <v>8682.9</v>
      </c>
      <c r="E7704" s="1" t="n">
        <v>0.0224</v>
      </c>
      <c r="F7704" s="1" t="n">
        <v>0.0951</v>
      </c>
    </row>
    <row r="7705" customFormat="false" ht="15" hidden="false" customHeight="false" outlineLevel="0" collapsed="false">
      <c r="A7705" s="1" t="s">
        <v>7740</v>
      </c>
      <c r="B7705" s="1" t="s">
        <v>287</v>
      </c>
      <c r="C7705" s="1" t="n">
        <v>270000</v>
      </c>
      <c r="D7705" s="1" t="n">
        <v>556168.5</v>
      </c>
      <c r="E7705" s="1" t="n">
        <v>0.0138</v>
      </c>
      <c r="F7705" s="1" t="n">
        <v>0.0462</v>
      </c>
    </row>
    <row r="7706" customFormat="false" ht="15" hidden="false" customHeight="false" outlineLevel="0" collapsed="false">
      <c r="A7706" s="1" t="s">
        <v>7741</v>
      </c>
      <c r="B7706" s="1" t="s">
        <v>26</v>
      </c>
      <c r="C7706" s="1" t="n">
        <v>246000</v>
      </c>
      <c r="D7706" s="1" t="n">
        <v>17008</v>
      </c>
      <c r="E7706" s="1" t="n">
        <v>0.0309</v>
      </c>
      <c r="F7706" s="1" t="n">
        <v>0.0951</v>
      </c>
    </row>
    <row r="7707" customFormat="false" ht="15" hidden="false" customHeight="false" outlineLevel="0" collapsed="false">
      <c r="A7707" s="1" t="s">
        <v>7742</v>
      </c>
      <c r="B7707" s="1" t="s">
        <v>81</v>
      </c>
      <c r="C7707" s="1" t="n">
        <v>243000</v>
      </c>
      <c r="D7707" s="1" t="n">
        <v>2628</v>
      </c>
      <c r="E7707" s="1" t="n">
        <v>0.0203</v>
      </c>
      <c r="F7707" s="1" t="n">
        <v>0.0409</v>
      </c>
    </row>
    <row r="7708" customFormat="false" ht="15" hidden="false" customHeight="false" outlineLevel="0" collapsed="false">
      <c r="A7708" s="1" t="s">
        <v>7743</v>
      </c>
      <c r="B7708" s="1" t="s">
        <v>28</v>
      </c>
      <c r="C7708" s="1" t="n">
        <v>478000</v>
      </c>
      <c r="D7708" s="1" t="n">
        <v>1545.5</v>
      </c>
      <c r="E7708" s="1" t="n">
        <v>0.0343</v>
      </c>
      <c r="F7708" s="1" t="n">
        <v>0.0759</v>
      </c>
    </row>
    <row r="7709" customFormat="false" ht="15" hidden="false" customHeight="false" outlineLevel="0" collapsed="false">
      <c r="A7709" s="1" t="s">
        <v>7744</v>
      </c>
      <c r="B7709" s="1" t="s">
        <v>26</v>
      </c>
      <c r="C7709" s="1" t="n">
        <v>554000</v>
      </c>
      <c r="D7709" s="1" t="n">
        <v>106884.3</v>
      </c>
      <c r="E7709" s="1" t="n">
        <v>0.0577</v>
      </c>
      <c r="F7709" s="1" t="n">
        <v>0.0538</v>
      </c>
    </row>
    <row r="7710" customFormat="false" ht="15" hidden="false" customHeight="false" outlineLevel="0" collapsed="false">
      <c r="A7710" s="1" t="s">
        <v>7745</v>
      </c>
      <c r="B7710" s="1" t="s">
        <v>26</v>
      </c>
      <c r="C7710" s="1" t="n">
        <v>297000</v>
      </c>
      <c r="D7710" s="1" t="n">
        <v>278541.8</v>
      </c>
      <c r="E7710" s="1" t="n">
        <v>0.018</v>
      </c>
      <c r="F7710" s="1" t="n">
        <v>0.1067</v>
      </c>
    </row>
    <row r="7711" customFormat="false" ht="15" hidden="false" customHeight="false" outlineLevel="0" collapsed="false">
      <c r="A7711" s="1" t="s">
        <v>7746</v>
      </c>
      <c r="B7711" s="1" t="s">
        <v>62</v>
      </c>
      <c r="C7711" s="1" t="n">
        <v>463000</v>
      </c>
      <c r="D7711" s="1" t="n">
        <v>52749.2</v>
      </c>
      <c r="E7711" s="1" t="n">
        <v>0.045</v>
      </c>
      <c r="F7711" s="1" t="n">
        <v>0.0759</v>
      </c>
    </row>
    <row r="7712" customFormat="false" ht="15" hidden="false" customHeight="false" outlineLevel="0" collapsed="false">
      <c r="A7712" s="1" t="s">
        <v>7747</v>
      </c>
      <c r="B7712" s="1" t="s">
        <v>26</v>
      </c>
      <c r="C7712" s="1" t="n">
        <v>248000</v>
      </c>
      <c r="D7712" s="1" t="n">
        <v>32919.5</v>
      </c>
      <c r="E7712" s="1" t="n">
        <v>0.0166</v>
      </c>
      <c r="F7712" s="1" t="n">
        <v>0.0854</v>
      </c>
    </row>
    <row r="7713" customFormat="false" ht="15" hidden="false" customHeight="false" outlineLevel="0" collapsed="false">
      <c r="A7713" s="1" t="s">
        <v>7748</v>
      </c>
      <c r="B7713" s="1" t="s">
        <v>81</v>
      </c>
      <c r="C7713" s="1" t="n">
        <v>259000</v>
      </c>
      <c r="D7713" s="1" t="n">
        <v>22320.8</v>
      </c>
      <c r="E7713" s="1" t="n">
        <v>0.0444</v>
      </c>
      <c r="F7713" s="1" t="n">
        <v>0.0672</v>
      </c>
    </row>
    <row r="7714" customFormat="false" ht="15" hidden="false" customHeight="false" outlineLevel="0" collapsed="false">
      <c r="A7714" s="1" t="s">
        <v>7749</v>
      </c>
      <c r="B7714" s="1" t="s">
        <v>26</v>
      </c>
      <c r="C7714" s="1" t="n">
        <v>460000</v>
      </c>
      <c r="D7714" s="1" t="n">
        <v>107906.6</v>
      </c>
      <c r="E7714" s="1" t="n">
        <v>0.0307</v>
      </c>
      <c r="F7714" s="1" t="n">
        <v>0.0759</v>
      </c>
    </row>
    <row r="7715" customFormat="false" ht="15" hidden="false" customHeight="false" outlineLevel="0" collapsed="false">
      <c r="A7715" s="1" t="s">
        <v>7750</v>
      </c>
      <c r="B7715" s="1" t="s">
        <v>88</v>
      </c>
      <c r="C7715" s="1" t="n">
        <v>335000</v>
      </c>
      <c r="D7715" s="1" t="n">
        <v>920.8</v>
      </c>
      <c r="E7715" s="1" t="n">
        <v>0.019</v>
      </c>
      <c r="F7715" s="1" t="n">
        <v>0.0608</v>
      </c>
    </row>
    <row r="7716" customFormat="false" ht="15" hidden="false" customHeight="false" outlineLevel="0" collapsed="false">
      <c r="A7716" s="1" t="s">
        <v>7751</v>
      </c>
      <c r="B7716" s="1" t="s">
        <v>88</v>
      </c>
      <c r="C7716" s="1" t="n">
        <v>282000</v>
      </c>
      <c r="D7716" s="1" t="n">
        <v>1537.4</v>
      </c>
      <c r="E7716" s="1" t="n">
        <v>0.0395</v>
      </c>
      <c r="F7716" s="1" t="n">
        <v>0.0938</v>
      </c>
    </row>
    <row r="7717" customFormat="false" ht="15" hidden="false" customHeight="false" outlineLevel="0" collapsed="false">
      <c r="A7717" s="1" t="s">
        <v>7752</v>
      </c>
      <c r="B7717" s="1" t="s">
        <v>92</v>
      </c>
      <c r="C7717" s="1" t="n">
        <v>607000</v>
      </c>
      <c r="D7717" s="1" t="n">
        <v>272457.3</v>
      </c>
      <c r="E7717" s="1" t="n">
        <v>0.0329</v>
      </c>
      <c r="F7717" s="1" t="n">
        <v>0.051</v>
      </c>
    </row>
    <row r="7718" customFormat="false" ht="15" hidden="false" customHeight="false" outlineLevel="0" collapsed="false">
      <c r="A7718" s="1" t="s">
        <v>7753</v>
      </c>
      <c r="B7718" s="1" t="s">
        <v>88</v>
      </c>
      <c r="C7718" s="1" t="n">
        <v>225000</v>
      </c>
      <c r="D7718" s="1" t="n">
        <v>12650.5</v>
      </c>
      <c r="E7718" s="1" t="n">
        <v>0.0303</v>
      </c>
      <c r="F7718" s="1" t="n">
        <v>0.0951</v>
      </c>
    </row>
    <row r="7719" customFormat="false" ht="15" hidden="false" customHeight="false" outlineLevel="0" collapsed="false">
      <c r="A7719" s="1" t="s">
        <v>7754</v>
      </c>
      <c r="B7719" s="1" t="s">
        <v>53</v>
      </c>
      <c r="C7719" s="1" t="n">
        <v>302000</v>
      </c>
      <c r="D7719" s="1" t="n">
        <v>17633.7</v>
      </c>
      <c r="E7719" s="1" t="n">
        <v>0.0525</v>
      </c>
      <c r="F7719" s="1" t="n">
        <v>0.0951</v>
      </c>
    </row>
    <row r="7720" customFormat="false" ht="15" hidden="false" customHeight="false" outlineLevel="0" collapsed="false">
      <c r="A7720" s="1" t="s">
        <v>7755</v>
      </c>
      <c r="B7720" s="1" t="s">
        <v>88</v>
      </c>
      <c r="C7720" s="1" t="n">
        <v>440000</v>
      </c>
      <c r="D7720" s="1" t="n">
        <v>20438</v>
      </c>
      <c r="E7720" s="1" t="n">
        <v>0.0508</v>
      </c>
      <c r="F7720" s="1" t="n">
        <v>0.0951</v>
      </c>
    </row>
    <row r="7721" customFormat="false" ht="15" hidden="false" customHeight="false" outlineLevel="0" collapsed="false">
      <c r="A7721" s="1" t="s">
        <v>7756</v>
      </c>
      <c r="B7721" s="1" t="s">
        <v>26</v>
      </c>
      <c r="C7721" s="1" t="n">
        <v>246000</v>
      </c>
      <c r="D7721" s="1" t="n">
        <v>757.9</v>
      </c>
      <c r="E7721" s="1" t="n">
        <v>0.025</v>
      </c>
      <c r="F7721" s="1" t="n">
        <v>0.0951</v>
      </c>
    </row>
    <row r="7722" customFormat="false" ht="15" hidden="false" customHeight="false" outlineLevel="0" collapsed="false">
      <c r="A7722" s="1" t="s">
        <v>7757</v>
      </c>
      <c r="B7722" s="1" t="s">
        <v>88</v>
      </c>
      <c r="C7722" s="1" t="n">
        <v>233000</v>
      </c>
      <c r="D7722" s="1" t="n">
        <v>2850.2</v>
      </c>
      <c r="E7722" s="1" t="n">
        <v>0.0409</v>
      </c>
      <c r="F7722" s="1" t="n">
        <v>0.117</v>
      </c>
    </row>
    <row r="7723" customFormat="false" ht="15" hidden="false" customHeight="false" outlineLevel="0" collapsed="false">
      <c r="A7723" s="1" t="s">
        <v>7758</v>
      </c>
      <c r="B7723" s="1" t="s">
        <v>53</v>
      </c>
      <c r="C7723" s="1" t="n">
        <v>282000</v>
      </c>
      <c r="D7723" s="1" t="n">
        <v>526.4</v>
      </c>
      <c r="E7723" s="1" t="n">
        <v>0.0797</v>
      </c>
      <c r="F7723" s="1" t="n">
        <v>0.0759</v>
      </c>
    </row>
    <row r="7724" customFormat="false" ht="15" hidden="false" customHeight="false" outlineLevel="0" collapsed="false">
      <c r="A7724" s="1" t="s">
        <v>7759</v>
      </c>
      <c r="B7724" s="1" t="s">
        <v>28</v>
      </c>
      <c r="C7724" s="1" t="n">
        <v>240000</v>
      </c>
      <c r="D7724" s="1" t="n">
        <v>11268.7</v>
      </c>
      <c r="E7724" s="1" t="n">
        <v>0.0043</v>
      </c>
      <c r="F7724" s="1" t="n">
        <v>0.0822</v>
      </c>
    </row>
    <row r="7725" customFormat="false" ht="15" hidden="false" customHeight="false" outlineLevel="0" collapsed="false">
      <c r="A7725" s="1" t="s">
        <v>7760</v>
      </c>
      <c r="B7725" s="1" t="s">
        <v>41</v>
      </c>
      <c r="C7725" s="1" t="n">
        <v>250000</v>
      </c>
      <c r="D7725" s="1" t="n">
        <v>603.6</v>
      </c>
      <c r="E7725" s="1" t="n">
        <v>0.0041</v>
      </c>
      <c r="F7725" s="1" t="n">
        <v>0.0822</v>
      </c>
    </row>
    <row r="7726" customFormat="false" ht="15" hidden="false" customHeight="false" outlineLevel="0" collapsed="false">
      <c r="A7726" s="1" t="s">
        <v>7761</v>
      </c>
      <c r="B7726" s="1" t="s">
        <v>26</v>
      </c>
      <c r="C7726" s="1" t="n">
        <v>477000</v>
      </c>
      <c r="D7726" s="1" t="n">
        <v>1109265.7</v>
      </c>
      <c r="E7726" s="1" t="n">
        <v>0.0173</v>
      </c>
      <c r="F7726" s="1" t="n">
        <v>0.0462</v>
      </c>
    </row>
    <row r="7727" customFormat="false" ht="15" hidden="false" customHeight="false" outlineLevel="0" collapsed="false">
      <c r="A7727" s="1" t="s">
        <v>7762</v>
      </c>
      <c r="B7727" s="1" t="s">
        <v>490</v>
      </c>
      <c r="C7727" s="1" t="n">
        <v>381000</v>
      </c>
      <c r="D7727" s="1" t="n">
        <v>52186.8</v>
      </c>
      <c r="E7727" s="1" t="n">
        <v>0.0147</v>
      </c>
      <c r="F7727" s="1" t="n">
        <v>0.0757</v>
      </c>
    </row>
    <row r="7728" customFormat="false" ht="15" hidden="false" customHeight="false" outlineLevel="0" collapsed="false">
      <c r="A7728" s="1" t="s">
        <v>7763</v>
      </c>
      <c r="B7728" s="1" t="s">
        <v>92</v>
      </c>
      <c r="C7728" s="1" t="n">
        <v>239000</v>
      </c>
      <c r="D7728" s="1" t="n">
        <v>3625.7</v>
      </c>
      <c r="E7728" s="1" t="n">
        <v>0.0357</v>
      </c>
      <c r="F7728" s="1" t="n">
        <v>0.0951</v>
      </c>
    </row>
    <row r="7729" customFormat="false" ht="15" hidden="false" customHeight="false" outlineLevel="0" collapsed="false">
      <c r="A7729" s="1" t="s">
        <v>7764</v>
      </c>
      <c r="B7729" s="1" t="s">
        <v>195</v>
      </c>
      <c r="C7729" s="1" t="n">
        <v>240000</v>
      </c>
      <c r="D7729" s="1" t="n">
        <v>597.9</v>
      </c>
      <c r="E7729" s="1" t="n">
        <v>0.0214</v>
      </c>
      <c r="F7729" s="1" t="n">
        <v>0.117</v>
      </c>
    </row>
    <row r="7730" customFormat="false" ht="15" hidden="false" customHeight="false" outlineLevel="0" collapsed="false">
      <c r="A7730" s="1" t="s">
        <v>7765</v>
      </c>
      <c r="B7730" s="1" t="s">
        <v>214</v>
      </c>
      <c r="C7730" s="1" t="n">
        <v>232000</v>
      </c>
      <c r="D7730" s="1" t="n">
        <v>294976.2</v>
      </c>
      <c r="E7730" s="1" t="n">
        <v>0.0284</v>
      </c>
      <c r="F7730" s="1" t="n">
        <v>0.0951</v>
      </c>
    </row>
    <row r="7731" customFormat="false" ht="15" hidden="false" customHeight="false" outlineLevel="0" collapsed="false">
      <c r="A7731" s="1" t="s">
        <v>7766</v>
      </c>
      <c r="B7731" s="1" t="s">
        <v>81</v>
      </c>
      <c r="C7731" s="1" t="n">
        <v>172000</v>
      </c>
      <c r="D7731" s="1" t="n">
        <v>15643.3</v>
      </c>
      <c r="E7731" s="1" t="n">
        <v>0.0403</v>
      </c>
      <c r="F7731" s="1" t="n">
        <v>0.0951</v>
      </c>
    </row>
    <row r="7732" customFormat="false" ht="15" hidden="false" customHeight="false" outlineLevel="0" collapsed="false">
      <c r="A7732" s="1" t="s">
        <v>7767</v>
      </c>
      <c r="B7732" s="1" t="s">
        <v>26</v>
      </c>
      <c r="C7732" s="1" t="n">
        <v>268000</v>
      </c>
      <c r="D7732" s="1" t="n">
        <v>67968.7</v>
      </c>
      <c r="E7732" s="1" t="n">
        <v>0.0519</v>
      </c>
      <c r="F7732" s="1" t="n">
        <v>0.0518</v>
      </c>
    </row>
    <row r="7733" customFormat="false" ht="15" hidden="false" customHeight="false" outlineLevel="0" collapsed="false">
      <c r="A7733" s="1" t="s">
        <v>7768</v>
      </c>
      <c r="B7733" s="1" t="s">
        <v>81</v>
      </c>
      <c r="C7733" s="1" t="n">
        <v>357000</v>
      </c>
      <c r="D7733" s="1" t="n">
        <v>10771.5</v>
      </c>
      <c r="E7733" s="1" t="n">
        <v>0.0337</v>
      </c>
      <c r="F7733" s="1" t="n">
        <v>0.0938</v>
      </c>
    </row>
    <row r="7734" customFormat="false" ht="15" hidden="false" customHeight="false" outlineLevel="0" collapsed="false">
      <c r="A7734" s="1" t="s">
        <v>7769</v>
      </c>
      <c r="B7734" s="1" t="s">
        <v>195</v>
      </c>
      <c r="C7734" s="1" t="n">
        <v>256000</v>
      </c>
      <c r="D7734" s="1" t="n">
        <v>1229.6</v>
      </c>
      <c r="E7734" s="1" t="n">
        <v>0.01</v>
      </c>
      <c r="F7734" s="1" t="n">
        <v>0.0654</v>
      </c>
    </row>
    <row r="7735" customFormat="false" ht="15" hidden="false" customHeight="false" outlineLevel="0" collapsed="false">
      <c r="A7735" s="1" t="s">
        <v>7770</v>
      </c>
      <c r="B7735" s="1" t="s">
        <v>88</v>
      </c>
      <c r="C7735" s="1" t="n">
        <v>297000</v>
      </c>
      <c r="D7735" s="1" t="n">
        <v>680.4</v>
      </c>
      <c r="E7735" s="1" t="n">
        <v>0.1508</v>
      </c>
      <c r="F7735" s="1" t="n">
        <v>0.0938</v>
      </c>
    </row>
    <row r="7736" customFormat="false" ht="15" hidden="false" customHeight="false" outlineLevel="0" collapsed="false">
      <c r="A7736" s="1" t="s">
        <v>7771</v>
      </c>
      <c r="B7736" s="1" t="s">
        <v>74</v>
      </c>
      <c r="C7736" s="1" t="n">
        <v>232000</v>
      </c>
      <c r="D7736" s="1" t="n">
        <v>1660.3</v>
      </c>
      <c r="E7736" s="1" t="n">
        <v>0.0526</v>
      </c>
      <c r="F7736" s="1" t="n">
        <v>0.0951</v>
      </c>
    </row>
    <row r="7737" customFormat="false" ht="15" hidden="false" customHeight="false" outlineLevel="0" collapsed="false">
      <c r="A7737" s="1" t="s">
        <v>7772</v>
      </c>
      <c r="B7737" s="1" t="s">
        <v>24</v>
      </c>
      <c r="C7737" s="1" t="n">
        <v>240000</v>
      </c>
      <c r="D7737" s="1" t="n">
        <v>3085.9</v>
      </c>
      <c r="E7737" s="1" t="n">
        <v>0.0167</v>
      </c>
      <c r="F7737" s="1" t="n">
        <v>0.0585</v>
      </c>
    </row>
    <row r="7738" customFormat="false" ht="15" hidden="false" customHeight="false" outlineLevel="0" collapsed="false">
      <c r="A7738" s="1" t="s">
        <v>7773</v>
      </c>
      <c r="B7738" s="1" t="s">
        <v>26</v>
      </c>
      <c r="C7738" s="1" t="n">
        <v>247000</v>
      </c>
      <c r="D7738" s="1" t="n">
        <v>7265.7</v>
      </c>
      <c r="E7738" s="1" t="n">
        <v>0.0256</v>
      </c>
      <c r="F7738" s="1" t="n">
        <v>0.0409</v>
      </c>
    </row>
    <row r="7739" customFormat="false" ht="15" hidden="false" customHeight="false" outlineLevel="0" collapsed="false">
      <c r="A7739" s="1" t="s">
        <v>7774</v>
      </c>
      <c r="B7739" s="1" t="s">
        <v>26</v>
      </c>
      <c r="C7739" s="1" t="n">
        <v>401000</v>
      </c>
      <c r="D7739" s="1" t="n">
        <v>3222.7</v>
      </c>
      <c r="E7739" s="1" t="n">
        <v>0.0365</v>
      </c>
      <c r="F7739" s="1" t="n">
        <v>0.0938</v>
      </c>
    </row>
    <row r="7740" customFormat="false" ht="15" hidden="false" customHeight="false" outlineLevel="0" collapsed="false">
      <c r="A7740" s="1" t="s">
        <v>7775</v>
      </c>
      <c r="B7740" s="1" t="s">
        <v>71</v>
      </c>
      <c r="C7740" s="1" t="n">
        <v>252000</v>
      </c>
      <c r="D7740" s="1" t="n">
        <v>11026.6</v>
      </c>
      <c r="E7740" s="1" t="n">
        <v>0.0217</v>
      </c>
      <c r="F7740" s="1" t="n">
        <v>0.095</v>
      </c>
    </row>
    <row r="7741" customFormat="false" ht="15" hidden="false" customHeight="false" outlineLevel="0" collapsed="false">
      <c r="A7741" s="1" t="s">
        <v>7776</v>
      </c>
      <c r="B7741" s="1" t="s">
        <v>50</v>
      </c>
      <c r="C7741" s="1" t="n">
        <v>288000</v>
      </c>
      <c r="D7741" s="1" t="n">
        <v>5474.1</v>
      </c>
      <c r="E7741" s="1" t="n">
        <v>0.034</v>
      </c>
      <c r="F7741" s="1" t="n">
        <v>0.1387</v>
      </c>
    </row>
    <row r="7742" customFormat="false" ht="15" hidden="false" customHeight="false" outlineLevel="0" collapsed="false">
      <c r="A7742" s="1" t="s">
        <v>7777</v>
      </c>
      <c r="B7742" s="1" t="s">
        <v>50</v>
      </c>
      <c r="C7742" s="1" t="n">
        <v>266000</v>
      </c>
      <c r="D7742" s="1" t="n">
        <v>5416.1</v>
      </c>
      <c r="E7742" s="1" t="n">
        <v>0.0333</v>
      </c>
      <c r="F7742" s="1" t="n">
        <v>0.0759</v>
      </c>
    </row>
    <row r="7743" customFormat="false" ht="15" hidden="false" customHeight="false" outlineLevel="0" collapsed="false">
      <c r="A7743" s="1" t="s">
        <v>7778</v>
      </c>
      <c r="B7743" s="1" t="s">
        <v>92</v>
      </c>
      <c r="C7743" s="1" t="n">
        <v>308000</v>
      </c>
      <c r="D7743" s="1" t="n">
        <v>16425.5</v>
      </c>
      <c r="E7743" s="1" t="n">
        <v>0.0194</v>
      </c>
      <c r="F7743" s="1" t="n">
        <v>0.0854</v>
      </c>
    </row>
    <row r="7744" customFormat="false" ht="15" hidden="false" customHeight="false" outlineLevel="0" collapsed="false">
      <c r="A7744" s="1" t="s">
        <v>7779</v>
      </c>
      <c r="B7744" s="1" t="s">
        <v>71</v>
      </c>
      <c r="C7744" s="1" t="n">
        <v>276000</v>
      </c>
      <c r="D7744" s="1" t="n">
        <v>5747.3</v>
      </c>
      <c r="E7744" s="1" t="n">
        <v>0.0352</v>
      </c>
      <c r="F7744" s="1" t="n">
        <v>0.0759</v>
      </c>
    </row>
    <row r="7745" customFormat="false" ht="15" hidden="false" customHeight="false" outlineLevel="0" collapsed="false">
      <c r="A7745" s="1" t="s">
        <v>7780</v>
      </c>
      <c r="B7745" s="1" t="s">
        <v>41</v>
      </c>
      <c r="C7745" s="1" t="n">
        <v>349000</v>
      </c>
      <c r="D7745" s="1" t="n">
        <v>88480</v>
      </c>
      <c r="E7745" s="1" t="n">
        <v>0.011</v>
      </c>
      <c r="F7745" s="1" t="n">
        <v>0.0654</v>
      </c>
    </row>
    <row r="7746" customFormat="false" ht="15" hidden="false" customHeight="false" outlineLevel="0" collapsed="false">
      <c r="A7746" s="1" t="s">
        <v>7781</v>
      </c>
      <c r="B7746" s="1" t="s">
        <v>26</v>
      </c>
      <c r="C7746" s="1" t="n">
        <v>359000</v>
      </c>
      <c r="D7746" s="1" t="n">
        <v>5866.6</v>
      </c>
      <c r="E7746" s="1" t="n">
        <v>0.0171</v>
      </c>
      <c r="F7746" s="1" t="n">
        <v>0.1536</v>
      </c>
    </row>
    <row r="7747" customFormat="false" ht="15" hidden="false" customHeight="false" outlineLevel="0" collapsed="false">
      <c r="A7747" s="1" t="s">
        <v>7782</v>
      </c>
      <c r="B7747" s="1" t="s">
        <v>26</v>
      </c>
      <c r="C7747" s="1" t="n">
        <v>238000</v>
      </c>
      <c r="D7747" s="1" t="n">
        <v>9011.5</v>
      </c>
      <c r="E7747" s="1" t="n">
        <v>0.0341</v>
      </c>
      <c r="F7747" s="1" t="n">
        <v>0.0951</v>
      </c>
    </row>
    <row r="7748" customFormat="false" ht="15" hidden="false" customHeight="false" outlineLevel="0" collapsed="false">
      <c r="A7748" s="1" t="s">
        <v>7783</v>
      </c>
      <c r="B7748" s="1" t="s">
        <v>214</v>
      </c>
      <c r="C7748" s="1" t="n">
        <v>235000</v>
      </c>
      <c r="D7748" s="1" t="n">
        <v>515.4</v>
      </c>
      <c r="E7748" s="1" t="n">
        <v>0.041</v>
      </c>
      <c r="F7748" s="1" t="n">
        <v>0.0951</v>
      </c>
    </row>
    <row r="7749" customFormat="false" ht="15" hidden="false" customHeight="false" outlineLevel="0" collapsed="false">
      <c r="A7749" s="1" t="s">
        <v>7784</v>
      </c>
      <c r="B7749" s="1" t="s">
        <v>88</v>
      </c>
      <c r="C7749" s="1" t="n">
        <v>254000</v>
      </c>
      <c r="D7749" s="1" t="n">
        <v>3112.3</v>
      </c>
      <c r="E7749" s="1" t="n">
        <v>0.0382</v>
      </c>
      <c r="F7749" s="1" t="n">
        <v>0.117</v>
      </c>
    </row>
    <row r="7750" customFormat="false" ht="15" hidden="false" customHeight="false" outlineLevel="0" collapsed="false">
      <c r="A7750" s="1" t="s">
        <v>7785</v>
      </c>
      <c r="B7750" s="1" t="s">
        <v>81</v>
      </c>
      <c r="C7750" s="1" t="n">
        <v>327000</v>
      </c>
      <c r="D7750" s="1" t="n">
        <v>74478.2</v>
      </c>
      <c r="E7750" s="1" t="n">
        <v>0.0281</v>
      </c>
      <c r="F7750" s="1" t="n">
        <v>0.0759</v>
      </c>
    </row>
    <row r="7751" customFormat="false" ht="15" hidden="false" customHeight="false" outlineLevel="0" collapsed="false">
      <c r="A7751" s="1" t="s">
        <v>7786</v>
      </c>
      <c r="B7751" s="1" t="s">
        <v>81</v>
      </c>
      <c r="C7751" s="1" t="n">
        <v>190000</v>
      </c>
      <c r="D7751" s="1" t="n">
        <v>3426.5</v>
      </c>
      <c r="E7751" s="1" t="n">
        <v>0.0134</v>
      </c>
      <c r="F7751" s="1" t="n">
        <v>0.1617</v>
      </c>
    </row>
    <row r="7752" customFormat="false" ht="15" hidden="false" customHeight="false" outlineLevel="0" collapsed="false">
      <c r="A7752" s="1" t="s">
        <v>7787</v>
      </c>
      <c r="B7752" s="1" t="s">
        <v>26</v>
      </c>
      <c r="C7752" s="1" t="n">
        <v>454000</v>
      </c>
      <c r="D7752" s="1" t="n">
        <v>38742.7</v>
      </c>
      <c r="E7752" s="1" t="n">
        <v>0.0256</v>
      </c>
      <c r="F7752" s="1" t="n">
        <v>0.0759</v>
      </c>
    </row>
    <row r="7753" customFormat="false" ht="15" hidden="false" customHeight="false" outlineLevel="0" collapsed="false">
      <c r="A7753" s="1" t="s">
        <v>7788</v>
      </c>
      <c r="B7753" s="1" t="s">
        <v>26</v>
      </c>
      <c r="C7753" s="1" t="n">
        <v>239000</v>
      </c>
      <c r="D7753" s="1" t="n">
        <v>4853.2</v>
      </c>
      <c r="E7753" s="1" t="n">
        <v>0.0093</v>
      </c>
      <c r="F7753" s="1" t="n">
        <v>0.0659</v>
      </c>
    </row>
    <row r="7754" customFormat="false" ht="15" hidden="false" customHeight="false" outlineLevel="0" collapsed="false">
      <c r="A7754" s="1" t="s">
        <v>7789</v>
      </c>
      <c r="B7754" s="1" t="s">
        <v>88</v>
      </c>
      <c r="C7754" s="1" t="n">
        <v>334000</v>
      </c>
      <c r="D7754" s="1" t="n">
        <v>329.5</v>
      </c>
      <c r="E7754" s="1" t="n">
        <v>0.0608</v>
      </c>
      <c r="F7754" s="1" t="n">
        <v>0.0938</v>
      </c>
    </row>
    <row r="7755" customFormat="false" ht="15" hidden="false" customHeight="false" outlineLevel="0" collapsed="false">
      <c r="A7755" s="1" t="s">
        <v>7790</v>
      </c>
      <c r="B7755" s="1" t="s">
        <v>32</v>
      </c>
      <c r="C7755" s="1" t="n">
        <v>237000</v>
      </c>
      <c r="D7755" s="1" t="n">
        <v>71909.6</v>
      </c>
      <c r="E7755" s="1" t="n">
        <v>0.0333</v>
      </c>
      <c r="F7755" s="1" t="n">
        <v>0.1184</v>
      </c>
    </row>
    <row r="7756" customFormat="false" ht="15" hidden="false" customHeight="false" outlineLevel="0" collapsed="false">
      <c r="A7756" s="1" t="s">
        <v>7791</v>
      </c>
      <c r="B7756" s="1" t="s">
        <v>92</v>
      </c>
      <c r="C7756" s="1" t="n">
        <v>235000</v>
      </c>
      <c r="D7756" s="1" t="n">
        <v>6786.9</v>
      </c>
      <c r="E7756" s="1" t="n">
        <v>0.0132</v>
      </c>
      <c r="F7756" s="1" t="n">
        <v>0.1327</v>
      </c>
    </row>
    <row r="7757" customFormat="false" ht="15" hidden="false" customHeight="false" outlineLevel="0" collapsed="false">
      <c r="A7757" s="1" t="s">
        <v>7792</v>
      </c>
      <c r="B7757" s="1" t="s">
        <v>41</v>
      </c>
      <c r="C7757" s="1" t="n">
        <v>325000</v>
      </c>
      <c r="D7757" s="1" t="n">
        <v>636.4</v>
      </c>
      <c r="E7757" s="1" t="n">
        <v>0.015</v>
      </c>
      <c r="F7757" s="1" t="n">
        <v>0.0576</v>
      </c>
    </row>
    <row r="7758" customFormat="false" ht="15" hidden="false" customHeight="false" outlineLevel="0" collapsed="false">
      <c r="A7758" s="1" t="s">
        <v>7793</v>
      </c>
      <c r="B7758" s="1" t="s">
        <v>195</v>
      </c>
      <c r="C7758" s="1" t="n">
        <v>308000</v>
      </c>
      <c r="D7758" s="1" t="n">
        <v>1726.9</v>
      </c>
      <c r="E7758" s="1" t="n">
        <v>0.0618</v>
      </c>
      <c r="F7758" s="1" t="n">
        <v>0.0951</v>
      </c>
    </row>
    <row r="7759" customFormat="false" ht="15" hidden="false" customHeight="false" outlineLevel="0" collapsed="false">
      <c r="A7759" s="1" t="s">
        <v>7794</v>
      </c>
      <c r="B7759" s="1" t="s">
        <v>24</v>
      </c>
      <c r="C7759" s="1" t="n">
        <v>751000</v>
      </c>
      <c r="D7759" s="1" t="n">
        <v>32196.2</v>
      </c>
      <c r="E7759" s="1" t="n">
        <v>0.0362</v>
      </c>
      <c r="F7759" s="1" t="n">
        <v>0.0938</v>
      </c>
    </row>
    <row r="7760" customFormat="false" ht="15" hidden="false" customHeight="false" outlineLevel="0" collapsed="false">
      <c r="A7760" s="1" t="s">
        <v>7795</v>
      </c>
      <c r="B7760" s="1" t="s">
        <v>26</v>
      </c>
      <c r="C7760" s="1" t="n">
        <v>246000</v>
      </c>
      <c r="D7760" s="1" t="n">
        <v>7338.9</v>
      </c>
      <c r="E7760" s="1" t="n">
        <v>0.0202</v>
      </c>
      <c r="F7760" s="1" t="n">
        <v>0.1067</v>
      </c>
    </row>
    <row r="7761" customFormat="false" ht="15" hidden="false" customHeight="false" outlineLevel="0" collapsed="false">
      <c r="A7761" s="1" t="s">
        <v>7796</v>
      </c>
      <c r="B7761" s="1" t="s">
        <v>26</v>
      </c>
      <c r="C7761" s="1" t="n">
        <v>283000</v>
      </c>
      <c r="D7761" s="1" t="n">
        <v>156931.3</v>
      </c>
      <c r="E7761" s="1" t="n">
        <v>0.0112</v>
      </c>
      <c r="F7761" s="1" t="n">
        <v>0.0462</v>
      </c>
    </row>
    <row r="7762" customFormat="false" ht="15" hidden="false" customHeight="false" outlineLevel="0" collapsed="false">
      <c r="A7762" s="1" t="s">
        <v>7797</v>
      </c>
      <c r="B7762" s="1" t="s">
        <v>41</v>
      </c>
      <c r="C7762" s="1" t="n">
        <v>351000</v>
      </c>
      <c r="D7762" s="1" t="n">
        <v>2842.9</v>
      </c>
      <c r="E7762" s="1" t="n">
        <v>0.0129</v>
      </c>
      <c r="F7762" s="1" t="n">
        <v>0.0811</v>
      </c>
    </row>
    <row r="7763" customFormat="false" ht="15" hidden="false" customHeight="false" outlineLevel="0" collapsed="false">
      <c r="A7763" s="1" t="s">
        <v>7798</v>
      </c>
      <c r="B7763" s="1" t="s">
        <v>26</v>
      </c>
      <c r="C7763" s="1" t="n">
        <v>438000</v>
      </c>
      <c r="D7763" s="1" t="n">
        <v>1187.2</v>
      </c>
      <c r="E7763" s="1" t="n">
        <v>0.0061</v>
      </c>
      <c r="F7763" s="1" t="n">
        <v>0.0654</v>
      </c>
    </row>
    <row r="7764" customFormat="false" ht="15" hidden="false" customHeight="false" outlineLevel="0" collapsed="false">
      <c r="A7764" s="1" t="s">
        <v>7799</v>
      </c>
      <c r="B7764" s="1" t="s">
        <v>62</v>
      </c>
      <c r="C7764" s="1" t="n">
        <v>484000</v>
      </c>
      <c r="D7764" s="1" t="n">
        <v>10196.7</v>
      </c>
      <c r="E7764" s="1" t="n">
        <v>0.0596</v>
      </c>
      <c r="F7764" s="1" t="n">
        <v>0.0759</v>
      </c>
    </row>
    <row r="7765" customFormat="false" ht="15" hidden="false" customHeight="false" outlineLevel="0" collapsed="false">
      <c r="A7765" s="1" t="s">
        <v>7800</v>
      </c>
      <c r="B7765" s="1" t="s">
        <v>32</v>
      </c>
      <c r="C7765" s="1" t="n">
        <v>259000</v>
      </c>
      <c r="D7765" s="1" t="n">
        <v>109707.4</v>
      </c>
      <c r="E7765" s="1" t="n">
        <v>0.0319</v>
      </c>
      <c r="F7765" s="1" t="n">
        <v>0.0951</v>
      </c>
    </row>
    <row r="7766" customFormat="false" ht="15" hidden="false" customHeight="false" outlineLevel="0" collapsed="false">
      <c r="A7766" s="1" t="s">
        <v>7801</v>
      </c>
      <c r="B7766" s="1" t="s">
        <v>26</v>
      </c>
      <c r="C7766" s="1" t="n">
        <v>236000</v>
      </c>
      <c r="D7766" s="1" t="n">
        <v>4428.6</v>
      </c>
      <c r="E7766" s="1" t="n">
        <v>0.0305</v>
      </c>
      <c r="F7766" s="1" t="n">
        <v>0.0951</v>
      </c>
    </row>
    <row r="7767" customFormat="false" ht="15" hidden="false" customHeight="false" outlineLevel="0" collapsed="false">
      <c r="A7767" s="1" t="s">
        <v>7802</v>
      </c>
      <c r="B7767" s="1" t="s">
        <v>88</v>
      </c>
      <c r="C7767" s="1" t="n">
        <v>236000</v>
      </c>
      <c r="D7767" s="1" t="n">
        <v>3919.2</v>
      </c>
      <c r="E7767" s="1" t="n">
        <v>0.0576</v>
      </c>
      <c r="F7767" s="1" t="n">
        <v>0.117</v>
      </c>
    </row>
    <row r="7768" customFormat="false" ht="15" hidden="false" customHeight="false" outlineLevel="0" collapsed="false">
      <c r="A7768" s="1" t="s">
        <v>7803</v>
      </c>
      <c r="B7768" s="1" t="s">
        <v>26</v>
      </c>
      <c r="C7768" s="1" t="n">
        <v>328000</v>
      </c>
      <c r="D7768" s="1" t="n">
        <v>22322.5</v>
      </c>
      <c r="E7768" s="1" t="n">
        <v>0.025</v>
      </c>
      <c r="F7768" s="1" t="n">
        <v>0.0938</v>
      </c>
    </row>
    <row r="7769" customFormat="false" ht="15" hidden="false" customHeight="false" outlineLevel="0" collapsed="false">
      <c r="A7769" s="1" t="s">
        <v>7804</v>
      </c>
      <c r="B7769" s="1" t="s">
        <v>62</v>
      </c>
      <c r="C7769" s="1" t="n">
        <v>241000</v>
      </c>
      <c r="D7769" s="1" t="n">
        <v>3952.7</v>
      </c>
      <c r="E7769" s="1" t="n">
        <v>0.0666</v>
      </c>
      <c r="F7769" s="1" t="n">
        <v>0.0951</v>
      </c>
    </row>
    <row r="7770" customFormat="false" ht="15" hidden="false" customHeight="false" outlineLevel="0" collapsed="false">
      <c r="A7770" s="1" t="s">
        <v>7805</v>
      </c>
      <c r="B7770" s="1" t="s">
        <v>24</v>
      </c>
      <c r="C7770" s="1" t="n">
        <v>272000</v>
      </c>
      <c r="D7770" s="1" t="n">
        <v>2356.7</v>
      </c>
      <c r="E7770" s="1" t="n">
        <v>0.0591</v>
      </c>
      <c r="F7770" s="1" t="n">
        <v>0.0951</v>
      </c>
    </row>
    <row r="7771" customFormat="false" ht="15" hidden="false" customHeight="false" outlineLevel="0" collapsed="false">
      <c r="A7771" s="1" t="s">
        <v>7806</v>
      </c>
      <c r="B7771" s="1" t="s">
        <v>53</v>
      </c>
      <c r="C7771" s="1" t="n">
        <v>425000</v>
      </c>
      <c r="D7771" s="1" t="n">
        <v>3443.8</v>
      </c>
      <c r="E7771" s="1" t="n">
        <v>0.0486</v>
      </c>
      <c r="F7771" s="1" t="n">
        <v>0.0938</v>
      </c>
    </row>
    <row r="7772" customFormat="false" ht="15" hidden="false" customHeight="false" outlineLevel="0" collapsed="false">
      <c r="A7772" s="1" t="s">
        <v>7807</v>
      </c>
      <c r="B7772" s="1" t="s">
        <v>88</v>
      </c>
      <c r="C7772" s="1" t="n">
        <v>328000</v>
      </c>
      <c r="D7772" s="1" t="n">
        <v>2484.7</v>
      </c>
      <c r="E7772" s="1" t="n">
        <v>0.0242</v>
      </c>
      <c r="F7772" s="1" t="n">
        <v>0.0938</v>
      </c>
    </row>
    <row r="7773" customFormat="false" ht="15" hidden="false" customHeight="false" outlineLevel="0" collapsed="false">
      <c r="A7773" s="1" t="s">
        <v>7808</v>
      </c>
      <c r="B7773" s="1" t="s">
        <v>92</v>
      </c>
      <c r="C7773" s="1" t="n">
        <v>262000</v>
      </c>
      <c r="D7773" s="1" t="n">
        <v>2495.7</v>
      </c>
      <c r="E7773" s="1" t="n">
        <v>0.0122</v>
      </c>
      <c r="F7773" s="1" t="n">
        <v>0.1452</v>
      </c>
    </row>
    <row r="7774" customFormat="false" ht="15" hidden="false" customHeight="false" outlineLevel="0" collapsed="false">
      <c r="A7774" s="1" t="s">
        <v>7809</v>
      </c>
      <c r="B7774" s="1" t="s">
        <v>26</v>
      </c>
      <c r="C7774" s="1" t="n">
        <v>246000</v>
      </c>
      <c r="D7774" s="1" t="n">
        <v>352.1</v>
      </c>
      <c r="E7774" s="1" t="n">
        <v>0.0498</v>
      </c>
      <c r="F7774" s="1" t="n">
        <v>0.1057</v>
      </c>
    </row>
    <row r="7775" customFormat="false" ht="15" hidden="false" customHeight="false" outlineLevel="0" collapsed="false">
      <c r="A7775" s="1" t="s">
        <v>7810</v>
      </c>
      <c r="B7775" s="1" t="s">
        <v>26</v>
      </c>
      <c r="C7775" s="1" t="n">
        <v>228000</v>
      </c>
      <c r="D7775" s="1" t="n">
        <v>21409.7</v>
      </c>
      <c r="E7775" s="1" t="n">
        <v>0.0626</v>
      </c>
      <c r="F7775" s="1" t="n">
        <v>0.0546</v>
      </c>
    </row>
    <row r="7776" customFormat="false" ht="15" hidden="false" customHeight="false" outlineLevel="0" collapsed="false">
      <c r="A7776" s="1" t="s">
        <v>7811</v>
      </c>
      <c r="B7776" s="1" t="s">
        <v>88</v>
      </c>
      <c r="C7776" s="1" t="n">
        <v>549000</v>
      </c>
      <c r="D7776" s="1" t="n">
        <v>5929.8</v>
      </c>
      <c r="E7776" s="1" t="n">
        <v>0.0419</v>
      </c>
      <c r="F7776" s="1" t="n">
        <v>0.0998</v>
      </c>
    </row>
    <row r="7777" customFormat="false" ht="15" hidden="false" customHeight="false" outlineLevel="0" collapsed="false">
      <c r="A7777" s="1" t="s">
        <v>7812</v>
      </c>
      <c r="B7777" s="1" t="s">
        <v>50</v>
      </c>
      <c r="C7777" s="1" t="n">
        <v>246000</v>
      </c>
      <c r="D7777" s="1" t="n">
        <v>253.3</v>
      </c>
      <c r="E7777" s="1" t="n">
        <v>0.0102</v>
      </c>
      <c r="F7777" s="1" t="n">
        <v>0.228</v>
      </c>
    </row>
    <row r="7778" customFormat="false" ht="15" hidden="false" customHeight="false" outlineLevel="0" collapsed="false">
      <c r="A7778" s="1" t="s">
        <v>7813</v>
      </c>
      <c r="B7778" s="1" t="s">
        <v>26</v>
      </c>
      <c r="C7778" s="1" t="n">
        <v>237000</v>
      </c>
      <c r="D7778" s="1" t="n">
        <v>2469.7</v>
      </c>
      <c r="E7778" s="1" t="n">
        <v>0.0766</v>
      </c>
      <c r="F7778" s="1" t="n">
        <v>0.0759</v>
      </c>
    </row>
    <row r="7779" customFormat="false" ht="15" hidden="false" customHeight="false" outlineLevel="0" collapsed="false">
      <c r="A7779" s="1" t="s">
        <v>7814</v>
      </c>
      <c r="B7779" s="1" t="s">
        <v>88</v>
      </c>
      <c r="C7779" s="1" t="n">
        <v>238000</v>
      </c>
      <c r="D7779" s="1" t="n">
        <v>914.5</v>
      </c>
      <c r="E7779" s="1" t="n">
        <v>0.0218</v>
      </c>
      <c r="F7779" s="1" t="n">
        <v>0.1067</v>
      </c>
    </row>
    <row r="7780" customFormat="false" ht="15" hidden="false" customHeight="false" outlineLevel="0" collapsed="false">
      <c r="A7780" s="1" t="s">
        <v>7815</v>
      </c>
      <c r="B7780" s="1" t="s">
        <v>50</v>
      </c>
      <c r="C7780" s="1" t="n">
        <v>257000</v>
      </c>
      <c r="D7780" s="1" t="n">
        <v>15067.3</v>
      </c>
      <c r="E7780" s="1" t="n">
        <v>0.0271</v>
      </c>
      <c r="F7780" s="1" t="n">
        <v>0.0951</v>
      </c>
    </row>
    <row r="7781" customFormat="false" ht="15" hidden="false" customHeight="false" outlineLevel="0" collapsed="false">
      <c r="A7781" s="1" t="s">
        <v>7816</v>
      </c>
      <c r="B7781" s="1" t="s">
        <v>26</v>
      </c>
      <c r="C7781" s="1" t="n">
        <v>286000</v>
      </c>
      <c r="D7781" s="1" t="n">
        <v>1211.8</v>
      </c>
      <c r="E7781" s="1" t="n">
        <v>0.0088</v>
      </c>
      <c r="F7781" s="1" t="n">
        <v>0.0775</v>
      </c>
    </row>
    <row r="7782" customFormat="false" ht="15" hidden="false" customHeight="false" outlineLevel="0" collapsed="false">
      <c r="A7782" s="1" t="s">
        <v>7817</v>
      </c>
      <c r="B7782" s="1" t="s">
        <v>26</v>
      </c>
      <c r="C7782" s="1" t="n">
        <v>238000</v>
      </c>
      <c r="D7782" s="1" t="n">
        <v>3858.8</v>
      </c>
      <c r="E7782" s="1" t="n">
        <v>0.0279</v>
      </c>
      <c r="F7782" s="1" t="n">
        <v>0.3424</v>
      </c>
    </row>
    <row r="7783" customFormat="false" ht="15" hidden="false" customHeight="false" outlineLevel="0" collapsed="false">
      <c r="A7783" s="1" t="s">
        <v>7818</v>
      </c>
      <c r="B7783" s="1" t="s">
        <v>21</v>
      </c>
      <c r="C7783" s="1" t="n">
        <v>172000</v>
      </c>
      <c r="D7783" s="1" t="n">
        <v>6905.3</v>
      </c>
      <c r="E7783" s="1" t="n">
        <v>0.0553</v>
      </c>
      <c r="F7783" s="1" t="n">
        <v>0.0951</v>
      </c>
    </row>
    <row r="7784" customFormat="false" ht="15" hidden="false" customHeight="false" outlineLevel="0" collapsed="false">
      <c r="A7784" s="1" t="s">
        <v>7819</v>
      </c>
      <c r="B7784" s="1" t="s">
        <v>41</v>
      </c>
      <c r="C7784" s="1" t="n">
        <v>241000</v>
      </c>
      <c r="D7784" s="1" t="n">
        <v>433.3</v>
      </c>
      <c r="E7784" s="1" t="n">
        <v>0.0201</v>
      </c>
      <c r="F7784" s="1" t="n">
        <v>0.1372</v>
      </c>
    </row>
    <row r="7785" customFormat="false" ht="15" hidden="false" customHeight="false" outlineLevel="0" collapsed="false">
      <c r="A7785" s="1" t="s">
        <v>7820</v>
      </c>
      <c r="B7785" s="1" t="s">
        <v>26</v>
      </c>
      <c r="C7785" s="1" t="n">
        <v>237000</v>
      </c>
      <c r="D7785" s="1" t="n">
        <v>2343</v>
      </c>
      <c r="E7785" s="1" t="n">
        <v>0.0178</v>
      </c>
      <c r="F7785" s="1" t="n">
        <v>0.0576</v>
      </c>
    </row>
    <row r="7786" customFormat="false" ht="15" hidden="false" customHeight="false" outlineLevel="0" collapsed="false">
      <c r="A7786" s="1" t="s">
        <v>7821</v>
      </c>
      <c r="B7786" s="1" t="s">
        <v>24</v>
      </c>
      <c r="C7786" s="1" t="n">
        <v>233000</v>
      </c>
      <c r="D7786" s="1" t="n">
        <v>43.8</v>
      </c>
      <c r="E7786" s="1" t="n">
        <v>0.014</v>
      </c>
      <c r="F7786" s="1" t="n">
        <v>0.2681</v>
      </c>
    </row>
    <row r="7787" customFormat="false" ht="15" hidden="false" customHeight="false" outlineLevel="0" collapsed="false">
      <c r="A7787" s="1" t="s">
        <v>7822</v>
      </c>
      <c r="B7787" s="1" t="s">
        <v>214</v>
      </c>
      <c r="C7787" s="1" t="n">
        <v>288000</v>
      </c>
      <c r="D7787" s="1" t="n">
        <v>136852.3</v>
      </c>
      <c r="E7787" s="1" t="n">
        <v>0.0337</v>
      </c>
      <c r="F7787" s="1" t="n">
        <v>0.0951</v>
      </c>
    </row>
    <row r="7788" customFormat="false" ht="15" hidden="false" customHeight="false" outlineLevel="0" collapsed="false">
      <c r="A7788" s="1" t="s">
        <v>7823</v>
      </c>
      <c r="B7788" s="1" t="s">
        <v>26</v>
      </c>
      <c r="C7788" s="1" t="n">
        <v>295000</v>
      </c>
      <c r="D7788" s="1" t="n">
        <v>1922</v>
      </c>
      <c r="E7788" s="1" t="n">
        <v>0.0223</v>
      </c>
      <c r="F7788" s="1" t="n">
        <v>0.1067</v>
      </c>
    </row>
    <row r="7789" customFormat="false" ht="15" hidden="false" customHeight="false" outlineLevel="0" collapsed="false">
      <c r="A7789" s="1" t="s">
        <v>7824</v>
      </c>
      <c r="B7789" s="1" t="s">
        <v>26</v>
      </c>
      <c r="C7789" s="1" t="n">
        <v>282000</v>
      </c>
      <c r="D7789" s="1" t="n">
        <v>7129.2</v>
      </c>
      <c r="E7789" s="1" t="n">
        <v>0.0092</v>
      </c>
      <c r="F7789" s="1" t="n">
        <v>0.0822</v>
      </c>
    </row>
    <row r="7790" customFormat="false" ht="15" hidden="false" customHeight="false" outlineLevel="0" collapsed="false">
      <c r="A7790" s="1" t="s">
        <v>7825</v>
      </c>
      <c r="B7790" s="1" t="s">
        <v>92</v>
      </c>
      <c r="C7790" s="1" t="n">
        <v>236000</v>
      </c>
      <c r="D7790" s="1" t="n">
        <v>112557</v>
      </c>
      <c r="E7790" s="1" t="n">
        <v>0.0148</v>
      </c>
      <c r="F7790" s="1" t="n">
        <v>0.1067</v>
      </c>
    </row>
    <row r="7791" customFormat="false" ht="15" hidden="false" customHeight="false" outlineLevel="0" collapsed="false">
      <c r="A7791" s="1" t="s">
        <v>7826</v>
      </c>
      <c r="B7791" s="1" t="s">
        <v>26</v>
      </c>
      <c r="C7791" s="1" t="n">
        <v>250000</v>
      </c>
      <c r="D7791" s="1" t="n">
        <v>1337.9</v>
      </c>
      <c r="E7791" s="1" t="n">
        <v>0.0076</v>
      </c>
      <c r="F7791" s="1" t="n">
        <v>0.0654</v>
      </c>
    </row>
    <row r="7792" customFormat="false" ht="15" hidden="false" customHeight="false" outlineLevel="0" collapsed="false">
      <c r="A7792" s="1" t="s">
        <v>7827</v>
      </c>
      <c r="B7792" s="1" t="s">
        <v>26</v>
      </c>
      <c r="C7792" s="1" t="n">
        <v>282000</v>
      </c>
      <c r="D7792" s="1" t="n">
        <v>1308.6</v>
      </c>
      <c r="E7792" s="1" t="n">
        <v>0.0113</v>
      </c>
      <c r="F7792" s="1" t="n">
        <v>0.0811</v>
      </c>
    </row>
    <row r="7793" customFormat="false" ht="15" hidden="false" customHeight="false" outlineLevel="0" collapsed="false">
      <c r="A7793" s="1" t="s">
        <v>7828</v>
      </c>
      <c r="B7793" s="1" t="s">
        <v>88</v>
      </c>
      <c r="C7793" s="1" t="n">
        <v>431000</v>
      </c>
      <c r="D7793" s="1" t="n">
        <v>896.4</v>
      </c>
      <c r="E7793" s="1" t="n">
        <v>0.0301</v>
      </c>
      <c r="F7793" s="1" t="n">
        <v>0.0938</v>
      </c>
    </row>
    <row r="7794" customFormat="false" ht="15" hidden="false" customHeight="false" outlineLevel="0" collapsed="false">
      <c r="A7794" s="1" t="s">
        <v>7829</v>
      </c>
      <c r="B7794" s="1" t="s">
        <v>88</v>
      </c>
      <c r="C7794" s="1" t="n">
        <v>264000</v>
      </c>
      <c r="D7794" s="1" t="n">
        <v>969.5</v>
      </c>
      <c r="E7794" s="1" t="n">
        <v>0.0372</v>
      </c>
      <c r="F7794" s="1" t="n">
        <v>0.0759</v>
      </c>
    </row>
    <row r="7795" customFormat="false" ht="15" hidden="false" customHeight="false" outlineLevel="0" collapsed="false">
      <c r="A7795" s="1" t="s">
        <v>7830</v>
      </c>
      <c r="B7795" s="1" t="s">
        <v>26</v>
      </c>
      <c r="C7795" s="1" t="n">
        <v>229000</v>
      </c>
      <c r="D7795" s="1" t="n">
        <v>13352.4</v>
      </c>
      <c r="E7795" s="1" t="n">
        <v>0.0703</v>
      </c>
      <c r="F7795" s="1" t="n">
        <v>0.0951</v>
      </c>
    </row>
    <row r="7796" customFormat="false" ht="15" hidden="false" customHeight="false" outlineLevel="0" collapsed="false">
      <c r="A7796" s="1" t="s">
        <v>7831</v>
      </c>
      <c r="B7796" s="1" t="s">
        <v>88</v>
      </c>
      <c r="C7796" s="1" t="n">
        <v>966000</v>
      </c>
      <c r="D7796" s="1" t="n">
        <v>13596.9</v>
      </c>
      <c r="E7796" s="1" t="n">
        <v>0.0363</v>
      </c>
      <c r="F7796" s="1" t="n">
        <v>0.051</v>
      </c>
    </row>
    <row r="7797" customFormat="false" ht="15" hidden="false" customHeight="false" outlineLevel="0" collapsed="false">
      <c r="A7797" s="1" t="s">
        <v>7832</v>
      </c>
      <c r="B7797" s="1" t="s">
        <v>26</v>
      </c>
      <c r="C7797" s="1" t="n">
        <v>340000</v>
      </c>
      <c r="D7797" s="1" t="n">
        <v>1805.2</v>
      </c>
      <c r="E7797" s="1" t="n">
        <v>0.0125</v>
      </c>
      <c r="F7797" s="1" t="n">
        <v>0.0584</v>
      </c>
    </row>
    <row r="7798" customFormat="false" ht="15" hidden="false" customHeight="false" outlineLevel="0" collapsed="false">
      <c r="A7798" s="1" t="s">
        <v>7833</v>
      </c>
      <c r="B7798" s="1" t="s">
        <v>92</v>
      </c>
      <c r="C7798" s="1" t="n">
        <v>278000</v>
      </c>
      <c r="D7798" s="1" t="n">
        <v>4558.2</v>
      </c>
      <c r="E7798" s="1" t="n">
        <v>0.017</v>
      </c>
      <c r="F7798" s="1" t="n">
        <v>0.1184</v>
      </c>
    </row>
    <row r="7799" customFormat="false" ht="15" hidden="false" customHeight="false" outlineLevel="0" collapsed="false">
      <c r="A7799" s="1" t="s">
        <v>7834</v>
      </c>
      <c r="B7799" s="1" t="s">
        <v>74</v>
      </c>
      <c r="C7799" s="1" t="n">
        <v>300000</v>
      </c>
      <c r="D7799" s="1" t="n">
        <v>16081.9</v>
      </c>
      <c r="E7799" s="1" t="n">
        <v>0.088</v>
      </c>
      <c r="F7799" s="1" t="n">
        <v>0.0951</v>
      </c>
    </row>
    <row r="7800" customFormat="false" ht="15" hidden="false" customHeight="false" outlineLevel="0" collapsed="false">
      <c r="A7800" s="1" t="s">
        <v>7835</v>
      </c>
      <c r="B7800" s="1" t="s">
        <v>92</v>
      </c>
      <c r="C7800" s="1" t="n">
        <v>294000</v>
      </c>
      <c r="D7800" s="1" t="n">
        <v>4239.9</v>
      </c>
      <c r="E7800" s="1" t="n">
        <v>0.0257</v>
      </c>
      <c r="F7800" s="1" t="n">
        <v>0.0462</v>
      </c>
    </row>
    <row r="7801" customFormat="false" ht="15" hidden="false" customHeight="false" outlineLevel="0" collapsed="false">
      <c r="A7801" s="1" t="s">
        <v>7836</v>
      </c>
      <c r="B7801" s="1" t="s">
        <v>26</v>
      </c>
      <c r="C7801" s="1" t="n">
        <v>268000</v>
      </c>
      <c r="D7801" s="1" t="n">
        <v>45.2</v>
      </c>
      <c r="E7801" s="1" t="n">
        <v>0.0935</v>
      </c>
      <c r="F7801" s="1" t="n">
        <v>0.0759</v>
      </c>
    </row>
    <row r="7802" customFormat="false" ht="15" hidden="false" customHeight="false" outlineLevel="0" collapsed="false">
      <c r="A7802" s="1" t="s">
        <v>7837</v>
      </c>
      <c r="B7802" s="1" t="s">
        <v>214</v>
      </c>
      <c r="C7802" s="1" t="n">
        <v>616000</v>
      </c>
      <c r="D7802" s="1" t="n">
        <v>16592.1</v>
      </c>
      <c r="E7802" s="1" t="n">
        <v>0.0137</v>
      </c>
      <c r="F7802" s="1" t="n">
        <v>0.0462</v>
      </c>
    </row>
    <row r="7803" customFormat="false" ht="15" hidden="false" customHeight="false" outlineLevel="0" collapsed="false">
      <c r="A7803" s="1" t="s">
        <v>7838</v>
      </c>
      <c r="B7803" s="1" t="s">
        <v>88</v>
      </c>
      <c r="C7803" s="1" t="n">
        <v>430000</v>
      </c>
      <c r="D7803" s="1" t="n">
        <v>941.3</v>
      </c>
      <c r="E7803" s="1" t="n">
        <v>0.1028</v>
      </c>
      <c r="F7803" s="1" t="n">
        <v>0.0938</v>
      </c>
    </row>
    <row r="7804" customFormat="false" ht="15" hidden="false" customHeight="false" outlineLevel="0" collapsed="false">
      <c r="A7804" s="1" t="s">
        <v>7839</v>
      </c>
      <c r="B7804" s="1" t="s">
        <v>490</v>
      </c>
      <c r="C7804" s="1" t="n">
        <v>232000</v>
      </c>
      <c r="D7804" s="1" t="n">
        <v>433.3</v>
      </c>
      <c r="E7804" s="1" t="n">
        <v>0.0264</v>
      </c>
      <c r="F7804" s="1" t="n">
        <v>0.0546</v>
      </c>
    </row>
    <row r="7805" customFormat="false" ht="15" hidden="false" customHeight="false" outlineLevel="0" collapsed="false">
      <c r="A7805" s="1" t="s">
        <v>7840</v>
      </c>
      <c r="B7805" s="1" t="s">
        <v>26</v>
      </c>
      <c r="C7805" s="1" t="n">
        <v>425000</v>
      </c>
      <c r="D7805" s="1" t="n">
        <v>6269.4</v>
      </c>
      <c r="E7805" s="1" t="n">
        <v>0.0101</v>
      </c>
      <c r="F7805" s="1" t="n">
        <v>0.0765</v>
      </c>
    </row>
    <row r="7806" customFormat="false" ht="15" hidden="false" customHeight="false" outlineLevel="0" collapsed="false">
      <c r="A7806" s="1" t="s">
        <v>7841</v>
      </c>
      <c r="B7806" s="1" t="s">
        <v>26</v>
      </c>
      <c r="C7806" s="1" t="n">
        <v>237000</v>
      </c>
      <c r="D7806" s="1" t="n">
        <v>363.8</v>
      </c>
      <c r="E7806" s="1" t="n">
        <v>0.0797</v>
      </c>
      <c r="F7806" s="1" t="n">
        <v>0.0759</v>
      </c>
    </row>
    <row r="7807" customFormat="false" ht="15" hidden="false" customHeight="false" outlineLevel="0" collapsed="false">
      <c r="A7807" s="1" t="s">
        <v>7842</v>
      </c>
      <c r="B7807" s="1" t="s">
        <v>88</v>
      </c>
      <c r="C7807" s="1" t="n">
        <v>376000</v>
      </c>
      <c r="D7807" s="1" t="n">
        <v>9240</v>
      </c>
      <c r="E7807" s="1" t="n">
        <v>0.0358</v>
      </c>
      <c r="F7807" s="1" t="n">
        <v>0.117</v>
      </c>
    </row>
    <row r="7808" customFormat="false" ht="15" hidden="false" customHeight="false" outlineLevel="0" collapsed="false">
      <c r="A7808" s="1" t="s">
        <v>7843</v>
      </c>
      <c r="B7808" s="1" t="s">
        <v>88</v>
      </c>
      <c r="C7808" s="1" t="n">
        <v>300000</v>
      </c>
      <c r="D7808" s="1" t="n">
        <v>21925.7</v>
      </c>
      <c r="E7808" s="1" t="n">
        <v>0.0333</v>
      </c>
      <c r="F7808" s="1" t="n">
        <v>0.1688</v>
      </c>
    </row>
    <row r="7809" customFormat="false" ht="15" hidden="false" customHeight="false" outlineLevel="0" collapsed="false">
      <c r="A7809" s="1" t="s">
        <v>7844</v>
      </c>
      <c r="B7809" s="1" t="s">
        <v>21</v>
      </c>
      <c r="C7809" s="1" t="n">
        <v>568000</v>
      </c>
      <c r="D7809" s="1" t="n">
        <v>76833.4</v>
      </c>
      <c r="E7809" s="1" t="n">
        <v>0.0251</v>
      </c>
      <c r="F7809" s="1" t="n">
        <v>0.051</v>
      </c>
    </row>
    <row r="7810" customFormat="false" ht="15" hidden="false" customHeight="false" outlineLevel="0" collapsed="false">
      <c r="A7810" s="1" t="s">
        <v>7845</v>
      </c>
      <c r="B7810" s="1" t="s">
        <v>21</v>
      </c>
      <c r="C7810" s="1" t="n">
        <v>274000</v>
      </c>
      <c r="D7810" s="1" t="n">
        <v>227388.9</v>
      </c>
      <c r="E7810" s="1" t="n">
        <v>0.0563</v>
      </c>
      <c r="F7810" s="1" t="n">
        <v>0.0759</v>
      </c>
    </row>
    <row r="7811" customFormat="false" ht="15" hidden="false" customHeight="false" outlineLevel="0" collapsed="false">
      <c r="A7811" s="1" t="s">
        <v>7846</v>
      </c>
      <c r="B7811" s="1" t="s">
        <v>26</v>
      </c>
      <c r="C7811" s="1" t="n">
        <v>355000</v>
      </c>
      <c r="D7811" s="1" t="n">
        <v>2252.4</v>
      </c>
      <c r="E7811" s="1" t="n">
        <v>0.0213</v>
      </c>
      <c r="F7811" s="1" t="n">
        <v>0.0938</v>
      </c>
    </row>
    <row r="7812" customFormat="false" ht="15" hidden="false" customHeight="false" outlineLevel="0" collapsed="false">
      <c r="A7812" s="1" t="s">
        <v>7847</v>
      </c>
      <c r="B7812" s="1" t="s">
        <v>26</v>
      </c>
      <c r="C7812" s="1" t="n">
        <v>282000</v>
      </c>
      <c r="D7812" s="1" t="n">
        <v>28686.9</v>
      </c>
      <c r="E7812" s="1" t="n">
        <v>0.0735</v>
      </c>
      <c r="F7812" s="1" t="n">
        <v>0.0759</v>
      </c>
    </row>
    <row r="7813" customFormat="false" ht="15" hidden="false" customHeight="false" outlineLevel="0" collapsed="false">
      <c r="A7813" s="1" t="s">
        <v>7848</v>
      </c>
      <c r="B7813" s="1" t="s">
        <v>214</v>
      </c>
      <c r="C7813" s="1" t="n">
        <v>468000</v>
      </c>
      <c r="D7813" s="1" t="n">
        <v>7868</v>
      </c>
      <c r="E7813" s="1" t="n">
        <v>0.0154</v>
      </c>
      <c r="F7813" s="1" t="n">
        <v>0.0576</v>
      </c>
    </row>
    <row r="7814" customFormat="false" ht="15" hidden="false" customHeight="false" outlineLevel="0" collapsed="false">
      <c r="A7814" s="1" t="s">
        <v>7849</v>
      </c>
      <c r="B7814" s="1" t="s">
        <v>88</v>
      </c>
      <c r="C7814" s="1" t="n">
        <v>312000</v>
      </c>
      <c r="D7814" s="1" t="n">
        <v>13156.6</v>
      </c>
      <c r="E7814" s="1" t="n">
        <v>0.0718</v>
      </c>
      <c r="F7814" s="1" t="n">
        <v>0.0759</v>
      </c>
    </row>
    <row r="7815" customFormat="false" ht="15" hidden="false" customHeight="false" outlineLevel="0" collapsed="false">
      <c r="A7815" s="1" t="s">
        <v>7850</v>
      </c>
      <c r="B7815" s="1" t="s">
        <v>88</v>
      </c>
      <c r="C7815" s="1" t="n">
        <v>313000</v>
      </c>
      <c r="D7815" s="1" t="n">
        <v>26939.5</v>
      </c>
      <c r="E7815" s="1" t="n">
        <v>0.0245</v>
      </c>
      <c r="F7815" s="1" t="n">
        <v>0.0938</v>
      </c>
    </row>
    <row r="7816" customFormat="false" ht="15" hidden="false" customHeight="false" outlineLevel="0" collapsed="false">
      <c r="A7816" s="1" t="s">
        <v>7851</v>
      </c>
      <c r="B7816" s="1" t="s">
        <v>88</v>
      </c>
      <c r="C7816" s="1" t="n">
        <v>425000</v>
      </c>
      <c r="D7816" s="1" t="n">
        <v>474.5</v>
      </c>
      <c r="E7816" s="1" t="n">
        <v>0.0586</v>
      </c>
      <c r="F7816" s="1" t="n">
        <v>0.0759</v>
      </c>
    </row>
    <row r="7817" customFormat="false" ht="15" hidden="false" customHeight="false" outlineLevel="0" collapsed="false">
      <c r="A7817" s="1" t="s">
        <v>7852</v>
      </c>
      <c r="B7817" s="1" t="s">
        <v>53</v>
      </c>
      <c r="C7817" s="1" t="n">
        <v>246000</v>
      </c>
      <c r="D7817" s="1" t="n">
        <v>18399.8</v>
      </c>
      <c r="E7817" s="1" t="n">
        <v>0.0423</v>
      </c>
      <c r="F7817" s="1" t="n">
        <v>0.0759</v>
      </c>
    </row>
    <row r="7818" customFormat="false" ht="15" hidden="false" customHeight="false" outlineLevel="0" collapsed="false">
      <c r="A7818" s="1" t="s">
        <v>7853</v>
      </c>
      <c r="B7818" s="1" t="s">
        <v>26</v>
      </c>
      <c r="C7818" s="1" t="n">
        <v>234000</v>
      </c>
      <c r="F7818" s="1" t="n">
        <v>0.0759</v>
      </c>
    </row>
    <row r="7819" customFormat="false" ht="15" hidden="false" customHeight="false" outlineLevel="0" collapsed="false">
      <c r="A7819" s="1" t="s">
        <v>7854</v>
      </c>
      <c r="B7819" s="1" t="s">
        <v>24</v>
      </c>
      <c r="C7819" s="1" t="n">
        <v>390000</v>
      </c>
      <c r="D7819" s="1" t="n">
        <v>4396.1</v>
      </c>
      <c r="E7819" s="1" t="n">
        <v>0.0701</v>
      </c>
      <c r="F7819" s="1" t="n">
        <v>0.1241</v>
      </c>
    </row>
    <row r="7820" customFormat="false" ht="15" hidden="false" customHeight="false" outlineLevel="0" collapsed="false">
      <c r="A7820" s="1" t="s">
        <v>7855</v>
      </c>
      <c r="B7820" s="1" t="s">
        <v>71</v>
      </c>
      <c r="C7820" s="1" t="n">
        <v>283000</v>
      </c>
      <c r="D7820" s="1" t="n">
        <v>15982.5</v>
      </c>
      <c r="E7820" s="1" t="n">
        <v>0.06</v>
      </c>
      <c r="F7820" s="1" t="n">
        <v>0.0409</v>
      </c>
    </row>
    <row r="7821" customFormat="false" ht="15" hidden="false" customHeight="false" outlineLevel="0" collapsed="false">
      <c r="A7821" s="1" t="s">
        <v>7856</v>
      </c>
      <c r="B7821" s="1" t="s">
        <v>88</v>
      </c>
      <c r="C7821" s="1" t="n">
        <v>339000</v>
      </c>
      <c r="D7821" s="1" t="n">
        <v>869.3</v>
      </c>
      <c r="E7821" s="1" t="n">
        <v>0.0792</v>
      </c>
      <c r="F7821" s="1" t="n">
        <v>0.0759</v>
      </c>
    </row>
    <row r="7822" customFormat="false" ht="15" hidden="false" customHeight="false" outlineLevel="0" collapsed="false">
      <c r="A7822" s="1" t="s">
        <v>7857</v>
      </c>
      <c r="B7822" s="1" t="s">
        <v>62</v>
      </c>
      <c r="C7822" s="1" t="n">
        <v>551000</v>
      </c>
      <c r="D7822" s="1" t="n">
        <v>7841306.1</v>
      </c>
      <c r="E7822" s="1" t="n">
        <v>0.0044</v>
      </c>
      <c r="F7822" s="1" t="n">
        <v>0.0654</v>
      </c>
    </row>
    <row r="7823" customFormat="false" ht="15" hidden="false" customHeight="false" outlineLevel="0" collapsed="false">
      <c r="A7823" s="1" t="s">
        <v>7858</v>
      </c>
      <c r="B7823" s="1" t="s">
        <v>26</v>
      </c>
      <c r="C7823" s="1" t="n">
        <v>254000</v>
      </c>
      <c r="D7823" s="1" t="n">
        <v>25284.3</v>
      </c>
      <c r="E7823" s="1" t="n">
        <v>0.0874</v>
      </c>
      <c r="F7823" s="1" t="n">
        <v>0.0938</v>
      </c>
    </row>
    <row r="7824" customFormat="false" ht="15" hidden="false" customHeight="false" outlineLevel="0" collapsed="false">
      <c r="A7824" s="1" t="s">
        <v>7859</v>
      </c>
      <c r="B7824" s="1" t="s">
        <v>26</v>
      </c>
      <c r="C7824" s="1" t="n">
        <v>331000</v>
      </c>
      <c r="D7824" s="1" t="n">
        <v>6108.5</v>
      </c>
      <c r="E7824" s="1" t="n">
        <v>0.0295</v>
      </c>
      <c r="F7824" s="1" t="n">
        <v>0.0759</v>
      </c>
    </row>
    <row r="7825" customFormat="false" ht="15" hidden="false" customHeight="false" outlineLevel="0" collapsed="false">
      <c r="A7825" s="1" t="s">
        <v>7860</v>
      </c>
      <c r="B7825" s="1" t="s">
        <v>214</v>
      </c>
      <c r="C7825" s="1" t="n">
        <v>248000</v>
      </c>
      <c r="D7825" s="1" t="n">
        <v>3595.8</v>
      </c>
      <c r="E7825" s="1" t="n">
        <v>0.036</v>
      </c>
      <c r="F7825" s="1" t="n">
        <v>0.0951</v>
      </c>
    </row>
    <row r="7826" customFormat="false" ht="15" hidden="false" customHeight="false" outlineLevel="0" collapsed="false">
      <c r="A7826" s="1" t="s">
        <v>7861</v>
      </c>
      <c r="B7826" s="1" t="s">
        <v>195</v>
      </c>
      <c r="C7826" s="1" t="n">
        <v>291000</v>
      </c>
      <c r="D7826" s="1" t="n">
        <v>4321.1</v>
      </c>
      <c r="E7826" s="1" t="n">
        <v>0.0381</v>
      </c>
      <c r="F7826" s="1" t="n">
        <v>0.1241</v>
      </c>
    </row>
    <row r="7827" customFormat="false" ht="15" hidden="false" customHeight="false" outlineLevel="0" collapsed="false">
      <c r="A7827" s="1" t="s">
        <v>7862</v>
      </c>
      <c r="B7827" s="1" t="s">
        <v>92</v>
      </c>
      <c r="C7827" s="1" t="n">
        <v>367000</v>
      </c>
      <c r="D7827" s="1" t="n">
        <v>62342.9</v>
      </c>
      <c r="E7827" s="1" t="n">
        <v>0.0111</v>
      </c>
      <c r="F7827" s="1" t="n">
        <v>0.0822</v>
      </c>
    </row>
    <row r="7828" customFormat="false" ht="15" hidden="false" customHeight="false" outlineLevel="0" collapsed="false">
      <c r="A7828" s="1" t="s">
        <v>7863</v>
      </c>
      <c r="B7828" s="1" t="s">
        <v>88</v>
      </c>
      <c r="C7828" s="1" t="n">
        <v>235000</v>
      </c>
      <c r="D7828" s="1" t="n">
        <v>11476.7</v>
      </c>
      <c r="F7828" s="1" t="n">
        <v>0.117</v>
      </c>
    </row>
    <row r="7829" customFormat="false" ht="15" hidden="false" customHeight="false" outlineLevel="0" collapsed="false">
      <c r="A7829" s="1" t="s">
        <v>7864</v>
      </c>
      <c r="B7829" s="1" t="s">
        <v>53</v>
      </c>
      <c r="C7829" s="1" t="n">
        <v>287000</v>
      </c>
      <c r="D7829" s="1" t="n">
        <v>20195.7</v>
      </c>
      <c r="E7829" s="1" t="n">
        <v>0.0453</v>
      </c>
      <c r="F7829" s="1" t="n">
        <v>0.0759</v>
      </c>
    </row>
    <row r="7830" customFormat="false" ht="15" hidden="false" customHeight="false" outlineLevel="0" collapsed="false">
      <c r="A7830" s="1" t="s">
        <v>7865</v>
      </c>
      <c r="B7830" s="1" t="s">
        <v>41</v>
      </c>
      <c r="C7830" s="1" t="n">
        <v>234000</v>
      </c>
      <c r="D7830" s="1" t="n">
        <v>469</v>
      </c>
      <c r="E7830" s="1" t="n">
        <v>0.0295</v>
      </c>
      <c r="F7830" s="1" t="n">
        <v>0.051</v>
      </c>
    </row>
    <row r="7831" customFormat="false" ht="15" hidden="false" customHeight="false" outlineLevel="0" collapsed="false">
      <c r="A7831" s="1" t="s">
        <v>7866</v>
      </c>
      <c r="B7831" s="1" t="s">
        <v>71</v>
      </c>
      <c r="C7831" s="1" t="n">
        <v>278000</v>
      </c>
      <c r="D7831" s="1" t="n">
        <v>31720.7</v>
      </c>
      <c r="E7831" s="1" t="n">
        <v>0.0318</v>
      </c>
      <c r="F7831" s="1" t="n">
        <v>0.0845</v>
      </c>
    </row>
    <row r="7832" customFormat="false" ht="15" hidden="false" customHeight="false" outlineLevel="0" collapsed="false">
      <c r="A7832" s="1" t="s">
        <v>7867</v>
      </c>
      <c r="B7832" s="1" t="s">
        <v>26</v>
      </c>
      <c r="C7832" s="1" t="n">
        <v>475000</v>
      </c>
      <c r="D7832" s="1" t="n">
        <v>3896.8</v>
      </c>
      <c r="E7832" s="1" t="n">
        <v>0.0256</v>
      </c>
      <c r="F7832" s="1" t="n">
        <v>0.0938</v>
      </c>
    </row>
    <row r="7833" customFormat="false" ht="15" hidden="false" customHeight="false" outlineLevel="0" collapsed="false">
      <c r="A7833" s="1" t="s">
        <v>7868</v>
      </c>
      <c r="B7833" s="1" t="s">
        <v>26</v>
      </c>
      <c r="C7833" s="1" t="n">
        <v>233000</v>
      </c>
      <c r="D7833" s="1" t="n">
        <v>1299.7</v>
      </c>
      <c r="E7833" s="1" t="n">
        <v>0.0502</v>
      </c>
      <c r="F7833" s="1" t="n">
        <v>0.1243</v>
      </c>
    </row>
    <row r="7834" customFormat="false" ht="15" hidden="false" customHeight="false" outlineLevel="0" collapsed="false">
      <c r="A7834" s="1" t="s">
        <v>7869</v>
      </c>
      <c r="B7834" s="1" t="s">
        <v>50</v>
      </c>
      <c r="C7834" s="1" t="n">
        <v>296000</v>
      </c>
      <c r="D7834" s="1" t="n">
        <v>14038.3</v>
      </c>
      <c r="E7834" s="1" t="n">
        <v>0.037</v>
      </c>
      <c r="F7834" s="1" t="n">
        <v>0.0759</v>
      </c>
    </row>
    <row r="7835" customFormat="false" ht="15" hidden="false" customHeight="false" outlineLevel="0" collapsed="false">
      <c r="A7835" s="1" t="s">
        <v>7870</v>
      </c>
      <c r="B7835" s="1" t="s">
        <v>41</v>
      </c>
      <c r="C7835" s="1" t="n">
        <v>309000</v>
      </c>
      <c r="D7835" s="1" t="n">
        <v>12474.2</v>
      </c>
      <c r="E7835" s="1" t="n">
        <v>0.0398</v>
      </c>
      <c r="F7835" s="1" t="n">
        <v>0.0938</v>
      </c>
    </row>
    <row r="7836" customFormat="false" ht="15" hidden="false" customHeight="false" outlineLevel="0" collapsed="false">
      <c r="A7836" s="1" t="s">
        <v>7871</v>
      </c>
      <c r="B7836" s="1" t="s">
        <v>26</v>
      </c>
      <c r="C7836" s="1" t="n">
        <v>227000</v>
      </c>
      <c r="D7836" s="1" t="n">
        <v>1560.3</v>
      </c>
      <c r="E7836" s="1" t="n">
        <v>0.0091</v>
      </c>
      <c r="F7836" s="1" t="n">
        <v>0.0689</v>
      </c>
    </row>
    <row r="7837" customFormat="false" ht="15" hidden="false" customHeight="false" outlineLevel="0" collapsed="false">
      <c r="A7837" s="1" t="s">
        <v>7872</v>
      </c>
      <c r="B7837" s="1" t="s">
        <v>26</v>
      </c>
      <c r="C7837" s="1" t="n">
        <v>231000</v>
      </c>
      <c r="D7837" s="1" t="n">
        <v>1427.9</v>
      </c>
      <c r="E7837" s="1" t="n">
        <v>0.0108</v>
      </c>
      <c r="F7837" s="1" t="n">
        <v>0.0822</v>
      </c>
    </row>
    <row r="7838" customFormat="false" ht="15" hidden="false" customHeight="false" outlineLevel="0" collapsed="false">
      <c r="A7838" s="1" t="s">
        <v>7873</v>
      </c>
      <c r="B7838" s="1" t="s">
        <v>214</v>
      </c>
      <c r="C7838" s="1" t="n">
        <v>246000</v>
      </c>
      <c r="D7838" s="1" t="n">
        <v>953.1</v>
      </c>
      <c r="E7838" s="1" t="n">
        <v>0.0293</v>
      </c>
      <c r="F7838" s="1" t="n">
        <v>0.0432</v>
      </c>
    </row>
    <row r="7839" customFormat="false" ht="15" hidden="false" customHeight="false" outlineLevel="0" collapsed="false">
      <c r="A7839" s="1" t="s">
        <v>7874</v>
      </c>
      <c r="B7839" s="1" t="s">
        <v>92</v>
      </c>
      <c r="C7839" s="1" t="n">
        <v>248000</v>
      </c>
      <c r="D7839" s="1" t="n">
        <v>193300.1</v>
      </c>
      <c r="E7839" s="1" t="n">
        <v>0.0467</v>
      </c>
      <c r="F7839" s="1" t="n">
        <v>0.0518</v>
      </c>
    </row>
    <row r="7840" customFormat="false" ht="15" hidden="false" customHeight="false" outlineLevel="0" collapsed="false">
      <c r="A7840" s="1" t="s">
        <v>7875</v>
      </c>
      <c r="B7840" s="1" t="s">
        <v>74</v>
      </c>
      <c r="C7840" s="1" t="n">
        <v>311000</v>
      </c>
      <c r="D7840" s="1" t="n">
        <v>131601.8</v>
      </c>
      <c r="E7840" s="1" t="n">
        <v>0.0182</v>
      </c>
      <c r="F7840" s="1" t="n">
        <v>0.0854</v>
      </c>
    </row>
    <row r="7841" customFormat="false" ht="15" hidden="false" customHeight="false" outlineLevel="0" collapsed="false">
      <c r="A7841" s="1" t="s">
        <v>7876</v>
      </c>
      <c r="B7841" s="1" t="s">
        <v>53</v>
      </c>
      <c r="C7841" s="1" t="n">
        <v>485000</v>
      </c>
      <c r="D7841" s="1" t="n">
        <v>69567.2</v>
      </c>
      <c r="E7841" s="1" t="n">
        <v>0.028</v>
      </c>
      <c r="F7841" s="1" t="n">
        <v>0.0759</v>
      </c>
    </row>
    <row r="7842" customFormat="false" ht="15" hidden="false" customHeight="false" outlineLevel="0" collapsed="false">
      <c r="A7842" s="1" t="s">
        <v>7877</v>
      </c>
      <c r="B7842" s="1" t="s">
        <v>26</v>
      </c>
      <c r="C7842" s="1" t="n">
        <v>365000</v>
      </c>
      <c r="D7842" s="1" t="n">
        <v>2075419</v>
      </c>
      <c r="E7842" s="1" t="n">
        <v>0.03</v>
      </c>
      <c r="F7842" s="1" t="n">
        <v>0.0759</v>
      </c>
    </row>
    <row r="7843" customFormat="false" ht="15" hidden="false" customHeight="false" outlineLevel="0" collapsed="false">
      <c r="A7843" s="1" t="s">
        <v>7878</v>
      </c>
      <c r="B7843" s="1" t="s">
        <v>490</v>
      </c>
      <c r="C7843" s="1" t="n">
        <v>654000</v>
      </c>
      <c r="D7843" s="1" t="n">
        <v>9098.1</v>
      </c>
      <c r="E7843" s="1" t="n">
        <v>0.0242</v>
      </c>
      <c r="F7843" s="1" t="n">
        <v>0.051</v>
      </c>
    </row>
    <row r="7844" customFormat="false" ht="15" hidden="false" customHeight="false" outlineLevel="0" collapsed="false">
      <c r="A7844" s="1" t="s">
        <v>7879</v>
      </c>
      <c r="B7844" s="1" t="s">
        <v>26</v>
      </c>
      <c r="C7844" s="1" t="n">
        <v>331000</v>
      </c>
      <c r="D7844" s="1" t="n">
        <v>4907.6</v>
      </c>
      <c r="E7844" s="1" t="n">
        <v>0.0091</v>
      </c>
      <c r="F7844" s="1" t="n">
        <v>0.0822</v>
      </c>
    </row>
    <row r="7845" customFormat="false" ht="15" hidden="false" customHeight="false" outlineLevel="0" collapsed="false">
      <c r="A7845" s="1" t="s">
        <v>7880</v>
      </c>
      <c r="B7845" s="1" t="s">
        <v>92</v>
      </c>
      <c r="C7845" s="1" t="n">
        <v>158000</v>
      </c>
      <c r="D7845" s="1" t="n">
        <v>12260.9</v>
      </c>
      <c r="E7845" s="1" t="n">
        <v>0.0126</v>
      </c>
      <c r="F7845" s="1" t="n">
        <v>0.0654</v>
      </c>
    </row>
    <row r="7846" customFormat="false" ht="15" hidden="false" customHeight="false" outlineLevel="0" collapsed="false">
      <c r="A7846" s="1" t="s">
        <v>7881</v>
      </c>
      <c r="B7846" s="1" t="s">
        <v>26</v>
      </c>
      <c r="C7846" s="1" t="n">
        <v>255000</v>
      </c>
      <c r="D7846" s="1" t="n">
        <v>118730.1</v>
      </c>
      <c r="E7846" s="1" t="n">
        <v>0.0148</v>
      </c>
      <c r="F7846" s="1" t="n">
        <v>0.0589</v>
      </c>
    </row>
    <row r="7847" customFormat="false" ht="15" hidden="false" customHeight="false" outlineLevel="0" collapsed="false">
      <c r="A7847" s="1" t="s">
        <v>7882</v>
      </c>
      <c r="B7847" s="1" t="s">
        <v>26</v>
      </c>
      <c r="C7847" s="1" t="n">
        <v>222000</v>
      </c>
      <c r="D7847" s="1" t="n">
        <v>12334.7</v>
      </c>
      <c r="E7847" s="1" t="n">
        <v>0.0916</v>
      </c>
      <c r="F7847" s="1" t="n">
        <v>0.0951</v>
      </c>
    </row>
    <row r="7848" customFormat="false" ht="15" hidden="false" customHeight="false" outlineLevel="0" collapsed="false">
      <c r="A7848" s="1" t="s">
        <v>7883</v>
      </c>
      <c r="B7848" s="1" t="s">
        <v>41</v>
      </c>
      <c r="C7848" s="1" t="n">
        <v>408000</v>
      </c>
      <c r="D7848" s="1" t="n">
        <v>1042.3</v>
      </c>
      <c r="E7848" s="1" t="n">
        <v>0.0226</v>
      </c>
      <c r="F7848" s="1" t="n">
        <v>0.1372</v>
      </c>
    </row>
    <row r="7849" customFormat="false" ht="15" hidden="false" customHeight="false" outlineLevel="0" collapsed="false">
      <c r="A7849" s="1" t="s">
        <v>7884</v>
      </c>
      <c r="B7849" s="1" t="s">
        <v>88</v>
      </c>
      <c r="C7849" s="1" t="n">
        <v>229000</v>
      </c>
      <c r="D7849" s="1" t="n">
        <v>540.9</v>
      </c>
      <c r="E7849" s="1" t="n">
        <v>0.0569</v>
      </c>
      <c r="F7849" s="1" t="n">
        <v>0.0951</v>
      </c>
    </row>
    <row r="7850" customFormat="false" ht="15" hidden="false" customHeight="false" outlineLevel="0" collapsed="false">
      <c r="A7850" s="1" t="s">
        <v>7885</v>
      </c>
      <c r="B7850" s="1" t="s">
        <v>41</v>
      </c>
      <c r="C7850" s="1" t="n">
        <v>776000</v>
      </c>
      <c r="D7850" s="1" t="n">
        <v>3358.8</v>
      </c>
      <c r="E7850" s="1" t="n">
        <v>0.0308</v>
      </c>
      <c r="F7850" s="1" t="n">
        <v>0.1308</v>
      </c>
    </row>
    <row r="7851" customFormat="false" ht="15" hidden="false" customHeight="false" outlineLevel="0" collapsed="false">
      <c r="A7851" s="1" t="s">
        <v>7886</v>
      </c>
      <c r="B7851" s="1" t="s">
        <v>62</v>
      </c>
      <c r="C7851" s="1" t="n">
        <v>389000</v>
      </c>
      <c r="D7851" s="1" t="n">
        <v>2838.8</v>
      </c>
      <c r="E7851" s="1" t="n">
        <v>0.0407</v>
      </c>
      <c r="F7851" s="1" t="n">
        <v>0.0938</v>
      </c>
    </row>
    <row r="7852" customFormat="false" ht="15" hidden="false" customHeight="false" outlineLevel="0" collapsed="false">
      <c r="A7852" s="1" t="s">
        <v>7887</v>
      </c>
      <c r="B7852" s="1" t="s">
        <v>92</v>
      </c>
      <c r="C7852" s="1" t="n">
        <v>240000</v>
      </c>
      <c r="D7852" s="1" t="n">
        <v>2785.2</v>
      </c>
      <c r="E7852" s="1" t="n">
        <v>0.0117</v>
      </c>
      <c r="F7852" s="1" t="n">
        <v>0.0736</v>
      </c>
    </row>
    <row r="7853" customFormat="false" ht="15" hidden="false" customHeight="false" outlineLevel="0" collapsed="false">
      <c r="A7853" s="1" t="s">
        <v>7888</v>
      </c>
      <c r="B7853" s="1" t="s">
        <v>81</v>
      </c>
      <c r="C7853" s="1" t="n">
        <v>276000</v>
      </c>
      <c r="D7853" s="1" t="n">
        <v>945.8</v>
      </c>
      <c r="E7853" s="1" t="n">
        <v>0.0213</v>
      </c>
      <c r="F7853" s="1" t="n">
        <v>0.1053</v>
      </c>
    </row>
    <row r="7854" customFormat="false" ht="15" hidden="false" customHeight="false" outlineLevel="0" collapsed="false">
      <c r="A7854" s="1" t="s">
        <v>7889</v>
      </c>
      <c r="B7854" s="1" t="s">
        <v>24</v>
      </c>
      <c r="C7854" s="1" t="n">
        <v>720000</v>
      </c>
      <c r="D7854" s="1" t="n">
        <v>14027.9</v>
      </c>
      <c r="E7854" s="1" t="n">
        <v>0.0898</v>
      </c>
      <c r="F7854" s="1" t="n">
        <v>0.0759</v>
      </c>
    </row>
    <row r="7855" customFormat="false" ht="15" hidden="false" customHeight="false" outlineLevel="0" collapsed="false">
      <c r="A7855" s="1" t="s">
        <v>7890</v>
      </c>
      <c r="B7855" s="1" t="s">
        <v>88</v>
      </c>
      <c r="C7855" s="1" t="n">
        <v>267000</v>
      </c>
      <c r="D7855" s="1" t="n">
        <v>5383.6</v>
      </c>
      <c r="E7855" s="1" t="n">
        <v>0.0126</v>
      </c>
      <c r="F7855" s="1" t="n">
        <v>0.1309</v>
      </c>
    </row>
    <row r="7856" customFormat="false" ht="15" hidden="false" customHeight="false" outlineLevel="0" collapsed="false">
      <c r="A7856" s="1" t="s">
        <v>7891</v>
      </c>
      <c r="B7856" s="1" t="s">
        <v>81</v>
      </c>
      <c r="C7856" s="1" t="n">
        <v>260000</v>
      </c>
      <c r="D7856" s="1" t="n">
        <v>1028.8</v>
      </c>
      <c r="E7856" s="1" t="n">
        <v>0.0306</v>
      </c>
      <c r="F7856" s="1" t="n">
        <v>0.0538</v>
      </c>
    </row>
    <row r="7857" customFormat="false" ht="15" hidden="false" customHeight="false" outlineLevel="0" collapsed="false">
      <c r="A7857" s="1" t="s">
        <v>7892</v>
      </c>
      <c r="B7857" s="1" t="s">
        <v>81</v>
      </c>
      <c r="C7857" s="1" t="n">
        <v>235000</v>
      </c>
      <c r="D7857" s="1" t="n">
        <v>106856.3</v>
      </c>
      <c r="E7857" s="1" t="n">
        <v>0.0247</v>
      </c>
      <c r="F7857" s="1" t="n">
        <v>0.0759</v>
      </c>
    </row>
    <row r="7858" customFormat="false" ht="15" hidden="false" customHeight="false" outlineLevel="0" collapsed="false">
      <c r="A7858" s="1" t="s">
        <v>7893</v>
      </c>
      <c r="B7858" s="1" t="s">
        <v>41</v>
      </c>
      <c r="C7858" s="1" t="n">
        <v>281000</v>
      </c>
      <c r="D7858" s="1" t="n">
        <v>15.8</v>
      </c>
      <c r="E7858" s="1" t="n">
        <v>0.0331</v>
      </c>
      <c r="F7858" s="1" t="n">
        <v>0.1705</v>
      </c>
    </row>
    <row r="7859" customFormat="false" ht="15" hidden="false" customHeight="false" outlineLevel="0" collapsed="false">
      <c r="A7859" s="1" t="s">
        <v>7894</v>
      </c>
      <c r="B7859" s="1" t="s">
        <v>214</v>
      </c>
      <c r="C7859" s="1" t="n">
        <v>256000</v>
      </c>
      <c r="D7859" s="1" t="n">
        <v>19666.3</v>
      </c>
      <c r="E7859" s="1" t="n">
        <v>0.0238</v>
      </c>
      <c r="F7859" s="1" t="n">
        <v>0.0951</v>
      </c>
    </row>
    <row r="7860" customFormat="false" ht="15" hidden="false" customHeight="false" outlineLevel="0" collapsed="false">
      <c r="A7860" s="1" t="s">
        <v>7895</v>
      </c>
      <c r="B7860" s="1" t="s">
        <v>26</v>
      </c>
      <c r="C7860" s="1" t="n">
        <v>1290000</v>
      </c>
      <c r="D7860" s="1" t="n">
        <v>4990.6</v>
      </c>
      <c r="E7860" s="1" t="n">
        <v>0.0173</v>
      </c>
      <c r="F7860" s="1" t="n">
        <v>0.0576</v>
      </c>
    </row>
    <row r="7861" customFormat="false" ht="15" hidden="false" customHeight="false" outlineLevel="0" collapsed="false">
      <c r="A7861" s="1" t="s">
        <v>7896</v>
      </c>
      <c r="B7861" s="1" t="s">
        <v>26</v>
      </c>
      <c r="C7861" s="1" t="n">
        <v>258000</v>
      </c>
      <c r="D7861" s="1" t="n">
        <v>1851.4</v>
      </c>
      <c r="E7861" s="1" t="n">
        <v>0.0139</v>
      </c>
      <c r="F7861" s="1" t="n">
        <v>0.0576</v>
      </c>
    </row>
    <row r="7862" customFormat="false" ht="15" hidden="false" customHeight="false" outlineLevel="0" collapsed="false">
      <c r="A7862" s="1" t="s">
        <v>7897</v>
      </c>
      <c r="B7862" s="1" t="s">
        <v>81</v>
      </c>
      <c r="C7862" s="1" t="n">
        <v>306000</v>
      </c>
      <c r="D7862" s="1" t="n">
        <v>27074.1</v>
      </c>
      <c r="E7862" s="1" t="n">
        <v>0.0391</v>
      </c>
      <c r="F7862" s="1" t="n">
        <v>0.0938</v>
      </c>
    </row>
    <row r="7863" customFormat="false" ht="15" hidden="false" customHeight="false" outlineLevel="0" collapsed="false">
      <c r="A7863" s="1" t="s">
        <v>7898</v>
      </c>
      <c r="B7863" s="1" t="s">
        <v>214</v>
      </c>
      <c r="C7863" s="1" t="n">
        <v>290000</v>
      </c>
      <c r="D7863" s="1" t="n">
        <v>10171.4</v>
      </c>
      <c r="E7863" s="1" t="n">
        <v>0.0345</v>
      </c>
      <c r="F7863" s="1" t="n">
        <v>0.0951</v>
      </c>
    </row>
    <row r="7864" customFormat="false" ht="15" hidden="false" customHeight="false" outlineLevel="0" collapsed="false">
      <c r="A7864" s="1" t="s">
        <v>7899</v>
      </c>
      <c r="B7864" s="1" t="s">
        <v>26</v>
      </c>
      <c r="C7864" s="1" t="n">
        <v>416000</v>
      </c>
      <c r="D7864" s="1" t="n">
        <v>401942.9</v>
      </c>
      <c r="E7864" s="1" t="n">
        <v>0.0223</v>
      </c>
      <c r="F7864" s="1" t="n">
        <v>0.0409</v>
      </c>
    </row>
    <row r="7865" customFormat="false" ht="15" hidden="false" customHeight="false" outlineLevel="0" collapsed="false">
      <c r="A7865" s="1" t="s">
        <v>7900</v>
      </c>
      <c r="B7865" s="1" t="s">
        <v>26</v>
      </c>
      <c r="C7865" s="1" t="n">
        <v>647000</v>
      </c>
      <c r="D7865" s="1" t="n">
        <v>9978.9</v>
      </c>
      <c r="E7865" s="1" t="n">
        <v>0.0331</v>
      </c>
      <c r="F7865" s="1" t="n">
        <v>0.0951</v>
      </c>
    </row>
    <row r="7866" customFormat="false" ht="15" hidden="false" customHeight="false" outlineLevel="0" collapsed="false">
      <c r="A7866" s="1" t="s">
        <v>7901</v>
      </c>
      <c r="B7866" s="1" t="s">
        <v>74</v>
      </c>
      <c r="C7866" s="1" t="n">
        <v>509000</v>
      </c>
      <c r="D7866" s="1" t="n">
        <v>50420.1</v>
      </c>
      <c r="E7866" s="1" t="n">
        <v>0.0293</v>
      </c>
      <c r="F7866" s="1" t="n">
        <v>0.0759</v>
      </c>
    </row>
    <row r="7867" customFormat="false" ht="15" hidden="false" customHeight="false" outlineLevel="0" collapsed="false">
      <c r="A7867" s="1" t="s">
        <v>7902</v>
      </c>
      <c r="B7867" s="1" t="s">
        <v>26</v>
      </c>
      <c r="C7867" s="1" t="n">
        <v>88500</v>
      </c>
      <c r="D7867" s="1" t="n">
        <v>5571.8</v>
      </c>
      <c r="E7867" s="1" t="n">
        <v>0.0254</v>
      </c>
      <c r="F7867" s="1" t="n">
        <v>0.0546</v>
      </c>
    </row>
    <row r="7868" customFormat="false" ht="15" hidden="false" customHeight="false" outlineLevel="0" collapsed="false">
      <c r="A7868" s="1" t="s">
        <v>7903</v>
      </c>
      <c r="B7868" s="1" t="s">
        <v>92</v>
      </c>
      <c r="C7868" s="1" t="n">
        <v>333000</v>
      </c>
      <c r="D7868" s="1" t="n">
        <v>13834.3</v>
      </c>
      <c r="E7868" s="1" t="n">
        <v>0.0512</v>
      </c>
      <c r="F7868" s="1" t="n">
        <v>0.2309</v>
      </c>
    </row>
    <row r="7869" customFormat="false" ht="15" hidden="false" customHeight="false" outlineLevel="0" collapsed="false">
      <c r="A7869" s="1" t="s">
        <v>7904</v>
      </c>
      <c r="B7869" s="1" t="s">
        <v>88</v>
      </c>
      <c r="C7869" s="1" t="n">
        <v>275000</v>
      </c>
      <c r="D7869" s="1" t="n">
        <v>30304.4</v>
      </c>
      <c r="E7869" s="1" t="n">
        <v>0.0423</v>
      </c>
      <c r="F7869" s="1" t="n">
        <v>0.0759</v>
      </c>
    </row>
    <row r="7870" customFormat="false" ht="15" hidden="false" customHeight="false" outlineLevel="0" collapsed="false">
      <c r="A7870" s="1" t="s">
        <v>7905</v>
      </c>
      <c r="B7870" s="1" t="s">
        <v>88</v>
      </c>
      <c r="C7870" s="1" t="n">
        <v>292000</v>
      </c>
      <c r="D7870" s="1" t="n">
        <v>18488.1</v>
      </c>
      <c r="E7870" s="1" t="n">
        <v>0.0302</v>
      </c>
      <c r="F7870" s="1" t="n">
        <v>0.0938</v>
      </c>
    </row>
    <row r="7871" customFormat="false" ht="15" hidden="false" customHeight="false" outlineLevel="0" collapsed="false">
      <c r="A7871" s="1" t="s">
        <v>7906</v>
      </c>
      <c r="B7871" s="1" t="s">
        <v>26</v>
      </c>
      <c r="C7871" s="1" t="n">
        <v>265000</v>
      </c>
      <c r="D7871" s="1" t="n">
        <v>7878.6</v>
      </c>
      <c r="E7871" s="1" t="n">
        <v>0.1217</v>
      </c>
      <c r="F7871" s="1" t="n">
        <v>0.0951</v>
      </c>
    </row>
    <row r="7872" customFormat="false" ht="15" hidden="false" customHeight="false" outlineLevel="0" collapsed="false">
      <c r="A7872" s="1" t="s">
        <v>7907</v>
      </c>
      <c r="B7872" s="1" t="s">
        <v>88</v>
      </c>
      <c r="C7872" s="1" t="n">
        <v>376000</v>
      </c>
      <c r="D7872" s="1" t="n">
        <v>2522.2</v>
      </c>
      <c r="E7872" s="1" t="n">
        <v>0.0591</v>
      </c>
      <c r="F7872" s="1" t="n">
        <v>0.0938</v>
      </c>
    </row>
    <row r="7873" customFormat="false" ht="15" hidden="false" customHeight="false" outlineLevel="0" collapsed="false">
      <c r="A7873" s="1" t="s">
        <v>7908</v>
      </c>
      <c r="B7873" s="1" t="s">
        <v>214</v>
      </c>
      <c r="C7873" s="1" t="n">
        <v>350000</v>
      </c>
      <c r="D7873" s="1" t="n">
        <v>13286.7</v>
      </c>
      <c r="E7873" s="1" t="n">
        <v>0.0286</v>
      </c>
      <c r="F7873" s="1" t="n">
        <v>0.0759</v>
      </c>
    </row>
    <row r="7874" customFormat="false" ht="15" hidden="false" customHeight="false" outlineLevel="0" collapsed="false">
      <c r="A7874" s="1" t="s">
        <v>7909</v>
      </c>
      <c r="B7874" s="1" t="s">
        <v>26</v>
      </c>
      <c r="C7874" s="1" t="n">
        <v>272000</v>
      </c>
      <c r="D7874" s="1" t="n">
        <v>8874.2</v>
      </c>
      <c r="E7874" s="1" t="n">
        <v>0.0314</v>
      </c>
      <c r="F7874" s="1" t="n">
        <v>0.0759</v>
      </c>
    </row>
    <row r="7875" customFormat="false" ht="15" hidden="false" customHeight="false" outlineLevel="0" collapsed="false">
      <c r="A7875" s="1" t="s">
        <v>7910</v>
      </c>
      <c r="B7875" s="1" t="s">
        <v>26</v>
      </c>
      <c r="C7875" s="1" t="n">
        <v>261000</v>
      </c>
      <c r="D7875" s="1" t="n">
        <v>6308.7</v>
      </c>
      <c r="E7875" s="1" t="n">
        <v>0.0664</v>
      </c>
      <c r="F7875" s="1" t="n">
        <v>0.0759</v>
      </c>
    </row>
    <row r="7876" customFormat="false" ht="15" hidden="false" customHeight="false" outlineLevel="0" collapsed="false">
      <c r="A7876" s="1" t="s">
        <v>7911</v>
      </c>
      <c r="B7876" s="1" t="s">
        <v>62</v>
      </c>
      <c r="C7876" s="1" t="n">
        <v>278000</v>
      </c>
      <c r="D7876" s="1" t="n">
        <v>2923</v>
      </c>
      <c r="E7876" s="1" t="n">
        <v>0.0253</v>
      </c>
      <c r="F7876" s="1" t="n">
        <v>0.0951</v>
      </c>
    </row>
    <row r="7877" customFormat="false" ht="15" hidden="false" customHeight="false" outlineLevel="0" collapsed="false">
      <c r="A7877" s="1" t="s">
        <v>7912</v>
      </c>
      <c r="B7877" s="1" t="s">
        <v>30</v>
      </c>
      <c r="C7877" s="1" t="n">
        <v>422000</v>
      </c>
      <c r="D7877" s="1" t="n">
        <v>211099.1</v>
      </c>
      <c r="E7877" s="1" t="n">
        <v>0.0402</v>
      </c>
      <c r="F7877" s="1" t="n">
        <v>0.0759</v>
      </c>
    </row>
    <row r="7878" customFormat="false" ht="15" hidden="false" customHeight="false" outlineLevel="0" collapsed="false">
      <c r="A7878" s="1" t="s">
        <v>7913</v>
      </c>
      <c r="B7878" s="1" t="s">
        <v>74</v>
      </c>
      <c r="C7878" s="1" t="n">
        <v>228000</v>
      </c>
      <c r="D7878" s="1" t="n">
        <v>23997.5</v>
      </c>
      <c r="E7878" s="1" t="n">
        <v>0.0391</v>
      </c>
      <c r="F7878" s="1" t="n">
        <v>0.0951</v>
      </c>
    </row>
    <row r="7879" customFormat="false" ht="15" hidden="false" customHeight="false" outlineLevel="0" collapsed="false">
      <c r="A7879" s="1" t="s">
        <v>7914</v>
      </c>
      <c r="B7879" s="1" t="s">
        <v>214</v>
      </c>
      <c r="C7879" s="1" t="n">
        <v>413000</v>
      </c>
      <c r="D7879" s="1" t="n">
        <v>10819.8</v>
      </c>
      <c r="E7879" s="1" t="n">
        <v>0.0044</v>
      </c>
      <c r="F7879" s="1" t="n">
        <v>0.0654</v>
      </c>
    </row>
    <row r="7880" customFormat="false" ht="15" hidden="false" customHeight="false" outlineLevel="0" collapsed="false">
      <c r="A7880" s="1" t="s">
        <v>7915</v>
      </c>
      <c r="B7880" s="1" t="s">
        <v>74</v>
      </c>
      <c r="C7880" s="1" t="n">
        <v>280000</v>
      </c>
      <c r="D7880" s="1" t="n">
        <v>3151.3</v>
      </c>
      <c r="E7880" s="1" t="n">
        <v>0.024</v>
      </c>
      <c r="F7880" s="1" t="n">
        <v>0.051</v>
      </c>
    </row>
    <row r="7881" customFormat="false" ht="15" hidden="false" customHeight="false" outlineLevel="0" collapsed="false">
      <c r="A7881" s="1" t="s">
        <v>7916</v>
      </c>
      <c r="B7881" s="1" t="s">
        <v>26</v>
      </c>
      <c r="C7881" s="1" t="n">
        <v>263000</v>
      </c>
      <c r="D7881" s="1" t="n">
        <v>3215.2</v>
      </c>
      <c r="E7881" s="1" t="n">
        <v>0.0367</v>
      </c>
      <c r="F7881" s="1" t="n">
        <v>0.0951</v>
      </c>
    </row>
    <row r="7882" customFormat="false" ht="15" hidden="false" customHeight="false" outlineLevel="0" collapsed="false">
      <c r="A7882" s="1" t="s">
        <v>7917</v>
      </c>
      <c r="B7882" s="1" t="s">
        <v>26</v>
      </c>
      <c r="C7882" s="1" t="n">
        <v>242000</v>
      </c>
      <c r="D7882" s="1" t="n">
        <v>3164.4</v>
      </c>
      <c r="E7882" s="1" t="n">
        <v>0.0204</v>
      </c>
      <c r="F7882" s="1" t="n">
        <v>0.1067</v>
      </c>
    </row>
    <row r="7883" customFormat="false" ht="15" hidden="false" customHeight="false" outlineLevel="0" collapsed="false">
      <c r="A7883" s="1" t="s">
        <v>7918</v>
      </c>
      <c r="B7883" s="1" t="s">
        <v>214</v>
      </c>
      <c r="C7883" s="1" t="n">
        <v>237000</v>
      </c>
      <c r="D7883" s="1" t="n">
        <v>3827.6</v>
      </c>
      <c r="E7883" s="1" t="n">
        <v>0.0095</v>
      </c>
      <c r="F7883" s="1" t="n">
        <v>0.0822</v>
      </c>
    </row>
    <row r="7884" customFormat="false" ht="15" hidden="false" customHeight="false" outlineLevel="0" collapsed="false">
      <c r="A7884" s="1" t="s">
        <v>7919</v>
      </c>
      <c r="B7884" s="1" t="s">
        <v>41</v>
      </c>
      <c r="C7884" s="1" t="n">
        <v>247000</v>
      </c>
      <c r="F7884" s="1" t="n">
        <v>0.0759</v>
      </c>
    </row>
    <row r="7885" customFormat="false" ht="15" hidden="false" customHeight="false" outlineLevel="0" collapsed="false">
      <c r="A7885" s="1" t="s">
        <v>7920</v>
      </c>
      <c r="B7885" s="1" t="s">
        <v>26</v>
      </c>
      <c r="C7885" s="1" t="n">
        <v>323000</v>
      </c>
      <c r="D7885" s="1" t="n">
        <v>4361.6</v>
      </c>
      <c r="E7885" s="1" t="n">
        <v>0.0172</v>
      </c>
      <c r="F7885" s="1" t="n">
        <v>0.0462</v>
      </c>
    </row>
    <row r="7886" customFormat="false" ht="15" hidden="false" customHeight="false" outlineLevel="0" collapsed="false">
      <c r="A7886" s="1" t="s">
        <v>7921</v>
      </c>
      <c r="B7886" s="1" t="s">
        <v>26</v>
      </c>
      <c r="C7886" s="1" t="n">
        <v>316000</v>
      </c>
      <c r="D7886" s="1" t="n">
        <v>4043.7</v>
      </c>
      <c r="E7886" s="1" t="n">
        <v>0.0569</v>
      </c>
      <c r="F7886" s="1" t="n">
        <v>0.0759</v>
      </c>
    </row>
    <row r="7887" customFormat="false" ht="15" hidden="false" customHeight="false" outlineLevel="0" collapsed="false">
      <c r="A7887" s="1" t="s">
        <v>7922</v>
      </c>
      <c r="B7887" s="1" t="s">
        <v>26</v>
      </c>
      <c r="C7887" s="1" t="n">
        <v>234000</v>
      </c>
      <c r="D7887" s="1" t="n">
        <v>1591.9</v>
      </c>
      <c r="E7887" s="1" t="n">
        <v>0.0399</v>
      </c>
      <c r="F7887" s="1" t="n">
        <v>0.117</v>
      </c>
    </row>
    <row r="7888" customFormat="false" ht="15" hidden="false" customHeight="false" outlineLevel="0" collapsed="false">
      <c r="A7888" s="1" t="s">
        <v>7923</v>
      </c>
      <c r="B7888" s="1" t="s">
        <v>53</v>
      </c>
      <c r="C7888" s="1" t="n">
        <v>306000</v>
      </c>
      <c r="D7888" s="1" t="n">
        <v>51556.4</v>
      </c>
      <c r="E7888" s="1" t="n">
        <v>0.0287</v>
      </c>
      <c r="F7888" s="1" t="n">
        <v>0.0518</v>
      </c>
    </row>
    <row r="7889" customFormat="false" ht="15" hidden="false" customHeight="false" outlineLevel="0" collapsed="false">
      <c r="A7889" s="1" t="s">
        <v>7924</v>
      </c>
      <c r="B7889" s="1" t="s">
        <v>92</v>
      </c>
      <c r="C7889" s="1" t="n">
        <v>466000</v>
      </c>
      <c r="D7889" s="1" t="n">
        <v>122956.6</v>
      </c>
      <c r="E7889" s="1" t="n">
        <v>0.0655</v>
      </c>
      <c r="F7889" s="1" t="n">
        <v>0.0759</v>
      </c>
    </row>
    <row r="7890" customFormat="false" ht="15" hidden="false" customHeight="false" outlineLevel="0" collapsed="false">
      <c r="A7890" s="1" t="s">
        <v>7925</v>
      </c>
      <c r="B7890" s="1" t="s">
        <v>28</v>
      </c>
      <c r="C7890" s="1" t="n">
        <v>441000</v>
      </c>
      <c r="D7890" s="1" t="n">
        <v>7717</v>
      </c>
      <c r="E7890" s="1" t="n">
        <v>0.01</v>
      </c>
      <c r="F7890" s="1" t="n">
        <v>0.0654</v>
      </c>
    </row>
    <row r="7891" customFormat="false" ht="15" hidden="false" customHeight="false" outlineLevel="0" collapsed="false">
      <c r="A7891" s="1" t="s">
        <v>7926</v>
      </c>
      <c r="B7891" s="1" t="s">
        <v>24</v>
      </c>
      <c r="C7891" s="1" t="n">
        <v>270000</v>
      </c>
      <c r="D7891" s="1" t="n">
        <v>215704.2</v>
      </c>
      <c r="E7891" s="1" t="n">
        <v>0.0118</v>
      </c>
      <c r="F7891" s="1" t="n">
        <v>0.0657</v>
      </c>
    </row>
    <row r="7892" customFormat="false" ht="15" hidden="false" customHeight="false" outlineLevel="0" collapsed="false">
      <c r="A7892" s="1" t="s">
        <v>7927</v>
      </c>
      <c r="B7892" s="1" t="s">
        <v>88</v>
      </c>
      <c r="C7892" s="1" t="n">
        <v>251000</v>
      </c>
      <c r="D7892" s="1" t="n">
        <v>1942.6</v>
      </c>
      <c r="E7892" s="1" t="n">
        <v>0.0335</v>
      </c>
      <c r="F7892" s="1" t="n">
        <v>0.0759</v>
      </c>
    </row>
    <row r="7893" customFormat="false" ht="15" hidden="false" customHeight="false" outlineLevel="0" collapsed="false">
      <c r="A7893" s="1" t="s">
        <v>7928</v>
      </c>
      <c r="B7893" s="1" t="s">
        <v>74</v>
      </c>
      <c r="C7893" s="1" t="n">
        <v>336000</v>
      </c>
      <c r="D7893" s="1" t="n">
        <v>5578.6</v>
      </c>
      <c r="E7893" s="1" t="n">
        <v>0.0157</v>
      </c>
      <c r="F7893" s="1" t="n">
        <v>0.0585</v>
      </c>
    </row>
    <row r="7894" customFormat="false" ht="15" hidden="false" customHeight="false" outlineLevel="0" collapsed="false">
      <c r="A7894" s="1" t="s">
        <v>7929</v>
      </c>
      <c r="B7894" s="1" t="s">
        <v>88</v>
      </c>
      <c r="C7894" s="1" t="n">
        <v>257000</v>
      </c>
      <c r="D7894" s="1" t="n">
        <v>331.6</v>
      </c>
      <c r="E7894" s="1" t="n">
        <v>0.0264</v>
      </c>
      <c r="F7894" s="1" t="n">
        <v>0.0576</v>
      </c>
    </row>
    <row r="7895" customFormat="false" ht="15" hidden="false" customHeight="false" outlineLevel="0" collapsed="false">
      <c r="A7895" s="1" t="s">
        <v>7930</v>
      </c>
      <c r="B7895" s="1" t="s">
        <v>24</v>
      </c>
      <c r="C7895" s="1" t="n">
        <v>698000</v>
      </c>
      <c r="D7895" s="1" t="n">
        <v>565.4</v>
      </c>
      <c r="E7895" s="1" t="n">
        <v>0.0207</v>
      </c>
      <c r="F7895" s="1" t="n">
        <v>0.3301</v>
      </c>
    </row>
    <row r="7896" customFormat="false" ht="15" hidden="false" customHeight="false" outlineLevel="0" collapsed="false">
      <c r="A7896" s="1" t="s">
        <v>7931</v>
      </c>
      <c r="B7896" s="1" t="s">
        <v>21</v>
      </c>
      <c r="C7896" s="1" t="n">
        <v>232000</v>
      </c>
      <c r="D7896" s="1" t="n">
        <v>25612.2</v>
      </c>
      <c r="E7896" s="1" t="n">
        <v>0.0351</v>
      </c>
      <c r="F7896" s="1" t="n">
        <v>0.0951</v>
      </c>
    </row>
    <row r="7897" customFormat="false" ht="15" hidden="false" customHeight="false" outlineLevel="0" collapsed="false">
      <c r="A7897" s="1" t="s">
        <v>7932</v>
      </c>
      <c r="B7897" s="1" t="s">
        <v>88</v>
      </c>
      <c r="C7897" s="1" t="n">
        <v>264000</v>
      </c>
      <c r="D7897" s="1" t="n">
        <v>216.4</v>
      </c>
      <c r="E7897" s="1" t="n">
        <v>0.0569</v>
      </c>
      <c r="F7897" s="1" t="n">
        <v>0.0938</v>
      </c>
    </row>
    <row r="7898" customFormat="false" ht="15" hidden="false" customHeight="false" outlineLevel="0" collapsed="false">
      <c r="A7898" s="1" t="s">
        <v>7933</v>
      </c>
      <c r="B7898" s="1" t="s">
        <v>41</v>
      </c>
      <c r="C7898" s="1" t="n">
        <v>314000</v>
      </c>
      <c r="D7898" s="1" t="n">
        <v>3000.5</v>
      </c>
      <c r="E7898" s="1" t="n">
        <v>0.0134</v>
      </c>
      <c r="F7898" s="1" t="n">
        <v>0.0757</v>
      </c>
    </row>
    <row r="7899" customFormat="false" ht="15" hidden="false" customHeight="false" outlineLevel="0" collapsed="false">
      <c r="A7899" s="1" t="s">
        <v>7934</v>
      </c>
      <c r="B7899" s="1" t="s">
        <v>26</v>
      </c>
      <c r="C7899" s="1" t="n">
        <v>225000</v>
      </c>
      <c r="D7899" s="1" t="n">
        <v>12149.1</v>
      </c>
      <c r="E7899" s="1" t="n">
        <v>0.0192</v>
      </c>
      <c r="F7899" s="1" t="n">
        <v>0.1067</v>
      </c>
    </row>
    <row r="7900" customFormat="false" ht="15" hidden="false" customHeight="false" outlineLevel="0" collapsed="false">
      <c r="A7900" s="1" t="s">
        <v>7935</v>
      </c>
      <c r="B7900" s="1" t="s">
        <v>62</v>
      </c>
      <c r="C7900" s="1" t="n">
        <v>339000</v>
      </c>
      <c r="D7900" s="1" t="n">
        <v>5857.1</v>
      </c>
      <c r="E7900" s="1" t="n">
        <v>0.0109</v>
      </c>
      <c r="F7900" s="1" t="n">
        <v>0.0822</v>
      </c>
    </row>
    <row r="7901" customFormat="false" ht="15" hidden="false" customHeight="false" outlineLevel="0" collapsed="false">
      <c r="A7901" s="1" t="s">
        <v>7936</v>
      </c>
      <c r="B7901" s="1" t="s">
        <v>81</v>
      </c>
      <c r="C7901" s="1" t="n">
        <v>922000</v>
      </c>
      <c r="D7901" s="1" t="n">
        <v>266036.5</v>
      </c>
      <c r="E7901" s="1" t="n">
        <v>0.056</v>
      </c>
      <c r="F7901" s="1" t="n">
        <v>0.0759</v>
      </c>
    </row>
    <row r="7902" customFormat="false" ht="15" hidden="false" customHeight="false" outlineLevel="0" collapsed="false">
      <c r="A7902" s="1" t="s">
        <v>7937</v>
      </c>
      <c r="B7902" s="1" t="s">
        <v>62</v>
      </c>
      <c r="C7902" s="1" t="n">
        <v>495000</v>
      </c>
      <c r="D7902" s="1" t="n">
        <v>4416.6</v>
      </c>
      <c r="E7902" s="1" t="n">
        <v>0.1158</v>
      </c>
      <c r="F7902" s="1" t="n">
        <v>0.0938</v>
      </c>
    </row>
    <row r="7903" customFormat="false" ht="15" hidden="false" customHeight="false" outlineLevel="0" collapsed="false">
      <c r="A7903" s="1" t="s">
        <v>7938</v>
      </c>
      <c r="B7903" s="1" t="s">
        <v>214</v>
      </c>
      <c r="C7903" s="1" t="n">
        <v>244000</v>
      </c>
      <c r="D7903" s="1" t="n">
        <v>3522.2</v>
      </c>
      <c r="F7903" s="1" t="n">
        <v>0.0409</v>
      </c>
    </row>
    <row r="7904" customFormat="false" ht="15" hidden="false" customHeight="false" outlineLevel="0" collapsed="false">
      <c r="A7904" s="1" t="s">
        <v>7939</v>
      </c>
      <c r="B7904" s="1" t="s">
        <v>92</v>
      </c>
      <c r="C7904" s="1" t="n">
        <v>229000</v>
      </c>
      <c r="D7904" s="1" t="n">
        <v>1348.8</v>
      </c>
      <c r="E7904" s="1" t="n">
        <v>0.0159</v>
      </c>
      <c r="F7904" s="1" t="n">
        <v>0.1327</v>
      </c>
    </row>
    <row r="7905" customFormat="false" ht="15" hidden="false" customHeight="false" outlineLevel="0" collapsed="false">
      <c r="A7905" s="1" t="s">
        <v>7940</v>
      </c>
      <c r="B7905" s="1" t="s">
        <v>88</v>
      </c>
      <c r="C7905" s="1" t="n">
        <v>234000</v>
      </c>
      <c r="D7905" s="1" t="n">
        <v>8415.2</v>
      </c>
      <c r="E7905" s="1" t="n">
        <v>0.0594</v>
      </c>
      <c r="F7905" s="1" t="n">
        <v>0.0951</v>
      </c>
    </row>
    <row r="7906" customFormat="false" ht="15" hidden="false" customHeight="false" outlineLevel="0" collapsed="false">
      <c r="A7906" s="1" t="s">
        <v>7941</v>
      </c>
      <c r="B7906" s="1" t="s">
        <v>26</v>
      </c>
      <c r="C7906" s="1" t="n">
        <v>322000</v>
      </c>
      <c r="D7906" s="1" t="n">
        <v>1189.8</v>
      </c>
      <c r="F7906" s="1" t="n">
        <v>0.0759</v>
      </c>
    </row>
    <row r="7907" customFormat="false" ht="15" hidden="false" customHeight="false" outlineLevel="0" collapsed="false">
      <c r="A7907" s="1" t="s">
        <v>7942</v>
      </c>
      <c r="B7907" s="1" t="s">
        <v>30</v>
      </c>
      <c r="C7907" s="1" t="n">
        <v>221000</v>
      </c>
      <c r="D7907" s="1" t="n">
        <v>57.5</v>
      </c>
      <c r="E7907" s="1" t="n">
        <v>0.0177</v>
      </c>
      <c r="F7907" s="1" t="n">
        <v>0.1454</v>
      </c>
    </row>
    <row r="7908" customFormat="false" ht="15" hidden="false" customHeight="false" outlineLevel="0" collapsed="false">
      <c r="A7908" s="1" t="s">
        <v>7943</v>
      </c>
      <c r="B7908" s="1" t="s">
        <v>26</v>
      </c>
      <c r="C7908" s="1" t="n">
        <v>272000</v>
      </c>
      <c r="D7908" s="1" t="n">
        <v>3990.6</v>
      </c>
      <c r="E7908" s="1" t="n">
        <v>0.0939</v>
      </c>
      <c r="F7908" s="1" t="n">
        <v>0.0759</v>
      </c>
    </row>
    <row r="7909" customFormat="false" ht="15" hidden="false" customHeight="false" outlineLevel="0" collapsed="false">
      <c r="A7909" s="1" t="s">
        <v>7944</v>
      </c>
      <c r="B7909" s="1" t="s">
        <v>26</v>
      </c>
      <c r="C7909" s="1" t="n">
        <v>1020000</v>
      </c>
      <c r="D7909" s="1" t="n">
        <v>395625.1</v>
      </c>
      <c r="E7909" s="1" t="n">
        <v>0.0723</v>
      </c>
      <c r="F7909" s="1" t="n">
        <v>0.0938</v>
      </c>
    </row>
    <row r="7910" customFormat="false" ht="15" hidden="false" customHeight="false" outlineLevel="0" collapsed="false">
      <c r="A7910" s="1" t="s">
        <v>7945</v>
      </c>
      <c r="B7910" s="1" t="s">
        <v>53</v>
      </c>
      <c r="C7910" s="1" t="n">
        <v>257000</v>
      </c>
      <c r="D7910" s="1" t="n">
        <v>91740.3</v>
      </c>
      <c r="E7910" s="1" t="n">
        <v>0.0121</v>
      </c>
      <c r="F7910" s="1" t="n">
        <v>0.0775</v>
      </c>
    </row>
    <row r="7911" customFormat="false" ht="15" hidden="false" customHeight="false" outlineLevel="0" collapsed="false">
      <c r="A7911" s="1" t="s">
        <v>7946</v>
      </c>
      <c r="B7911" s="1" t="s">
        <v>71</v>
      </c>
      <c r="C7911" s="1" t="n">
        <v>265000</v>
      </c>
      <c r="D7911" s="1" t="n">
        <v>2799.4</v>
      </c>
      <c r="E7911" s="1" t="n">
        <v>0.0348</v>
      </c>
      <c r="F7911" s="1" t="n">
        <v>0.0759</v>
      </c>
    </row>
    <row r="7912" customFormat="false" ht="15" hidden="false" customHeight="false" outlineLevel="0" collapsed="false">
      <c r="A7912" s="1" t="s">
        <v>7947</v>
      </c>
      <c r="B7912" s="1" t="s">
        <v>71</v>
      </c>
      <c r="C7912" s="1" t="n">
        <v>226000</v>
      </c>
      <c r="D7912" s="1" t="n">
        <v>17003.7</v>
      </c>
      <c r="E7912" s="1" t="n">
        <v>0.0336</v>
      </c>
      <c r="F7912" s="1" t="n">
        <v>0.0951</v>
      </c>
    </row>
    <row r="7913" customFormat="false" ht="15" hidden="false" customHeight="false" outlineLevel="0" collapsed="false">
      <c r="A7913" s="1" t="s">
        <v>7948</v>
      </c>
      <c r="B7913" s="1" t="s">
        <v>92</v>
      </c>
      <c r="C7913" s="1" t="n">
        <v>246000</v>
      </c>
      <c r="D7913" s="1" t="n">
        <v>231352.4</v>
      </c>
      <c r="E7913" s="1" t="n">
        <v>0.027</v>
      </c>
      <c r="F7913" s="1" t="n">
        <v>0.0672</v>
      </c>
    </row>
    <row r="7914" customFormat="false" ht="15" hidden="false" customHeight="false" outlineLevel="0" collapsed="false">
      <c r="A7914" s="1" t="s">
        <v>7949</v>
      </c>
      <c r="B7914" s="1" t="s">
        <v>26</v>
      </c>
      <c r="C7914" s="1" t="n">
        <v>325000</v>
      </c>
      <c r="D7914" s="1" t="n">
        <v>1316.2</v>
      </c>
      <c r="E7914" s="1" t="n">
        <v>0.0124</v>
      </c>
      <c r="F7914" s="1" t="n">
        <v>0.1327</v>
      </c>
    </row>
    <row r="7915" customFormat="false" ht="15" hidden="false" customHeight="false" outlineLevel="0" collapsed="false">
      <c r="A7915" s="1" t="s">
        <v>7950</v>
      </c>
      <c r="B7915" s="1" t="s">
        <v>53</v>
      </c>
      <c r="C7915" s="1" t="n">
        <v>496000</v>
      </c>
      <c r="D7915" s="1" t="n">
        <v>38166.3</v>
      </c>
      <c r="E7915" s="1" t="n">
        <v>0.1066</v>
      </c>
      <c r="F7915" s="1" t="n">
        <v>0.0938</v>
      </c>
    </row>
    <row r="7916" customFormat="false" ht="15" hidden="false" customHeight="false" outlineLevel="0" collapsed="false">
      <c r="A7916" s="1" t="s">
        <v>7951</v>
      </c>
      <c r="B7916" s="1" t="s">
        <v>195</v>
      </c>
      <c r="C7916" s="1" t="n">
        <v>599000</v>
      </c>
      <c r="D7916" s="1" t="n">
        <v>11820.2</v>
      </c>
      <c r="E7916" s="1" t="n">
        <v>0.0287</v>
      </c>
      <c r="F7916" s="1" t="n">
        <v>0.0938</v>
      </c>
    </row>
    <row r="7917" customFormat="false" ht="15" hidden="false" customHeight="false" outlineLevel="0" collapsed="false">
      <c r="A7917" s="1" t="s">
        <v>7952</v>
      </c>
      <c r="B7917" s="1" t="s">
        <v>26</v>
      </c>
      <c r="C7917" s="1" t="n">
        <v>337000</v>
      </c>
      <c r="D7917" s="1" t="n">
        <v>1390.1</v>
      </c>
      <c r="E7917" s="1" t="n">
        <v>0.0171</v>
      </c>
      <c r="F7917" s="1" t="n">
        <v>0.1709</v>
      </c>
    </row>
    <row r="7918" customFormat="false" ht="15" hidden="false" customHeight="false" outlineLevel="0" collapsed="false">
      <c r="A7918" s="1" t="s">
        <v>7953</v>
      </c>
      <c r="B7918" s="1" t="s">
        <v>53</v>
      </c>
      <c r="C7918" s="1" t="n">
        <v>258000</v>
      </c>
      <c r="D7918" s="1" t="n">
        <v>71337.7</v>
      </c>
      <c r="E7918" s="1" t="n">
        <v>0.0329</v>
      </c>
      <c r="F7918" s="1" t="n">
        <v>0.0951</v>
      </c>
    </row>
    <row r="7919" customFormat="false" ht="15" hidden="false" customHeight="false" outlineLevel="0" collapsed="false">
      <c r="A7919" s="1" t="s">
        <v>7954</v>
      </c>
      <c r="B7919" s="1" t="s">
        <v>92</v>
      </c>
      <c r="C7919" s="1" t="n">
        <v>234000</v>
      </c>
      <c r="D7919" s="1" t="n">
        <v>3264.4</v>
      </c>
      <c r="F7919" s="1" t="n">
        <v>0.0759</v>
      </c>
    </row>
    <row r="7920" customFormat="false" ht="15" hidden="false" customHeight="false" outlineLevel="0" collapsed="false">
      <c r="A7920" s="1" t="s">
        <v>7955</v>
      </c>
      <c r="B7920" s="1" t="s">
        <v>28</v>
      </c>
      <c r="C7920" s="1" t="n">
        <v>306000</v>
      </c>
      <c r="D7920" s="1" t="n">
        <v>956313.9</v>
      </c>
      <c r="E7920" s="1" t="n">
        <v>0.0184</v>
      </c>
      <c r="F7920" s="1" t="n">
        <v>0.0585</v>
      </c>
    </row>
    <row r="7921" customFormat="false" ht="15" hidden="false" customHeight="false" outlineLevel="0" collapsed="false">
      <c r="A7921" s="1" t="s">
        <v>7956</v>
      </c>
      <c r="B7921" s="1" t="s">
        <v>92</v>
      </c>
      <c r="C7921" s="1" t="n">
        <v>318000</v>
      </c>
      <c r="D7921" s="1" t="n">
        <v>8031</v>
      </c>
      <c r="E7921" s="1" t="n">
        <v>0.0139</v>
      </c>
      <c r="F7921" s="1" t="n">
        <v>0.0775</v>
      </c>
    </row>
    <row r="7922" customFormat="false" ht="15" hidden="false" customHeight="false" outlineLevel="0" collapsed="false">
      <c r="A7922" s="1" t="s">
        <v>7957</v>
      </c>
      <c r="B7922" s="1" t="s">
        <v>88</v>
      </c>
      <c r="C7922" s="1" t="n">
        <v>306000</v>
      </c>
      <c r="D7922" s="1" t="n">
        <v>4572.3</v>
      </c>
      <c r="E7922" s="1" t="n">
        <v>0.0486</v>
      </c>
      <c r="F7922" s="1" t="n">
        <v>0.0759</v>
      </c>
    </row>
    <row r="7923" customFormat="false" ht="15" hidden="false" customHeight="false" outlineLevel="0" collapsed="false">
      <c r="A7923" s="1" t="s">
        <v>7958</v>
      </c>
      <c r="B7923" s="1" t="s">
        <v>81</v>
      </c>
      <c r="C7923" s="1" t="n">
        <v>225000</v>
      </c>
      <c r="D7923" s="1" t="n">
        <v>40043.8</v>
      </c>
      <c r="E7923" s="1" t="n">
        <v>0.0205</v>
      </c>
      <c r="F7923" s="1" t="n">
        <v>0.0854</v>
      </c>
    </row>
    <row r="7924" customFormat="false" ht="15" hidden="false" customHeight="false" outlineLevel="0" collapsed="false">
      <c r="A7924" s="1" t="s">
        <v>7959</v>
      </c>
      <c r="B7924" s="1" t="s">
        <v>26</v>
      </c>
      <c r="C7924" s="1" t="n">
        <v>228000</v>
      </c>
      <c r="D7924" s="1" t="n">
        <v>148.7</v>
      </c>
      <c r="E7924" s="1" t="n">
        <v>0.0319</v>
      </c>
      <c r="F7924" s="1" t="n">
        <v>0.1535</v>
      </c>
    </row>
    <row r="7925" customFormat="false" ht="15" hidden="false" customHeight="false" outlineLevel="0" collapsed="false">
      <c r="A7925" s="1" t="s">
        <v>7960</v>
      </c>
      <c r="B7925" s="1" t="s">
        <v>41</v>
      </c>
      <c r="C7925" s="1" t="n">
        <v>228000</v>
      </c>
      <c r="D7925" s="1" t="n">
        <v>3520.1</v>
      </c>
      <c r="E7925" s="1" t="n">
        <v>0.0079</v>
      </c>
      <c r="F7925" s="1" t="n">
        <v>0.1015</v>
      </c>
    </row>
    <row r="7926" customFormat="false" ht="15" hidden="false" customHeight="false" outlineLevel="0" collapsed="false">
      <c r="A7926" s="1" t="s">
        <v>7961</v>
      </c>
      <c r="B7926" s="1" t="s">
        <v>24</v>
      </c>
      <c r="C7926" s="1" t="n">
        <v>268000</v>
      </c>
      <c r="D7926" s="1" t="n">
        <v>2017.7</v>
      </c>
      <c r="E7926" s="1" t="n">
        <v>0.0184</v>
      </c>
      <c r="F7926" s="1" t="n">
        <v>0.0854</v>
      </c>
    </row>
    <row r="7927" customFormat="false" ht="15" hidden="false" customHeight="false" outlineLevel="0" collapsed="false">
      <c r="A7927" s="1" t="s">
        <v>7962</v>
      </c>
      <c r="B7927" s="1" t="s">
        <v>88</v>
      </c>
      <c r="C7927" s="1" t="n">
        <v>260000</v>
      </c>
      <c r="D7927" s="1" t="n">
        <v>1033.6</v>
      </c>
      <c r="E7927" s="1" t="n">
        <v>0.0231</v>
      </c>
      <c r="F7927" s="1" t="n">
        <v>0.0759</v>
      </c>
    </row>
    <row r="7928" customFormat="false" ht="15" hidden="false" customHeight="false" outlineLevel="0" collapsed="false">
      <c r="A7928" s="1" t="s">
        <v>7963</v>
      </c>
      <c r="B7928" s="1" t="s">
        <v>26</v>
      </c>
      <c r="C7928" s="1" t="n">
        <v>417000</v>
      </c>
      <c r="D7928" s="1" t="n">
        <v>53219.9</v>
      </c>
      <c r="E7928" s="1" t="n">
        <v>0.0277</v>
      </c>
      <c r="F7928" s="1" t="n">
        <v>0.0759</v>
      </c>
    </row>
    <row r="7929" customFormat="false" ht="15" hidden="false" customHeight="false" outlineLevel="0" collapsed="false">
      <c r="A7929" s="1" t="s">
        <v>7964</v>
      </c>
      <c r="B7929" s="1" t="s">
        <v>53</v>
      </c>
      <c r="C7929" s="1" t="n">
        <v>218000</v>
      </c>
      <c r="D7929" s="1" t="n">
        <v>241.1</v>
      </c>
      <c r="F7929" s="1" t="n">
        <v>0.0951</v>
      </c>
    </row>
    <row r="7930" customFormat="false" ht="15" hidden="false" customHeight="false" outlineLevel="0" collapsed="false">
      <c r="A7930" s="1" t="s">
        <v>7965</v>
      </c>
      <c r="B7930" s="1" t="s">
        <v>41</v>
      </c>
      <c r="C7930" s="1" t="n">
        <v>241000</v>
      </c>
      <c r="D7930" s="1" t="n">
        <v>98.1</v>
      </c>
      <c r="E7930" s="1" t="n">
        <v>0.034</v>
      </c>
      <c r="F7930" s="1" t="n">
        <v>0.0643</v>
      </c>
    </row>
    <row r="7931" customFormat="false" ht="15" hidden="false" customHeight="false" outlineLevel="0" collapsed="false">
      <c r="A7931" s="1" t="s">
        <v>7966</v>
      </c>
      <c r="B7931" s="1" t="s">
        <v>92</v>
      </c>
      <c r="C7931" s="1" t="n">
        <v>308000</v>
      </c>
      <c r="D7931" s="1" t="n">
        <v>4928</v>
      </c>
      <c r="E7931" s="1" t="n">
        <v>0.0699</v>
      </c>
      <c r="F7931" s="1" t="n">
        <v>0.0759</v>
      </c>
    </row>
    <row r="7932" customFormat="false" ht="15" hidden="false" customHeight="false" outlineLevel="0" collapsed="false">
      <c r="A7932" s="1" t="s">
        <v>7967</v>
      </c>
      <c r="B7932" s="1" t="s">
        <v>88</v>
      </c>
      <c r="C7932" s="1" t="n">
        <v>357000</v>
      </c>
      <c r="D7932" s="1" t="n">
        <v>1863.7</v>
      </c>
      <c r="E7932" s="1" t="n">
        <v>0.0178</v>
      </c>
      <c r="F7932" s="1" t="n">
        <v>0.0576</v>
      </c>
    </row>
    <row r="7933" customFormat="false" ht="15" hidden="false" customHeight="false" outlineLevel="0" collapsed="false">
      <c r="A7933" s="1" t="s">
        <v>7968</v>
      </c>
      <c r="B7933" s="1" t="s">
        <v>195</v>
      </c>
      <c r="C7933" s="1" t="n">
        <v>285000</v>
      </c>
      <c r="D7933" s="1" t="n">
        <v>164852.4</v>
      </c>
      <c r="E7933" s="1" t="n">
        <v>0.025</v>
      </c>
      <c r="F7933" s="1" t="n">
        <v>0.0951</v>
      </c>
    </row>
    <row r="7934" customFormat="false" ht="15" hidden="false" customHeight="false" outlineLevel="0" collapsed="false">
      <c r="A7934" s="1" t="s">
        <v>7969</v>
      </c>
      <c r="B7934" s="1" t="s">
        <v>71</v>
      </c>
      <c r="C7934" s="1" t="n">
        <v>239000</v>
      </c>
      <c r="D7934" s="1" t="n">
        <v>8860.3</v>
      </c>
      <c r="E7934" s="1" t="n">
        <v>0.018</v>
      </c>
      <c r="F7934" s="1" t="n">
        <v>0.1067</v>
      </c>
    </row>
    <row r="7935" customFormat="false" ht="15" hidden="false" customHeight="false" outlineLevel="0" collapsed="false">
      <c r="A7935" s="1" t="s">
        <v>7970</v>
      </c>
      <c r="B7935" s="1" t="s">
        <v>62</v>
      </c>
      <c r="C7935" s="1" t="n">
        <v>238000</v>
      </c>
      <c r="D7935" s="1" t="n">
        <v>171.8</v>
      </c>
      <c r="E7935" s="1" t="n">
        <v>0.0269</v>
      </c>
      <c r="F7935" s="1" t="n">
        <v>0.0644</v>
      </c>
    </row>
    <row r="7936" customFormat="false" ht="15" hidden="false" customHeight="false" outlineLevel="0" collapsed="false">
      <c r="A7936" s="1" t="s">
        <v>7971</v>
      </c>
      <c r="B7936" s="1" t="s">
        <v>62</v>
      </c>
      <c r="C7936" s="1" t="n">
        <v>255000</v>
      </c>
      <c r="D7936" s="1" t="n">
        <v>896</v>
      </c>
      <c r="E7936" s="1" t="n">
        <v>0.0245</v>
      </c>
      <c r="F7936" s="1" t="n">
        <v>0.0584</v>
      </c>
    </row>
    <row r="7937" customFormat="false" ht="15" hidden="false" customHeight="false" outlineLevel="0" collapsed="false">
      <c r="A7937" s="1" t="s">
        <v>7972</v>
      </c>
      <c r="B7937" s="1" t="s">
        <v>88</v>
      </c>
      <c r="C7937" s="1" t="n">
        <v>248000</v>
      </c>
      <c r="D7937" s="1" t="n">
        <v>17109.7</v>
      </c>
      <c r="E7937" s="1" t="n">
        <v>0.024</v>
      </c>
      <c r="F7937" s="1" t="n">
        <v>0.171</v>
      </c>
    </row>
    <row r="7938" customFormat="false" ht="15" hidden="false" customHeight="false" outlineLevel="0" collapsed="false">
      <c r="A7938" s="1" t="s">
        <v>7973</v>
      </c>
      <c r="B7938" s="1" t="s">
        <v>26</v>
      </c>
      <c r="C7938" s="1" t="n">
        <v>252000</v>
      </c>
      <c r="D7938" s="1" t="n">
        <v>214.1</v>
      </c>
      <c r="E7938" s="1" t="n">
        <v>0.0271</v>
      </c>
      <c r="F7938" s="1" t="n">
        <v>0.1243</v>
      </c>
    </row>
    <row r="7939" customFormat="false" ht="15" hidden="false" customHeight="false" outlineLevel="0" collapsed="false">
      <c r="A7939" s="1" t="s">
        <v>7974</v>
      </c>
      <c r="B7939" s="1" t="s">
        <v>74</v>
      </c>
      <c r="C7939" s="1" t="n">
        <v>329000</v>
      </c>
      <c r="D7939" s="1" t="n">
        <v>5225.7</v>
      </c>
      <c r="E7939" s="1" t="n">
        <v>0.0652</v>
      </c>
      <c r="F7939" s="1" t="n">
        <v>0.0938</v>
      </c>
    </row>
    <row r="7940" customFormat="false" ht="15" hidden="false" customHeight="false" outlineLevel="0" collapsed="false">
      <c r="A7940" s="1" t="s">
        <v>7975</v>
      </c>
      <c r="B7940" s="1" t="s">
        <v>71</v>
      </c>
      <c r="C7940" s="1" t="n">
        <v>229000</v>
      </c>
      <c r="D7940" s="1" t="n">
        <v>47982.3</v>
      </c>
      <c r="E7940" s="1" t="n">
        <v>0.013</v>
      </c>
      <c r="F7940" s="1" t="n">
        <v>0.0775</v>
      </c>
    </row>
    <row r="7941" customFormat="false" ht="15" hidden="false" customHeight="false" outlineLevel="0" collapsed="false">
      <c r="A7941" s="1" t="s">
        <v>7976</v>
      </c>
      <c r="B7941" s="1" t="s">
        <v>74</v>
      </c>
      <c r="C7941" s="1" t="n">
        <v>251000</v>
      </c>
      <c r="D7941" s="1" t="n">
        <v>15881.2</v>
      </c>
      <c r="E7941" s="1" t="n">
        <v>0.07</v>
      </c>
      <c r="F7941" s="1" t="n">
        <v>0.0759</v>
      </c>
    </row>
    <row r="7942" customFormat="false" ht="15" hidden="false" customHeight="false" outlineLevel="0" collapsed="false">
      <c r="A7942" s="1" t="s">
        <v>7977</v>
      </c>
      <c r="B7942" s="1" t="s">
        <v>74</v>
      </c>
      <c r="C7942" s="1" t="n">
        <v>229000</v>
      </c>
      <c r="D7942" s="1" t="n">
        <v>778.7</v>
      </c>
      <c r="E7942" s="1" t="n">
        <v>0.0228</v>
      </c>
      <c r="F7942" s="1" t="n">
        <v>0.0759</v>
      </c>
    </row>
    <row r="7943" customFormat="false" ht="15" hidden="false" customHeight="false" outlineLevel="0" collapsed="false">
      <c r="A7943" s="1" t="s">
        <v>7978</v>
      </c>
      <c r="B7943" s="1" t="s">
        <v>74</v>
      </c>
      <c r="C7943" s="1" t="n">
        <v>278000</v>
      </c>
      <c r="D7943" s="1" t="n">
        <v>9248</v>
      </c>
      <c r="E7943" s="1" t="n">
        <v>0.0273</v>
      </c>
      <c r="F7943" s="1" t="n">
        <v>0.0759</v>
      </c>
    </row>
    <row r="7944" customFormat="false" ht="15" hidden="false" customHeight="false" outlineLevel="0" collapsed="false">
      <c r="A7944" s="1" t="s">
        <v>7979</v>
      </c>
      <c r="B7944" s="1" t="s">
        <v>41</v>
      </c>
      <c r="C7944" s="1" t="n">
        <v>254000</v>
      </c>
      <c r="D7944" s="1" t="n">
        <v>229.9</v>
      </c>
      <c r="E7944" s="1" t="n">
        <v>0.0636</v>
      </c>
      <c r="F7944" s="1" t="n">
        <v>0.0938</v>
      </c>
    </row>
    <row r="7945" customFormat="false" ht="15" hidden="false" customHeight="false" outlineLevel="0" collapsed="false">
      <c r="A7945" s="1" t="s">
        <v>7980</v>
      </c>
      <c r="B7945" s="1" t="s">
        <v>50</v>
      </c>
      <c r="C7945" s="1" t="n">
        <v>323000</v>
      </c>
      <c r="D7945" s="1" t="n">
        <v>20058.5</v>
      </c>
      <c r="E7945" s="1" t="n">
        <v>0.0076</v>
      </c>
      <c r="F7945" s="1" t="n">
        <v>0.0654</v>
      </c>
    </row>
    <row r="7946" customFormat="false" ht="15" hidden="false" customHeight="false" outlineLevel="0" collapsed="false">
      <c r="A7946" s="1" t="s">
        <v>7981</v>
      </c>
      <c r="B7946" s="1" t="s">
        <v>74</v>
      </c>
      <c r="C7946" s="1" t="n">
        <v>226000</v>
      </c>
      <c r="D7946" s="1" t="n">
        <v>8356.6</v>
      </c>
      <c r="F7946" s="1" t="n">
        <v>0.0951</v>
      </c>
    </row>
    <row r="7947" customFormat="false" ht="15" hidden="false" customHeight="false" outlineLevel="0" collapsed="false">
      <c r="A7947" s="1" t="s">
        <v>7982</v>
      </c>
      <c r="B7947" s="1" t="s">
        <v>88</v>
      </c>
      <c r="C7947" s="1" t="n">
        <v>298000</v>
      </c>
      <c r="D7947" s="1" t="n">
        <v>2007.7</v>
      </c>
      <c r="E7947" s="1" t="n">
        <v>0.0426</v>
      </c>
      <c r="F7947" s="1" t="n">
        <v>0.0759</v>
      </c>
    </row>
    <row r="7948" customFormat="false" ht="15" hidden="false" customHeight="false" outlineLevel="0" collapsed="false">
      <c r="A7948" s="1" t="s">
        <v>7983</v>
      </c>
      <c r="B7948" s="1" t="s">
        <v>35</v>
      </c>
      <c r="C7948" s="1" t="n">
        <v>387000</v>
      </c>
      <c r="D7948" s="1" t="n">
        <v>28094.9</v>
      </c>
      <c r="E7948" s="1" t="n">
        <v>0.0213</v>
      </c>
      <c r="F7948" s="1" t="n">
        <v>0.0757</v>
      </c>
    </row>
    <row r="7949" customFormat="false" ht="15" hidden="false" customHeight="false" outlineLevel="0" collapsed="false">
      <c r="A7949" s="1" t="s">
        <v>7984</v>
      </c>
      <c r="B7949" s="1" t="s">
        <v>74</v>
      </c>
      <c r="C7949" s="1" t="n">
        <v>247000</v>
      </c>
      <c r="D7949" s="1" t="n">
        <v>72401.2</v>
      </c>
      <c r="E7949" s="1" t="n">
        <v>0.0148</v>
      </c>
      <c r="F7949" s="1" t="n">
        <v>0.1067</v>
      </c>
    </row>
    <row r="7950" customFormat="false" ht="15" hidden="false" customHeight="false" outlineLevel="0" collapsed="false">
      <c r="A7950" s="1" t="s">
        <v>7985</v>
      </c>
      <c r="B7950" s="1" t="s">
        <v>26</v>
      </c>
      <c r="C7950" s="1" t="n">
        <v>246000</v>
      </c>
      <c r="D7950" s="1" t="n">
        <v>42347.9</v>
      </c>
      <c r="E7950" s="1" t="n">
        <v>0.0396</v>
      </c>
      <c r="F7950" s="1" t="n">
        <v>0.0759</v>
      </c>
    </row>
    <row r="7951" customFormat="false" ht="15" hidden="false" customHeight="false" outlineLevel="0" collapsed="false">
      <c r="A7951" s="1" t="s">
        <v>7986</v>
      </c>
      <c r="B7951" s="1" t="s">
        <v>21</v>
      </c>
      <c r="C7951" s="1" t="n">
        <v>310000</v>
      </c>
      <c r="D7951" s="1" t="n">
        <v>39.4</v>
      </c>
      <c r="F7951" s="1" t="n">
        <v>0.0938</v>
      </c>
    </row>
    <row r="7952" customFormat="false" ht="15" hidden="false" customHeight="false" outlineLevel="0" collapsed="false">
      <c r="A7952" s="1" t="s">
        <v>7987</v>
      </c>
      <c r="B7952" s="1" t="s">
        <v>214</v>
      </c>
      <c r="C7952" s="1" t="n">
        <v>371000</v>
      </c>
      <c r="D7952" s="1" t="n">
        <v>22450.9</v>
      </c>
      <c r="E7952" s="1" t="n">
        <v>0.038</v>
      </c>
      <c r="F7952" s="1" t="n">
        <v>0.0759</v>
      </c>
    </row>
    <row r="7953" customFormat="false" ht="15" hidden="false" customHeight="false" outlineLevel="0" collapsed="false">
      <c r="A7953" s="1" t="s">
        <v>7988</v>
      </c>
      <c r="B7953" s="1" t="s">
        <v>92</v>
      </c>
      <c r="C7953" s="1" t="n">
        <v>222000</v>
      </c>
      <c r="D7953" s="1" t="n">
        <v>12652.3</v>
      </c>
      <c r="E7953" s="1" t="n">
        <v>0.0248</v>
      </c>
      <c r="F7953" s="1" t="n">
        <v>0.0951</v>
      </c>
    </row>
    <row r="7954" customFormat="false" ht="15" hidden="false" customHeight="false" outlineLevel="0" collapsed="false">
      <c r="A7954" s="1" t="s">
        <v>7989</v>
      </c>
      <c r="B7954" s="1" t="s">
        <v>490</v>
      </c>
      <c r="C7954" s="1" t="n">
        <v>436000</v>
      </c>
      <c r="D7954" s="1" t="n">
        <v>181345.4</v>
      </c>
      <c r="E7954" s="1" t="n">
        <v>0.0168</v>
      </c>
      <c r="F7954" s="1" t="n">
        <v>0.0585</v>
      </c>
    </row>
    <row r="7955" customFormat="false" ht="15" hidden="false" customHeight="false" outlineLevel="0" collapsed="false">
      <c r="A7955" s="1" t="s">
        <v>7990</v>
      </c>
      <c r="B7955" s="1" t="s">
        <v>92</v>
      </c>
      <c r="C7955" s="1" t="n">
        <v>229000</v>
      </c>
      <c r="D7955" s="1" t="n">
        <v>170675.4</v>
      </c>
      <c r="E7955" s="1" t="n">
        <v>0.0309</v>
      </c>
      <c r="F7955" s="1" t="n">
        <v>0.0951</v>
      </c>
    </row>
    <row r="7956" customFormat="false" ht="15" hidden="false" customHeight="false" outlineLevel="0" collapsed="false">
      <c r="A7956" s="1" t="s">
        <v>7991</v>
      </c>
      <c r="B7956" s="1" t="s">
        <v>26</v>
      </c>
      <c r="C7956" s="1" t="n">
        <v>244000</v>
      </c>
      <c r="D7956" s="1" t="n">
        <v>4590.7</v>
      </c>
      <c r="E7956" s="1" t="n">
        <v>0.0549</v>
      </c>
      <c r="F7956" s="1" t="n">
        <v>0.0759</v>
      </c>
    </row>
    <row r="7957" customFormat="false" ht="15" hidden="false" customHeight="false" outlineLevel="0" collapsed="false">
      <c r="A7957" s="1" t="s">
        <v>7992</v>
      </c>
      <c r="B7957" s="1" t="s">
        <v>92</v>
      </c>
      <c r="C7957" s="1" t="n">
        <v>281000</v>
      </c>
      <c r="D7957" s="1" t="n">
        <v>2094.2</v>
      </c>
      <c r="E7957" s="1" t="n">
        <v>0.0151</v>
      </c>
      <c r="F7957" s="1" t="n">
        <v>0.0657</v>
      </c>
    </row>
    <row r="7958" customFormat="false" ht="15" hidden="false" customHeight="false" outlineLevel="0" collapsed="false">
      <c r="A7958" s="1" t="s">
        <v>7993</v>
      </c>
      <c r="B7958" s="1" t="s">
        <v>26</v>
      </c>
      <c r="C7958" s="1" t="n">
        <v>299000</v>
      </c>
      <c r="D7958" s="1" t="n">
        <v>6083.4</v>
      </c>
      <c r="E7958" s="1" t="n">
        <v>0.0235</v>
      </c>
      <c r="F7958" s="1" t="n">
        <v>0.0759</v>
      </c>
    </row>
    <row r="7959" customFormat="false" ht="15" hidden="false" customHeight="false" outlineLevel="0" collapsed="false">
      <c r="A7959" s="1" t="s">
        <v>7994</v>
      </c>
      <c r="B7959" s="1" t="s">
        <v>41</v>
      </c>
      <c r="C7959" s="1" t="n">
        <v>242000</v>
      </c>
      <c r="D7959" s="1" t="n">
        <v>733</v>
      </c>
      <c r="E7959" s="1" t="n">
        <v>0.0118</v>
      </c>
      <c r="F7959" s="1" t="n">
        <v>0.7208</v>
      </c>
    </row>
    <row r="7960" customFormat="false" ht="15" hidden="false" customHeight="false" outlineLevel="0" collapsed="false">
      <c r="A7960" s="1" t="s">
        <v>7995</v>
      </c>
      <c r="B7960" s="1" t="s">
        <v>92</v>
      </c>
      <c r="C7960" s="1" t="n">
        <v>230000</v>
      </c>
      <c r="D7960" s="1" t="n">
        <v>1799.7</v>
      </c>
      <c r="E7960" s="1" t="n">
        <v>0.0081</v>
      </c>
      <c r="F7960" s="1" t="n">
        <v>0.0822</v>
      </c>
    </row>
    <row r="7961" customFormat="false" ht="15" hidden="false" customHeight="false" outlineLevel="0" collapsed="false">
      <c r="A7961" s="1" t="s">
        <v>7996</v>
      </c>
      <c r="B7961" s="1" t="s">
        <v>24</v>
      </c>
      <c r="C7961" s="1" t="n">
        <v>377000</v>
      </c>
      <c r="D7961" s="1" t="n">
        <v>5444.2</v>
      </c>
      <c r="E7961" s="1" t="n">
        <v>0.0411</v>
      </c>
      <c r="F7961" s="1" t="n">
        <v>0.4203</v>
      </c>
    </row>
    <row r="7962" customFormat="false" ht="15" hidden="false" customHeight="false" outlineLevel="0" collapsed="false">
      <c r="A7962" s="1" t="s">
        <v>7997</v>
      </c>
      <c r="B7962" s="1" t="s">
        <v>26</v>
      </c>
      <c r="C7962" s="1" t="n">
        <v>243000</v>
      </c>
      <c r="D7962" s="1" t="n">
        <v>11424.9</v>
      </c>
      <c r="E7962" s="1" t="n">
        <v>0.0284</v>
      </c>
      <c r="F7962" s="1" t="n">
        <v>0.0845</v>
      </c>
    </row>
    <row r="7963" customFormat="false" ht="15" hidden="false" customHeight="false" outlineLevel="0" collapsed="false">
      <c r="A7963" s="1" t="s">
        <v>7998</v>
      </c>
      <c r="B7963" s="1" t="s">
        <v>26</v>
      </c>
      <c r="C7963" s="1" t="n">
        <v>273000</v>
      </c>
      <c r="D7963" s="1" t="n">
        <v>20385.1</v>
      </c>
      <c r="E7963" s="1" t="n">
        <v>0.017</v>
      </c>
      <c r="F7963" s="1" t="n">
        <v>0.0585</v>
      </c>
    </row>
    <row r="7964" customFormat="false" ht="15" hidden="false" customHeight="false" outlineLevel="0" collapsed="false">
      <c r="A7964" s="1" t="s">
        <v>7999</v>
      </c>
      <c r="B7964" s="1" t="s">
        <v>26</v>
      </c>
      <c r="C7964" s="1" t="n">
        <v>242000</v>
      </c>
      <c r="D7964" s="1" t="n">
        <v>3011.5</v>
      </c>
      <c r="E7964" s="1" t="n">
        <v>0.0289</v>
      </c>
      <c r="F7964" s="1" t="n">
        <v>0.1688</v>
      </c>
    </row>
    <row r="7965" customFormat="false" ht="15" hidden="false" customHeight="false" outlineLevel="0" collapsed="false">
      <c r="A7965" s="1" t="s">
        <v>8000</v>
      </c>
      <c r="B7965" s="1" t="s">
        <v>74</v>
      </c>
      <c r="C7965" s="1" t="n">
        <v>245000</v>
      </c>
      <c r="D7965" s="1" t="n">
        <v>2298.7</v>
      </c>
      <c r="E7965" s="1" t="n">
        <v>0.0478</v>
      </c>
      <c r="F7965" s="1" t="n">
        <v>0.0951</v>
      </c>
    </row>
    <row r="7966" customFormat="false" ht="15" hidden="false" customHeight="false" outlineLevel="0" collapsed="false">
      <c r="A7966" s="1" t="s">
        <v>8001</v>
      </c>
      <c r="B7966" s="1" t="s">
        <v>21</v>
      </c>
      <c r="C7966" s="1" t="n">
        <v>375000</v>
      </c>
      <c r="D7966" s="1" t="n">
        <v>6510.7</v>
      </c>
      <c r="E7966" s="1" t="n">
        <v>0.0261</v>
      </c>
      <c r="F7966" s="1" t="n">
        <v>0.0538</v>
      </c>
    </row>
    <row r="7967" customFormat="false" ht="15" hidden="false" customHeight="false" outlineLevel="0" collapsed="false">
      <c r="A7967" s="1" t="s">
        <v>8002</v>
      </c>
      <c r="B7967" s="1" t="s">
        <v>26</v>
      </c>
      <c r="C7967" s="1" t="n">
        <v>349000</v>
      </c>
      <c r="D7967" s="1" t="n">
        <v>20095</v>
      </c>
      <c r="E7967" s="1" t="n">
        <v>0.0253</v>
      </c>
      <c r="F7967" s="1" t="n">
        <v>0.0759</v>
      </c>
    </row>
    <row r="7968" customFormat="false" ht="15" hidden="false" customHeight="false" outlineLevel="0" collapsed="false">
      <c r="A7968" s="1" t="s">
        <v>8003</v>
      </c>
      <c r="B7968" s="1" t="s">
        <v>88</v>
      </c>
      <c r="C7968" s="1" t="n">
        <v>271000</v>
      </c>
      <c r="D7968" s="1" t="n">
        <v>4940.1</v>
      </c>
      <c r="E7968" s="1" t="n">
        <v>0.0432</v>
      </c>
      <c r="F7968" s="1" t="n">
        <v>0.0938</v>
      </c>
    </row>
    <row r="7969" customFormat="false" ht="15" hidden="false" customHeight="false" outlineLevel="0" collapsed="false">
      <c r="A7969" s="1" t="s">
        <v>8004</v>
      </c>
      <c r="B7969" s="1" t="s">
        <v>41</v>
      </c>
      <c r="C7969" s="1" t="n">
        <v>237000</v>
      </c>
      <c r="D7969" s="1" t="n">
        <v>1485.1</v>
      </c>
      <c r="E7969" s="1" t="n">
        <v>0.0177</v>
      </c>
      <c r="F7969" s="1" t="n">
        <v>0.0854</v>
      </c>
    </row>
    <row r="7970" customFormat="false" ht="15" hidden="false" customHeight="false" outlineLevel="0" collapsed="false">
      <c r="A7970" s="1" t="s">
        <v>8005</v>
      </c>
      <c r="B7970" s="1" t="s">
        <v>214</v>
      </c>
      <c r="C7970" s="1" t="n">
        <v>250000</v>
      </c>
      <c r="D7970" s="1" t="n">
        <v>8272.6</v>
      </c>
      <c r="E7970" s="1" t="n">
        <v>0.0194</v>
      </c>
      <c r="F7970" s="1" t="n">
        <v>0.1066</v>
      </c>
    </row>
    <row r="7971" customFormat="false" ht="15" hidden="false" customHeight="false" outlineLevel="0" collapsed="false">
      <c r="A7971" s="1" t="s">
        <v>8006</v>
      </c>
      <c r="B7971" s="1" t="s">
        <v>26</v>
      </c>
      <c r="C7971" s="1" t="n">
        <v>244000</v>
      </c>
      <c r="D7971" s="1" t="n">
        <v>4442.6</v>
      </c>
      <c r="E7971" s="1" t="n">
        <v>0.0116</v>
      </c>
      <c r="F7971" s="1" t="n">
        <v>0.1187</v>
      </c>
    </row>
    <row r="7972" customFormat="false" ht="15" hidden="false" customHeight="false" outlineLevel="0" collapsed="false">
      <c r="A7972" s="1" t="s">
        <v>8007</v>
      </c>
      <c r="B7972" s="1" t="s">
        <v>24</v>
      </c>
      <c r="C7972" s="1" t="n">
        <v>348000</v>
      </c>
      <c r="D7972" s="1" t="n">
        <v>23761</v>
      </c>
      <c r="E7972" s="1" t="n">
        <v>0.0235</v>
      </c>
      <c r="F7972" s="1" t="n">
        <v>0.0951</v>
      </c>
    </row>
    <row r="7973" customFormat="false" ht="15" hidden="false" customHeight="false" outlineLevel="0" collapsed="false">
      <c r="A7973" s="1" t="s">
        <v>8008</v>
      </c>
      <c r="B7973" s="1" t="s">
        <v>41</v>
      </c>
      <c r="C7973" s="1" t="n">
        <v>280000</v>
      </c>
      <c r="D7973" s="1" t="n">
        <v>941.5</v>
      </c>
      <c r="E7973" s="1" t="n">
        <v>0.0529</v>
      </c>
      <c r="F7973" s="1" t="n">
        <v>0.1518</v>
      </c>
    </row>
    <row r="7974" customFormat="false" ht="15" hidden="false" customHeight="false" outlineLevel="0" collapsed="false">
      <c r="A7974" s="1" t="s">
        <v>8009</v>
      </c>
      <c r="B7974" s="1" t="s">
        <v>88</v>
      </c>
      <c r="C7974" s="1" t="n">
        <v>242000</v>
      </c>
      <c r="D7974" s="1" t="n">
        <v>310888.9</v>
      </c>
      <c r="E7974" s="1" t="n">
        <v>0.0643</v>
      </c>
      <c r="F7974" s="1" t="n">
        <v>0.0951</v>
      </c>
    </row>
    <row r="7975" customFormat="false" ht="15" hidden="false" customHeight="false" outlineLevel="0" collapsed="false">
      <c r="A7975" s="1" t="s">
        <v>8010</v>
      </c>
      <c r="B7975" s="1" t="s">
        <v>26</v>
      </c>
      <c r="C7975" s="1" t="n">
        <v>291000</v>
      </c>
      <c r="D7975" s="1" t="n">
        <v>32025.6</v>
      </c>
      <c r="E7975" s="1" t="n">
        <v>0.0308</v>
      </c>
      <c r="F7975" s="1" t="n">
        <v>0.0759</v>
      </c>
    </row>
    <row r="7976" customFormat="false" ht="15" hidden="false" customHeight="false" outlineLevel="0" collapsed="false">
      <c r="A7976" s="1" t="s">
        <v>8011</v>
      </c>
      <c r="B7976" s="1" t="s">
        <v>26</v>
      </c>
      <c r="C7976" s="1" t="n">
        <v>492000</v>
      </c>
      <c r="D7976" s="1" t="n">
        <v>529.4</v>
      </c>
      <c r="E7976" s="1" t="n">
        <v>0.0003</v>
      </c>
      <c r="F7976" s="1" t="n">
        <v>0.2095</v>
      </c>
    </row>
    <row r="7977" customFormat="false" ht="15" hidden="false" customHeight="false" outlineLevel="0" collapsed="false">
      <c r="A7977" s="1" t="s">
        <v>8012</v>
      </c>
      <c r="B7977" s="1" t="s">
        <v>74</v>
      </c>
      <c r="C7977" s="1" t="n">
        <v>224000</v>
      </c>
      <c r="D7977" s="1" t="n">
        <v>4284</v>
      </c>
      <c r="E7977" s="1" t="n">
        <v>0.0737</v>
      </c>
      <c r="F7977" s="1" t="n">
        <v>0.0951</v>
      </c>
    </row>
    <row r="7978" customFormat="false" ht="15" hidden="false" customHeight="false" outlineLevel="0" collapsed="false">
      <c r="A7978" s="1" t="s">
        <v>8013</v>
      </c>
      <c r="B7978" s="1" t="s">
        <v>26</v>
      </c>
      <c r="C7978" s="1" t="n">
        <v>226000</v>
      </c>
      <c r="D7978" s="1" t="n">
        <v>2652.2</v>
      </c>
      <c r="E7978" s="1" t="n">
        <v>0.0108</v>
      </c>
      <c r="F7978" s="1" t="n">
        <v>0.1327</v>
      </c>
    </row>
    <row r="7979" customFormat="false" ht="15" hidden="false" customHeight="false" outlineLevel="0" collapsed="false">
      <c r="A7979" s="1" t="s">
        <v>8014</v>
      </c>
      <c r="B7979" s="1" t="s">
        <v>88</v>
      </c>
      <c r="C7979" s="1" t="n">
        <v>287000</v>
      </c>
      <c r="D7979" s="1" t="n">
        <v>18928.1</v>
      </c>
      <c r="E7979" s="1" t="n">
        <v>0.0401</v>
      </c>
      <c r="F7979" s="1" t="n">
        <v>0.0951</v>
      </c>
    </row>
    <row r="7980" customFormat="false" ht="15" hidden="false" customHeight="false" outlineLevel="0" collapsed="false">
      <c r="A7980" s="1" t="s">
        <v>8015</v>
      </c>
      <c r="B7980" s="1" t="s">
        <v>88</v>
      </c>
      <c r="C7980" s="1" t="n">
        <v>266000</v>
      </c>
      <c r="D7980" s="1" t="n">
        <v>1046.2</v>
      </c>
      <c r="E7980" s="1" t="n">
        <v>0.0894</v>
      </c>
      <c r="F7980" s="1" t="n">
        <v>0.0938</v>
      </c>
    </row>
    <row r="7981" customFormat="false" ht="15" hidden="false" customHeight="false" outlineLevel="0" collapsed="false">
      <c r="A7981" s="1" t="s">
        <v>8016</v>
      </c>
      <c r="B7981" s="1" t="s">
        <v>71</v>
      </c>
      <c r="C7981" s="1" t="n">
        <v>225000</v>
      </c>
      <c r="D7981" s="1" t="n">
        <v>10080.2</v>
      </c>
      <c r="E7981" s="1" t="n">
        <v>0.0255</v>
      </c>
      <c r="F7981" s="1" t="n">
        <v>0.0951</v>
      </c>
    </row>
    <row r="7982" customFormat="false" ht="15" hidden="false" customHeight="false" outlineLevel="0" collapsed="false">
      <c r="A7982" s="1" t="s">
        <v>8017</v>
      </c>
      <c r="B7982" s="1" t="s">
        <v>26</v>
      </c>
      <c r="C7982" s="1" t="n">
        <v>253000</v>
      </c>
      <c r="D7982" s="1" t="n">
        <v>14248.6</v>
      </c>
      <c r="E7982" s="1" t="n">
        <v>0.0391</v>
      </c>
      <c r="F7982" s="1" t="n">
        <v>0.0432</v>
      </c>
    </row>
    <row r="7983" customFormat="false" ht="15" hidden="false" customHeight="false" outlineLevel="0" collapsed="false">
      <c r="A7983" s="1" t="s">
        <v>8018</v>
      </c>
      <c r="B7983" s="1" t="s">
        <v>88</v>
      </c>
      <c r="C7983" s="1" t="n">
        <v>226000</v>
      </c>
      <c r="D7983" s="1" t="n">
        <v>47330.2</v>
      </c>
      <c r="E7983" s="1" t="n">
        <v>0.0563</v>
      </c>
      <c r="F7983" s="1" t="n">
        <v>0.0951</v>
      </c>
    </row>
    <row r="7984" customFormat="false" ht="15" hidden="false" customHeight="false" outlineLevel="0" collapsed="false">
      <c r="A7984" s="1" t="s">
        <v>8019</v>
      </c>
      <c r="B7984" s="1" t="s">
        <v>74</v>
      </c>
      <c r="C7984" s="1" t="n">
        <v>376000</v>
      </c>
      <c r="D7984" s="1" t="n">
        <v>9303.5</v>
      </c>
      <c r="E7984" s="1" t="n">
        <v>0.0345</v>
      </c>
      <c r="F7984" s="1" t="n">
        <v>0.0759</v>
      </c>
    </row>
    <row r="7985" customFormat="false" ht="15" hidden="false" customHeight="false" outlineLevel="0" collapsed="false">
      <c r="A7985" s="1" t="s">
        <v>8020</v>
      </c>
      <c r="B7985" s="1" t="s">
        <v>88</v>
      </c>
      <c r="C7985" s="1" t="n">
        <v>214000</v>
      </c>
      <c r="D7985" s="1" t="n">
        <v>787.6</v>
      </c>
      <c r="E7985" s="1" t="n">
        <v>0.0054</v>
      </c>
      <c r="F7985" s="1" t="n">
        <v>0.0654</v>
      </c>
    </row>
    <row r="7986" customFormat="false" ht="15" hidden="false" customHeight="false" outlineLevel="0" collapsed="false">
      <c r="A7986" s="1" t="s">
        <v>8021</v>
      </c>
      <c r="B7986" s="1" t="s">
        <v>53</v>
      </c>
      <c r="C7986" s="1" t="n">
        <v>415000</v>
      </c>
      <c r="D7986" s="1" t="n">
        <v>35067.1</v>
      </c>
      <c r="E7986" s="1" t="n">
        <v>0.0411</v>
      </c>
      <c r="F7986" s="1" t="n">
        <v>0.0759</v>
      </c>
    </row>
    <row r="7987" customFormat="false" ht="15" hidden="false" customHeight="false" outlineLevel="0" collapsed="false">
      <c r="A7987" s="1" t="s">
        <v>8022</v>
      </c>
      <c r="B7987" s="1" t="s">
        <v>24</v>
      </c>
      <c r="C7987" s="1" t="n">
        <v>282000</v>
      </c>
      <c r="D7987" s="1" t="n">
        <v>480.8</v>
      </c>
      <c r="E7987" s="1" t="n">
        <v>0.0101</v>
      </c>
      <c r="F7987" s="1" t="n">
        <v>0.0654</v>
      </c>
    </row>
    <row r="7988" customFormat="false" ht="15" hidden="false" customHeight="false" outlineLevel="0" collapsed="false">
      <c r="A7988" s="1" t="s">
        <v>8023</v>
      </c>
      <c r="B7988" s="1" t="s">
        <v>92</v>
      </c>
      <c r="C7988" s="1" t="n">
        <v>392000</v>
      </c>
      <c r="D7988" s="1" t="n">
        <v>246828.3</v>
      </c>
      <c r="E7988" s="1" t="n">
        <v>0.0312</v>
      </c>
      <c r="F7988" s="1" t="n">
        <v>0.1387</v>
      </c>
    </row>
    <row r="7989" customFormat="false" ht="15" hidden="false" customHeight="false" outlineLevel="0" collapsed="false">
      <c r="A7989" s="1" t="s">
        <v>8024</v>
      </c>
      <c r="B7989" s="1" t="s">
        <v>92</v>
      </c>
      <c r="C7989" s="1" t="n">
        <v>390000</v>
      </c>
      <c r="D7989" s="1" t="n">
        <v>13822.4</v>
      </c>
      <c r="E7989" s="1" t="n">
        <v>0.0174</v>
      </c>
      <c r="F7989" s="1" t="n">
        <v>0.0462</v>
      </c>
    </row>
    <row r="7990" customFormat="false" ht="15" hidden="false" customHeight="false" outlineLevel="0" collapsed="false">
      <c r="A7990" s="1" t="s">
        <v>8025</v>
      </c>
      <c r="B7990" s="1" t="s">
        <v>26</v>
      </c>
      <c r="C7990" s="1" t="n">
        <v>236000</v>
      </c>
      <c r="D7990" s="1" t="n">
        <v>1439.3</v>
      </c>
      <c r="E7990" s="1" t="n">
        <v>0.0461</v>
      </c>
      <c r="F7990" s="1" t="n">
        <v>0.0759</v>
      </c>
    </row>
    <row r="7991" customFormat="false" ht="15" hidden="false" customHeight="false" outlineLevel="0" collapsed="false">
      <c r="A7991" s="1" t="s">
        <v>8026</v>
      </c>
      <c r="B7991" s="1" t="s">
        <v>26</v>
      </c>
      <c r="C7991" s="1" t="n">
        <v>317000</v>
      </c>
      <c r="D7991" s="1" t="n">
        <v>4496</v>
      </c>
      <c r="E7991" s="1" t="n">
        <v>0.0483</v>
      </c>
      <c r="F7991" s="1" t="n">
        <v>0.0759</v>
      </c>
    </row>
    <row r="7992" customFormat="false" ht="15" hidden="false" customHeight="false" outlineLevel="0" collapsed="false">
      <c r="A7992" s="1" t="s">
        <v>8027</v>
      </c>
      <c r="B7992" s="1" t="s">
        <v>62</v>
      </c>
      <c r="C7992" s="1" t="n">
        <v>495000</v>
      </c>
      <c r="D7992" s="1" t="n">
        <v>161</v>
      </c>
      <c r="E7992" s="1" t="n">
        <v>0.0391</v>
      </c>
      <c r="F7992" s="1" t="n">
        <v>0.1226</v>
      </c>
    </row>
    <row r="7993" customFormat="false" ht="15" hidden="false" customHeight="false" outlineLevel="0" collapsed="false">
      <c r="A7993" s="1" t="s">
        <v>8028</v>
      </c>
      <c r="B7993" s="1" t="s">
        <v>74</v>
      </c>
      <c r="C7993" s="1" t="n">
        <v>229000</v>
      </c>
      <c r="D7993" s="1" t="n">
        <v>3062</v>
      </c>
      <c r="E7993" s="1" t="n">
        <v>0.015</v>
      </c>
      <c r="F7993" s="1" t="n">
        <v>0.0585</v>
      </c>
    </row>
    <row r="7994" customFormat="false" ht="15" hidden="false" customHeight="false" outlineLevel="0" collapsed="false">
      <c r="A7994" s="1" t="s">
        <v>8029</v>
      </c>
      <c r="B7994" s="1" t="s">
        <v>50</v>
      </c>
      <c r="C7994" s="1" t="n">
        <v>236000</v>
      </c>
      <c r="D7994" s="1" t="n">
        <v>890.4</v>
      </c>
      <c r="E7994" s="1" t="n">
        <v>0.0153</v>
      </c>
      <c r="F7994" s="1" t="n">
        <v>0.0585</v>
      </c>
    </row>
    <row r="7995" customFormat="false" ht="15" hidden="false" customHeight="false" outlineLevel="0" collapsed="false">
      <c r="A7995" s="1" t="s">
        <v>8030</v>
      </c>
      <c r="B7995" s="1" t="s">
        <v>88</v>
      </c>
      <c r="C7995" s="1" t="n">
        <v>222000</v>
      </c>
      <c r="D7995" s="1" t="n">
        <v>285</v>
      </c>
      <c r="E7995" s="1" t="n">
        <v>0.0309</v>
      </c>
      <c r="F7995" s="1" t="n">
        <v>0.0759</v>
      </c>
    </row>
    <row r="7996" customFormat="false" ht="15" hidden="false" customHeight="false" outlineLevel="0" collapsed="false">
      <c r="A7996" s="1" t="s">
        <v>8031</v>
      </c>
      <c r="B7996" s="1" t="s">
        <v>41</v>
      </c>
      <c r="C7996" s="1" t="n">
        <v>243000</v>
      </c>
      <c r="D7996" s="1" t="n">
        <v>4325.1</v>
      </c>
      <c r="F7996" s="1" t="n">
        <v>0.0518</v>
      </c>
    </row>
    <row r="7997" customFormat="false" ht="15" hidden="false" customHeight="false" outlineLevel="0" collapsed="false">
      <c r="A7997" s="1" t="s">
        <v>8032</v>
      </c>
      <c r="B7997" s="1" t="s">
        <v>24</v>
      </c>
      <c r="C7997" s="1" t="n">
        <v>226000</v>
      </c>
      <c r="D7997" s="1" t="n">
        <v>398.1</v>
      </c>
      <c r="E7997" s="1" t="n">
        <v>0.0202</v>
      </c>
      <c r="F7997" s="1" t="n">
        <v>0.0643</v>
      </c>
    </row>
    <row r="7998" customFormat="false" ht="15" hidden="false" customHeight="false" outlineLevel="0" collapsed="false">
      <c r="A7998" s="1" t="s">
        <v>8033</v>
      </c>
      <c r="B7998" s="1" t="s">
        <v>214</v>
      </c>
      <c r="C7998" s="1" t="n">
        <v>287000</v>
      </c>
      <c r="D7998" s="1" t="n">
        <v>1367.8</v>
      </c>
      <c r="E7998" s="1" t="n">
        <v>0.0213</v>
      </c>
      <c r="F7998" s="1" t="n">
        <v>0.1119</v>
      </c>
    </row>
    <row r="7999" customFormat="false" ht="15" hidden="false" customHeight="false" outlineLevel="0" collapsed="false">
      <c r="A7999" s="1" t="s">
        <v>8034</v>
      </c>
      <c r="B7999" s="1" t="s">
        <v>24</v>
      </c>
      <c r="C7999" s="1" t="n">
        <v>279000</v>
      </c>
      <c r="D7999" s="1" t="n">
        <v>1797.3</v>
      </c>
      <c r="E7999" s="1" t="n">
        <v>0.0293</v>
      </c>
      <c r="F7999" s="1" t="n">
        <v>0.0938</v>
      </c>
    </row>
    <row r="8000" customFormat="false" ht="15" hidden="false" customHeight="false" outlineLevel="0" collapsed="false">
      <c r="A8000" s="1" t="s">
        <v>8035</v>
      </c>
      <c r="B8000" s="1" t="s">
        <v>26</v>
      </c>
      <c r="C8000" s="1" t="n">
        <v>226000</v>
      </c>
      <c r="D8000" s="1" t="n">
        <v>5151.4</v>
      </c>
      <c r="E8000" s="1" t="n">
        <v>0.0379</v>
      </c>
      <c r="F8000" s="1" t="n">
        <v>0.0759</v>
      </c>
    </row>
    <row r="8001" customFormat="false" ht="15" hidden="false" customHeight="false" outlineLevel="0" collapsed="false">
      <c r="A8001" s="1" t="s">
        <v>8036</v>
      </c>
      <c r="B8001" s="1" t="s">
        <v>32</v>
      </c>
      <c r="C8001" s="1" t="n">
        <v>257000</v>
      </c>
      <c r="D8001" s="1" t="n">
        <v>2566</v>
      </c>
      <c r="E8001" s="1" t="n">
        <v>0.0662</v>
      </c>
      <c r="F8001" s="1" t="n">
        <v>0.0759</v>
      </c>
    </row>
    <row r="8002" customFormat="false" ht="15" hidden="false" customHeight="false" outlineLevel="0" collapsed="false">
      <c r="A8002" s="1" t="s">
        <v>8037</v>
      </c>
      <c r="B8002" s="1" t="s">
        <v>214</v>
      </c>
      <c r="C8002" s="1" t="n">
        <v>257000</v>
      </c>
      <c r="D8002" s="1" t="n">
        <v>134074.5</v>
      </c>
      <c r="E8002" s="1" t="n">
        <v>0.0391</v>
      </c>
      <c r="F8002" s="1" t="n">
        <v>0.0951</v>
      </c>
    </row>
    <row r="8003" customFormat="false" ht="15" hidden="false" customHeight="false" outlineLevel="0" collapsed="false">
      <c r="A8003" s="1" t="s">
        <v>8038</v>
      </c>
      <c r="B8003" s="1" t="s">
        <v>50</v>
      </c>
      <c r="C8003" s="1" t="n">
        <v>234000</v>
      </c>
      <c r="D8003" s="1" t="n">
        <v>3319.9</v>
      </c>
      <c r="E8003" s="1" t="n">
        <v>0.0108</v>
      </c>
      <c r="F8003" s="1" t="n">
        <v>0.0822</v>
      </c>
    </row>
    <row r="8004" customFormat="false" ht="15" hidden="false" customHeight="false" outlineLevel="0" collapsed="false">
      <c r="A8004" s="1" t="s">
        <v>8039</v>
      </c>
      <c r="B8004" s="1" t="s">
        <v>88</v>
      </c>
      <c r="C8004" s="1" t="n">
        <v>304000</v>
      </c>
      <c r="D8004" s="1" t="n">
        <v>327.1</v>
      </c>
      <c r="E8004" s="1" t="n">
        <v>0.0416</v>
      </c>
      <c r="F8004" s="1" t="n">
        <v>0.0938</v>
      </c>
    </row>
    <row r="8005" customFormat="false" ht="15" hidden="false" customHeight="false" outlineLevel="0" collapsed="false">
      <c r="A8005" s="1" t="s">
        <v>8040</v>
      </c>
      <c r="B8005" s="1" t="s">
        <v>74</v>
      </c>
      <c r="C8005" s="1" t="n">
        <v>253000</v>
      </c>
      <c r="D8005" s="1" t="n">
        <v>925.8</v>
      </c>
      <c r="E8005" s="1" t="n">
        <v>0.0283</v>
      </c>
      <c r="F8005" s="1" t="n">
        <v>0.1239</v>
      </c>
    </row>
    <row r="8006" customFormat="false" ht="15" hidden="false" customHeight="false" outlineLevel="0" collapsed="false">
      <c r="A8006" s="1" t="s">
        <v>8041</v>
      </c>
      <c r="B8006" s="1" t="s">
        <v>62</v>
      </c>
      <c r="C8006" s="1" t="n">
        <v>253000</v>
      </c>
      <c r="D8006" s="1" t="n">
        <v>1382.4</v>
      </c>
      <c r="E8006" s="1" t="n">
        <v>0.0337</v>
      </c>
      <c r="F8006" s="1" t="n">
        <v>0.1241</v>
      </c>
    </row>
    <row r="8007" customFormat="false" ht="15" hidden="false" customHeight="false" outlineLevel="0" collapsed="false">
      <c r="A8007" s="1" t="s">
        <v>8042</v>
      </c>
      <c r="B8007" s="1" t="s">
        <v>26</v>
      </c>
      <c r="C8007" s="1" t="n">
        <v>262000</v>
      </c>
      <c r="D8007" s="1" t="n">
        <v>1229.2</v>
      </c>
      <c r="E8007" s="1" t="n">
        <v>0.0157</v>
      </c>
      <c r="F8007" s="1" t="n">
        <v>0.0576</v>
      </c>
    </row>
    <row r="8008" customFormat="false" ht="15" hidden="false" customHeight="false" outlineLevel="0" collapsed="false">
      <c r="A8008" s="1" t="s">
        <v>8043</v>
      </c>
      <c r="B8008" s="1" t="s">
        <v>71</v>
      </c>
      <c r="C8008" s="1" t="n">
        <v>224000</v>
      </c>
      <c r="D8008" s="1" t="n">
        <v>302.4</v>
      </c>
      <c r="E8008" s="1" t="n">
        <v>0.0425</v>
      </c>
      <c r="F8008" s="1" t="n">
        <v>0.0951</v>
      </c>
    </row>
    <row r="8009" customFormat="false" ht="15" hidden="false" customHeight="false" outlineLevel="0" collapsed="false">
      <c r="A8009" s="1" t="s">
        <v>8044</v>
      </c>
      <c r="B8009" s="1" t="s">
        <v>26</v>
      </c>
      <c r="C8009" s="1" t="n">
        <v>339000</v>
      </c>
      <c r="D8009" s="1" t="n">
        <v>17285.4</v>
      </c>
      <c r="E8009" s="1" t="n">
        <v>0.0323</v>
      </c>
      <c r="F8009" s="1" t="n">
        <v>0.0938</v>
      </c>
    </row>
    <row r="8010" customFormat="false" ht="15" hidden="false" customHeight="false" outlineLevel="0" collapsed="false">
      <c r="A8010" s="1" t="s">
        <v>8045</v>
      </c>
      <c r="B8010" s="1" t="s">
        <v>88</v>
      </c>
      <c r="C8010" s="1" t="n">
        <v>228000</v>
      </c>
      <c r="D8010" s="1" t="n">
        <v>212314.3</v>
      </c>
      <c r="E8010" s="1" t="n">
        <v>0.0788</v>
      </c>
      <c r="F8010" s="1" t="n">
        <v>0.0759</v>
      </c>
    </row>
    <row r="8011" customFormat="false" ht="15" hidden="false" customHeight="false" outlineLevel="0" collapsed="false">
      <c r="A8011" s="1" t="s">
        <v>8046</v>
      </c>
      <c r="B8011" s="1" t="s">
        <v>50</v>
      </c>
      <c r="C8011" s="1" t="n">
        <v>257000</v>
      </c>
      <c r="D8011" s="1" t="n">
        <v>536.5</v>
      </c>
      <c r="E8011" s="1" t="n">
        <v>0.1243</v>
      </c>
      <c r="F8011" s="1" t="n">
        <v>0.095</v>
      </c>
    </row>
    <row r="8012" customFormat="false" ht="15" hidden="false" customHeight="false" outlineLevel="0" collapsed="false">
      <c r="A8012" s="1" t="s">
        <v>8047</v>
      </c>
      <c r="B8012" s="1" t="s">
        <v>71</v>
      </c>
      <c r="C8012" s="1" t="n">
        <v>642000</v>
      </c>
      <c r="D8012" s="1" t="n">
        <v>38700.8</v>
      </c>
      <c r="E8012" s="1" t="n">
        <v>0.0501</v>
      </c>
      <c r="F8012" s="1" t="n">
        <v>0.0759</v>
      </c>
    </row>
    <row r="8013" customFormat="false" ht="15" hidden="false" customHeight="false" outlineLevel="0" collapsed="false">
      <c r="A8013" s="1" t="s">
        <v>8048</v>
      </c>
      <c r="B8013" s="1" t="s">
        <v>21</v>
      </c>
      <c r="C8013" s="1" t="n">
        <v>340000</v>
      </c>
      <c r="D8013" s="1" t="n">
        <v>349352.5</v>
      </c>
      <c r="E8013" s="1" t="n">
        <v>0.0513</v>
      </c>
      <c r="F8013" s="1" t="n">
        <v>0.0759</v>
      </c>
    </row>
    <row r="8014" customFormat="false" ht="15" hidden="false" customHeight="false" outlineLevel="0" collapsed="false">
      <c r="A8014" s="1" t="s">
        <v>8049</v>
      </c>
      <c r="B8014" s="1" t="s">
        <v>214</v>
      </c>
      <c r="C8014" s="1" t="n">
        <v>257000</v>
      </c>
      <c r="D8014" s="1" t="n">
        <v>804.6</v>
      </c>
      <c r="E8014" s="1" t="n">
        <v>0.0106</v>
      </c>
      <c r="F8014" s="1" t="n">
        <v>0.2729</v>
      </c>
    </row>
    <row r="8015" customFormat="false" ht="15" hidden="false" customHeight="false" outlineLevel="0" collapsed="false">
      <c r="A8015" s="1" t="s">
        <v>8050</v>
      </c>
      <c r="B8015" s="1" t="s">
        <v>214</v>
      </c>
      <c r="C8015" s="1" t="n">
        <v>272000</v>
      </c>
      <c r="D8015" s="1" t="n">
        <v>1928.4</v>
      </c>
      <c r="E8015" s="1" t="n">
        <v>0.0299</v>
      </c>
      <c r="F8015" s="1" t="n">
        <v>0.0938</v>
      </c>
    </row>
    <row r="8016" customFormat="false" ht="15" hidden="false" customHeight="false" outlineLevel="0" collapsed="false">
      <c r="A8016" s="1" t="s">
        <v>8051</v>
      </c>
      <c r="B8016" s="1" t="s">
        <v>24</v>
      </c>
      <c r="C8016" s="1" t="n">
        <v>274000</v>
      </c>
      <c r="D8016" s="1" t="n">
        <v>424.6</v>
      </c>
      <c r="E8016" s="1" t="n">
        <v>0.0301</v>
      </c>
      <c r="F8016" s="1" t="n">
        <v>0.1387</v>
      </c>
    </row>
    <row r="8017" customFormat="false" ht="15" hidden="false" customHeight="false" outlineLevel="0" collapsed="false">
      <c r="A8017" s="1" t="s">
        <v>8052</v>
      </c>
      <c r="B8017" s="1" t="s">
        <v>92</v>
      </c>
      <c r="C8017" s="1" t="n">
        <v>272000</v>
      </c>
      <c r="D8017" s="1" t="n">
        <v>918.7</v>
      </c>
      <c r="E8017" s="1" t="n">
        <v>0.0203</v>
      </c>
      <c r="F8017" s="1" t="n">
        <v>0.0759</v>
      </c>
    </row>
    <row r="8018" customFormat="false" ht="15" hidden="false" customHeight="false" outlineLevel="0" collapsed="false">
      <c r="A8018" s="1" t="s">
        <v>8053</v>
      </c>
      <c r="B8018" s="1" t="s">
        <v>26</v>
      </c>
      <c r="C8018" s="1" t="n">
        <v>1010000</v>
      </c>
      <c r="D8018" s="1" t="n">
        <v>90104.3</v>
      </c>
      <c r="E8018" s="1" t="n">
        <v>0.0214</v>
      </c>
      <c r="F8018" s="1" t="n">
        <v>0.0462</v>
      </c>
    </row>
    <row r="8019" customFormat="false" ht="15" hidden="false" customHeight="false" outlineLevel="0" collapsed="false">
      <c r="A8019" s="1" t="s">
        <v>8054</v>
      </c>
      <c r="B8019" s="1" t="s">
        <v>26</v>
      </c>
      <c r="C8019" s="1" t="n">
        <v>271000</v>
      </c>
      <c r="D8019" s="1" t="n">
        <v>470.7</v>
      </c>
      <c r="E8019" s="1" t="n">
        <v>0.0175</v>
      </c>
      <c r="F8019" s="1" t="n">
        <v>0.0815</v>
      </c>
    </row>
    <row r="8020" customFormat="false" ht="15" hidden="false" customHeight="false" outlineLevel="0" collapsed="false">
      <c r="A8020" s="1" t="s">
        <v>8055</v>
      </c>
      <c r="B8020" s="1" t="s">
        <v>53</v>
      </c>
      <c r="C8020" s="1" t="n">
        <v>226000</v>
      </c>
      <c r="D8020" s="1" t="n">
        <v>6679.2</v>
      </c>
      <c r="E8020" s="1" t="n">
        <v>0.0739</v>
      </c>
      <c r="F8020" s="1" t="n">
        <v>0.0409</v>
      </c>
    </row>
    <row r="8021" customFormat="false" ht="15" hidden="false" customHeight="false" outlineLevel="0" collapsed="false">
      <c r="A8021" s="1" t="s">
        <v>8056</v>
      </c>
      <c r="B8021" s="1" t="s">
        <v>24</v>
      </c>
      <c r="C8021" s="1" t="n">
        <v>274000</v>
      </c>
      <c r="D8021" s="1" t="n">
        <v>624.9</v>
      </c>
      <c r="E8021" s="1" t="n">
        <v>0.0326</v>
      </c>
      <c r="F8021" s="1" t="n">
        <v>0.0938</v>
      </c>
    </row>
    <row r="8022" customFormat="false" ht="15" hidden="false" customHeight="false" outlineLevel="0" collapsed="false">
      <c r="A8022" s="1" t="s">
        <v>8057</v>
      </c>
      <c r="B8022" s="1" t="s">
        <v>92</v>
      </c>
      <c r="C8022" s="1" t="n">
        <v>433000</v>
      </c>
      <c r="D8022" s="1" t="n">
        <v>73326.7</v>
      </c>
      <c r="E8022" s="1" t="n">
        <v>0.0165</v>
      </c>
      <c r="F8022" s="1" t="n">
        <v>0.0462</v>
      </c>
    </row>
    <row r="8023" customFormat="false" ht="15" hidden="false" customHeight="false" outlineLevel="0" collapsed="false">
      <c r="A8023" s="1" t="s">
        <v>8058</v>
      </c>
      <c r="B8023" s="1" t="s">
        <v>26</v>
      </c>
      <c r="C8023" s="1" t="n">
        <v>219000</v>
      </c>
      <c r="D8023" s="1" t="n">
        <v>57555.7</v>
      </c>
      <c r="E8023" s="1" t="n">
        <v>0.0323</v>
      </c>
      <c r="F8023" s="1" t="n">
        <v>0.1066</v>
      </c>
    </row>
    <row r="8024" customFormat="false" ht="15" hidden="false" customHeight="false" outlineLevel="0" collapsed="false">
      <c r="A8024" s="1" t="s">
        <v>8059</v>
      </c>
      <c r="B8024" s="1" t="s">
        <v>26</v>
      </c>
      <c r="C8024" s="1" t="n">
        <v>240000</v>
      </c>
      <c r="D8024" s="1" t="n">
        <v>76950.2</v>
      </c>
      <c r="E8024" s="1" t="n">
        <v>0.021</v>
      </c>
      <c r="F8024" s="1" t="n">
        <v>0.0518</v>
      </c>
    </row>
    <row r="8025" customFormat="false" ht="15" hidden="false" customHeight="false" outlineLevel="0" collapsed="false">
      <c r="A8025" s="1" t="s">
        <v>8060</v>
      </c>
      <c r="B8025" s="1" t="s">
        <v>71</v>
      </c>
      <c r="C8025" s="1" t="n">
        <v>247000</v>
      </c>
      <c r="D8025" s="1" t="n">
        <v>2132.9</v>
      </c>
      <c r="E8025" s="1" t="n">
        <v>0.0344</v>
      </c>
      <c r="F8025" s="1" t="n">
        <v>0.0538</v>
      </c>
    </row>
    <row r="8026" customFormat="false" ht="15" hidden="false" customHeight="false" outlineLevel="0" collapsed="false">
      <c r="A8026" s="1" t="s">
        <v>8061</v>
      </c>
      <c r="B8026" s="1" t="s">
        <v>92</v>
      </c>
      <c r="C8026" s="1" t="n">
        <v>237000</v>
      </c>
      <c r="D8026" s="1" t="n">
        <v>746.3</v>
      </c>
      <c r="E8026" s="1" t="n">
        <v>0.0296</v>
      </c>
      <c r="F8026" s="1" t="n">
        <v>0.0518</v>
      </c>
    </row>
    <row r="8027" customFormat="false" ht="15" hidden="false" customHeight="false" outlineLevel="0" collapsed="false">
      <c r="A8027" s="1" t="s">
        <v>8062</v>
      </c>
      <c r="B8027" s="1" t="s">
        <v>26</v>
      </c>
      <c r="C8027" s="1" t="n">
        <v>231000</v>
      </c>
      <c r="D8027" s="1" t="n">
        <v>1857.4</v>
      </c>
      <c r="E8027" s="1" t="n">
        <v>0.015</v>
      </c>
      <c r="F8027" s="1" t="n">
        <v>0.0585</v>
      </c>
    </row>
    <row r="8028" customFormat="false" ht="15" hidden="false" customHeight="false" outlineLevel="0" collapsed="false">
      <c r="A8028" s="1" t="s">
        <v>8063</v>
      </c>
      <c r="B8028" s="1" t="s">
        <v>74</v>
      </c>
      <c r="C8028" s="1" t="n">
        <v>2040000</v>
      </c>
      <c r="D8028" s="1" t="n">
        <v>197098.6</v>
      </c>
      <c r="E8028" s="1" t="n">
        <v>0.0651</v>
      </c>
      <c r="F8028" s="1" t="n">
        <v>0.0759</v>
      </c>
    </row>
    <row r="8029" customFormat="false" ht="15" hidden="false" customHeight="false" outlineLevel="0" collapsed="false">
      <c r="A8029" s="1" t="s">
        <v>8064</v>
      </c>
      <c r="B8029" s="1" t="s">
        <v>71</v>
      </c>
      <c r="C8029" s="1" t="n">
        <v>220000</v>
      </c>
      <c r="D8029" s="1" t="n">
        <v>16792.9</v>
      </c>
      <c r="E8029" s="1" t="n">
        <v>0.0252</v>
      </c>
      <c r="F8029" s="1" t="n">
        <v>0.0951</v>
      </c>
    </row>
    <row r="8030" customFormat="false" ht="15" hidden="false" customHeight="false" outlineLevel="0" collapsed="false">
      <c r="A8030" s="1" t="s">
        <v>8065</v>
      </c>
      <c r="B8030" s="1" t="s">
        <v>30</v>
      </c>
      <c r="C8030" s="1" t="n">
        <v>990000</v>
      </c>
      <c r="D8030" s="1" t="n">
        <v>114744</v>
      </c>
      <c r="E8030" s="1" t="n">
        <v>0.0178</v>
      </c>
      <c r="F8030" s="1" t="n">
        <v>0.0462</v>
      </c>
    </row>
    <row r="8031" customFormat="false" ht="15" hidden="false" customHeight="false" outlineLevel="0" collapsed="false">
      <c r="A8031" s="1" t="s">
        <v>8066</v>
      </c>
      <c r="B8031" s="1" t="s">
        <v>21</v>
      </c>
      <c r="C8031" s="1" t="n">
        <v>267000</v>
      </c>
      <c r="D8031" s="1" t="n">
        <v>7619.5</v>
      </c>
      <c r="E8031" s="1" t="n">
        <v>0.0156</v>
      </c>
      <c r="F8031" s="1" t="n">
        <v>0.1067</v>
      </c>
    </row>
    <row r="8032" customFormat="false" ht="15" hidden="false" customHeight="false" outlineLevel="0" collapsed="false">
      <c r="A8032" s="1" t="s">
        <v>8067</v>
      </c>
      <c r="B8032" s="1" t="s">
        <v>214</v>
      </c>
      <c r="C8032" s="1" t="n">
        <v>252000</v>
      </c>
      <c r="D8032" s="1" t="n">
        <v>7704.2</v>
      </c>
      <c r="E8032" s="1" t="n">
        <v>0.0147</v>
      </c>
      <c r="F8032" s="1" t="n">
        <v>0.0585</v>
      </c>
    </row>
    <row r="8033" customFormat="false" ht="15" hidden="false" customHeight="false" outlineLevel="0" collapsed="false">
      <c r="A8033" s="1" t="s">
        <v>8068</v>
      </c>
      <c r="B8033" s="1" t="s">
        <v>50</v>
      </c>
      <c r="C8033" s="1" t="n">
        <v>299000</v>
      </c>
      <c r="D8033" s="1" t="n">
        <v>20888.4</v>
      </c>
      <c r="E8033" s="1" t="n">
        <v>0.04</v>
      </c>
      <c r="F8033" s="1" t="n">
        <v>0.0951</v>
      </c>
    </row>
    <row r="8034" customFormat="false" ht="15" hidden="false" customHeight="false" outlineLevel="0" collapsed="false">
      <c r="A8034" s="1" t="s">
        <v>8069</v>
      </c>
      <c r="B8034" s="1" t="s">
        <v>26</v>
      </c>
      <c r="C8034" s="1" t="n">
        <v>356000</v>
      </c>
      <c r="D8034" s="1" t="n">
        <v>9595.1</v>
      </c>
      <c r="E8034" s="1" t="n">
        <v>0.0488</v>
      </c>
      <c r="F8034" s="1" t="n">
        <v>0.0759</v>
      </c>
    </row>
    <row r="8035" customFormat="false" ht="15" hidden="false" customHeight="false" outlineLevel="0" collapsed="false">
      <c r="A8035" s="1" t="s">
        <v>8070</v>
      </c>
      <c r="B8035" s="1" t="s">
        <v>214</v>
      </c>
      <c r="C8035" s="1" t="n">
        <v>231000</v>
      </c>
      <c r="D8035" s="1" t="n">
        <v>745.9</v>
      </c>
      <c r="E8035" s="1" t="n">
        <v>0.0269</v>
      </c>
      <c r="F8035" s="1" t="n">
        <v>0.0759</v>
      </c>
    </row>
    <row r="8036" customFormat="false" ht="15" hidden="false" customHeight="false" outlineLevel="0" collapsed="false">
      <c r="A8036" s="1" t="s">
        <v>8071</v>
      </c>
      <c r="B8036" s="1" t="s">
        <v>53</v>
      </c>
      <c r="C8036" s="1" t="n">
        <v>231000</v>
      </c>
      <c r="D8036" s="1" t="n">
        <v>114281</v>
      </c>
      <c r="F8036" s="1" t="n">
        <v>0.0518</v>
      </c>
    </row>
    <row r="8037" customFormat="false" ht="15" hidden="false" customHeight="false" outlineLevel="0" collapsed="false">
      <c r="A8037" s="1" t="s">
        <v>8072</v>
      </c>
      <c r="B8037" s="1" t="s">
        <v>81</v>
      </c>
      <c r="C8037" s="1" t="n">
        <v>239000</v>
      </c>
      <c r="D8037" s="1" t="n">
        <v>16972.9</v>
      </c>
      <c r="E8037" s="1" t="n">
        <v>0.0132</v>
      </c>
      <c r="F8037" s="1" t="n">
        <v>0.0616</v>
      </c>
    </row>
    <row r="8038" customFormat="false" ht="15" hidden="false" customHeight="false" outlineLevel="0" collapsed="false">
      <c r="A8038" s="1" t="s">
        <v>8073</v>
      </c>
      <c r="B8038" s="1" t="s">
        <v>26</v>
      </c>
      <c r="C8038" s="1" t="n">
        <v>236000</v>
      </c>
      <c r="D8038" s="1" t="n">
        <v>20158</v>
      </c>
      <c r="E8038" s="1" t="n">
        <v>0.0242</v>
      </c>
      <c r="F8038" s="1" t="n">
        <v>0.0951</v>
      </c>
    </row>
    <row r="8039" customFormat="false" ht="15" hidden="false" customHeight="false" outlineLevel="0" collapsed="false">
      <c r="A8039" s="1" t="s">
        <v>8074</v>
      </c>
      <c r="B8039" s="1" t="s">
        <v>50</v>
      </c>
      <c r="C8039" s="1" t="n">
        <v>556000</v>
      </c>
      <c r="D8039" s="1" t="n">
        <v>1227124.9</v>
      </c>
      <c r="E8039" s="1" t="n">
        <v>0.0415</v>
      </c>
      <c r="F8039" s="1" t="n">
        <v>0.0759</v>
      </c>
    </row>
    <row r="8040" customFormat="false" ht="15" hidden="false" customHeight="false" outlineLevel="0" collapsed="false">
      <c r="A8040" s="1" t="s">
        <v>8075</v>
      </c>
      <c r="B8040" s="1" t="s">
        <v>88</v>
      </c>
      <c r="C8040" s="1" t="n">
        <v>383000</v>
      </c>
      <c r="D8040" s="1" t="n">
        <v>2611.1</v>
      </c>
      <c r="E8040" s="1" t="n">
        <v>0.0388</v>
      </c>
      <c r="F8040" s="1" t="n">
        <v>0.0759</v>
      </c>
    </row>
    <row r="8041" customFormat="false" ht="15" hidden="false" customHeight="false" outlineLevel="0" collapsed="false">
      <c r="A8041" s="1" t="s">
        <v>8076</v>
      </c>
      <c r="B8041" s="1" t="s">
        <v>50</v>
      </c>
      <c r="C8041" s="1" t="n">
        <v>222000</v>
      </c>
      <c r="D8041" s="1" t="n">
        <v>35062.1</v>
      </c>
      <c r="E8041" s="1" t="n">
        <v>0.0232</v>
      </c>
      <c r="F8041" s="1" t="n">
        <v>0.0845</v>
      </c>
    </row>
    <row r="8042" customFormat="false" ht="15" hidden="false" customHeight="false" outlineLevel="0" collapsed="false">
      <c r="A8042" s="1" t="s">
        <v>8077</v>
      </c>
      <c r="B8042" s="1" t="s">
        <v>81</v>
      </c>
      <c r="C8042" s="1" t="n">
        <v>224000</v>
      </c>
      <c r="D8042" s="1" t="n">
        <v>1698.1</v>
      </c>
      <c r="E8042" s="1" t="n">
        <v>0.0402</v>
      </c>
      <c r="F8042" s="1" t="n">
        <v>0.0938</v>
      </c>
    </row>
    <row r="8043" customFormat="false" ht="15" hidden="false" customHeight="false" outlineLevel="0" collapsed="false">
      <c r="A8043" s="1" t="s">
        <v>8078</v>
      </c>
      <c r="B8043" s="1" t="s">
        <v>26</v>
      </c>
      <c r="C8043" s="1" t="n">
        <v>225000</v>
      </c>
      <c r="D8043" s="1" t="n">
        <v>249524.5</v>
      </c>
      <c r="E8043" s="1" t="n">
        <v>0.0222</v>
      </c>
      <c r="F8043" s="1" t="n">
        <v>0.0951</v>
      </c>
    </row>
    <row r="8044" customFormat="false" ht="15" hidden="false" customHeight="false" outlineLevel="0" collapsed="false">
      <c r="A8044" s="1" t="s">
        <v>8079</v>
      </c>
      <c r="B8044" s="1" t="s">
        <v>92</v>
      </c>
      <c r="C8044" s="1" t="n">
        <v>231000</v>
      </c>
      <c r="D8044" s="1" t="n">
        <v>6410.8</v>
      </c>
      <c r="E8044" s="1" t="n">
        <v>0.011</v>
      </c>
      <c r="F8044" s="1" t="n">
        <v>0.0866</v>
      </c>
    </row>
    <row r="8045" customFormat="false" ht="15" hidden="false" customHeight="false" outlineLevel="0" collapsed="false">
      <c r="A8045" s="1" t="s">
        <v>8080</v>
      </c>
      <c r="B8045" s="1" t="s">
        <v>50</v>
      </c>
      <c r="C8045" s="1" t="n">
        <v>230000</v>
      </c>
      <c r="D8045" s="1" t="n">
        <v>8801.5</v>
      </c>
      <c r="E8045" s="1" t="n">
        <v>0.0412</v>
      </c>
      <c r="F8045" s="1" t="n">
        <v>0.0951</v>
      </c>
    </row>
    <row r="8046" customFormat="false" ht="15" hidden="false" customHeight="false" outlineLevel="0" collapsed="false">
      <c r="A8046" s="1" t="s">
        <v>8081</v>
      </c>
      <c r="B8046" s="1" t="s">
        <v>92</v>
      </c>
      <c r="C8046" s="1" t="n">
        <v>249000</v>
      </c>
      <c r="D8046" s="1" t="n">
        <v>43401.2</v>
      </c>
      <c r="E8046" s="1" t="n">
        <v>0.0152</v>
      </c>
      <c r="F8046" s="1" t="n">
        <v>0.1067</v>
      </c>
    </row>
    <row r="8047" customFormat="false" ht="15" hidden="false" customHeight="false" outlineLevel="0" collapsed="false">
      <c r="A8047" s="1" t="s">
        <v>8082</v>
      </c>
      <c r="B8047" s="1" t="s">
        <v>81</v>
      </c>
      <c r="C8047" s="1" t="n">
        <v>290000</v>
      </c>
      <c r="D8047" s="1" t="n">
        <v>1295.6</v>
      </c>
      <c r="E8047" s="1" t="n">
        <v>0.012</v>
      </c>
      <c r="F8047" s="1" t="n">
        <v>0.0576</v>
      </c>
    </row>
    <row r="8048" customFormat="false" ht="15" hidden="false" customHeight="false" outlineLevel="0" collapsed="false">
      <c r="A8048" s="1" t="s">
        <v>8083</v>
      </c>
      <c r="B8048" s="1" t="s">
        <v>81</v>
      </c>
      <c r="C8048" s="1" t="n">
        <v>238000</v>
      </c>
      <c r="D8048" s="1" t="n">
        <v>4546.5</v>
      </c>
      <c r="E8048" s="1" t="n">
        <v>0.0229</v>
      </c>
      <c r="F8048" s="1" t="n">
        <v>0.0759</v>
      </c>
    </row>
    <row r="8049" customFormat="false" ht="15" hidden="false" customHeight="false" outlineLevel="0" collapsed="false">
      <c r="A8049" s="1" t="s">
        <v>8084</v>
      </c>
      <c r="B8049" s="1" t="s">
        <v>92</v>
      </c>
      <c r="C8049" s="1" t="n">
        <v>278000</v>
      </c>
      <c r="D8049" s="1" t="n">
        <v>3832</v>
      </c>
      <c r="F8049" s="1" t="n">
        <v>0.0409</v>
      </c>
    </row>
    <row r="8050" customFormat="false" ht="15" hidden="false" customHeight="false" outlineLevel="0" collapsed="false">
      <c r="A8050" s="1" t="s">
        <v>8085</v>
      </c>
      <c r="B8050" s="1" t="s">
        <v>53</v>
      </c>
      <c r="C8050" s="1" t="n">
        <v>366000</v>
      </c>
      <c r="D8050" s="1" t="n">
        <v>9032.4</v>
      </c>
      <c r="E8050" s="1" t="n">
        <v>0.1064</v>
      </c>
      <c r="F8050" s="1" t="n">
        <v>0.0759</v>
      </c>
    </row>
    <row r="8051" customFormat="false" ht="15" hidden="false" customHeight="false" outlineLevel="0" collapsed="false">
      <c r="A8051" s="1" t="s">
        <v>8086</v>
      </c>
      <c r="B8051" s="1" t="s">
        <v>62</v>
      </c>
      <c r="C8051" s="1" t="n">
        <v>185000</v>
      </c>
      <c r="D8051" s="1" t="n">
        <v>1165.4</v>
      </c>
      <c r="E8051" s="1" t="n">
        <v>0.0071</v>
      </c>
      <c r="F8051" s="1" t="n">
        <v>0.0654</v>
      </c>
    </row>
    <row r="8052" customFormat="false" ht="15" hidden="false" customHeight="false" outlineLevel="0" collapsed="false">
      <c r="A8052" s="1" t="s">
        <v>8087</v>
      </c>
      <c r="B8052" s="1" t="s">
        <v>88</v>
      </c>
      <c r="C8052" s="1" t="n">
        <v>390000</v>
      </c>
      <c r="D8052" s="1" t="n">
        <v>1807.8</v>
      </c>
      <c r="F8052" s="1" t="n">
        <v>0.0951</v>
      </c>
    </row>
    <row r="8053" customFormat="false" ht="15" hidden="false" customHeight="false" outlineLevel="0" collapsed="false">
      <c r="A8053" s="1" t="s">
        <v>8088</v>
      </c>
      <c r="B8053" s="1" t="s">
        <v>214</v>
      </c>
      <c r="C8053" s="1" t="n">
        <v>227000</v>
      </c>
      <c r="D8053" s="1" t="n">
        <v>2519.6</v>
      </c>
      <c r="E8053" s="1" t="n">
        <v>0.0154</v>
      </c>
      <c r="F8053" s="1" t="n">
        <v>0.0585</v>
      </c>
    </row>
    <row r="8054" customFormat="false" ht="15" hidden="false" customHeight="false" outlineLevel="0" collapsed="false">
      <c r="A8054" s="1" t="s">
        <v>8089</v>
      </c>
      <c r="B8054" s="1" t="s">
        <v>26</v>
      </c>
      <c r="C8054" s="1" t="n">
        <v>319000</v>
      </c>
      <c r="D8054" s="1" t="n">
        <v>16341.6</v>
      </c>
      <c r="E8054" s="1" t="n">
        <v>0.0471</v>
      </c>
      <c r="F8054" s="1" t="n">
        <v>0.0759</v>
      </c>
    </row>
    <row r="8055" customFormat="false" ht="15" hidden="false" customHeight="false" outlineLevel="0" collapsed="false">
      <c r="A8055" s="1" t="s">
        <v>8090</v>
      </c>
      <c r="B8055" s="1" t="s">
        <v>26</v>
      </c>
      <c r="C8055" s="1" t="n">
        <v>264000</v>
      </c>
      <c r="D8055" s="1" t="n">
        <v>5843.4</v>
      </c>
      <c r="E8055" s="1" t="n">
        <v>0.024</v>
      </c>
      <c r="F8055" s="1" t="n">
        <v>0.0409</v>
      </c>
    </row>
    <row r="8056" customFormat="false" ht="15" hidden="false" customHeight="false" outlineLevel="0" collapsed="false">
      <c r="A8056" s="1" t="s">
        <v>8091</v>
      </c>
      <c r="B8056" s="1" t="s">
        <v>26</v>
      </c>
      <c r="C8056" s="1" t="n">
        <v>221000</v>
      </c>
      <c r="D8056" s="1" t="n">
        <v>19.3</v>
      </c>
      <c r="E8056" s="1" t="n">
        <v>0</v>
      </c>
      <c r="F8056" s="1" t="n">
        <v>0.0822</v>
      </c>
    </row>
    <row r="8057" customFormat="false" ht="15" hidden="false" customHeight="false" outlineLevel="0" collapsed="false">
      <c r="A8057" s="1" t="s">
        <v>8092</v>
      </c>
      <c r="B8057" s="1" t="s">
        <v>26</v>
      </c>
      <c r="C8057" s="1" t="n">
        <v>441000</v>
      </c>
      <c r="D8057" s="1" t="n">
        <v>4803.5</v>
      </c>
      <c r="F8057" s="1" t="n">
        <v>0.0409</v>
      </c>
    </row>
    <row r="8058" customFormat="false" ht="15" hidden="false" customHeight="false" outlineLevel="0" collapsed="false">
      <c r="A8058" s="1" t="s">
        <v>8093</v>
      </c>
      <c r="B8058" s="1" t="s">
        <v>195</v>
      </c>
      <c r="C8058" s="1" t="n">
        <v>466000</v>
      </c>
      <c r="D8058" s="1" t="n">
        <v>38068.4</v>
      </c>
      <c r="E8058" s="1" t="n">
        <v>0.0398</v>
      </c>
      <c r="F8058" s="1" t="n">
        <v>0.0759</v>
      </c>
    </row>
    <row r="8059" customFormat="false" ht="15" hidden="false" customHeight="false" outlineLevel="0" collapsed="false">
      <c r="A8059" s="1" t="s">
        <v>8094</v>
      </c>
      <c r="B8059" s="1" t="s">
        <v>26</v>
      </c>
      <c r="C8059" s="1" t="n">
        <v>222000</v>
      </c>
      <c r="D8059" s="1" t="n">
        <v>2201.3</v>
      </c>
      <c r="E8059" s="1" t="n">
        <v>0.0445</v>
      </c>
      <c r="F8059" s="1" t="n">
        <v>0.1241</v>
      </c>
    </row>
    <row r="8060" customFormat="false" ht="15" hidden="false" customHeight="false" outlineLevel="0" collapsed="false">
      <c r="A8060" s="1" t="s">
        <v>8095</v>
      </c>
      <c r="B8060" s="1" t="s">
        <v>88</v>
      </c>
      <c r="C8060" s="1" t="n">
        <v>244000</v>
      </c>
      <c r="D8060" s="1" t="n">
        <v>8785.9</v>
      </c>
      <c r="E8060" s="1" t="n">
        <v>0.6692</v>
      </c>
      <c r="F8060" s="1" t="n">
        <v>0.7004</v>
      </c>
    </row>
    <row r="8061" customFormat="false" ht="15" hidden="false" customHeight="false" outlineLevel="0" collapsed="false">
      <c r="A8061" s="1" t="s">
        <v>8096</v>
      </c>
      <c r="B8061" s="1" t="s">
        <v>92</v>
      </c>
      <c r="C8061" s="1" t="n">
        <v>460000</v>
      </c>
      <c r="D8061" s="1" t="n">
        <v>44205.1</v>
      </c>
      <c r="E8061" s="1" t="n">
        <v>0.0232</v>
      </c>
      <c r="F8061" s="1" t="n">
        <v>0.0854</v>
      </c>
    </row>
    <row r="8062" customFormat="false" ht="15" hidden="false" customHeight="false" outlineLevel="0" collapsed="false">
      <c r="A8062" s="1" t="s">
        <v>8097</v>
      </c>
      <c r="B8062" s="1" t="s">
        <v>81</v>
      </c>
      <c r="C8062" s="1" t="n">
        <v>408000</v>
      </c>
      <c r="D8062" s="1" t="n">
        <v>34504</v>
      </c>
      <c r="E8062" s="1" t="n">
        <v>0.0176</v>
      </c>
      <c r="F8062" s="1" t="n">
        <v>0.1053</v>
      </c>
    </row>
    <row r="8063" customFormat="false" ht="15" hidden="false" customHeight="false" outlineLevel="0" collapsed="false">
      <c r="A8063" s="1" t="s">
        <v>8098</v>
      </c>
      <c r="B8063" s="1" t="s">
        <v>26</v>
      </c>
      <c r="C8063" s="1" t="n">
        <v>196000</v>
      </c>
      <c r="D8063" s="1" t="n">
        <v>123410.6</v>
      </c>
      <c r="E8063" s="1" t="n">
        <v>0.0385</v>
      </c>
      <c r="F8063" s="1" t="n">
        <v>0.0951</v>
      </c>
    </row>
    <row r="8064" customFormat="false" ht="15" hidden="false" customHeight="false" outlineLevel="0" collapsed="false">
      <c r="A8064" s="1" t="s">
        <v>8099</v>
      </c>
      <c r="B8064" s="1" t="s">
        <v>24</v>
      </c>
      <c r="C8064" s="1" t="n">
        <v>264000</v>
      </c>
      <c r="D8064" s="1" t="n">
        <v>14201.9</v>
      </c>
      <c r="E8064" s="1" t="n">
        <v>0.0531</v>
      </c>
      <c r="F8064" s="1" t="n">
        <v>0.0951</v>
      </c>
    </row>
    <row r="8065" customFormat="false" ht="15" hidden="false" customHeight="false" outlineLevel="0" collapsed="false">
      <c r="A8065" s="1" t="s">
        <v>8100</v>
      </c>
      <c r="B8065" s="1" t="s">
        <v>26</v>
      </c>
      <c r="C8065" s="1" t="n">
        <v>370000</v>
      </c>
      <c r="D8065" s="1" t="n">
        <v>16090.1</v>
      </c>
      <c r="E8065" s="1" t="n">
        <v>0.0285</v>
      </c>
      <c r="F8065" s="1" t="n">
        <v>0.051</v>
      </c>
    </row>
    <row r="8066" customFormat="false" ht="15" hidden="false" customHeight="false" outlineLevel="0" collapsed="false">
      <c r="A8066" s="1" t="s">
        <v>8101</v>
      </c>
      <c r="B8066" s="1" t="s">
        <v>26</v>
      </c>
      <c r="C8066" s="1" t="n">
        <v>349000</v>
      </c>
      <c r="D8066" s="1" t="n">
        <v>21203.1</v>
      </c>
      <c r="E8066" s="1" t="n">
        <v>0.0441</v>
      </c>
      <c r="F8066" s="1" t="n">
        <v>0.0759</v>
      </c>
    </row>
    <row r="8067" customFormat="false" ht="15" hidden="false" customHeight="false" outlineLevel="0" collapsed="false">
      <c r="A8067" s="1" t="s">
        <v>8102</v>
      </c>
      <c r="B8067" s="1" t="s">
        <v>41</v>
      </c>
      <c r="C8067" s="1" t="n">
        <v>238000</v>
      </c>
      <c r="D8067" s="1" t="n">
        <v>480.4</v>
      </c>
      <c r="E8067" s="1" t="n">
        <v>0.037</v>
      </c>
      <c r="F8067" s="1" t="n">
        <v>0.0938</v>
      </c>
    </row>
    <row r="8068" customFormat="false" ht="15" hidden="false" customHeight="false" outlineLevel="0" collapsed="false">
      <c r="A8068" s="1" t="s">
        <v>8103</v>
      </c>
      <c r="B8068" s="1" t="s">
        <v>32</v>
      </c>
      <c r="C8068" s="1" t="n">
        <v>253000</v>
      </c>
      <c r="D8068" s="1" t="n">
        <v>53.1</v>
      </c>
      <c r="E8068" s="1" t="n">
        <v>0.0698</v>
      </c>
      <c r="F8068" s="1" t="n">
        <v>0.0951</v>
      </c>
    </row>
    <row r="8069" customFormat="false" ht="15" hidden="false" customHeight="false" outlineLevel="0" collapsed="false">
      <c r="A8069" s="1" t="s">
        <v>8104</v>
      </c>
      <c r="B8069" s="1" t="s">
        <v>88</v>
      </c>
      <c r="C8069" s="1" t="n">
        <v>216000</v>
      </c>
      <c r="D8069" s="1" t="n">
        <v>1778</v>
      </c>
      <c r="E8069" s="1" t="n">
        <v>0.0096</v>
      </c>
      <c r="F8069" s="1" t="n">
        <v>0.1471</v>
      </c>
    </row>
    <row r="8070" customFormat="false" ht="15" hidden="false" customHeight="false" outlineLevel="0" collapsed="false">
      <c r="A8070" s="1" t="s">
        <v>8105</v>
      </c>
      <c r="B8070" s="1" t="s">
        <v>26</v>
      </c>
      <c r="C8070" s="1" t="n">
        <v>355000</v>
      </c>
      <c r="D8070" s="1" t="n">
        <v>268871.7</v>
      </c>
      <c r="E8070" s="1" t="n">
        <v>0.028</v>
      </c>
      <c r="F8070" s="1" t="n">
        <v>0.0409</v>
      </c>
    </row>
    <row r="8071" customFormat="false" ht="15" hidden="false" customHeight="false" outlineLevel="0" collapsed="false">
      <c r="A8071" s="1" t="s">
        <v>8106</v>
      </c>
      <c r="B8071" s="1" t="s">
        <v>26</v>
      </c>
      <c r="C8071" s="1" t="n">
        <v>330000</v>
      </c>
      <c r="D8071" s="1" t="n">
        <v>127450</v>
      </c>
      <c r="E8071" s="1" t="n">
        <v>0.0101</v>
      </c>
      <c r="F8071" s="1" t="n">
        <v>0.0736</v>
      </c>
    </row>
    <row r="8072" customFormat="false" ht="15" hidden="false" customHeight="false" outlineLevel="0" collapsed="false">
      <c r="A8072" s="1" t="s">
        <v>8107</v>
      </c>
      <c r="B8072" s="1" t="s">
        <v>74</v>
      </c>
      <c r="C8072" s="1" t="n">
        <v>266000</v>
      </c>
      <c r="D8072" s="1" t="n">
        <v>115556.6</v>
      </c>
      <c r="E8072" s="1" t="n">
        <v>0.0606</v>
      </c>
      <c r="F8072" s="1" t="n">
        <v>0.0951</v>
      </c>
    </row>
    <row r="8073" customFormat="false" ht="15" hidden="false" customHeight="false" outlineLevel="0" collapsed="false">
      <c r="A8073" s="1" t="s">
        <v>8108</v>
      </c>
      <c r="B8073" s="1" t="s">
        <v>74</v>
      </c>
      <c r="C8073" s="1" t="n">
        <v>212000</v>
      </c>
      <c r="D8073" s="1" t="n">
        <v>515.8</v>
      </c>
      <c r="E8073" s="1" t="n">
        <v>0.0676</v>
      </c>
      <c r="F8073" s="1" t="n">
        <v>0.0951</v>
      </c>
    </row>
    <row r="8074" customFormat="false" ht="15" hidden="false" customHeight="false" outlineLevel="0" collapsed="false">
      <c r="A8074" s="1" t="s">
        <v>8109</v>
      </c>
      <c r="B8074" s="1" t="s">
        <v>26</v>
      </c>
      <c r="C8074" s="1" t="n">
        <v>207000</v>
      </c>
      <c r="D8074" s="1" t="n">
        <v>372.6</v>
      </c>
      <c r="E8074" s="1" t="n">
        <v>0.0207</v>
      </c>
      <c r="F8074" s="1" t="n">
        <v>0.1067</v>
      </c>
    </row>
    <row r="8075" customFormat="false" ht="15" hidden="false" customHeight="false" outlineLevel="0" collapsed="false">
      <c r="A8075" s="1" t="s">
        <v>8110</v>
      </c>
      <c r="B8075" s="1" t="s">
        <v>88</v>
      </c>
      <c r="C8075" s="1" t="n">
        <v>238000</v>
      </c>
      <c r="D8075" s="1" t="n">
        <v>640.7</v>
      </c>
      <c r="E8075" s="1" t="n">
        <v>0.0201</v>
      </c>
      <c r="F8075" s="1" t="n">
        <v>0.1119</v>
      </c>
    </row>
    <row r="8076" customFormat="false" ht="15" hidden="false" customHeight="false" outlineLevel="0" collapsed="false">
      <c r="A8076" s="1" t="s">
        <v>8111</v>
      </c>
      <c r="B8076" s="1" t="s">
        <v>74</v>
      </c>
      <c r="C8076" s="1" t="n">
        <v>325000</v>
      </c>
      <c r="D8076" s="1" t="n">
        <v>5359</v>
      </c>
      <c r="E8076" s="1" t="n">
        <v>0.0432</v>
      </c>
      <c r="F8076" s="1" t="n">
        <v>0.0759</v>
      </c>
    </row>
    <row r="8077" customFormat="false" ht="15" hidden="false" customHeight="false" outlineLevel="0" collapsed="false">
      <c r="A8077" s="1" t="s">
        <v>8112</v>
      </c>
      <c r="B8077" s="1" t="s">
        <v>32</v>
      </c>
      <c r="C8077" s="1" t="n">
        <v>315000</v>
      </c>
      <c r="D8077" s="1" t="n">
        <v>134192.2</v>
      </c>
      <c r="E8077" s="1" t="n">
        <v>0.0262</v>
      </c>
      <c r="F8077" s="1" t="n">
        <v>0.0951</v>
      </c>
    </row>
    <row r="8078" customFormat="false" ht="15" hidden="false" customHeight="false" outlineLevel="0" collapsed="false">
      <c r="A8078" s="1" t="s">
        <v>8113</v>
      </c>
      <c r="B8078" s="1" t="s">
        <v>92</v>
      </c>
      <c r="C8078" s="1" t="n">
        <v>371000</v>
      </c>
      <c r="D8078" s="1" t="n">
        <v>8223.5</v>
      </c>
      <c r="E8078" s="1" t="n">
        <v>0.0098</v>
      </c>
      <c r="F8078" s="1" t="n">
        <v>0.0822</v>
      </c>
    </row>
    <row r="8079" customFormat="false" ht="15" hidden="false" customHeight="false" outlineLevel="0" collapsed="false">
      <c r="A8079" s="1" t="s">
        <v>8114</v>
      </c>
      <c r="B8079" s="1" t="s">
        <v>88</v>
      </c>
      <c r="C8079" s="1" t="n">
        <v>230000</v>
      </c>
      <c r="D8079" s="1" t="n">
        <v>4875.3</v>
      </c>
      <c r="E8079" s="1" t="n">
        <v>0.0321</v>
      </c>
      <c r="F8079" s="1" t="n">
        <v>0.0938</v>
      </c>
    </row>
    <row r="8080" customFormat="false" ht="15" hidden="false" customHeight="false" outlineLevel="0" collapsed="false">
      <c r="A8080" s="1" t="s">
        <v>8115</v>
      </c>
      <c r="B8080" s="1" t="s">
        <v>74</v>
      </c>
      <c r="C8080" s="1" t="n">
        <v>227000</v>
      </c>
      <c r="D8080" s="1" t="n">
        <v>51010.5</v>
      </c>
      <c r="E8080" s="1" t="n">
        <v>0.015</v>
      </c>
      <c r="F8080" s="1" t="n">
        <v>0.0585</v>
      </c>
    </row>
    <row r="8081" customFormat="false" ht="15" hidden="false" customHeight="false" outlineLevel="0" collapsed="false">
      <c r="A8081" s="1" t="s">
        <v>8116</v>
      </c>
      <c r="B8081" s="1" t="s">
        <v>490</v>
      </c>
      <c r="C8081" s="1" t="n">
        <v>522000</v>
      </c>
      <c r="D8081" s="1" t="n">
        <v>340385.5</v>
      </c>
      <c r="E8081" s="1" t="n">
        <v>0.0286</v>
      </c>
      <c r="F8081" s="1" t="n">
        <v>0.0432</v>
      </c>
    </row>
    <row r="8082" customFormat="false" ht="15" hidden="false" customHeight="false" outlineLevel="0" collapsed="false">
      <c r="A8082" s="1" t="s">
        <v>8117</v>
      </c>
      <c r="B8082" s="1" t="s">
        <v>195</v>
      </c>
      <c r="C8082" s="1" t="n">
        <v>344000</v>
      </c>
      <c r="D8082" s="1" t="n">
        <v>1013.5</v>
      </c>
      <c r="F8082" s="1" t="n">
        <v>0.117</v>
      </c>
    </row>
    <row r="8083" customFormat="false" ht="15" hidden="false" customHeight="false" outlineLevel="0" collapsed="false">
      <c r="A8083" s="1" t="s">
        <v>8118</v>
      </c>
      <c r="B8083" s="1" t="s">
        <v>195</v>
      </c>
      <c r="C8083" s="1" t="n">
        <v>405000</v>
      </c>
      <c r="D8083" s="1" t="n">
        <v>21220.2</v>
      </c>
      <c r="E8083" s="1" t="n">
        <v>0.0642</v>
      </c>
      <c r="F8083" s="1" t="n">
        <v>0.0938</v>
      </c>
    </row>
    <row r="8084" customFormat="false" ht="15" hidden="false" customHeight="false" outlineLevel="0" collapsed="false">
      <c r="A8084" s="1" t="s">
        <v>8119</v>
      </c>
      <c r="B8084" s="1" t="s">
        <v>41</v>
      </c>
      <c r="C8084" s="1" t="n">
        <v>339000</v>
      </c>
      <c r="D8084" s="1" t="n">
        <v>8083.7</v>
      </c>
      <c r="E8084" s="1" t="n">
        <v>0.0166</v>
      </c>
      <c r="F8084" s="1" t="n">
        <v>0.0576</v>
      </c>
    </row>
    <row r="8085" customFormat="false" ht="15" hidden="false" customHeight="false" outlineLevel="0" collapsed="false">
      <c r="A8085" s="1" t="s">
        <v>8120</v>
      </c>
      <c r="B8085" s="1" t="s">
        <v>26</v>
      </c>
      <c r="C8085" s="1" t="n">
        <v>223000</v>
      </c>
      <c r="D8085" s="1" t="n">
        <v>3896.1</v>
      </c>
      <c r="E8085" s="1" t="n">
        <v>0.043</v>
      </c>
      <c r="F8085" s="1" t="n">
        <v>0.0759</v>
      </c>
    </row>
    <row r="8086" customFormat="false" ht="15" hidden="false" customHeight="false" outlineLevel="0" collapsed="false">
      <c r="A8086" s="1" t="s">
        <v>8121</v>
      </c>
      <c r="B8086" s="1" t="s">
        <v>88</v>
      </c>
      <c r="C8086" s="1" t="n">
        <v>315000</v>
      </c>
      <c r="D8086" s="1" t="n">
        <v>7440.1</v>
      </c>
      <c r="E8086" s="1" t="n">
        <v>0.0265</v>
      </c>
      <c r="F8086" s="1" t="n">
        <v>0.0951</v>
      </c>
    </row>
    <row r="8087" customFormat="false" ht="15" hidden="false" customHeight="false" outlineLevel="0" collapsed="false">
      <c r="A8087" s="1" t="s">
        <v>8122</v>
      </c>
      <c r="B8087" s="1" t="s">
        <v>88</v>
      </c>
      <c r="C8087" s="1" t="n">
        <v>221000</v>
      </c>
      <c r="D8087" s="1" t="n">
        <v>14368.6</v>
      </c>
      <c r="E8087" s="1" t="n">
        <v>0.0801</v>
      </c>
      <c r="F8087" s="1" t="n">
        <v>0.0951</v>
      </c>
    </row>
    <row r="8088" customFormat="false" ht="15" hidden="false" customHeight="false" outlineLevel="0" collapsed="false">
      <c r="A8088" s="1" t="s">
        <v>8123</v>
      </c>
      <c r="B8088" s="1" t="s">
        <v>26</v>
      </c>
      <c r="C8088" s="1" t="n">
        <v>338000</v>
      </c>
      <c r="D8088" s="1" t="n">
        <v>99748</v>
      </c>
      <c r="E8088" s="1" t="n">
        <v>0.0335</v>
      </c>
      <c r="F8088" s="1" t="n">
        <v>0.0759</v>
      </c>
    </row>
    <row r="8089" customFormat="false" ht="15" hidden="false" customHeight="false" outlineLevel="0" collapsed="false">
      <c r="A8089" s="1" t="s">
        <v>8124</v>
      </c>
      <c r="B8089" s="1" t="s">
        <v>74</v>
      </c>
      <c r="C8089" s="1" t="n">
        <v>293000</v>
      </c>
      <c r="D8089" s="1" t="n">
        <v>1328</v>
      </c>
      <c r="E8089" s="1" t="n">
        <v>0.0189</v>
      </c>
      <c r="F8089" s="1" t="n">
        <v>0.0854</v>
      </c>
    </row>
    <row r="8090" customFormat="false" ht="15" hidden="false" customHeight="false" outlineLevel="0" collapsed="false">
      <c r="A8090" s="1" t="s">
        <v>8125</v>
      </c>
      <c r="B8090" s="1" t="s">
        <v>21</v>
      </c>
      <c r="C8090" s="1" t="n">
        <v>241000</v>
      </c>
      <c r="D8090" s="1" t="n">
        <v>6977.9</v>
      </c>
      <c r="E8090" s="1" t="n">
        <v>0.0327</v>
      </c>
      <c r="F8090" s="1" t="n">
        <v>0.0951</v>
      </c>
    </row>
    <row r="8091" customFormat="false" ht="15" hidden="false" customHeight="false" outlineLevel="0" collapsed="false">
      <c r="A8091" s="1" t="s">
        <v>8126</v>
      </c>
      <c r="B8091" s="1" t="s">
        <v>26</v>
      </c>
      <c r="C8091" s="1" t="n">
        <v>294000</v>
      </c>
      <c r="D8091" s="1" t="n">
        <v>5168.8</v>
      </c>
      <c r="E8091" s="1" t="n">
        <v>0.0226</v>
      </c>
      <c r="F8091" s="1" t="n">
        <v>0.0462</v>
      </c>
    </row>
    <row r="8092" customFormat="false" ht="15" hidden="false" customHeight="false" outlineLevel="0" collapsed="false">
      <c r="A8092" s="1" t="s">
        <v>8127</v>
      </c>
      <c r="B8092" s="1" t="s">
        <v>50</v>
      </c>
      <c r="C8092" s="1" t="n">
        <v>288000</v>
      </c>
      <c r="D8092" s="1" t="n">
        <v>12907.3</v>
      </c>
      <c r="F8092" s="1" t="n">
        <v>0.0951</v>
      </c>
    </row>
    <row r="8093" customFormat="false" ht="15" hidden="false" customHeight="false" outlineLevel="0" collapsed="false">
      <c r="A8093" s="1" t="s">
        <v>8128</v>
      </c>
      <c r="B8093" s="1" t="s">
        <v>88</v>
      </c>
      <c r="C8093" s="1" t="n">
        <v>429000</v>
      </c>
      <c r="D8093" s="1" t="n">
        <v>5110.5</v>
      </c>
      <c r="E8093" s="1" t="n">
        <v>0.0355</v>
      </c>
      <c r="F8093" s="1" t="n">
        <v>0.0759</v>
      </c>
    </row>
    <row r="8094" customFormat="false" ht="15" hidden="false" customHeight="false" outlineLevel="0" collapsed="false">
      <c r="A8094" s="1" t="s">
        <v>8129</v>
      </c>
      <c r="B8094" s="1" t="s">
        <v>30</v>
      </c>
      <c r="C8094" s="1" t="n">
        <v>17700000</v>
      </c>
      <c r="D8094" s="1" t="n">
        <v>3056721.9</v>
      </c>
      <c r="E8094" s="1" t="n">
        <v>0.0076</v>
      </c>
      <c r="F8094" s="1" t="n">
        <v>0.0654</v>
      </c>
    </row>
    <row r="8095" customFormat="false" ht="15" hidden="false" customHeight="false" outlineLevel="0" collapsed="false">
      <c r="A8095" s="1" t="s">
        <v>8130</v>
      </c>
      <c r="B8095" s="1" t="s">
        <v>35</v>
      </c>
      <c r="C8095" s="1" t="n">
        <v>437000</v>
      </c>
      <c r="D8095" s="1" t="n">
        <v>84896</v>
      </c>
      <c r="E8095" s="1" t="n">
        <v>0.0128</v>
      </c>
      <c r="F8095" s="1" t="n">
        <v>0.0654</v>
      </c>
    </row>
    <row r="8096" customFormat="false" ht="15" hidden="false" customHeight="false" outlineLevel="0" collapsed="false">
      <c r="A8096" s="1" t="s">
        <v>8131</v>
      </c>
      <c r="B8096" s="1" t="s">
        <v>26</v>
      </c>
      <c r="C8096" s="1" t="n">
        <v>275000</v>
      </c>
      <c r="D8096" s="1" t="n">
        <v>1688</v>
      </c>
      <c r="E8096" s="1" t="n">
        <v>0.0309</v>
      </c>
      <c r="F8096" s="1" t="n">
        <v>0.0938</v>
      </c>
    </row>
    <row r="8097" customFormat="false" ht="15" hidden="false" customHeight="false" outlineLevel="0" collapsed="false">
      <c r="A8097" s="1" t="s">
        <v>8132</v>
      </c>
      <c r="B8097" s="1" t="s">
        <v>81</v>
      </c>
      <c r="C8097" s="1" t="n">
        <v>259000</v>
      </c>
      <c r="D8097" s="1" t="n">
        <v>7558</v>
      </c>
      <c r="E8097" s="1" t="n">
        <v>0.045</v>
      </c>
      <c r="F8097" s="1" t="n">
        <v>0.0951</v>
      </c>
    </row>
    <row r="8098" customFormat="false" ht="15" hidden="false" customHeight="false" outlineLevel="0" collapsed="false">
      <c r="A8098" s="1" t="s">
        <v>8133</v>
      </c>
      <c r="B8098" s="1" t="s">
        <v>50</v>
      </c>
      <c r="C8098" s="1" t="n">
        <v>265000</v>
      </c>
      <c r="D8098" s="1" t="n">
        <v>34070</v>
      </c>
      <c r="E8098" s="1" t="n">
        <v>0.0425</v>
      </c>
      <c r="F8098" s="1" t="n">
        <v>0.0951</v>
      </c>
    </row>
    <row r="8099" customFormat="false" ht="15" hidden="false" customHeight="false" outlineLevel="0" collapsed="false">
      <c r="A8099" s="1" t="s">
        <v>8134</v>
      </c>
      <c r="B8099" s="1" t="s">
        <v>88</v>
      </c>
      <c r="C8099" s="1" t="n">
        <v>220000</v>
      </c>
      <c r="D8099" s="1" t="n">
        <v>16678.2</v>
      </c>
      <c r="E8099" s="1" t="n">
        <v>0.0128</v>
      </c>
      <c r="F8099" s="1" t="n">
        <v>0.0911</v>
      </c>
    </row>
    <row r="8100" customFormat="false" ht="15" hidden="false" customHeight="false" outlineLevel="0" collapsed="false">
      <c r="A8100" s="1" t="s">
        <v>8135</v>
      </c>
      <c r="B8100" s="1" t="s">
        <v>71</v>
      </c>
      <c r="C8100" s="1" t="n">
        <v>216000</v>
      </c>
      <c r="D8100" s="1" t="n">
        <v>14674.7</v>
      </c>
      <c r="F8100" s="1" t="n">
        <v>0.0951</v>
      </c>
    </row>
    <row r="8101" customFormat="false" ht="15" hidden="false" customHeight="false" outlineLevel="0" collapsed="false">
      <c r="A8101" s="1" t="s">
        <v>8136</v>
      </c>
      <c r="B8101" s="1" t="s">
        <v>41</v>
      </c>
      <c r="C8101" s="1" t="n">
        <v>328000</v>
      </c>
      <c r="D8101" s="1" t="n">
        <v>7704.7</v>
      </c>
      <c r="F8101" s="1" t="n">
        <v>0.0938</v>
      </c>
    </row>
    <row r="8102" customFormat="false" ht="15" hidden="false" customHeight="false" outlineLevel="0" collapsed="false">
      <c r="A8102" s="1" t="s">
        <v>8137</v>
      </c>
      <c r="B8102" s="1" t="s">
        <v>214</v>
      </c>
      <c r="C8102" s="1" t="n">
        <v>266000</v>
      </c>
      <c r="D8102" s="1" t="n">
        <v>8250.6</v>
      </c>
      <c r="E8102" s="1" t="n">
        <v>0.0224</v>
      </c>
      <c r="F8102" s="1" t="n">
        <v>0.0845</v>
      </c>
    </row>
    <row r="8103" customFormat="false" ht="15" hidden="false" customHeight="false" outlineLevel="0" collapsed="false">
      <c r="A8103" s="1" t="s">
        <v>8138</v>
      </c>
      <c r="B8103" s="1" t="s">
        <v>287</v>
      </c>
      <c r="C8103" s="1" t="n">
        <v>217000</v>
      </c>
      <c r="D8103" s="1" t="n">
        <v>3064.4</v>
      </c>
      <c r="E8103" s="1" t="n">
        <v>0.0382</v>
      </c>
      <c r="F8103" s="1" t="n">
        <v>0.0951</v>
      </c>
    </row>
    <row r="8104" customFormat="false" ht="15" hidden="false" customHeight="false" outlineLevel="0" collapsed="false">
      <c r="A8104" s="1" t="s">
        <v>8139</v>
      </c>
      <c r="B8104" s="1" t="s">
        <v>88</v>
      </c>
      <c r="C8104" s="1" t="n">
        <v>264000</v>
      </c>
      <c r="D8104" s="1" t="n">
        <v>3449.9</v>
      </c>
      <c r="E8104" s="1" t="n">
        <v>0.0345</v>
      </c>
      <c r="F8104" s="1" t="n">
        <v>0.0759</v>
      </c>
    </row>
    <row r="8105" customFormat="false" ht="15" hidden="false" customHeight="false" outlineLevel="0" collapsed="false">
      <c r="A8105" s="1" t="s">
        <v>8140</v>
      </c>
      <c r="B8105" s="1" t="s">
        <v>26</v>
      </c>
      <c r="C8105" s="1" t="n">
        <v>343000</v>
      </c>
      <c r="D8105" s="1" t="n">
        <v>3397.7</v>
      </c>
      <c r="E8105" s="1" t="n">
        <v>0.0295</v>
      </c>
      <c r="F8105" s="1" t="n">
        <v>0.0938</v>
      </c>
    </row>
    <row r="8106" customFormat="false" ht="15" hidden="false" customHeight="false" outlineLevel="0" collapsed="false">
      <c r="A8106" s="1" t="s">
        <v>8141</v>
      </c>
      <c r="B8106" s="1" t="s">
        <v>88</v>
      </c>
      <c r="C8106" s="1" t="n">
        <v>314000</v>
      </c>
      <c r="D8106" s="1" t="n">
        <v>2418.4</v>
      </c>
      <c r="E8106" s="1" t="n">
        <v>0.0351</v>
      </c>
      <c r="F8106" s="1" t="n">
        <v>0.0938</v>
      </c>
    </row>
    <row r="8107" customFormat="false" ht="15" hidden="false" customHeight="false" outlineLevel="0" collapsed="false">
      <c r="A8107" s="1" t="s">
        <v>8142</v>
      </c>
      <c r="B8107" s="1" t="s">
        <v>24</v>
      </c>
      <c r="C8107" s="1" t="n">
        <v>610000</v>
      </c>
      <c r="D8107" s="1" t="n">
        <v>8785.6</v>
      </c>
      <c r="E8107" s="1" t="n">
        <v>0.0043</v>
      </c>
      <c r="F8107" s="1" t="n">
        <v>0.0654</v>
      </c>
    </row>
    <row r="8108" customFormat="false" ht="15" hidden="false" customHeight="false" outlineLevel="0" collapsed="false">
      <c r="A8108" s="1" t="s">
        <v>8143</v>
      </c>
      <c r="B8108" s="1" t="s">
        <v>24</v>
      </c>
      <c r="C8108" s="1" t="n">
        <v>255000</v>
      </c>
      <c r="D8108" s="1" t="n">
        <v>9425.5</v>
      </c>
      <c r="E8108" s="1" t="n">
        <v>0.007</v>
      </c>
      <c r="F8108" s="1" t="n">
        <v>0.0822</v>
      </c>
    </row>
    <row r="8109" customFormat="false" ht="15" hidden="false" customHeight="false" outlineLevel="0" collapsed="false">
      <c r="A8109" s="1" t="s">
        <v>8144</v>
      </c>
      <c r="B8109" s="1" t="s">
        <v>26</v>
      </c>
      <c r="C8109" s="1" t="n">
        <v>246000</v>
      </c>
      <c r="D8109" s="1" t="n">
        <v>4815.7</v>
      </c>
      <c r="E8109" s="1" t="n">
        <v>0.0876</v>
      </c>
      <c r="F8109" s="1" t="n">
        <v>0.0759</v>
      </c>
    </row>
    <row r="8110" customFormat="false" ht="15" hidden="false" customHeight="false" outlineLevel="0" collapsed="false">
      <c r="A8110" s="1" t="s">
        <v>8145</v>
      </c>
      <c r="B8110" s="1" t="s">
        <v>26</v>
      </c>
      <c r="C8110" s="1" t="n">
        <v>273000</v>
      </c>
      <c r="D8110" s="1" t="n">
        <v>5500</v>
      </c>
      <c r="E8110" s="1" t="n">
        <v>0.0082</v>
      </c>
      <c r="F8110" s="1" t="n">
        <v>0.1013</v>
      </c>
    </row>
    <row r="8111" customFormat="false" ht="15" hidden="false" customHeight="false" outlineLevel="0" collapsed="false">
      <c r="A8111" s="1" t="s">
        <v>8146</v>
      </c>
      <c r="B8111" s="1" t="s">
        <v>74</v>
      </c>
      <c r="C8111" s="1" t="n">
        <v>258000</v>
      </c>
      <c r="D8111" s="1" t="n">
        <v>45510.8</v>
      </c>
      <c r="E8111" s="1" t="n">
        <v>0.0435</v>
      </c>
      <c r="F8111" s="1" t="n">
        <v>0.0951</v>
      </c>
    </row>
    <row r="8112" customFormat="false" ht="15" hidden="false" customHeight="false" outlineLevel="0" collapsed="false">
      <c r="A8112" s="1" t="s">
        <v>8147</v>
      </c>
      <c r="B8112" s="1" t="s">
        <v>214</v>
      </c>
      <c r="C8112" s="1" t="n">
        <v>234000</v>
      </c>
      <c r="D8112" s="1" t="n">
        <v>6348.4</v>
      </c>
      <c r="E8112" s="1" t="n">
        <v>0.0366</v>
      </c>
      <c r="F8112" s="1" t="n">
        <v>0.0951</v>
      </c>
    </row>
    <row r="8113" customFormat="false" ht="15" hidden="false" customHeight="false" outlineLevel="0" collapsed="false">
      <c r="A8113" s="1" t="s">
        <v>8148</v>
      </c>
      <c r="B8113" s="1" t="s">
        <v>88</v>
      </c>
      <c r="C8113" s="1" t="n">
        <v>286000</v>
      </c>
      <c r="D8113" s="1" t="n">
        <v>15612.1</v>
      </c>
      <c r="E8113" s="1" t="n">
        <v>0.0157</v>
      </c>
      <c r="F8113" s="1" t="n">
        <v>0.0937</v>
      </c>
    </row>
    <row r="8114" customFormat="false" ht="15" hidden="false" customHeight="false" outlineLevel="0" collapsed="false">
      <c r="A8114" s="1" t="s">
        <v>8149</v>
      </c>
      <c r="B8114" s="1" t="s">
        <v>92</v>
      </c>
      <c r="C8114" s="1" t="n">
        <v>258000</v>
      </c>
      <c r="D8114" s="1" t="n">
        <v>958.3</v>
      </c>
      <c r="E8114" s="1" t="n">
        <v>0.021</v>
      </c>
      <c r="F8114" s="1" t="n">
        <v>0.1242</v>
      </c>
    </row>
    <row r="8115" customFormat="false" ht="15" hidden="false" customHeight="false" outlineLevel="0" collapsed="false">
      <c r="A8115" s="1" t="s">
        <v>8150</v>
      </c>
      <c r="B8115" s="1" t="s">
        <v>74</v>
      </c>
      <c r="C8115" s="1" t="n">
        <v>262000</v>
      </c>
      <c r="D8115" s="1" t="n">
        <v>4801.9</v>
      </c>
      <c r="E8115" s="1" t="n">
        <v>0.046</v>
      </c>
      <c r="F8115" s="1" t="n">
        <v>0.0759</v>
      </c>
    </row>
    <row r="8116" customFormat="false" ht="15" hidden="false" customHeight="false" outlineLevel="0" collapsed="false">
      <c r="A8116" s="1" t="s">
        <v>8151</v>
      </c>
      <c r="B8116" s="1" t="s">
        <v>26</v>
      </c>
      <c r="C8116" s="1" t="n">
        <v>221000</v>
      </c>
      <c r="D8116" s="1" t="n">
        <v>236.5</v>
      </c>
      <c r="E8116" s="1" t="n">
        <v>0.0069</v>
      </c>
      <c r="F8116" s="1" t="n">
        <v>0.227</v>
      </c>
    </row>
    <row r="8117" customFormat="false" ht="15" hidden="false" customHeight="false" outlineLevel="0" collapsed="false">
      <c r="A8117" s="1" t="s">
        <v>8152</v>
      </c>
      <c r="B8117" s="1" t="s">
        <v>88</v>
      </c>
      <c r="C8117" s="1" t="n">
        <v>232000</v>
      </c>
      <c r="D8117" s="1" t="n">
        <v>3763.8</v>
      </c>
      <c r="E8117" s="1" t="n">
        <v>0.0579</v>
      </c>
      <c r="F8117" s="1" t="n">
        <v>0.0951</v>
      </c>
    </row>
    <row r="8118" customFormat="false" ht="15" hidden="false" customHeight="false" outlineLevel="0" collapsed="false">
      <c r="A8118" s="1" t="s">
        <v>8153</v>
      </c>
      <c r="B8118" s="1" t="s">
        <v>26</v>
      </c>
      <c r="C8118" s="1" t="n">
        <v>215000</v>
      </c>
      <c r="D8118" s="1" t="n">
        <v>14522.5</v>
      </c>
      <c r="E8118" s="1" t="n">
        <v>0.0095</v>
      </c>
      <c r="F8118" s="1" t="n">
        <v>0.0822</v>
      </c>
    </row>
    <row r="8119" customFormat="false" ht="15" hidden="false" customHeight="false" outlineLevel="0" collapsed="false">
      <c r="A8119" s="1" t="s">
        <v>8154</v>
      </c>
      <c r="B8119" s="1" t="s">
        <v>88</v>
      </c>
      <c r="C8119" s="1" t="n">
        <v>282000</v>
      </c>
      <c r="D8119" s="1" t="n">
        <v>1402.6</v>
      </c>
      <c r="E8119" s="1" t="n">
        <v>0.054</v>
      </c>
      <c r="F8119" s="1" t="n">
        <v>0.0938</v>
      </c>
    </row>
    <row r="8120" customFormat="false" ht="15" hidden="false" customHeight="false" outlineLevel="0" collapsed="false">
      <c r="A8120" s="1" t="s">
        <v>8155</v>
      </c>
      <c r="B8120" s="1" t="s">
        <v>88</v>
      </c>
      <c r="C8120" s="1" t="n">
        <v>232000</v>
      </c>
      <c r="D8120" s="1" t="n">
        <v>521.5</v>
      </c>
      <c r="E8120" s="1" t="n">
        <v>0.0923</v>
      </c>
      <c r="F8120" s="1" t="n">
        <v>0.2331</v>
      </c>
    </row>
    <row r="8121" customFormat="false" ht="15" hidden="false" customHeight="false" outlineLevel="0" collapsed="false">
      <c r="A8121" s="1" t="s">
        <v>8156</v>
      </c>
      <c r="B8121" s="1" t="s">
        <v>26</v>
      </c>
      <c r="C8121" s="1" t="n">
        <v>485000</v>
      </c>
      <c r="D8121" s="1" t="n">
        <v>124817</v>
      </c>
      <c r="E8121" s="1" t="n">
        <v>0.0731</v>
      </c>
      <c r="F8121" s="1" t="n">
        <v>0.0938</v>
      </c>
    </row>
    <row r="8122" customFormat="false" ht="15" hidden="false" customHeight="false" outlineLevel="0" collapsed="false">
      <c r="A8122" s="1" t="s">
        <v>8157</v>
      </c>
      <c r="B8122" s="1" t="s">
        <v>24</v>
      </c>
      <c r="C8122" s="1" t="n">
        <v>387000</v>
      </c>
      <c r="D8122" s="1" t="n">
        <v>10901.8</v>
      </c>
      <c r="E8122" s="1" t="n">
        <v>0.0459</v>
      </c>
      <c r="F8122" s="1" t="n">
        <v>0.0759</v>
      </c>
    </row>
    <row r="8123" customFormat="false" ht="15" hidden="false" customHeight="false" outlineLevel="0" collapsed="false">
      <c r="A8123" s="1" t="s">
        <v>8158</v>
      </c>
      <c r="B8123" s="1" t="s">
        <v>21</v>
      </c>
      <c r="C8123" s="1" t="n">
        <v>225000</v>
      </c>
      <c r="D8123" s="1" t="n">
        <v>3596.2</v>
      </c>
      <c r="E8123" s="1" t="n">
        <v>0.0675</v>
      </c>
      <c r="F8123" s="1" t="n">
        <v>0.0951</v>
      </c>
    </row>
    <row r="8124" customFormat="false" ht="15" hidden="false" customHeight="false" outlineLevel="0" collapsed="false">
      <c r="A8124" s="1" t="s">
        <v>8159</v>
      </c>
      <c r="B8124" s="1" t="s">
        <v>74</v>
      </c>
      <c r="C8124" s="1" t="n">
        <v>235000</v>
      </c>
      <c r="D8124" s="1" t="n">
        <v>6043.6</v>
      </c>
      <c r="E8124" s="1" t="n">
        <v>0.0212</v>
      </c>
      <c r="F8124" s="1" t="n">
        <v>0.1893</v>
      </c>
    </row>
    <row r="8125" customFormat="false" ht="15" hidden="false" customHeight="false" outlineLevel="0" collapsed="false">
      <c r="A8125" s="1" t="s">
        <v>8160</v>
      </c>
      <c r="B8125" s="1" t="s">
        <v>50</v>
      </c>
      <c r="C8125" s="1" t="n">
        <v>892000</v>
      </c>
      <c r="D8125" s="1" t="n">
        <v>36677.5</v>
      </c>
      <c r="E8125" s="1" t="n">
        <v>0.0494</v>
      </c>
      <c r="F8125" s="1" t="n">
        <v>0.0759</v>
      </c>
    </row>
    <row r="8126" customFormat="false" ht="15" hidden="false" customHeight="false" outlineLevel="0" collapsed="false">
      <c r="A8126" s="1" t="s">
        <v>8161</v>
      </c>
      <c r="B8126" s="1" t="s">
        <v>71</v>
      </c>
      <c r="C8126" s="1" t="n">
        <v>267000</v>
      </c>
      <c r="D8126" s="1" t="n">
        <v>629.5</v>
      </c>
      <c r="E8126" s="1" t="n">
        <v>0.0057</v>
      </c>
      <c r="F8126" s="1" t="n">
        <v>0.1113</v>
      </c>
    </row>
    <row r="8127" customFormat="false" ht="15" hidden="false" customHeight="false" outlineLevel="0" collapsed="false">
      <c r="A8127" s="1" t="s">
        <v>8162</v>
      </c>
      <c r="B8127" s="1" t="s">
        <v>88</v>
      </c>
      <c r="C8127" s="1" t="n">
        <v>291000</v>
      </c>
      <c r="D8127" s="1" t="n">
        <v>4314.4</v>
      </c>
      <c r="E8127" s="1" t="n">
        <v>0.012</v>
      </c>
      <c r="F8127" s="1" t="n">
        <v>0.1015</v>
      </c>
    </row>
    <row r="8128" customFormat="false" ht="15" hidden="false" customHeight="false" outlineLevel="0" collapsed="false">
      <c r="A8128" s="1" t="s">
        <v>8163</v>
      </c>
      <c r="B8128" s="1" t="s">
        <v>74</v>
      </c>
      <c r="C8128" s="1" t="n">
        <v>224000</v>
      </c>
      <c r="D8128" s="1" t="n">
        <v>7480.5</v>
      </c>
      <c r="E8128" s="1" t="n">
        <v>0.0517</v>
      </c>
      <c r="F8128" s="1" t="n">
        <v>0.0409</v>
      </c>
    </row>
    <row r="8129" customFormat="false" ht="15" hidden="false" customHeight="false" outlineLevel="0" collapsed="false">
      <c r="A8129" s="1" t="s">
        <v>8164</v>
      </c>
      <c r="B8129" s="1" t="s">
        <v>81</v>
      </c>
      <c r="C8129" s="1" t="n">
        <v>244000</v>
      </c>
      <c r="D8129" s="1" t="n">
        <v>20522.9</v>
      </c>
      <c r="E8129" s="1" t="n">
        <v>0.0446</v>
      </c>
      <c r="F8129" s="1" t="n">
        <v>0.0951</v>
      </c>
    </row>
    <row r="8130" customFormat="false" ht="15" hidden="false" customHeight="false" outlineLevel="0" collapsed="false">
      <c r="A8130" s="1" t="s">
        <v>8165</v>
      </c>
      <c r="B8130" s="1" t="s">
        <v>26</v>
      </c>
      <c r="C8130" s="1" t="n">
        <v>384000</v>
      </c>
      <c r="D8130" s="1" t="n">
        <v>386845.2</v>
      </c>
      <c r="E8130" s="1" t="n">
        <v>0.0366</v>
      </c>
      <c r="F8130" s="1" t="n">
        <v>0.0409</v>
      </c>
    </row>
    <row r="8131" customFormat="false" ht="15" hidden="false" customHeight="false" outlineLevel="0" collapsed="false">
      <c r="A8131" s="1" t="s">
        <v>8166</v>
      </c>
      <c r="B8131" s="1" t="s">
        <v>26</v>
      </c>
      <c r="C8131" s="1" t="n">
        <v>270000</v>
      </c>
      <c r="D8131" s="1" t="n">
        <v>53487.1</v>
      </c>
      <c r="E8131" s="1" t="n">
        <v>0.0384</v>
      </c>
      <c r="F8131" s="1" t="n">
        <v>0.0759</v>
      </c>
    </row>
    <row r="8132" customFormat="false" ht="15" hidden="false" customHeight="false" outlineLevel="0" collapsed="false">
      <c r="A8132" s="1" t="s">
        <v>8167</v>
      </c>
      <c r="B8132" s="1" t="s">
        <v>50</v>
      </c>
      <c r="C8132" s="1" t="n">
        <v>529000</v>
      </c>
      <c r="D8132" s="1" t="n">
        <v>47424.1</v>
      </c>
      <c r="E8132" s="1" t="n">
        <v>0.0166</v>
      </c>
      <c r="F8132" s="1" t="n">
        <v>0.0462</v>
      </c>
    </row>
    <row r="8133" customFormat="false" ht="15" hidden="false" customHeight="false" outlineLevel="0" collapsed="false">
      <c r="A8133" s="1" t="s">
        <v>8168</v>
      </c>
      <c r="B8133" s="1" t="s">
        <v>24</v>
      </c>
      <c r="C8133" s="1" t="n">
        <v>261000</v>
      </c>
      <c r="D8133" s="1" t="n">
        <v>1529.6</v>
      </c>
      <c r="E8133" s="1" t="n">
        <v>0.0194</v>
      </c>
      <c r="F8133" s="1" t="n">
        <v>0.1325</v>
      </c>
    </row>
    <row r="8134" customFormat="false" ht="15" hidden="false" customHeight="false" outlineLevel="0" collapsed="false">
      <c r="A8134" s="1" t="s">
        <v>8169</v>
      </c>
      <c r="B8134" s="1" t="s">
        <v>88</v>
      </c>
      <c r="C8134" s="1" t="n">
        <v>221000</v>
      </c>
      <c r="D8134" s="1" t="n">
        <v>1152.8</v>
      </c>
      <c r="E8134" s="1" t="n">
        <v>0.0486</v>
      </c>
      <c r="F8134" s="1" t="n">
        <v>0.0938</v>
      </c>
    </row>
    <row r="8135" customFormat="false" ht="15" hidden="false" customHeight="false" outlineLevel="0" collapsed="false">
      <c r="A8135" s="1" t="s">
        <v>8170</v>
      </c>
      <c r="B8135" s="1" t="s">
        <v>24</v>
      </c>
      <c r="C8135" s="1" t="n">
        <v>220000</v>
      </c>
      <c r="D8135" s="1" t="n">
        <v>2986.8</v>
      </c>
      <c r="E8135" s="1" t="n">
        <v>0.0237</v>
      </c>
      <c r="F8135" s="1" t="n">
        <v>0.0518</v>
      </c>
    </row>
    <row r="8136" customFormat="false" ht="15" hidden="false" customHeight="false" outlineLevel="0" collapsed="false">
      <c r="A8136" s="1" t="s">
        <v>8171</v>
      </c>
      <c r="B8136" s="1" t="s">
        <v>71</v>
      </c>
      <c r="C8136" s="1" t="n">
        <v>227000</v>
      </c>
      <c r="D8136" s="1" t="n">
        <v>13951.4</v>
      </c>
      <c r="E8136" s="1" t="n">
        <v>0.0486</v>
      </c>
      <c r="F8136" s="1" t="n">
        <v>0.0951</v>
      </c>
    </row>
    <row r="8137" customFormat="false" ht="15" hidden="false" customHeight="false" outlineLevel="0" collapsed="false">
      <c r="A8137" s="1" t="s">
        <v>8172</v>
      </c>
      <c r="B8137" s="1" t="s">
        <v>26</v>
      </c>
      <c r="C8137" s="1" t="n">
        <v>4010000</v>
      </c>
      <c r="D8137" s="1" t="n">
        <v>31232.9</v>
      </c>
      <c r="E8137" s="1" t="n">
        <v>0.0141</v>
      </c>
      <c r="F8137" s="1" t="n">
        <v>0.0585</v>
      </c>
    </row>
    <row r="8138" customFormat="false" ht="15" hidden="false" customHeight="false" outlineLevel="0" collapsed="false">
      <c r="A8138" s="1" t="s">
        <v>8173</v>
      </c>
      <c r="B8138" s="1" t="s">
        <v>287</v>
      </c>
      <c r="C8138" s="1" t="n">
        <v>252000</v>
      </c>
      <c r="D8138" s="1" t="n">
        <v>9372</v>
      </c>
      <c r="E8138" s="1" t="n">
        <v>0.0102</v>
      </c>
      <c r="F8138" s="1" t="n">
        <v>0.1027</v>
      </c>
    </row>
    <row r="8139" customFormat="false" ht="15" hidden="false" customHeight="false" outlineLevel="0" collapsed="false">
      <c r="A8139" s="1" t="s">
        <v>8174</v>
      </c>
      <c r="B8139" s="1" t="s">
        <v>24</v>
      </c>
      <c r="C8139" s="1" t="n">
        <v>1960000</v>
      </c>
      <c r="D8139" s="1" t="n">
        <v>11281</v>
      </c>
      <c r="F8139" s="1" t="n">
        <v>0.0518</v>
      </c>
    </row>
    <row r="8140" customFormat="false" ht="15" hidden="false" customHeight="false" outlineLevel="0" collapsed="false">
      <c r="A8140" s="1" t="s">
        <v>8175</v>
      </c>
      <c r="B8140" s="1" t="s">
        <v>92</v>
      </c>
      <c r="C8140" s="1" t="n">
        <v>217000</v>
      </c>
      <c r="D8140" s="1" t="n">
        <v>640.1</v>
      </c>
      <c r="E8140" s="1" t="n">
        <v>0.0082</v>
      </c>
      <c r="F8140" s="1" t="n">
        <v>0.2294</v>
      </c>
    </row>
    <row r="8141" customFormat="false" ht="15" hidden="false" customHeight="false" outlineLevel="0" collapsed="false">
      <c r="A8141" s="1" t="s">
        <v>8176</v>
      </c>
      <c r="B8141" s="1" t="s">
        <v>214</v>
      </c>
      <c r="C8141" s="1" t="n">
        <v>228000</v>
      </c>
      <c r="D8141" s="1" t="n">
        <v>16015.9</v>
      </c>
      <c r="E8141" s="1" t="n">
        <v>0.0077</v>
      </c>
      <c r="F8141" s="1" t="n">
        <v>0.0821</v>
      </c>
    </row>
    <row r="8142" customFormat="false" ht="15" hidden="false" customHeight="false" outlineLevel="0" collapsed="false">
      <c r="A8142" s="1" t="s">
        <v>8177</v>
      </c>
      <c r="B8142" s="1" t="s">
        <v>214</v>
      </c>
      <c r="C8142" s="1" t="n">
        <v>246000</v>
      </c>
      <c r="D8142" s="1" t="n">
        <v>743999.4</v>
      </c>
      <c r="E8142" s="1" t="n">
        <v>0.0091</v>
      </c>
      <c r="F8142" s="1" t="n">
        <v>0.0822</v>
      </c>
    </row>
    <row r="8143" customFormat="false" ht="15" hidden="false" customHeight="false" outlineLevel="0" collapsed="false">
      <c r="A8143" s="1" t="s">
        <v>8178</v>
      </c>
      <c r="B8143" s="1" t="s">
        <v>74</v>
      </c>
      <c r="C8143" s="1" t="n">
        <v>249000</v>
      </c>
      <c r="D8143" s="1" t="n">
        <v>22215.2</v>
      </c>
      <c r="E8143" s="1" t="n">
        <v>0.0598</v>
      </c>
      <c r="F8143" s="1" t="n">
        <v>0.0951</v>
      </c>
    </row>
    <row r="8144" customFormat="false" ht="15" hidden="false" customHeight="false" outlineLevel="0" collapsed="false">
      <c r="A8144" s="1" t="s">
        <v>8179</v>
      </c>
      <c r="B8144" s="1" t="s">
        <v>32</v>
      </c>
      <c r="C8144" s="1" t="n">
        <v>241000</v>
      </c>
      <c r="D8144" s="1" t="n">
        <v>2493.2</v>
      </c>
      <c r="E8144" s="1" t="n">
        <v>0.0729</v>
      </c>
      <c r="F8144" s="1" t="n">
        <v>0.0951</v>
      </c>
    </row>
    <row r="8145" customFormat="false" ht="15" hidden="false" customHeight="false" outlineLevel="0" collapsed="false">
      <c r="A8145" s="1" t="s">
        <v>8180</v>
      </c>
      <c r="B8145" s="1" t="s">
        <v>88</v>
      </c>
      <c r="C8145" s="1" t="n">
        <v>217000</v>
      </c>
      <c r="D8145" s="1" t="n">
        <v>220.9</v>
      </c>
      <c r="E8145" s="1" t="n">
        <v>0.0198</v>
      </c>
      <c r="F8145" s="1" t="n">
        <v>0.6533</v>
      </c>
    </row>
    <row r="8146" customFormat="false" ht="15" hidden="false" customHeight="false" outlineLevel="0" collapsed="false">
      <c r="A8146" s="1" t="s">
        <v>8181</v>
      </c>
      <c r="B8146" s="1" t="s">
        <v>26</v>
      </c>
      <c r="C8146" s="1" t="n">
        <v>207000</v>
      </c>
      <c r="D8146" s="1" t="n">
        <v>4853.9</v>
      </c>
      <c r="F8146" s="1" t="n">
        <v>0.0951</v>
      </c>
    </row>
    <row r="8147" customFormat="false" ht="15" hidden="false" customHeight="false" outlineLevel="0" collapsed="false">
      <c r="A8147" s="1" t="s">
        <v>8182</v>
      </c>
      <c r="B8147" s="1" t="s">
        <v>88</v>
      </c>
      <c r="C8147" s="1" t="n">
        <v>232000</v>
      </c>
      <c r="D8147" s="1" t="n">
        <v>1412.8</v>
      </c>
      <c r="E8147" s="1" t="n">
        <v>0.0256</v>
      </c>
      <c r="F8147" s="1" t="n">
        <v>0.1055</v>
      </c>
    </row>
    <row r="8148" customFormat="false" ht="15" hidden="false" customHeight="false" outlineLevel="0" collapsed="false">
      <c r="A8148" s="1" t="s">
        <v>8183</v>
      </c>
      <c r="B8148" s="1" t="s">
        <v>74</v>
      </c>
      <c r="C8148" s="1" t="n">
        <v>236000</v>
      </c>
      <c r="D8148" s="1" t="n">
        <v>2298.3</v>
      </c>
      <c r="E8148" s="1" t="n">
        <v>0.0163</v>
      </c>
      <c r="F8148" s="1" t="n">
        <v>0.1067</v>
      </c>
    </row>
    <row r="8149" customFormat="false" ht="15" hidden="false" customHeight="false" outlineLevel="0" collapsed="false">
      <c r="A8149" s="1" t="s">
        <v>8184</v>
      </c>
      <c r="B8149" s="1" t="s">
        <v>88</v>
      </c>
      <c r="C8149" s="1" t="n">
        <v>334000</v>
      </c>
      <c r="D8149" s="1" t="n">
        <v>430</v>
      </c>
      <c r="E8149" s="1" t="n">
        <v>0.0716</v>
      </c>
      <c r="F8149" s="1" t="n">
        <v>0.0938</v>
      </c>
    </row>
    <row r="8150" customFormat="false" ht="15" hidden="false" customHeight="false" outlineLevel="0" collapsed="false">
      <c r="A8150" s="1" t="s">
        <v>8185</v>
      </c>
      <c r="B8150" s="1" t="s">
        <v>26</v>
      </c>
      <c r="C8150" s="1" t="n">
        <v>425000</v>
      </c>
      <c r="D8150" s="1" t="n">
        <v>19138.5</v>
      </c>
      <c r="E8150" s="1" t="n">
        <v>0.067</v>
      </c>
      <c r="F8150" s="1" t="n">
        <v>0.0672</v>
      </c>
    </row>
    <row r="8151" customFormat="false" ht="15" hidden="false" customHeight="false" outlineLevel="0" collapsed="false">
      <c r="A8151" s="1" t="s">
        <v>8186</v>
      </c>
      <c r="B8151" s="1" t="s">
        <v>214</v>
      </c>
      <c r="C8151" s="1" t="n">
        <v>235000</v>
      </c>
      <c r="D8151" s="1" t="n">
        <v>76277</v>
      </c>
      <c r="E8151" s="1" t="n">
        <v>0.0126</v>
      </c>
      <c r="F8151" s="1" t="n">
        <v>0.0585</v>
      </c>
    </row>
    <row r="8152" customFormat="false" ht="15" hidden="false" customHeight="false" outlineLevel="0" collapsed="false">
      <c r="A8152" s="1" t="s">
        <v>8187</v>
      </c>
      <c r="B8152" s="1" t="s">
        <v>26</v>
      </c>
      <c r="C8152" s="1" t="n">
        <v>298000</v>
      </c>
      <c r="D8152" s="1" t="n">
        <v>273533.6</v>
      </c>
      <c r="E8152" s="1" t="n">
        <v>0.0233</v>
      </c>
      <c r="F8152" s="1" t="n">
        <v>0.0951</v>
      </c>
    </row>
    <row r="8153" customFormat="false" ht="15" hidden="false" customHeight="false" outlineLevel="0" collapsed="false">
      <c r="A8153" s="1" t="s">
        <v>8188</v>
      </c>
      <c r="B8153" s="1" t="s">
        <v>88</v>
      </c>
      <c r="C8153" s="1" t="n">
        <v>263000</v>
      </c>
      <c r="D8153" s="1" t="n">
        <v>18511</v>
      </c>
      <c r="E8153" s="1" t="n">
        <v>0.0544</v>
      </c>
      <c r="F8153" s="1" t="n">
        <v>0.0951</v>
      </c>
    </row>
    <row r="8154" customFormat="false" ht="15" hidden="false" customHeight="false" outlineLevel="0" collapsed="false">
      <c r="A8154" s="1" t="s">
        <v>8189</v>
      </c>
      <c r="B8154" s="1" t="s">
        <v>24</v>
      </c>
      <c r="C8154" s="1" t="n">
        <v>246000</v>
      </c>
      <c r="D8154" s="1" t="n">
        <v>12063.7</v>
      </c>
      <c r="F8154" s="1" t="n">
        <v>0.0951</v>
      </c>
    </row>
    <row r="8155" customFormat="false" ht="15" hidden="false" customHeight="false" outlineLevel="0" collapsed="false">
      <c r="A8155" s="1" t="s">
        <v>8190</v>
      </c>
      <c r="B8155" s="1" t="s">
        <v>35</v>
      </c>
      <c r="C8155" s="1" t="n">
        <v>230000</v>
      </c>
      <c r="D8155" s="1" t="n">
        <v>2750.6</v>
      </c>
      <c r="E8155" s="1" t="n">
        <v>0.0193</v>
      </c>
      <c r="F8155" s="1" t="n">
        <v>0.0854</v>
      </c>
    </row>
    <row r="8156" customFormat="false" ht="15" hidden="false" customHeight="false" outlineLevel="0" collapsed="false">
      <c r="A8156" s="1" t="s">
        <v>8191</v>
      </c>
      <c r="B8156" s="1" t="s">
        <v>41</v>
      </c>
      <c r="C8156" s="1" t="n">
        <v>244000</v>
      </c>
      <c r="D8156" s="1" t="n">
        <v>3980</v>
      </c>
      <c r="E8156" s="1" t="n">
        <v>0.0332</v>
      </c>
      <c r="F8156" s="1" t="n">
        <v>0.0951</v>
      </c>
    </row>
    <row r="8157" customFormat="false" ht="15" hidden="false" customHeight="false" outlineLevel="0" collapsed="false">
      <c r="A8157" s="1" t="s">
        <v>8192</v>
      </c>
      <c r="B8157" s="1" t="s">
        <v>26</v>
      </c>
      <c r="C8157" s="1" t="n">
        <v>262000</v>
      </c>
      <c r="D8157" s="1" t="n">
        <v>258.4</v>
      </c>
      <c r="E8157" s="1" t="n">
        <v>0.0192</v>
      </c>
      <c r="F8157" s="1" t="n">
        <v>0.0517</v>
      </c>
    </row>
    <row r="8158" customFormat="false" ht="15" hidden="false" customHeight="false" outlineLevel="0" collapsed="false">
      <c r="A8158" s="1" t="s">
        <v>8193</v>
      </c>
      <c r="B8158" s="1" t="s">
        <v>88</v>
      </c>
      <c r="C8158" s="1" t="n">
        <v>1120000</v>
      </c>
      <c r="D8158" s="1" t="n">
        <v>9438.7</v>
      </c>
      <c r="E8158" s="1" t="n">
        <v>0.0833</v>
      </c>
      <c r="F8158" s="1" t="n">
        <v>0.0938</v>
      </c>
    </row>
    <row r="8159" customFormat="false" ht="15" hidden="false" customHeight="false" outlineLevel="0" collapsed="false">
      <c r="A8159" s="1" t="s">
        <v>8194</v>
      </c>
      <c r="B8159" s="1" t="s">
        <v>26</v>
      </c>
      <c r="C8159" s="1" t="n">
        <v>334000</v>
      </c>
      <c r="D8159" s="1" t="n">
        <v>4109.5</v>
      </c>
      <c r="E8159" s="1" t="n">
        <v>0.0676</v>
      </c>
      <c r="F8159" s="1" t="n">
        <v>0.0938</v>
      </c>
    </row>
    <row r="8160" customFormat="false" ht="15" hidden="false" customHeight="false" outlineLevel="0" collapsed="false">
      <c r="A8160" s="1" t="s">
        <v>8195</v>
      </c>
      <c r="B8160" s="1" t="s">
        <v>81</v>
      </c>
      <c r="C8160" s="1" t="n">
        <v>246000</v>
      </c>
      <c r="D8160" s="1" t="n">
        <v>1488.4</v>
      </c>
      <c r="E8160" s="1" t="n">
        <v>0.0279</v>
      </c>
      <c r="F8160" s="1" t="n">
        <v>0.0938</v>
      </c>
    </row>
    <row r="8161" customFormat="false" ht="15" hidden="false" customHeight="false" outlineLevel="0" collapsed="false">
      <c r="A8161" s="1" t="s">
        <v>8196</v>
      </c>
      <c r="B8161" s="1" t="s">
        <v>88</v>
      </c>
      <c r="C8161" s="1" t="n">
        <v>238000</v>
      </c>
      <c r="D8161" s="1" t="n">
        <v>5136.3</v>
      </c>
      <c r="E8161" s="1" t="n">
        <v>0.0179</v>
      </c>
      <c r="F8161" s="1" t="n">
        <v>0.1119</v>
      </c>
    </row>
    <row r="8162" customFormat="false" ht="15" hidden="false" customHeight="false" outlineLevel="0" collapsed="false">
      <c r="A8162" s="1" t="s">
        <v>8197</v>
      </c>
      <c r="B8162" s="1" t="s">
        <v>26</v>
      </c>
      <c r="C8162" s="1" t="n">
        <v>339000</v>
      </c>
      <c r="D8162" s="1" t="n">
        <v>124310.9</v>
      </c>
      <c r="E8162" s="1" t="n">
        <v>0.0189</v>
      </c>
      <c r="F8162" s="1" t="n">
        <v>0.0462</v>
      </c>
    </row>
    <row r="8163" customFormat="false" ht="15" hidden="false" customHeight="false" outlineLevel="0" collapsed="false">
      <c r="A8163" s="1" t="s">
        <v>8198</v>
      </c>
      <c r="B8163" s="1" t="s">
        <v>88</v>
      </c>
      <c r="C8163" s="1" t="n">
        <v>1030000</v>
      </c>
      <c r="D8163" s="1" t="n">
        <v>2763.3</v>
      </c>
      <c r="E8163" s="1" t="n">
        <v>0.089</v>
      </c>
      <c r="F8163" s="1" t="n">
        <v>0.0938</v>
      </c>
    </row>
    <row r="8164" customFormat="false" ht="15" hidden="false" customHeight="false" outlineLevel="0" collapsed="false">
      <c r="A8164" s="1" t="s">
        <v>8199</v>
      </c>
      <c r="B8164" s="1" t="s">
        <v>71</v>
      </c>
      <c r="C8164" s="1" t="n">
        <v>478000</v>
      </c>
      <c r="D8164" s="1" t="n">
        <v>203195.3</v>
      </c>
      <c r="E8164" s="1" t="n">
        <v>0.0387</v>
      </c>
      <c r="F8164" s="1" t="n">
        <v>0.0951</v>
      </c>
    </row>
    <row r="8165" customFormat="false" ht="15" hidden="false" customHeight="false" outlineLevel="0" collapsed="false">
      <c r="A8165" s="1" t="s">
        <v>8200</v>
      </c>
      <c r="B8165" s="1" t="s">
        <v>53</v>
      </c>
      <c r="C8165" s="1" t="n">
        <v>216000</v>
      </c>
      <c r="D8165" s="1" t="n">
        <v>3045.5</v>
      </c>
      <c r="E8165" s="1" t="n">
        <v>0.0237</v>
      </c>
      <c r="F8165" s="1" t="n">
        <v>0.0951</v>
      </c>
    </row>
    <row r="8166" customFormat="false" ht="15" hidden="false" customHeight="false" outlineLevel="0" collapsed="false">
      <c r="A8166" s="1" t="s">
        <v>8201</v>
      </c>
      <c r="B8166" s="1" t="s">
        <v>41</v>
      </c>
      <c r="C8166" s="1" t="n">
        <v>353000</v>
      </c>
      <c r="D8166" s="1" t="n">
        <v>163624.1</v>
      </c>
      <c r="E8166" s="1" t="n">
        <v>0.0196</v>
      </c>
      <c r="F8166" s="1" t="n">
        <v>0.1185</v>
      </c>
    </row>
    <row r="8167" customFormat="false" ht="15" hidden="false" customHeight="false" outlineLevel="0" collapsed="false">
      <c r="A8167" s="1" t="s">
        <v>8202</v>
      </c>
      <c r="B8167" s="1" t="s">
        <v>26</v>
      </c>
      <c r="C8167" s="1" t="n">
        <v>214000</v>
      </c>
      <c r="D8167" s="1" t="n">
        <v>5881.5</v>
      </c>
      <c r="E8167" s="1" t="n">
        <v>0.0241</v>
      </c>
      <c r="F8167" s="1" t="n">
        <v>0.0951</v>
      </c>
    </row>
    <row r="8168" customFormat="false" ht="15" hidden="false" customHeight="false" outlineLevel="0" collapsed="false">
      <c r="A8168" s="1" t="s">
        <v>8203</v>
      </c>
      <c r="B8168" s="1" t="s">
        <v>62</v>
      </c>
      <c r="C8168" s="1" t="n">
        <v>273000</v>
      </c>
      <c r="D8168" s="1" t="n">
        <v>163378.4</v>
      </c>
      <c r="E8168" s="1" t="n">
        <v>0.0414</v>
      </c>
      <c r="F8168" s="1" t="n">
        <v>0.0518</v>
      </c>
    </row>
    <row r="8169" customFormat="false" ht="15" hidden="false" customHeight="false" outlineLevel="0" collapsed="false">
      <c r="A8169" s="1" t="s">
        <v>8204</v>
      </c>
      <c r="B8169" s="1" t="s">
        <v>26</v>
      </c>
      <c r="C8169" s="1" t="n">
        <v>985000</v>
      </c>
      <c r="D8169" s="1" t="n">
        <v>17101</v>
      </c>
      <c r="E8169" s="1" t="n">
        <v>0.0747</v>
      </c>
      <c r="F8169" s="1" t="n">
        <v>0.0759</v>
      </c>
    </row>
    <row r="8170" customFormat="false" ht="15" hidden="false" customHeight="false" outlineLevel="0" collapsed="false">
      <c r="A8170" s="1" t="s">
        <v>8205</v>
      </c>
      <c r="B8170" s="1" t="s">
        <v>74</v>
      </c>
      <c r="C8170" s="1" t="n">
        <v>295000</v>
      </c>
      <c r="D8170" s="1" t="n">
        <v>443.1</v>
      </c>
      <c r="E8170" s="1" t="n">
        <v>0.0296</v>
      </c>
      <c r="F8170" s="1" t="n">
        <v>0.0759</v>
      </c>
    </row>
    <row r="8171" customFormat="false" ht="15" hidden="false" customHeight="false" outlineLevel="0" collapsed="false">
      <c r="A8171" s="1" t="s">
        <v>8206</v>
      </c>
      <c r="B8171" s="1" t="s">
        <v>24</v>
      </c>
      <c r="C8171" s="1" t="n">
        <v>222000</v>
      </c>
      <c r="D8171" s="1" t="n">
        <v>289.8</v>
      </c>
      <c r="E8171" s="1" t="n">
        <v>0.019</v>
      </c>
      <c r="F8171" s="1" t="n">
        <v>0.051</v>
      </c>
    </row>
    <row r="8172" customFormat="false" ht="15" hidden="false" customHeight="false" outlineLevel="0" collapsed="false">
      <c r="A8172" s="1" t="s">
        <v>8207</v>
      </c>
      <c r="B8172" s="1" t="s">
        <v>88</v>
      </c>
      <c r="C8172" s="1" t="n">
        <v>292000</v>
      </c>
      <c r="D8172" s="1" t="n">
        <v>4394.2</v>
      </c>
      <c r="E8172" s="1" t="n">
        <v>0.0447</v>
      </c>
      <c r="F8172" s="1" t="n">
        <v>0.0951</v>
      </c>
    </row>
    <row r="8173" customFormat="false" ht="15" hidden="false" customHeight="false" outlineLevel="0" collapsed="false">
      <c r="A8173" s="1" t="s">
        <v>8208</v>
      </c>
      <c r="B8173" s="1" t="s">
        <v>214</v>
      </c>
      <c r="C8173" s="1" t="n">
        <v>230000</v>
      </c>
      <c r="D8173" s="1" t="n">
        <v>2444.5</v>
      </c>
      <c r="E8173" s="1" t="n">
        <v>0.0241</v>
      </c>
      <c r="F8173" s="1" t="n">
        <v>0.1387</v>
      </c>
    </row>
    <row r="8174" customFormat="false" ht="15" hidden="false" customHeight="false" outlineLevel="0" collapsed="false">
      <c r="A8174" s="1" t="s">
        <v>8209</v>
      </c>
      <c r="B8174" s="1" t="s">
        <v>21</v>
      </c>
      <c r="C8174" s="1" t="n">
        <v>549000</v>
      </c>
      <c r="D8174" s="1" t="n">
        <v>670825.4</v>
      </c>
      <c r="E8174" s="1" t="n">
        <v>0.0204</v>
      </c>
      <c r="F8174" s="1" t="n">
        <v>0.0845</v>
      </c>
    </row>
    <row r="8175" customFormat="false" ht="15" hidden="false" customHeight="false" outlineLevel="0" collapsed="false">
      <c r="A8175" s="1" t="s">
        <v>8210</v>
      </c>
      <c r="B8175" s="1" t="s">
        <v>41</v>
      </c>
      <c r="C8175" s="1" t="n">
        <v>218000</v>
      </c>
      <c r="D8175" s="1" t="n">
        <v>443.4</v>
      </c>
      <c r="E8175" s="1" t="n">
        <v>0.0397</v>
      </c>
      <c r="F8175" s="1" t="n">
        <v>0.0951</v>
      </c>
    </row>
    <row r="8176" customFormat="false" ht="15" hidden="false" customHeight="false" outlineLevel="0" collapsed="false">
      <c r="A8176" s="1" t="s">
        <v>8211</v>
      </c>
      <c r="B8176" s="1" t="s">
        <v>41</v>
      </c>
      <c r="C8176" s="1" t="n">
        <v>412000</v>
      </c>
      <c r="D8176" s="1" t="n">
        <v>9286</v>
      </c>
      <c r="E8176" s="1" t="n">
        <v>0.0682</v>
      </c>
      <c r="F8176" s="1" t="n">
        <v>0.0938</v>
      </c>
    </row>
    <row r="8177" customFormat="false" ht="15" hidden="false" customHeight="false" outlineLevel="0" collapsed="false">
      <c r="A8177" s="1" t="s">
        <v>8212</v>
      </c>
      <c r="B8177" s="1" t="s">
        <v>88</v>
      </c>
      <c r="C8177" s="1" t="n">
        <v>252000</v>
      </c>
      <c r="D8177" s="1" t="n">
        <v>746.4</v>
      </c>
      <c r="E8177" s="1" t="n">
        <v>0.0304</v>
      </c>
      <c r="F8177" s="1" t="n">
        <v>0.0938</v>
      </c>
    </row>
    <row r="8178" customFormat="false" ht="15" hidden="false" customHeight="false" outlineLevel="0" collapsed="false">
      <c r="A8178" s="1" t="s">
        <v>8213</v>
      </c>
      <c r="B8178" s="1" t="s">
        <v>30</v>
      </c>
      <c r="C8178" s="1" t="n">
        <v>278000</v>
      </c>
      <c r="D8178" s="1" t="n">
        <v>40131.9</v>
      </c>
      <c r="E8178" s="1" t="n">
        <v>0.1112</v>
      </c>
      <c r="F8178" s="1" t="n">
        <v>0.0759</v>
      </c>
    </row>
    <row r="8179" customFormat="false" ht="15" hidden="false" customHeight="false" outlineLevel="0" collapsed="false">
      <c r="A8179" s="1" t="s">
        <v>8214</v>
      </c>
      <c r="B8179" s="1" t="s">
        <v>41</v>
      </c>
      <c r="C8179" s="1" t="n">
        <v>273000</v>
      </c>
      <c r="D8179" s="1" t="n">
        <v>17.6</v>
      </c>
      <c r="E8179" s="1" t="n">
        <v>0.0415</v>
      </c>
      <c r="F8179" s="1" t="n">
        <v>0.3095</v>
      </c>
    </row>
    <row r="8180" customFormat="false" ht="15" hidden="false" customHeight="false" outlineLevel="0" collapsed="false">
      <c r="A8180" s="1" t="s">
        <v>8215</v>
      </c>
      <c r="B8180" s="1" t="s">
        <v>26</v>
      </c>
      <c r="C8180" s="1" t="n">
        <v>244000</v>
      </c>
      <c r="D8180" s="1" t="n">
        <v>31788</v>
      </c>
      <c r="E8180" s="1" t="n">
        <v>0.0309</v>
      </c>
      <c r="F8180" s="1" t="n">
        <v>0.0409</v>
      </c>
    </row>
    <row r="8181" customFormat="false" ht="15" hidden="false" customHeight="false" outlineLevel="0" collapsed="false">
      <c r="A8181" s="1" t="s">
        <v>8216</v>
      </c>
      <c r="B8181" s="1" t="s">
        <v>26</v>
      </c>
      <c r="C8181" s="1" t="n">
        <v>201000</v>
      </c>
      <c r="D8181" s="1" t="n">
        <v>3526.3</v>
      </c>
      <c r="E8181" s="1" t="n">
        <v>0.0407</v>
      </c>
      <c r="F8181" s="1" t="n">
        <v>0.0951</v>
      </c>
    </row>
    <row r="8182" customFormat="false" ht="15" hidden="false" customHeight="false" outlineLevel="0" collapsed="false">
      <c r="A8182" s="1" t="s">
        <v>8217</v>
      </c>
      <c r="B8182" s="1" t="s">
        <v>88</v>
      </c>
      <c r="C8182" s="1" t="n">
        <v>373000</v>
      </c>
      <c r="D8182" s="1" t="n">
        <v>583.4</v>
      </c>
      <c r="E8182" s="1" t="n">
        <v>0.0187</v>
      </c>
      <c r="F8182" s="1" t="n">
        <v>0.051</v>
      </c>
    </row>
    <row r="8183" customFormat="false" ht="15" hidden="false" customHeight="false" outlineLevel="0" collapsed="false">
      <c r="A8183" s="1" t="s">
        <v>8218</v>
      </c>
      <c r="B8183" s="1" t="s">
        <v>24</v>
      </c>
      <c r="C8183" s="1" t="n">
        <v>318000</v>
      </c>
      <c r="D8183" s="1" t="n">
        <v>20495</v>
      </c>
      <c r="E8183" s="1" t="n">
        <v>0.0106</v>
      </c>
      <c r="F8183" s="1" t="n">
        <v>0.1471</v>
      </c>
    </row>
    <row r="8184" customFormat="false" ht="15" hidden="false" customHeight="false" outlineLevel="0" collapsed="false">
      <c r="A8184" s="1" t="s">
        <v>8219</v>
      </c>
      <c r="B8184" s="1" t="s">
        <v>26</v>
      </c>
      <c r="C8184" s="1" t="n">
        <v>274000</v>
      </c>
      <c r="D8184" s="1" t="n">
        <v>65448.7</v>
      </c>
      <c r="F8184" s="1" t="n">
        <v>0.0951</v>
      </c>
    </row>
    <row r="8185" customFormat="false" ht="15" hidden="false" customHeight="false" outlineLevel="0" collapsed="false">
      <c r="A8185" s="1" t="s">
        <v>8220</v>
      </c>
      <c r="B8185" s="1" t="s">
        <v>62</v>
      </c>
      <c r="C8185" s="1" t="n">
        <v>244000</v>
      </c>
      <c r="D8185" s="1" t="n">
        <v>952.9</v>
      </c>
      <c r="E8185" s="1" t="n">
        <v>0.0345</v>
      </c>
      <c r="F8185" s="1" t="n">
        <v>0.0759</v>
      </c>
    </row>
    <row r="8186" customFormat="false" ht="15" hidden="false" customHeight="false" outlineLevel="0" collapsed="false">
      <c r="A8186" s="1" t="s">
        <v>8221</v>
      </c>
      <c r="B8186" s="1" t="s">
        <v>41</v>
      </c>
      <c r="C8186" s="1" t="n">
        <v>254000</v>
      </c>
      <c r="D8186" s="1" t="n">
        <v>321.9</v>
      </c>
      <c r="E8186" s="1" t="n">
        <v>0.0135</v>
      </c>
      <c r="F8186" s="1" t="n">
        <v>0.139</v>
      </c>
    </row>
    <row r="8187" customFormat="false" ht="15" hidden="false" customHeight="false" outlineLevel="0" collapsed="false">
      <c r="A8187" s="1" t="s">
        <v>8222</v>
      </c>
      <c r="B8187" s="1" t="s">
        <v>26</v>
      </c>
      <c r="C8187" s="1" t="n">
        <v>215000</v>
      </c>
      <c r="D8187" s="1" t="n">
        <v>3011.5</v>
      </c>
      <c r="E8187" s="1" t="n">
        <v>0.0351</v>
      </c>
      <c r="F8187" s="1" t="n">
        <v>0.0759</v>
      </c>
    </row>
    <row r="8188" customFormat="false" ht="15" hidden="false" customHeight="false" outlineLevel="0" collapsed="false">
      <c r="A8188" s="1" t="s">
        <v>8223</v>
      </c>
      <c r="B8188" s="1" t="s">
        <v>92</v>
      </c>
      <c r="C8188" s="1" t="n">
        <v>727000</v>
      </c>
      <c r="D8188" s="1" t="n">
        <v>6835.7</v>
      </c>
      <c r="E8188" s="1" t="n">
        <v>0.0183</v>
      </c>
      <c r="F8188" s="1" t="n">
        <v>0.0576</v>
      </c>
    </row>
    <row r="8189" customFormat="false" ht="15" hidden="false" customHeight="false" outlineLevel="0" collapsed="false">
      <c r="A8189" s="1" t="s">
        <v>8224</v>
      </c>
      <c r="B8189" s="1" t="s">
        <v>41</v>
      </c>
      <c r="C8189" s="1" t="n">
        <v>259000</v>
      </c>
      <c r="D8189" s="1" t="n">
        <v>1179.6</v>
      </c>
      <c r="E8189" s="1" t="n">
        <v>0.0086</v>
      </c>
      <c r="F8189" s="1" t="n">
        <v>0.0811</v>
      </c>
    </row>
    <row r="8190" customFormat="false" ht="15" hidden="false" customHeight="false" outlineLevel="0" collapsed="false">
      <c r="A8190" s="1" t="s">
        <v>8225</v>
      </c>
      <c r="B8190" s="1" t="s">
        <v>24</v>
      </c>
      <c r="C8190" s="1" t="n">
        <v>2060000</v>
      </c>
      <c r="D8190" s="1" t="n">
        <v>40796.6</v>
      </c>
      <c r="E8190" s="1" t="n">
        <v>0.0653</v>
      </c>
      <c r="F8190" s="1" t="n">
        <v>0.0538</v>
      </c>
    </row>
    <row r="8191" customFormat="false" ht="15" hidden="false" customHeight="false" outlineLevel="0" collapsed="false">
      <c r="A8191" s="1" t="s">
        <v>8226</v>
      </c>
      <c r="B8191" s="1" t="s">
        <v>287</v>
      </c>
      <c r="C8191" s="1" t="n">
        <v>361000</v>
      </c>
      <c r="D8191" s="1" t="n">
        <v>124245.6</v>
      </c>
      <c r="E8191" s="1" t="n">
        <v>0.0223</v>
      </c>
      <c r="F8191" s="1" t="n">
        <v>0.0409</v>
      </c>
    </row>
    <row r="8192" customFormat="false" ht="15" hidden="false" customHeight="false" outlineLevel="0" collapsed="false">
      <c r="A8192" s="1" t="s">
        <v>8227</v>
      </c>
      <c r="B8192" s="1" t="s">
        <v>81</v>
      </c>
      <c r="C8192" s="1" t="n">
        <v>217000</v>
      </c>
      <c r="D8192" s="1" t="n">
        <v>18167</v>
      </c>
      <c r="E8192" s="1" t="n">
        <v>0.0096</v>
      </c>
      <c r="F8192" s="1" t="n">
        <v>0.0822</v>
      </c>
    </row>
    <row r="8193" customFormat="false" ht="15" hidden="false" customHeight="false" outlineLevel="0" collapsed="false">
      <c r="A8193" s="1" t="s">
        <v>8228</v>
      </c>
      <c r="B8193" s="1" t="s">
        <v>71</v>
      </c>
      <c r="C8193" s="1" t="n">
        <v>280000</v>
      </c>
      <c r="D8193" s="1" t="n">
        <v>3438.5</v>
      </c>
      <c r="E8193" s="1" t="n">
        <v>0.0298</v>
      </c>
      <c r="F8193" s="1" t="n">
        <v>0.0759</v>
      </c>
    </row>
    <row r="8194" customFormat="false" ht="15" hidden="false" customHeight="false" outlineLevel="0" collapsed="false">
      <c r="A8194" s="1" t="s">
        <v>8229</v>
      </c>
      <c r="B8194" s="1" t="s">
        <v>88</v>
      </c>
      <c r="C8194" s="1" t="n">
        <v>232000</v>
      </c>
      <c r="D8194" s="1" t="n">
        <v>985.3</v>
      </c>
      <c r="E8194" s="1" t="n">
        <v>0.1275</v>
      </c>
      <c r="F8194" s="1" t="n">
        <v>0.0759</v>
      </c>
    </row>
    <row r="8195" customFormat="false" ht="15" hidden="false" customHeight="false" outlineLevel="0" collapsed="false">
      <c r="A8195" s="1" t="s">
        <v>8230</v>
      </c>
      <c r="B8195" s="1" t="s">
        <v>28</v>
      </c>
      <c r="C8195" s="1" t="n">
        <v>263000</v>
      </c>
      <c r="D8195" s="1" t="n">
        <v>2388.5</v>
      </c>
      <c r="E8195" s="1" t="n">
        <v>0.0255</v>
      </c>
      <c r="F8195" s="1" t="n">
        <v>0.0951</v>
      </c>
    </row>
    <row r="8196" customFormat="false" ht="15" hidden="false" customHeight="false" outlineLevel="0" collapsed="false">
      <c r="A8196" s="1" t="s">
        <v>8231</v>
      </c>
      <c r="B8196" s="1" t="s">
        <v>53</v>
      </c>
      <c r="C8196" s="1" t="n">
        <v>257000</v>
      </c>
      <c r="D8196" s="1" t="n">
        <v>49547.7</v>
      </c>
      <c r="E8196" s="1" t="n">
        <v>0.006</v>
      </c>
      <c r="F8196" s="1" t="n">
        <v>0.0822</v>
      </c>
    </row>
    <row r="8197" customFormat="false" ht="15" hidden="false" customHeight="false" outlineLevel="0" collapsed="false">
      <c r="A8197" s="1" t="s">
        <v>8232</v>
      </c>
      <c r="B8197" s="1" t="s">
        <v>26</v>
      </c>
      <c r="C8197" s="1" t="n">
        <v>213000</v>
      </c>
      <c r="D8197" s="1" t="n">
        <v>10176.5</v>
      </c>
      <c r="E8197" s="1" t="n">
        <v>0.0671</v>
      </c>
      <c r="F8197" s="1" t="n">
        <v>0.0951</v>
      </c>
    </row>
    <row r="8198" customFormat="false" ht="15" hidden="false" customHeight="false" outlineLevel="0" collapsed="false">
      <c r="A8198" s="1" t="s">
        <v>8233</v>
      </c>
      <c r="B8198" s="1" t="s">
        <v>24</v>
      </c>
      <c r="C8198" s="1" t="n">
        <v>219000</v>
      </c>
      <c r="D8198" s="1" t="n">
        <v>3125.4</v>
      </c>
      <c r="E8198" s="1" t="n">
        <v>0.0076</v>
      </c>
      <c r="F8198" s="1" t="n">
        <v>0.1133</v>
      </c>
    </row>
    <row r="8199" customFormat="false" ht="15" hidden="false" customHeight="false" outlineLevel="0" collapsed="false">
      <c r="A8199" s="1" t="s">
        <v>8234</v>
      </c>
      <c r="B8199" s="1" t="s">
        <v>26</v>
      </c>
      <c r="C8199" s="1" t="n">
        <v>322000</v>
      </c>
      <c r="D8199" s="1" t="n">
        <v>46270.8</v>
      </c>
      <c r="E8199" s="1" t="n">
        <v>0.0533</v>
      </c>
      <c r="F8199" s="1" t="n">
        <v>0.0845</v>
      </c>
    </row>
    <row r="8200" customFormat="false" ht="15" hidden="false" customHeight="false" outlineLevel="0" collapsed="false">
      <c r="A8200" s="1" t="s">
        <v>8235</v>
      </c>
      <c r="B8200" s="1" t="s">
        <v>26</v>
      </c>
      <c r="C8200" s="1" t="n">
        <v>237000</v>
      </c>
      <c r="D8200" s="1" t="n">
        <v>5518.6</v>
      </c>
      <c r="E8200" s="1" t="n">
        <v>0.0162</v>
      </c>
      <c r="F8200" s="1" t="n">
        <v>0.1327</v>
      </c>
    </row>
    <row r="8201" customFormat="false" ht="15" hidden="false" customHeight="false" outlineLevel="0" collapsed="false">
      <c r="A8201" s="1" t="s">
        <v>8236</v>
      </c>
      <c r="B8201" s="1" t="s">
        <v>214</v>
      </c>
      <c r="C8201" s="1" t="n">
        <v>229000</v>
      </c>
      <c r="D8201" s="1" t="n">
        <v>1148.7</v>
      </c>
      <c r="E8201" s="1" t="n">
        <v>0.0483</v>
      </c>
      <c r="F8201" s="1" t="n">
        <v>0.0951</v>
      </c>
    </row>
    <row r="8202" customFormat="false" ht="15" hidden="false" customHeight="false" outlineLevel="0" collapsed="false">
      <c r="A8202" s="1" t="s">
        <v>8237</v>
      </c>
      <c r="B8202" s="1" t="s">
        <v>26</v>
      </c>
      <c r="C8202" s="1" t="n">
        <v>212000</v>
      </c>
      <c r="D8202" s="1" t="n">
        <v>4664.7</v>
      </c>
      <c r="E8202" s="1" t="n">
        <v>0.0239</v>
      </c>
      <c r="F8202" s="1" t="n">
        <v>0.0409</v>
      </c>
    </row>
    <row r="8203" customFormat="false" ht="15" hidden="false" customHeight="false" outlineLevel="0" collapsed="false">
      <c r="A8203" s="1" t="s">
        <v>8238</v>
      </c>
      <c r="B8203" s="1" t="s">
        <v>28</v>
      </c>
      <c r="C8203" s="1" t="n">
        <v>225000</v>
      </c>
      <c r="D8203" s="1" t="n">
        <v>17333.6</v>
      </c>
      <c r="E8203" s="1" t="n">
        <v>0.0182</v>
      </c>
      <c r="F8203" s="1" t="n">
        <v>0.1067</v>
      </c>
    </row>
    <row r="8204" customFormat="false" ht="15" hidden="false" customHeight="false" outlineLevel="0" collapsed="false">
      <c r="A8204" s="1" t="s">
        <v>8239</v>
      </c>
      <c r="B8204" s="1" t="s">
        <v>88</v>
      </c>
      <c r="C8204" s="1" t="n">
        <v>327000</v>
      </c>
      <c r="D8204" s="1" t="n">
        <v>1765.1</v>
      </c>
      <c r="E8204" s="1" t="n">
        <v>0.0072</v>
      </c>
      <c r="F8204" s="1" t="n">
        <v>0.0811</v>
      </c>
    </row>
    <row r="8205" customFormat="false" ht="15" hidden="false" customHeight="false" outlineLevel="0" collapsed="false">
      <c r="A8205" s="1" t="s">
        <v>8240</v>
      </c>
      <c r="B8205" s="1" t="s">
        <v>26</v>
      </c>
      <c r="C8205" s="1" t="n">
        <v>222000</v>
      </c>
      <c r="D8205" s="1" t="n">
        <v>1686.9</v>
      </c>
      <c r="E8205" s="1" t="n">
        <v>0.0261</v>
      </c>
      <c r="F8205" s="1" t="n">
        <v>0.0951</v>
      </c>
    </row>
    <row r="8206" customFormat="false" ht="15" hidden="false" customHeight="false" outlineLevel="0" collapsed="false">
      <c r="A8206" s="1" t="s">
        <v>8241</v>
      </c>
      <c r="B8206" s="1" t="s">
        <v>195</v>
      </c>
      <c r="C8206" s="1" t="n">
        <v>212000</v>
      </c>
      <c r="D8206" s="1" t="n">
        <v>964.8</v>
      </c>
      <c r="E8206" s="1" t="n">
        <v>0.0191</v>
      </c>
      <c r="F8206" s="1" t="n">
        <v>0.131</v>
      </c>
    </row>
    <row r="8207" customFormat="false" ht="15" hidden="false" customHeight="false" outlineLevel="0" collapsed="false">
      <c r="A8207" s="1" t="s">
        <v>8242</v>
      </c>
      <c r="B8207" s="1" t="s">
        <v>71</v>
      </c>
      <c r="C8207" s="1" t="n">
        <v>521000</v>
      </c>
      <c r="D8207" s="1" t="n">
        <v>3695.4</v>
      </c>
      <c r="E8207" s="1" t="n">
        <v>0.0056</v>
      </c>
      <c r="F8207" s="1" t="n">
        <v>0.0654</v>
      </c>
    </row>
    <row r="8208" customFormat="false" ht="15" hidden="false" customHeight="false" outlineLevel="0" collapsed="false">
      <c r="A8208" s="1" t="s">
        <v>8243</v>
      </c>
      <c r="B8208" s="1" t="s">
        <v>53</v>
      </c>
      <c r="C8208" s="1" t="n">
        <v>362000</v>
      </c>
      <c r="D8208" s="1" t="n">
        <v>64115.7</v>
      </c>
      <c r="E8208" s="1" t="n">
        <v>0.0478</v>
      </c>
      <c r="F8208" s="1" t="n">
        <v>0.0938</v>
      </c>
    </row>
    <row r="8209" customFormat="false" ht="15" hidden="false" customHeight="false" outlineLevel="0" collapsed="false">
      <c r="A8209" s="1" t="s">
        <v>8244</v>
      </c>
      <c r="B8209" s="1" t="s">
        <v>26</v>
      </c>
      <c r="C8209" s="1" t="n">
        <v>321000</v>
      </c>
      <c r="D8209" s="1" t="n">
        <v>31144</v>
      </c>
      <c r="E8209" s="1" t="n">
        <v>0.012</v>
      </c>
      <c r="F8209" s="1" t="n">
        <v>0.0736</v>
      </c>
    </row>
    <row r="8210" customFormat="false" ht="15" hidden="false" customHeight="false" outlineLevel="0" collapsed="false">
      <c r="A8210" s="1" t="s">
        <v>8245</v>
      </c>
      <c r="B8210" s="1" t="s">
        <v>88</v>
      </c>
      <c r="C8210" s="1" t="n">
        <v>210000</v>
      </c>
      <c r="F8210" s="1" t="n">
        <v>0.0759</v>
      </c>
    </row>
    <row r="8211" customFormat="false" ht="15" hidden="false" customHeight="false" outlineLevel="0" collapsed="false">
      <c r="A8211" s="1" t="s">
        <v>8246</v>
      </c>
      <c r="B8211" s="1" t="s">
        <v>26</v>
      </c>
      <c r="C8211" s="1" t="n">
        <v>405000</v>
      </c>
      <c r="D8211" s="1" t="n">
        <v>171150.9</v>
      </c>
      <c r="E8211" s="1" t="n">
        <v>0.0703</v>
      </c>
      <c r="F8211" s="1" t="n">
        <v>0.0759</v>
      </c>
    </row>
    <row r="8212" customFormat="false" ht="15" hidden="false" customHeight="false" outlineLevel="0" collapsed="false">
      <c r="A8212" s="1" t="s">
        <v>8247</v>
      </c>
      <c r="B8212" s="1" t="s">
        <v>21</v>
      </c>
      <c r="C8212" s="1" t="n">
        <v>1320000</v>
      </c>
      <c r="D8212" s="1" t="n">
        <v>121452.6</v>
      </c>
      <c r="E8212" s="1" t="n">
        <v>0.0191</v>
      </c>
      <c r="F8212" s="1" t="n">
        <v>0.0462</v>
      </c>
    </row>
    <row r="8213" customFormat="false" ht="15" hidden="false" customHeight="false" outlineLevel="0" collapsed="false">
      <c r="A8213" s="1" t="s">
        <v>8248</v>
      </c>
      <c r="B8213" s="1" t="s">
        <v>74</v>
      </c>
      <c r="C8213" s="1" t="n">
        <v>255000</v>
      </c>
      <c r="D8213" s="1" t="n">
        <v>1801.2</v>
      </c>
      <c r="E8213" s="1" t="n">
        <v>0.0286</v>
      </c>
      <c r="F8213" s="1" t="n">
        <v>0.051</v>
      </c>
    </row>
    <row r="8214" customFormat="false" ht="15" hidden="false" customHeight="false" outlineLevel="0" collapsed="false">
      <c r="A8214" s="1" t="s">
        <v>8249</v>
      </c>
      <c r="B8214" s="1" t="s">
        <v>195</v>
      </c>
      <c r="C8214" s="1" t="n">
        <v>213000</v>
      </c>
      <c r="D8214" s="1" t="n">
        <v>135.9</v>
      </c>
      <c r="E8214" s="1" t="n">
        <v>0.0472</v>
      </c>
      <c r="F8214" s="1" t="n">
        <v>0.0518</v>
      </c>
    </row>
    <row r="8215" customFormat="false" ht="15" hidden="false" customHeight="false" outlineLevel="0" collapsed="false">
      <c r="A8215" s="1" t="s">
        <v>8250</v>
      </c>
      <c r="B8215" s="1" t="s">
        <v>88</v>
      </c>
      <c r="C8215" s="1" t="n">
        <v>214000</v>
      </c>
      <c r="D8215" s="1" t="n">
        <v>425.8</v>
      </c>
      <c r="E8215" s="1" t="n">
        <v>0.0206</v>
      </c>
      <c r="F8215" s="1" t="n">
        <v>0.0824</v>
      </c>
    </row>
    <row r="8216" customFormat="false" ht="15" hidden="false" customHeight="false" outlineLevel="0" collapsed="false">
      <c r="A8216" s="1" t="s">
        <v>8251</v>
      </c>
      <c r="B8216" s="1" t="s">
        <v>41</v>
      </c>
      <c r="C8216" s="1" t="n">
        <v>227000</v>
      </c>
      <c r="D8216" s="1" t="n">
        <v>1961.4</v>
      </c>
      <c r="E8216" s="1" t="n">
        <v>0.0282</v>
      </c>
      <c r="F8216" s="1" t="n">
        <v>0.1226</v>
      </c>
    </row>
    <row r="8217" customFormat="false" ht="15" hidden="false" customHeight="false" outlineLevel="0" collapsed="false">
      <c r="A8217" s="1" t="s">
        <v>8252</v>
      </c>
      <c r="B8217" s="1" t="s">
        <v>88</v>
      </c>
      <c r="C8217" s="1" t="n">
        <v>410000</v>
      </c>
      <c r="D8217" s="1" t="n">
        <v>11673.8</v>
      </c>
      <c r="E8217" s="1" t="n">
        <v>0.0635</v>
      </c>
      <c r="F8217" s="1" t="n">
        <v>0.0938</v>
      </c>
    </row>
    <row r="8218" customFormat="false" ht="15" hidden="false" customHeight="false" outlineLevel="0" collapsed="false">
      <c r="A8218" s="1" t="s">
        <v>8253</v>
      </c>
      <c r="B8218" s="1" t="s">
        <v>88</v>
      </c>
      <c r="C8218" s="1" t="n">
        <v>206000</v>
      </c>
      <c r="D8218" s="1" t="n">
        <v>486.1</v>
      </c>
      <c r="E8218" s="1" t="n">
        <v>0.0121</v>
      </c>
      <c r="F8218" s="1" t="n">
        <v>0.1309</v>
      </c>
    </row>
    <row r="8219" customFormat="false" ht="15" hidden="false" customHeight="false" outlineLevel="0" collapsed="false">
      <c r="A8219" s="1" t="s">
        <v>8254</v>
      </c>
      <c r="B8219" s="1" t="s">
        <v>74</v>
      </c>
      <c r="C8219" s="1" t="n">
        <v>232000</v>
      </c>
      <c r="D8219" s="1" t="n">
        <v>3968.5</v>
      </c>
      <c r="E8219" s="1" t="n">
        <v>0.0564</v>
      </c>
      <c r="F8219" s="1" t="n">
        <v>0.0759</v>
      </c>
    </row>
    <row r="8220" customFormat="false" ht="15" hidden="false" customHeight="false" outlineLevel="0" collapsed="false">
      <c r="A8220" s="1" t="s">
        <v>8255</v>
      </c>
      <c r="B8220" s="1" t="s">
        <v>50</v>
      </c>
      <c r="C8220" s="1" t="n">
        <v>202000</v>
      </c>
      <c r="D8220" s="1" t="n">
        <v>36659.6</v>
      </c>
      <c r="E8220" s="1" t="n">
        <v>0.0539</v>
      </c>
      <c r="F8220" s="1" t="n">
        <v>0.0951</v>
      </c>
    </row>
    <row r="8221" customFormat="false" ht="15" hidden="false" customHeight="false" outlineLevel="0" collapsed="false">
      <c r="A8221" s="1" t="s">
        <v>8256</v>
      </c>
      <c r="B8221" s="1" t="s">
        <v>24</v>
      </c>
      <c r="C8221" s="1" t="n">
        <v>211000</v>
      </c>
      <c r="D8221" s="1" t="n">
        <v>14627.4</v>
      </c>
      <c r="E8221" s="1" t="n">
        <v>0.0238</v>
      </c>
      <c r="F8221" s="1" t="n">
        <v>0.0951</v>
      </c>
    </row>
    <row r="8222" customFormat="false" ht="15" hidden="false" customHeight="false" outlineLevel="0" collapsed="false">
      <c r="A8222" s="1" t="s">
        <v>8257</v>
      </c>
      <c r="B8222" s="1" t="s">
        <v>214</v>
      </c>
      <c r="C8222" s="1" t="n">
        <v>287000</v>
      </c>
      <c r="D8222" s="1" t="n">
        <v>1671.3</v>
      </c>
      <c r="F8222" s="1" t="n">
        <v>0.0409</v>
      </c>
    </row>
    <row r="8223" customFormat="false" ht="15" hidden="false" customHeight="false" outlineLevel="0" collapsed="false">
      <c r="A8223" s="1" t="s">
        <v>8258</v>
      </c>
      <c r="B8223" s="1" t="s">
        <v>28</v>
      </c>
      <c r="C8223" s="1" t="n">
        <v>255000</v>
      </c>
      <c r="D8223" s="1" t="n">
        <v>1480.9</v>
      </c>
      <c r="E8223" s="1" t="n">
        <v>0.0125</v>
      </c>
      <c r="F8223" s="1" t="n">
        <v>0.0821</v>
      </c>
    </row>
    <row r="8224" customFormat="false" ht="15" hidden="false" customHeight="false" outlineLevel="0" collapsed="false">
      <c r="A8224" s="1" t="s">
        <v>8259</v>
      </c>
      <c r="B8224" s="1" t="s">
        <v>24</v>
      </c>
      <c r="C8224" s="1" t="n">
        <v>265000</v>
      </c>
      <c r="D8224" s="1" t="n">
        <v>17473.2</v>
      </c>
      <c r="F8224" s="1" t="n">
        <v>0.0518</v>
      </c>
    </row>
    <row r="8225" customFormat="false" ht="15" hidden="false" customHeight="false" outlineLevel="0" collapsed="false">
      <c r="A8225" s="1" t="s">
        <v>8260</v>
      </c>
      <c r="B8225" s="1" t="s">
        <v>88</v>
      </c>
      <c r="C8225" s="1" t="n">
        <v>530000</v>
      </c>
      <c r="D8225" s="1" t="n">
        <v>6649.9</v>
      </c>
      <c r="E8225" s="1" t="n">
        <v>0.0504</v>
      </c>
      <c r="F8225" s="1" t="n">
        <v>0.0938</v>
      </c>
    </row>
    <row r="8226" customFormat="false" ht="15" hidden="false" customHeight="false" outlineLevel="0" collapsed="false">
      <c r="A8226" s="1" t="s">
        <v>8261</v>
      </c>
      <c r="B8226" s="1" t="s">
        <v>71</v>
      </c>
      <c r="C8226" s="1" t="n">
        <v>210000</v>
      </c>
      <c r="D8226" s="1" t="n">
        <v>18375.9</v>
      </c>
      <c r="E8226" s="1" t="n">
        <v>0.0771</v>
      </c>
      <c r="F8226" s="1" t="n">
        <v>0.0951</v>
      </c>
    </row>
    <row r="8227" customFormat="false" ht="15" hidden="false" customHeight="false" outlineLevel="0" collapsed="false">
      <c r="A8227" s="1" t="s">
        <v>8262</v>
      </c>
      <c r="B8227" s="1" t="s">
        <v>26</v>
      </c>
      <c r="C8227" s="1" t="n">
        <v>224000</v>
      </c>
      <c r="D8227" s="1" t="n">
        <v>110400.9</v>
      </c>
      <c r="E8227" s="1" t="n">
        <v>0.0104</v>
      </c>
      <c r="F8227" s="1" t="n">
        <v>0.0736</v>
      </c>
    </row>
    <row r="8228" customFormat="false" ht="15" hidden="false" customHeight="false" outlineLevel="0" collapsed="false">
      <c r="A8228" s="1" t="s">
        <v>8263</v>
      </c>
      <c r="B8228" s="1" t="s">
        <v>26</v>
      </c>
      <c r="C8228" s="1" t="n">
        <v>206000</v>
      </c>
      <c r="D8228" s="1" t="n">
        <v>122566.4</v>
      </c>
      <c r="E8228" s="1" t="n">
        <v>0.0883</v>
      </c>
      <c r="F8228" s="1" t="n">
        <v>0.0518</v>
      </c>
    </row>
    <row r="8229" customFormat="false" ht="15" hidden="false" customHeight="false" outlineLevel="0" collapsed="false">
      <c r="A8229" s="1" t="s">
        <v>8264</v>
      </c>
      <c r="B8229" s="1" t="s">
        <v>26</v>
      </c>
      <c r="C8229" s="1" t="n">
        <v>396000</v>
      </c>
      <c r="D8229" s="1" t="n">
        <v>352040</v>
      </c>
      <c r="E8229" s="1" t="n">
        <v>0.0196</v>
      </c>
      <c r="F8229" s="1" t="n">
        <v>0.0616</v>
      </c>
    </row>
    <row r="8230" customFormat="false" ht="15" hidden="false" customHeight="false" outlineLevel="0" collapsed="false">
      <c r="A8230" s="1" t="s">
        <v>8265</v>
      </c>
      <c r="B8230" s="1" t="s">
        <v>26</v>
      </c>
      <c r="C8230" s="1" t="n">
        <v>229000</v>
      </c>
      <c r="D8230" s="1" t="n">
        <v>23794.6</v>
      </c>
      <c r="E8230" s="1" t="n">
        <v>0.0143</v>
      </c>
      <c r="F8230" s="1" t="n">
        <v>0.0585</v>
      </c>
    </row>
    <row r="8231" customFormat="false" ht="15" hidden="false" customHeight="false" outlineLevel="0" collapsed="false">
      <c r="A8231" s="1" t="s">
        <v>8266</v>
      </c>
      <c r="B8231" s="1" t="s">
        <v>74</v>
      </c>
      <c r="C8231" s="1" t="n">
        <v>237000</v>
      </c>
      <c r="D8231" s="1" t="n">
        <v>3448.8</v>
      </c>
      <c r="E8231" s="1" t="n">
        <v>0.0437</v>
      </c>
      <c r="F8231" s="1" t="n">
        <v>0.0759</v>
      </c>
    </row>
    <row r="8232" customFormat="false" ht="15" hidden="false" customHeight="false" outlineLevel="0" collapsed="false">
      <c r="A8232" s="1" t="s">
        <v>8267</v>
      </c>
      <c r="B8232" s="1" t="s">
        <v>41</v>
      </c>
      <c r="C8232" s="1" t="n">
        <v>265000</v>
      </c>
      <c r="D8232" s="1" t="n">
        <v>13837.5</v>
      </c>
      <c r="E8232" s="1" t="n">
        <v>0.0418</v>
      </c>
      <c r="F8232" s="1" t="n">
        <v>0.0759</v>
      </c>
    </row>
    <row r="8233" customFormat="false" ht="15" hidden="false" customHeight="false" outlineLevel="0" collapsed="false">
      <c r="A8233" s="1" t="s">
        <v>8268</v>
      </c>
      <c r="B8233" s="1" t="s">
        <v>88</v>
      </c>
      <c r="C8233" s="1" t="n">
        <v>278000</v>
      </c>
      <c r="D8233" s="1" t="n">
        <v>220.4</v>
      </c>
      <c r="F8233" s="1" t="n">
        <v>0.0938</v>
      </c>
    </row>
    <row r="8234" customFormat="false" ht="15" hidden="false" customHeight="false" outlineLevel="0" collapsed="false">
      <c r="A8234" s="1" t="s">
        <v>8269</v>
      </c>
      <c r="B8234" s="1" t="s">
        <v>88</v>
      </c>
      <c r="C8234" s="1" t="n">
        <v>680000</v>
      </c>
      <c r="D8234" s="1" t="n">
        <v>2242.3</v>
      </c>
      <c r="E8234" s="1" t="n">
        <v>0.0169</v>
      </c>
      <c r="F8234" s="1" t="n">
        <v>0.0854</v>
      </c>
    </row>
    <row r="8235" customFormat="false" ht="15" hidden="false" customHeight="false" outlineLevel="0" collapsed="false">
      <c r="A8235" s="1" t="s">
        <v>8270</v>
      </c>
      <c r="B8235" s="1" t="s">
        <v>88</v>
      </c>
      <c r="C8235" s="1" t="n">
        <v>310000</v>
      </c>
      <c r="D8235" s="1" t="n">
        <v>43505.9</v>
      </c>
      <c r="E8235" s="1" t="n">
        <v>0.0199</v>
      </c>
      <c r="F8235" s="1" t="n">
        <v>0.0585</v>
      </c>
    </row>
    <row r="8236" customFormat="false" ht="15" hidden="false" customHeight="false" outlineLevel="0" collapsed="false">
      <c r="A8236" s="1" t="s">
        <v>8271</v>
      </c>
      <c r="B8236" s="1" t="s">
        <v>214</v>
      </c>
      <c r="C8236" s="1" t="n">
        <v>262000</v>
      </c>
      <c r="D8236" s="1" t="n">
        <v>236.3</v>
      </c>
      <c r="E8236" s="1" t="n">
        <v>0.0141</v>
      </c>
      <c r="F8236" s="1" t="n">
        <v>0.0462</v>
      </c>
    </row>
    <row r="8237" customFormat="false" ht="15" hidden="false" customHeight="false" outlineLevel="0" collapsed="false">
      <c r="A8237" s="1" t="s">
        <v>8272</v>
      </c>
      <c r="B8237" s="1" t="s">
        <v>62</v>
      </c>
      <c r="C8237" s="1" t="n">
        <v>284000</v>
      </c>
      <c r="D8237" s="1" t="n">
        <v>5439.7</v>
      </c>
      <c r="E8237" s="1" t="n">
        <v>0.0401</v>
      </c>
      <c r="F8237" s="1" t="n">
        <v>0.0759</v>
      </c>
    </row>
    <row r="8238" customFormat="false" ht="15" hidden="false" customHeight="false" outlineLevel="0" collapsed="false">
      <c r="A8238" s="1" t="s">
        <v>8273</v>
      </c>
      <c r="B8238" s="1" t="s">
        <v>81</v>
      </c>
      <c r="C8238" s="1" t="n">
        <v>263000</v>
      </c>
      <c r="D8238" s="1" t="n">
        <v>15920.8</v>
      </c>
      <c r="E8238" s="1" t="n">
        <v>0.013</v>
      </c>
      <c r="F8238" s="1" t="n">
        <v>0.0462</v>
      </c>
    </row>
    <row r="8239" customFormat="false" ht="15" hidden="false" customHeight="false" outlineLevel="0" collapsed="false">
      <c r="A8239" s="1" t="s">
        <v>8274</v>
      </c>
      <c r="B8239" s="1" t="s">
        <v>26</v>
      </c>
      <c r="C8239" s="1" t="n">
        <v>244000</v>
      </c>
      <c r="D8239" s="1" t="n">
        <v>1407.7</v>
      </c>
      <c r="E8239" s="1" t="n">
        <v>0.0275</v>
      </c>
      <c r="F8239" s="1" t="n">
        <v>0.0432</v>
      </c>
    </row>
    <row r="8240" customFormat="false" ht="15" hidden="false" customHeight="false" outlineLevel="0" collapsed="false">
      <c r="A8240" s="1" t="s">
        <v>8275</v>
      </c>
      <c r="B8240" s="1" t="s">
        <v>53</v>
      </c>
      <c r="C8240" s="1" t="n">
        <v>217000</v>
      </c>
      <c r="D8240" s="1" t="n">
        <v>860.1</v>
      </c>
      <c r="E8240" s="1" t="n">
        <v>0.0201</v>
      </c>
      <c r="F8240" s="1" t="n">
        <v>0.0644</v>
      </c>
    </row>
    <row r="8241" customFormat="false" ht="15" hidden="false" customHeight="false" outlineLevel="0" collapsed="false">
      <c r="A8241" s="1" t="s">
        <v>8276</v>
      </c>
      <c r="B8241" s="1" t="s">
        <v>195</v>
      </c>
      <c r="C8241" s="1" t="n">
        <v>227000</v>
      </c>
      <c r="D8241" s="1" t="n">
        <v>7225.1</v>
      </c>
      <c r="E8241" s="1" t="n">
        <v>0.0124</v>
      </c>
      <c r="F8241" s="1" t="n">
        <v>0.0866</v>
      </c>
    </row>
    <row r="8242" customFormat="false" ht="15" hidden="false" customHeight="false" outlineLevel="0" collapsed="false">
      <c r="A8242" s="1" t="s">
        <v>8277</v>
      </c>
      <c r="B8242" s="1" t="s">
        <v>88</v>
      </c>
      <c r="C8242" s="1" t="n">
        <v>228000</v>
      </c>
      <c r="D8242" s="1" t="n">
        <v>1603.5</v>
      </c>
      <c r="E8242" s="1" t="n">
        <v>0.0186</v>
      </c>
      <c r="F8242" s="1" t="n">
        <v>0.1067</v>
      </c>
    </row>
    <row r="8243" customFormat="false" ht="15" hidden="false" customHeight="false" outlineLevel="0" collapsed="false">
      <c r="A8243" s="1" t="s">
        <v>8278</v>
      </c>
      <c r="B8243" s="1" t="s">
        <v>50</v>
      </c>
      <c r="C8243" s="1" t="n">
        <v>213000</v>
      </c>
      <c r="D8243" s="1" t="n">
        <v>5865</v>
      </c>
      <c r="E8243" s="1" t="n">
        <v>0.0046</v>
      </c>
      <c r="F8243" s="1" t="n">
        <v>0.0654</v>
      </c>
    </row>
    <row r="8244" customFormat="false" ht="15" hidden="false" customHeight="false" outlineLevel="0" collapsed="false">
      <c r="A8244" s="1" t="s">
        <v>8279</v>
      </c>
      <c r="B8244" s="1" t="s">
        <v>26</v>
      </c>
      <c r="C8244" s="1" t="n">
        <v>213000</v>
      </c>
      <c r="D8244" s="1" t="n">
        <v>58</v>
      </c>
      <c r="F8244" s="1" t="n">
        <v>0.0759</v>
      </c>
    </row>
    <row r="8245" customFormat="false" ht="15" hidden="false" customHeight="false" outlineLevel="0" collapsed="false">
      <c r="A8245" s="1" t="s">
        <v>8280</v>
      </c>
      <c r="B8245" s="1" t="s">
        <v>26</v>
      </c>
      <c r="C8245" s="1" t="n">
        <v>221000</v>
      </c>
      <c r="D8245" s="1" t="n">
        <v>444.4</v>
      </c>
      <c r="E8245" s="1" t="n">
        <v>0.0465</v>
      </c>
      <c r="F8245" s="1" t="n">
        <v>0.1241</v>
      </c>
    </row>
    <row r="8246" customFormat="false" ht="15" hidden="false" customHeight="false" outlineLevel="0" collapsed="false">
      <c r="A8246" s="1" t="s">
        <v>8281</v>
      </c>
      <c r="B8246" s="1" t="s">
        <v>26</v>
      </c>
      <c r="C8246" s="1" t="n">
        <v>320000</v>
      </c>
      <c r="D8246" s="1" t="n">
        <v>53791.7</v>
      </c>
      <c r="E8246" s="1" t="n">
        <v>0.0109</v>
      </c>
      <c r="F8246" s="1" t="n">
        <v>0.0822</v>
      </c>
    </row>
    <row r="8247" customFormat="false" ht="15" hidden="false" customHeight="false" outlineLevel="0" collapsed="false">
      <c r="A8247" s="1" t="s">
        <v>8282</v>
      </c>
      <c r="B8247" s="1" t="s">
        <v>26</v>
      </c>
      <c r="C8247" s="1" t="n">
        <v>346000</v>
      </c>
      <c r="D8247" s="1" t="n">
        <v>12107.8</v>
      </c>
      <c r="E8247" s="1" t="n">
        <v>0.0112</v>
      </c>
      <c r="F8247" s="1" t="n">
        <v>0.0736</v>
      </c>
    </row>
    <row r="8248" customFormat="false" ht="15" hidden="false" customHeight="false" outlineLevel="0" collapsed="false">
      <c r="A8248" s="1" t="s">
        <v>8283</v>
      </c>
      <c r="B8248" s="1" t="s">
        <v>24</v>
      </c>
      <c r="C8248" s="1" t="n">
        <v>289000</v>
      </c>
      <c r="D8248" s="1" t="n">
        <v>9874.8</v>
      </c>
      <c r="E8248" s="1" t="n">
        <v>0.0499</v>
      </c>
      <c r="F8248" s="1" t="n">
        <v>0.0951</v>
      </c>
    </row>
    <row r="8249" customFormat="false" ht="15" hidden="false" customHeight="false" outlineLevel="0" collapsed="false">
      <c r="A8249" s="1" t="s">
        <v>8284</v>
      </c>
      <c r="B8249" s="1" t="s">
        <v>88</v>
      </c>
      <c r="C8249" s="1" t="n">
        <v>608000</v>
      </c>
      <c r="D8249" s="1" t="n">
        <v>785.1</v>
      </c>
      <c r="E8249" s="1" t="n">
        <v>0.1094</v>
      </c>
      <c r="F8249" s="1" t="n">
        <v>0.0938</v>
      </c>
    </row>
    <row r="8250" customFormat="false" ht="15" hidden="false" customHeight="false" outlineLevel="0" collapsed="false">
      <c r="A8250" s="1" t="s">
        <v>8285</v>
      </c>
      <c r="B8250" s="1" t="s">
        <v>92</v>
      </c>
      <c r="C8250" s="1" t="n">
        <v>228000</v>
      </c>
      <c r="D8250" s="1" t="n">
        <v>5124.5</v>
      </c>
      <c r="E8250" s="1" t="n">
        <v>0.0142</v>
      </c>
      <c r="F8250" s="1" t="n">
        <v>0.0585</v>
      </c>
    </row>
    <row r="8251" customFormat="false" ht="15" hidden="false" customHeight="false" outlineLevel="0" collapsed="false">
      <c r="A8251" s="1" t="s">
        <v>8286</v>
      </c>
      <c r="B8251" s="1" t="s">
        <v>71</v>
      </c>
      <c r="C8251" s="1" t="n">
        <v>219000</v>
      </c>
      <c r="D8251" s="1" t="n">
        <v>167562.3</v>
      </c>
      <c r="E8251" s="1" t="n">
        <v>0.0641</v>
      </c>
      <c r="F8251" s="1" t="n">
        <v>0.0518</v>
      </c>
    </row>
    <row r="8252" customFormat="false" ht="15" hidden="false" customHeight="false" outlineLevel="0" collapsed="false">
      <c r="A8252" s="1" t="s">
        <v>8287</v>
      </c>
      <c r="B8252" s="1" t="s">
        <v>214</v>
      </c>
      <c r="C8252" s="1" t="n">
        <v>236000</v>
      </c>
      <c r="D8252" s="1" t="n">
        <v>13158.8</v>
      </c>
      <c r="E8252" s="1" t="n">
        <v>0.027</v>
      </c>
      <c r="F8252" s="1" t="n">
        <v>0.0522</v>
      </c>
    </row>
    <row r="8253" customFormat="false" ht="15" hidden="false" customHeight="false" outlineLevel="0" collapsed="false">
      <c r="A8253" s="1" t="s">
        <v>8288</v>
      </c>
      <c r="B8253" s="1" t="s">
        <v>74</v>
      </c>
      <c r="C8253" s="1" t="n">
        <v>242000</v>
      </c>
      <c r="D8253" s="1" t="n">
        <v>1331</v>
      </c>
      <c r="E8253" s="1" t="n">
        <v>0.0489</v>
      </c>
      <c r="F8253" s="1" t="n">
        <v>0.0759</v>
      </c>
    </row>
    <row r="8254" customFormat="false" ht="15" hidden="false" customHeight="false" outlineLevel="0" collapsed="false">
      <c r="A8254" s="1" t="s">
        <v>8289</v>
      </c>
      <c r="B8254" s="1" t="s">
        <v>81</v>
      </c>
      <c r="C8254" s="1" t="n">
        <v>227000</v>
      </c>
      <c r="D8254" s="1" t="n">
        <v>7039.1</v>
      </c>
      <c r="E8254" s="1" t="n">
        <v>0.0484</v>
      </c>
      <c r="F8254" s="1" t="n">
        <v>0.0759</v>
      </c>
    </row>
    <row r="8255" customFormat="false" ht="15" hidden="false" customHeight="false" outlineLevel="0" collapsed="false">
      <c r="A8255" s="1" t="s">
        <v>8290</v>
      </c>
      <c r="B8255" s="1" t="s">
        <v>26</v>
      </c>
      <c r="C8255" s="1" t="n">
        <v>290000</v>
      </c>
      <c r="D8255" s="1" t="n">
        <v>22819.6</v>
      </c>
      <c r="E8255" s="1" t="n">
        <v>0.0665</v>
      </c>
      <c r="F8255" s="1" t="n">
        <v>0.0759</v>
      </c>
    </row>
    <row r="8256" customFormat="false" ht="15" hidden="false" customHeight="false" outlineLevel="0" collapsed="false">
      <c r="A8256" s="1" t="s">
        <v>8291</v>
      </c>
      <c r="B8256" s="1" t="s">
        <v>88</v>
      </c>
      <c r="C8256" s="1" t="n">
        <v>215000</v>
      </c>
      <c r="D8256" s="1" t="n">
        <v>2577.4</v>
      </c>
      <c r="E8256" s="1" t="n">
        <v>0.0233</v>
      </c>
      <c r="F8256" s="1" t="n">
        <v>0.0951</v>
      </c>
    </row>
    <row r="8257" customFormat="false" ht="15" hidden="false" customHeight="false" outlineLevel="0" collapsed="false">
      <c r="A8257" s="1" t="s">
        <v>8292</v>
      </c>
      <c r="B8257" s="1" t="s">
        <v>26</v>
      </c>
      <c r="C8257" s="1" t="n">
        <v>317000</v>
      </c>
      <c r="D8257" s="1" t="n">
        <v>170857.4</v>
      </c>
      <c r="E8257" s="1" t="n">
        <v>0.0569</v>
      </c>
      <c r="F8257" s="1" t="n">
        <v>0.0951</v>
      </c>
    </row>
    <row r="8258" customFormat="false" ht="15" hidden="false" customHeight="false" outlineLevel="0" collapsed="false">
      <c r="A8258" s="1" t="s">
        <v>8293</v>
      </c>
      <c r="B8258" s="1" t="s">
        <v>41</v>
      </c>
      <c r="C8258" s="1" t="n">
        <v>206000</v>
      </c>
      <c r="D8258" s="1" t="n">
        <v>1710.6</v>
      </c>
      <c r="E8258" s="1" t="n">
        <v>0.0264</v>
      </c>
      <c r="F8258" s="1" t="n">
        <v>0.0951</v>
      </c>
    </row>
    <row r="8259" customFormat="false" ht="15" hidden="false" customHeight="false" outlineLevel="0" collapsed="false">
      <c r="A8259" s="1" t="s">
        <v>8294</v>
      </c>
      <c r="B8259" s="1" t="s">
        <v>41</v>
      </c>
      <c r="C8259" s="1" t="n">
        <v>302000</v>
      </c>
      <c r="D8259" s="1" t="n">
        <v>2334.3</v>
      </c>
      <c r="E8259" s="1" t="n">
        <v>0.0501</v>
      </c>
      <c r="F8259" s="1" t="n">
        <v>0.0938</v>
      </c>
    </row>
    <row r="8260" customFormat="false" ht="15" hidden="false" customHeight="false" outlineLevel="0" collapsed="false">
      <c r="A8260" s="1" t="s">
        <v>8295</v>
      </c>
      <c r="B8260" s="1" t="s">
        <v>92</v>
      </c>
      <c r="C8260" s="1" t="n">
        <v>215000</v>
      </c>
      <c r="D8260" s="1" t="n">
        <v>17463.7</v>
      </c>
      <c r="E8260" s="1" t="n">
        <v>0.0317</v>
      </c>
      <c r="F8260" s="1" t="n">
        <v>0.0951</v>
      </c>
    </row>
    <row r="8261" customFormat="false" ht="15" hidden="false" customHeight="false" outlineLevel="0" collapsed="false">
      <c r="A8261" s="1" t="s">
        <v>8296</v>
      </c>
      <c r="B8261" s="1" t="s">
        <v>26</v>
      </c>
      <c r="C8261" s="1" t="n">
        <v>406000</v>
      </c>
      <c r="D8261" s="1" t="n">
        <v>49495.1</v>
      </c>
      <c r="E8261" s="1" t="n">
        <v>0.0495</v>
      </c>
      <c r="F8261" s="1" t="n">
        <v>0.0518</v>
      </c>
    </row>
    <row r="8262" customFormat="false" ht="15" hidden="false" customHeight="false" outlineLevel="0" collapsed="false">
      <c r="A8262" s="1" t="s">
        <v>8297</v>
      </c>
      <c r="B8262" s="1" t="s">
        <v>26</v>
      </c>
      <c r="C8262" s="1" t="n">
        <v>209000</v>
      </c>
      <c r="D8262" s="1" t="n">
        <v>232.3</v>
      </c>
      <c r="E8262" s="1" t="n">
        <v>0.0389</v>
      </c>
      <c r="F8262" s="1" t="n">
        <v>0.0759</v>
      </c>
    </row>
    <row r="8263" customFormat="false" ht="15" hidden="false" customHeight="false" outlineLevel="0" collapsed="false">
      <c r="A8263" s="1" t="s">
        <v>8298</v>
      </c>
      <c r="B8263" s="1" t="s">
        <v>74</v>
      </c>
      <c r="C8263" s="1" t="n">
        <v>214000</v>
      </c>
      <c r="D8263" s="1" t="n">
        <v>4584</v>
      </c>
      <c r="E8263" s="1" t="n">
        <v>0.0099</v>
      </c>
      <c r="F8263" s="1" t="n">
        <v>0.1471</v>
      </c>
    </row>
    <row r="8264" customFormat="false" ht="15" hidden="false" customHeight="false" outlineLevel="0" collapsed="false">
      <c r="A8264" s="1" t="s">
        <v>8299</v>
      </c>
      <c r="B8264" s="1" t="s">
        <v>26</v>
      </c>
      <c r="C8264" s="1" t="n">
        <v>258000</v>
      </c>
      <c r="D8264" s="1" t="n">
        <v>123128.2</v>
      </c>
      <c r="E8264" s="1" t="n">
        <v>0.0553</v>
      </c>
      <c r="F8264" s="1" t="n">
        <v>0.0951</v>
      </c>
    </row>
    <row r="8265" customFormat="false" ht="15" hidden="false" customHeight="false" outlineLevel="0" collapsed="false">
      <c r="A8265" s="1" t="s">
        <v>8300</v>
      </c>
      <c r="B8265" s="1" t="s">
        <v>32</v>
      </c>
      <c r="C8265" s="1" t="n">
        <v>338000</v>
      </c>
      <c r="D8265" s="1" t="n">
        <v>2642.3</v>
      </c>
      <c r="E8265" s="1" t="n">
        <v>0.0202</v>
      </c>
      <c r="F8265" s="1" t="n">
        <v>0.0585</v>
      </c>
    </row>
    <row r="8266" customFormat="false" ht="15" hidden="false" customHeight="false" outlineLevel="0" collapsed="false">
      <c r="A8266" s="1" t="s">
        <v>8301</v>
      </c>
      <c r="B8266" s="1" t="s">
        <v>81</v>
      </c>
      <c r="C8266" s="1" t="n">
        <v>224000</v>
      </c>
      <c r="D8266" s="1" t="n">
        <v>24839.6</v>
      </c>
      <c r="E8266" s="1" t="n">
        <v>0.0181</v>
      </c>
      <c r="F8266" s="1" t="n">
        <v>0.0462</v>
      </c>
    </row>
    <row r="8267" customFormat="false" ht="15" hidden="false" customHeight="false" outlineLevel="0" collapsed="false">
      <c r="A8267" s="1" t="s">
        <v>8302</v>
      </c>
      <c r="B8267" s="1" t="s">
        <v>81</v>
      </c>
      <c r="C8267" s="1" t="n">
        <v>327000</v>
      </c>
      <c r="D8267" s="1" t="n">
        <v>36441.7</v>
      </c>
      <c r="E8267" s="1" t="n">
        <v>0.0354</v>
      </c>
      <c r="F8267" s="1" t="n">
        <v>0.0672</v>
      </c>
    </row>
    <row r="8268" customFormat="false" ht="15" hidden="false" customHeight="false" outlineLevel="0" collapsed="false">
      <c r="A8268" s="1" t="s">
        <v>8303</v>
      </c>
      <c r="B8268" s="1" t="s">
        <v>53</v>
      </c>
      <c r="C8268" s="1" t="n">
        <v>518000</v>
      </c>
      <c r="D8268" s="1" t="n">
        <v>8147.4</v>
      </c>
      <c r="E8268" s="1" t="n">
        <v>0.0153</v>
      </c>
      <c r="F8268" s="1" t="n">
        <v>0.0854</v>
      </c>
    </row>
    <row r="8269" customFormat="false" ht="15" hidden="false" customHeight="false" outlineLevel="0" collapsed="false">
      <c r="A8269" s="1" t="s">
        <v>8304</v>
      </c>
      <c r="B8269" s="1" t="s">
        <v>92</v>
      </c>
      <c r="C8269" s="1" t="n">
        <v>247000</v>
      </c>
      <c r="D8269" s="1" t="n">
        <v>11109.7</v>
      </c>
      <c r="E8269" s="1" t="n">
        <v>0.0139</v>
      </c>
      <c r="F8269" s="1" t="n">
        <v>0.0462</v>
      </c>
    </row>
    <row r="8270" customFormat="false" ht="15" hidden="false" customHeight="false" outlineLevel="0" collapsed="false">
      <c r="A8270" s="1" t="s">
        <v>8305</v>
      </c>
      <c r="B8270" s="1" t="s">
        <v>88</v>
      </c>
      <c r="C8270" s="1" t="n">
        <v>267000</v>
      </c>
      <c r="D8270" s="1" t="n">
        <v>2179.5</v>
      </c>
      <c r="E8270" s="1" t="n">
        <v>0.0208</v>
      </c>
      <c r="F8270" s="1" t="n">
        <v>0.0951</v>
      </c>
    </row>
    <row r="8271" customFormat="false" ht="15" hidden="false" customHeight="false" outlineLevel="0" collapsed="false">
      <c r="A8271" s="1" t="s">
        <v>8306</v>
      </c>
      <c r="B8271" s="1" t="s">
        <v>35</v>
      </c>
      <c r="C8271" s="1" t="n">
        <v>210000</v>
      </c>
      <c r="D8271" s="1" t="n">
        <v>1660.8</v>
      </c>
      <c r="E8271" s="1" t="n">
        <v>0.0125</v>
      </c>
      <c r="F8271" s="1" t="n">
        <v>0.0462</v>
      </c>
    </row>
    <row r="8272" customFormat="false" ht="15" hidden="false" customHeight="false" outlineLevel="0" collapsed="false">
      <c r="A8272" s="1" t="s">
        <v>8307</v>
      </c>
      <c r="B8272" s="1" t="s">
        <v>62</v>
      </c>
      <c r="C8272" s="1" t="n">
        <v>257000</v>
      </c>
      <c r="D8272" s="1" t="n">
        <v>21518.5</v>
      </c>
      <c r="E8272" s="1" t="n">
        <v>0.041</v>
      </c>
      <c r="F8272" s="1" t="n">
        <v>0.0951</v>
      </c>
    </row>
    <row r="8273" customFormat="false" ht="15" hidden="false" customHeight="false" outlineLevel="0" collapsed="false">
      <c r="A8273" s="1" t="s">
        <v>8308</v>
      </c>
      <c r="B8273" s="1" t="s">
        <v>81</v>
      </c>
      <c r="C8273" s="1" t="n">
        <v>234000</v>
      </c>
      <c r="D8273" s="1" t="n">
        <v>27745206.7</v>
      </c>
      <c r="E8273" s="1" t="n">
        <v>0.0237</v>
      </c>
      <c r="F8273" s="1" t="n">
        <v>0.0998</v>
      </c>
    </row>
    <row r="8274" customFormat="false" ht="15" hidden="false" customHeight="false" outlineLevel="0" collapsed="false">
      <c r="A8274" s="1" t="s">
        <v>8309</v>
      </c>
      <c r="B8274" s="1" t="s">
        <v>26</v>
      </c>
      <c r="C8274" s="1" t="n">
        <v>262000</v>
      </c>
      <c r="D8274" s="1" t="n">
        <v>785</v>
      </c>
      <c r="E8274" s="1" t="n">
        <v>0.0279</v>
      </c>
      <c r="F8274" s="1" t="n">
        <v>0.0938</v>
      </c>
    </row>
    <row r="8275" customFormat="false" ht="15" hidden="false" customHeight="false" outlineLevel="0" collapsed="false">
      <c r="A8275" s="1" t="s">
        <v>8310</v>
      </c>
      <c r="B8275" s="1" t="s">
        <v>195</v>
      </c>
      <c r="C8275" s="1" t="n">
        <v>263000</v>
      </c>
      <c r="D8275" s="1" t="n">
        <v>405.3</v>
      </c>
      <c r="E8275" s="1" t="n">
        <v>0.0998</v>
      </c>
      <c r="F8275" s="1" t="n">
        <v>0.3913</v>
      </c>
    </row>
    <row r="8276" customFormat="false" ht="15" hidden="false" customHeight="false" outlineLevel="0" collapsed="false">
      <c r="A8276" s="1" t="s">
        <v>8311</v>
      </c>
      <c r="B8276" s="1" t="s">
        <v>74</v>
      </c>
      <c r="C8276" s="1" t="n">
        <v>252000</v>
      </c>
      <c r="D8276" s="1" t="n">
        <v>12510.8</v>
      </c>
      <c r="E8276" s="1" t="n">
        <v>0.0594</v>
      </c>
      <c r="F8276" s="1" t="n">
        <v>0.0759</v>
      </c>
    </row>
    <row r="8277" customFormat="false" ht="15" hidden="false" customHeight="false" outlineLevel="0" collapsed="false">
      <c r="A8277" s="1" t="s">
        <v>8312</v>
      </c>
      <c r="B8277" s="1" t="s">
        <v>81</v>
      </c>
      <c r="C8277" s="1" t="n">
        <v>221000</v>
      </c>
      <c r="D8277" s="1" t="n">
        <v>1838.8</v>
      </c>
      <c r="E8277" s="1" t="n">
        <v>0.0357</v>
      </c>
      <c r="F8277" s="1" t="n">
        <v>0.0951</v>
      </c>
    </row>
    <row r="8278" customFormat="false" ht="15" hidden="false" customHeight="false" outlineLevel="0" collapsed="false">
      <c r="A8278" s="1" t="s">
        <v>8313</v>
      </c>
      <c r="B8278" s="1" t="s">
        <v>74</v>
      </c>
      <c r="C8278" s="1" t="n">
        <v>247000</v>
      </c>
      <c r="D8278" s="1" t="n">
        <v>373096.5</v>
      </c>
      <c r="E8278" s="1" t="n">
        <v>0.014</v>
      </c>
      <c r="F8278" s="1" t="n">
        <v>0.1027</v>
      </c>
    </row>
    <row r="8279" customFormat="false" ht="15" hidden="false" customHeight="false" outlineLevel="0" collapsed="false">
      <c r="A8279" s="1" t="s">
        <v>8314</v>
      </c>
      <c r="B8279" s="1" t="s">
        <v>26</v>
      </c>
      <c r="C8279" s="1" t="n">
        <v>208000</v>
      </c>
      <c r="D8279" s="1" t="n">
        <v>65410.6</v>
      </c>
      <c r="E8279" s="1" t="n">
        <v>0.0344</v>
      </c>
      <c r="F8279" s="1" t="n">
        <v>0.0951</v>
      </c>
    </row>
    <row r="8280" customFormat="false" ht="15" hidden="false" customHeight="false" outlineLevel="0" collapsed="false">
      <c r="A8280" s="1" t="s">
        <v>8315</v>
      </c>
      <c r="B8280" s="1" t="s">
        <v>26</v>
      </c>
      <c r="C8280" s="1" t="n">
        <v>236000</v>
      </c>
      <c r="D8280" s="1" t="n">
        <v>29888.1</v>
      </c>
      <c r="E8280" s="1" t="n">
        <v>0.023</v>
      </c>
      <c r="F8280" s="1" t="n">
        <v>0.0518</v>
      </c>
    </row>
    <row r="8281" customFormat="false" ht="15" hidden="false" customHeight="false" outlineLevel="0" collapsed="false">
      <c r="A8281" s="1" t="s">
        <v>8316</v>
      </c>
      <c r="B8281" s="1" t="s">
        <v>35</v>
      </c>
      <c r="C8281" s="1" t="n">
        <v>323000</v>
      </c>
      <c r="D8281" s="1" t="n">
        <v>40779.7</v>
      </c>
      <c r="E8281" s="1" t="n">
        <v>0.0392</v>
      </c>
      <c r="F8281" s="1" t="n">
        <v>0.0672</v>
      </c>
    </row>
    <row r="8282" customFormat="false" ht="15" hidden="false" customHeight="false" outlineLevel="0" collapsed="false">
      <c r="A8282" s="1" t="s">
        <v>8317</v>
      </c>
      <c r="B8282" s="1" t="s">
        <v>214</v>
      </c>
      <c r="C8282" s="1" t="n">
        <v>247000</v>
      </c>
      <c r="D8282" s="1" t="n">
        <v>14333.8</v>
      </c>
      <c r="E8282" s="1" t="n">
        <v>0.0509</v>
      </c>
      <c r="F8282" s="1" t="n">
        <v>0.0951</v>
      </c>
    </row>
    <row r="8283" customFormat="false" ht="15" hidden="false" customHeight="false" outlineLevel="0" collapsed="false">
      <c r="A8283" s="1" t="s">
        <v>8318</v>
      </c>
      <c r="B8283" s="1" t="s">
        <v>214</v>
      </c>
      <c r="C8283" s="1" t="n">
        <v>232000</v>
      </c>
      <c r="D8283" s="1" t="n">
        <v>13973.9</v>
      </c>
      <c r="E8283" s="1" t="n">
        <v>0.0122</v>
      </c>
      <c r="F8283" s="1" t="n">
        <v>0.1471</v>
      </c>
    </row>
    <row r="8284" customFormat="false" ht="15" hidden="false" customHeight="false" outlineLevel="0" collapsed="false">
      <c r="A8284" s="1" t="s">
        <v>8319</v>
      </c>
      <c r="B8284" s="1" t="s">
        <v>24</v>
      </c>
      <c r="C8284" s="1" t="n">
        <v>315000</v>
      </c>
      <c r="D8284" s="1" t="n">
        <v>32515.7</v>
      </c>
      <c r="E8284" s="1" t="n">
        <v>0.0181</v>
      </c>
      <c r="F8284" s="1" t="n">
        <v>0.0854</v>
      </c>
    </row>
    <row r="8285" customFormat="false" ht="15" hidden="false" customHeight="false" outlineLevel="0" collapsed="false">
      <c r="A8285" s="1" t="s">
        <v>8320</v>
      </c>
      <c r="B8285" s="1" t="s">
        <v>53</v>
      </c>
      <c r="C8285" s="1" t="n">
        <v>282000</v>
      </c>
      <c r="D8285" s="1" t="n">
        <v>890.3</v>
      </c>
      <c r="E8285" s="1" t="n">
        <v>0.0244</v>
      </c>
      <c r="F8285" s="1" t="n">
        <v>0.0951</v>
      </c>
    </row>
    <row r="8286" customFormat="false" ht="15" hidden="false" customHeight="false" outlineLevel="0" collapsed="false">
      <c r="A8286" s="1" t="s">
        <v>8321</v>
      </c>
      <c r="B8286" s="1" t="s">
        <v>41</v>
      </c>
      <c r="C8286" s="1" t="n">
        <v>219000</v>
      </c>
      <c r="D8286" s="1" t="n">
        <v>1720.9</v>
      </c>
      <c r="E8286" s="1" t="n">
        <v>0.0523</v>
      </c>
      <c r="F8286" s="1" t="n">
        <v>0.0938</v>
      </c>
    </row>
    <row r="8287" customFormat="false" ht="15" hidden="false" customHeight="false" outlineLevel="0" collapsed="false">
      <c r="A8287" s="1" t="s">
        <v>8322</v>
      </c>
      <c r="B8287" s="1" t="s">
        <v>88</v>
      </c>
      <c r="C8287" s="1" t="n">
        <v>217000</v>
      </c>
      <c r="D8287" s="1" t="n">
        <v>160</v>
      </c>
      <c r="E8287" s="1" t="n">
        <v>0.0736</v>
      </c>
      <c r="F8287" s="1" t="n">
        <v>0.0938</v>
      </c>
    </row>
    <row r="8288" customFormat="false" ht="15" hidden="false" customHeight="false" outlineLevel="0" collapsed="false">
      <c r="A8288" s="1" t="s">
        <v>8323</v>
      </c>
      <c r="B8288" s="1" t="s">
        <v>92</v>
      </c>
      <c r="C8288" s="1" t="n">
        <v>210000</v>
      </c>
      <c r="D8288" s="1" t="n">
        <v>1995.4</v>
      </c>
      <c r="E8288" s="1" t="n">
        <v>0.0176</v>
      </c>
      <c r="F8288" s="1" t="n">
        <v>0.0518</v>
      </c>
    </row>
    <row r="8289" customFormat="false" ht="15" hidden="false" customHeight="false" outlineLevel="0" collapsed="false">
      <c r="A8289" s="1" t="s">
        <v>8324</v>
      </c>
      <c r="B8289" s="1" t="s">
        <v>74</v>
      </c>
      <c r="C8289" s="1" t="n">
        <v>249000</v>
      </c>
      <c r="D8289" s="1" t="n">
        <v>6104</v>
      </c>
      <c r="E8289" s="1" t="n">
        <v>0.0158</v>
      </c>
      <c r="F8289" s="1" t="n">
        <v>0.1067</v>
      </c>
    </row>
    <row r="8290" customFormat="false" ht="15" hidden="false" customHeight="false" outlineLevel="0" collapsed="false">
      <c r="A8290" s="1" t="s">
        <v>8325</v>
      </c>
      <c r="B8290" s="1" t="s">
        <v>21</v>
      </c>
      <c r="C8290" s="1" t="n">
        <v>278000</v>
      </c>
      <c r="D8290" s="1" t="n">
        <v>86676.3</v>
      </c>
      <c r="E8290" s="1" t="n">
        <v>0.0765</v>
      </c>
      <c r="F8290" s="1" t="n">
        <v>0.0951</v>
      </c>
    </row>
    <row r="8291" customFormat="false" ht="15" hidden="false" customHeight="false" outlineLevel="0" collapsed="false">
      <c r="A8291" s="1" t="s">
        <v>8326</v>
      </c>
      <c r="B8291" s="1" t="s">
        <v>74</v>
      </c>
      <c r="C8291" s="1" t="n">
        <v>226000</v>
      </c>
      <c r="D8291" s="1" t="n">
        <v>2328.8</v>
      </c>
      <c r="E8291" s="1" t="n">
        <v>0.0877</v>
      </c>
      <c r="F8291" s="1" t="n">
        <v>0.0951</v>
      </c>
    </row>
    <row r="8292" customFormat="false" ht="15" hidden="false" customHeight="false" outlineLevel="0" collapsed="false">
      <c r="A8292" s="1" t="s">
        <v>8327</v>
      </c>
      <c r="B8292" s="1" t="s">
        <v>26</v>
      </c>
      <c r="C8292" s="1" t="n">
        <v>2260000</v>
      </c>
      <c r="D8292" s="1" t="n">
        <v>16680.2</v>
      </c>
      <c r="E8292" s="1" t="n">
        <v>0.0461</v>
      </c>
      <c r="F8292" s="1" t="n">
        <v>0.0432</v>
      </c>
    </row>
    <row r="8293" customFormat="false" ht="15" hidden="false" customHeight="false" outlineLevel="0" collapsed="false">
      <c r="A8293" s="1" t="s">
        <v>8328</v>
      </c>
      <c r="B8293" s="1" t="s">
        <v>88</v>
      </c>
      <c r="C8293" s="1" t="n">
        <v>248000</v>
      </c>
      <c r="D8293" s="1" t="n">
        <v>656.2</v>
      </c>
      <c r="E8293" s="1" t="n">
        <v>0.0068</v>
      </c>
      <c r="F8293" s="1" t="n">
        <v>0.0654</v>
      </c>
    </row>
    <row r="8294" customFormat="false" ht="15" hidden="false" customHeight="false" outlineLevel="0" collapsed="false">
      <c r="A8294" s="1" t="s">
        <v>8329</v>
      </c>
      <c r="B8294" s="1" t="s">
        <v>26</v>
      </c>
      <c r="C8294" s="1" t="n">
        <v>222000</v>
      </c>
      <c r="D8294" s="1" t="n">
        <v>97.6</v>
      </c>
      <c r="E8294" s="1" t="n">
        <v>0.0416</v>
      </c>
      <c r="F8294" s="1" t="n">
        <v>0.0938</v>
      </c>
    </row>
    <row r="8295" customFormat="false" ht="15" hidden="false" customHeight="false" outlineLevel="0" collapsed="false">
      <c r="A8295" s="1" t="s">
        <v>8330</v>
      </c>
      <c r="B8295" s="1" t="s">
        <v>92</v>
      </c>
      <c r="C8295" s="1" t="n">
        <v>209000</v>
      </c>
      <c r="D8295" s="1" t="n">
        <v>72.4</v>
      </c>
      <c r="E8295" s="1" t="n">
        <v>0.0273</v>
      </c>
      <c r="F8295" s="1" t="n">
        <v>0.0518</v>
      </c>
    </row>
    <row r="8296" customFormat="false" ht="15" hidden="false" customHeight="false" outlineLevel="0" collapsed="false">
      <c r="A8296" s="1" t="s">
        <v>8331</v>
      </c>
      <c r="B8296" s="1" t="s">
        <v>21</v>
      </c>
      <c r="C8296" s="1" t="n">
        <v>209000</v>
      </c>
      <c r="D8296" s="1" t="n">
        <v>1139.9</v>
      </c>
      <c r="E8296" s="1" t="n">
        <v>0.042</v>
      </c>
      <c r="F8296" s="1" t="n">
        <v>0.1243</v>
      </c>
    </row>
    <row r="8297" customFormat="false" ht="15" hidden="false" customHeight="false" outlineLevel="0" collapsed="false">
      <c r="A8297" s="1" t="s">
        <v>8332</v>
      </c>
      <c r="B8297" s="1" t="s">
        <v>24</v>
      </c>
      <c r="C8297" s="1" t="n">
        <v>441000</v>
      </c>
      <c r="D8297" s="1" t="n">
        <v>6891.6</v>
      </c>
      <c r="E8297" s="1" t="n">
        <v>0.0325</v>
      </c>
      <c r="F8297" s="1" t="n">
        <v>0.0409</v>
      </c>
    </row>
    <row r="8298" customFormat="false" ht="15" hidden="false" customHeight="false" outlineLevel="0" collapsed="false">
      <c r="A8298" s="1" t="s">
        <v>8333</v>
      </c>
      <c r="B8298" s="1" t="s">
        <v>26</v>
      </c>
      <c r="C8298" s="1" t="n">
        <v>304000</v>
      </c>
      <c r="D8298" s="1" t="n">
        <v>292210.9</v>
      </c>
      <c r="E8298" s="1" t="n">
        <v>0.0246</v>
      </c>
      <c r="F8298" s="1" t="n">
        <v>0.0409</v>
      </c>
    </row>
    <row r="8299" customFormat="false" ht="15" hidden="false" customHeight="false" outlineLevel="0" collapsed="false">
      <c r="A8299" s="1" t="s">
        <v>8334</v>
      </c>
      <c r="B8299" s="1" t="s">
        <v>214</v>
      </c>
      <c r="C8299" s="1" t="n">
        <v>213000</v>
      </c>
      <c r="D8299" s="1" t="n">
        <v>1838.4</v>
      </c>
      <c r="E8299" s="1" t="n">
        <v>0.029</v>
      </c>
      <c r="F8299" s="1" t="n">
        <v>0.0951</v>
      </c>
    </row>
    <row r="8300" customFormat="false" ht="15" hidden="false" customHeight="false" outlineLevel="0" collapsed="false">
      <c r="A8300" s="1" t="s">
        <v>8335</v>
      </c>
      <c r="B8300" s="1" t="s">
        <v>41</v>
      </c>
      <c r="C8300" s="1" t="n">
        <v>256000</v>
      </c>
      <c r="D8300" s="1" t="n">
        <v>5951.5</v>
      </c>
      <c r="E8300" s="1" t="n">
        <v>0.0321</v>
      </c>
      <c r="F8300" s="1" t="n">
        <v>0.0759</v>
      </c>
    </row>
    <row r="8301" customFormat="false" ht="15" hidden="false" customHeight="false" outlineLevel="0" collapsed="false">
      <c r="A8301" s="1" t="s">
        <v>8336</v>
      </c>
      <c r="B8301" s="1" t="s">
        <v>92</v>
      </c>
      <c r="C8301" s="1" t="n">
        <v>217000</v>
      </c>
      <c r="D8301" s="1" t="n">
        <v>1939.6</v>
      </c>
      <c r="E8301" s="1" t="n">
        <v>0.0088</v>
      </c>
      <c r="F8301" s="1" t="n">
        <v>0.1298</v>
      </c>
    </row>
    <row r="8302" customFormat="false" ht="15" hidden="false" customHeight="false" outlineLevel="0" collapsed="false">
      <c r="A8302" s="1" t="s">
        <v>8337</v>
      </c>
      <c r="B8302" s="1" t="s">
        <v>214</v>
      </c>
      <c r="C8302" s="1" t="n">
        <v>220000</v>
      </c>
      <c r="D8302" s="1" t="n">
        <v>1228.8</v>
      </c>
      <c r="E8302" s="1" t="n">
        <v>0.0234</v>
      </c>
      <c r="F8302" s="1" t="n">
        <v>0.0854</v>
      </c>
    </row>
    <row r="8303" customFormat="false" ht="15" hidden="false" customHeight="false" outlineLevel="0" collapsed="false">
      <c r="A8303" s="1" t="s">
        <v>8338</v>
      </c>
      <c r="B8303" s="1" t="s">
        <v>24</v>
      </c>
      <c r="C8303" s="1" t="n">
        <v>233000</v>
      </c>
      <c r="D8303" s="1" t="n">
        <v>3136.1</v>
      </c>
      <c r="E8303" s="1" t="n">
        <v>0.0155</v>
      </c>
      <c r="F8303" s="1" t="n">
        <v>0.1067</v>
      </c>
    </row>
    <row r="8304" customFormat="false" ht="15" hidden="false" customHeight="false" outlineLevel="0" collapsed="false">
      <c r="A8304" s="1" t="s">
        <v>8339</v>
      </c>
      <c r="B8304" s="1" t="s">
        <v>88</v>
      </c>
      <c r="C8304" s="1" t="n">
        <v>223000</v>
      </c>
      <c r="D8304" s="1" t="n">
        <v>10521.3</v>
      </c>
      <c r="E8304" s="1" t="n">
        <v>0.0359</v>
      </c>
      <c r="F8304" s="1" t="n">
        <v>0.0938</v>
      </c>
    </row>
    <row r="8305" customFormat="false" ht="15" hidden="false" customHeight="false" outlineLevel="0" collapsed="false">
      <c r="A8305" s="1" t="s">
        <v>8340</v>
      </c>
      <c r="B8305" s="1" t="s">
        <v>92</v>
      </c>
      <c r="C8305" s="1" t="n">
        <v>210000</v>
      </c>
      <c r="D8305" s="1" t="n">
        <v>1849.9</v>
      </c>
      <c r="E8305" s="1" t="n">
        <v>0.0464</v>
      </c>
      <c r="F8305" s="1" t="n">
        <v>0.1109</v>
      </c>
    </row>
    <row r="8306" customFormat="false" ht="15" hidden="false" customHeight="false" outlineLevel="0" collapsed="false">
      <c r="A8306" s="1" t="s">
        <v>8341</v>
      </c>
      <c r="B8306" s="1" t="s">
        <v>24</v>
      </c>
      <c r="C8306" s="1" t="n">
        <v>288000</v>
      </c>
      <c r="D8306" s="1" t="n">
        <v>1593.5</v>
      </c>
      <c r="E8306" s="1" t="n">
        <v>0.0089</v>
      </c>
      <c r="F8306" s="1" t="n">
        <v>0.0822</v>
      </c>
    </row>
    <row r="8307" customFormat="false" ht="15" hidden="false" customHeight="false" outlineLevel="0" collapsed="false">
      <c r="A8307" s="1" t="s">
        <v>8342</v>
      </c>
      <c r="B8307" s="1" t="s">
        <v>26</v>
      </c>
      <c r="C8307" s="1" t="n">
        <v>311000</v>
      </c>
      <c r="D8307" s="1" t="n">
        <v>46382.4</v>
      </c>
      <c r="E8307" s="1" t="n">
        <v>0.0222</v>
      </c>
      <c r="F8307" s="1" t="n">
        <v>0.0759</v>
      </c>
    </row>
    <row r="8308" customFormat="false" ht="15" hidden="false" customHeight="false" outlineLevel="0" collapsed="false">
      <c r="A8308" s="1" t="s">
        <v>8343</v>
      </c>
      <c r="B8308" s="1" t="s">
        <v>214</v>
      </c>
      <c r="C8308" s="1" t="n">
        <v>243000</v>
      </c>
      <c r="D8308" s="1" t="n">
        <v>1792.8</v>
      </c>
      <c r="E8308" s="1" t="n">
        <v>0.039</v>
      </c>
      <c r="F8308" s="1" t="n">
        <v>0.0951</v>
      </c>
    </row>
    <row r="8309" customFormat="false" ht="15" hidden="false" customHeight="false" outlineLevel="0" collapsed="false">
      <c r="A8309" s="1" t="s">
        <v>8344</v>
      </c>
      <c r="B8309" s="1" t="s">
        <v>74</v>
      </c>
      <c r="C8309" s="1" t="n">
        <v>383000</v>
      </c>
      <c r="D8309" s="1" t="n">
        <v>3703.2</v>
      </c>
      <c r="E8309" s="1" t="n">
        <v>0.0259</v>
      </c>
      <c r="F8309" s="1" t="n">
        <v>0.0759</v>
      </c>
    </row>
    <row r="8310" customFormat="false" ht="15" hidden="false" customHeight="false" outlineLevel="0" collapsed="false">
      <c r="A8310" s="1" t="s">
        <v>8345</v>
      </c>
      <c r="B8310" s="1" t="s">
        <v>81</v>
      </c>
      <c r="C8310" s="1" t="n">
        <v>251000</v>
      </c>
      <c r="D8310" s="1" t="n">
        <v>14842.6</v>
      </c>
      <c r="E8310" s="1" t="n">
        <v>0.0543</v>
      </c>
      <c r="F8310" s="1" t="n">
        <v>0.0759</v>
      </c>
    </row>
    <row r="8311" customFormat="false" ht="15" hidden="false" customHeight="false" outlineLevel="0" collapsed="false">
      <c r="A8311" s="1" t="s">
        <v>8346</v>
      </c>
      <c r="B8311" s="1" t="s">
        <v>92</v>
      </c>
      <c r="C8311" s="1" t="n">
        <v>228000</v>
      </c>
      <c r="D8311" s="1" t="n">
        <v>6399.9</v>
      </c>
      <c r="E8311" s="1" t="n">
        <v>0.022</v>
      </c>
      <c r="F8311" s="1" t="n">
        <v>0.0951</v>
      </c>
    </row>
    <row r="8312" customFormat="false" ht="15" hidden="false" customHeight="false" outlineLevel="0" collapsed="false">
      <c r="A8312" s="1" t="s">
        <v>8347</v>
      </c>
      <c r="B8312" s="1" t="s">
        <v>62</v>
      </c>
      <c r="C8312" s="1" t="n">
        <v>458000</v>
      </c>
      <c r="D8312" s="1" t="n">
        <v>906.2</v>
      </c>
      <c r="E8312" s="1" t="n">
        <v>0.0159</v>
      </c>
      <c r="F8312" s="1" t="n">
        <v>0.0462</v>
      </c>
    </row>
    <row r="8313" customFormat="false" ht="15" hidden="false" customHeight="false" outlineLevel="0" collapsed="false">
      <c r="A8313" s="1" t="s">
        <v>8348</v>
      </c>
      <c r="B8313" s="1" t="s">
        <v>92</v>
      </c>
      <c r="C8313" s="1" t="n">
        <v>208000</v>
      </c>
      <c r="D8313" s="1" t="n">
        <v>4484.3</v>
      </c>
      <c r="E8313" s="1" t="n">
        <v>0.01</v>
      </c>
      <c r="F8313" s="1" t="n">
        <v>0.0654</v>
      </c>
    </row>
    <row r="8314" customFormat="false" ht="15" hidden="false" customHeight="false" outlineLevel="0" collapsed="false">
      <c r="A8314" s="1" t="s">
        <v>8349</v>
      </c>
      <c r="B8314" s="1" t="s">
        <v>26</v>
      </c>
      <c r="C8314" s="1" t="n">
        <v>274000</v>
      </c>
      <c r="D8314" s="1" t="n">
        <v>3428.9</v>
      </c>
      <c r="E8314" s="1" t="n">
        <v>0.0174</v>
      </c>
      <c r="F8314" s="1" t="n">
        <v>0.0462</v>
      </c>
    </row>
    <row r="8315" customFormat="false" ht="15" hidden="false" customHeight="false" outlineLevel="0" collapsed="false">
      <c r="A8315" s="1" t="s">
        <v>8350</v>
      </c>
      <c r="B8315" s="1" t="s">
        <v>287</v>
      </c>
      <c r="C8315" s="1" t="n">
        <v>229000</v>
      </c>
      <c r="D8315" s="1" t="n">
        <v>4770.4</v>
      </c>
      <c r="E8315" s="1" t="n">
        <v>0.0189</v>
      </c>
      <c r="F8315" s="1" t="n">
        <v>0.0854</v>
      </c>
    </row>
    <row r="8316" customFormat="false" ht="15" hidden="false" customHeight="false" outlineLevel="0" collapsed="false">
      <c r="A8316" s="1" t="s">
        <v>8351</v>
      </c>
      <c r="B8316" s="1" t="s">
        <v>26</v>
      </c>
      <c r="C8316" s="1" t="n">
        <v>1510000</v>
      </c>
      <c r="D8316" s="1" t="n">
        <v>4445.4</v>
      </c>
      <c r="E8316" s="1" t="n">
        <v>0.0582</v>
      </c>
      <c r="F8316" s="1" t="n">
        <v>0.0938</v>
      </c>
    </row>
    <row r="8317" customFormat="false" ht="15" hidden="false" customHeight="false" outlineLevel="0" collapsed="false">
      <c r="A8317" s="1" t="s">
        <v>8352</v>
      </c>
      <c r="B8317" s="1" t="s">
        <v>92</v>
      </c>
      <c r="C8317" s="1" t="n">
        <v>225000</v>
      </c>
      <c r="D8317" s="1" t="n">
        <v>2580.5</v>
      </c>
      <c r="E8317" s="1" t="n">
        <v>0.0178</v>
      </c>
      <c r="F8317" s="1" t="n">
        <v>0.1067</v>
      </c>
    </row>
    <row r="8318" customFormat="false" ht="15" hidden="false" customHeight="false" outlineLevel="0" collapsed="false">
      <c r="A8318" s="1" t="s">
        <v>8353</v>
      </c>
      <c r="B8318" s="1" t="s">
        <v>26</v>
      </c>
      <c r="C8318" s="1" t="n">
        <v>401000</v>
      </c>
      <c r="D8318" s="1" t="n">
        <v>569717.8</v>
      </c>
      <c r="E8318" s="1" t="n">
        <v>0.0329</v>
      </c>
      <c r="F8318" s="1" t="n">
        <v>0.0409</v>
      </c>
    </row>
    <row r="8319" customFormat="false" ht="15" hidden="false" customHeight="false" outlineLevel="0" collapsed="false">
      <c r="A8319" s="1" t="s">
        <v>8354</v>
      </c>
      <c r="B8319" s="1" t="s">
        <v>26</v>
      </c>
      <c r="C8319" s="1" t="n">
        <v>219000</v>
      </c>
      <c r="D8319" s="1" t="n">
        <v>46434.7</v>
      </c>
      <c r="F8319" s="1" t="n">
        <v>0.0518</v>
      </c>
    </row>
    <row r="8320" customFormat="false" ht="15" hidden="false" customHeight="false" outlineLevel="0" collapsed="false">
      <c r="A8320" s="1" t="s">
        <v>8355</v>
      </c>
      <c r="B8320" s="1" t="s">
        <v>26</v>
      </c>
      <c r="C8320" s="1" t="n">
        <v>324000</v>
      </c>
      <c r="D8320" s="1" t="n">
        <v>23466.6</v>
      </c>
      <c r="F8320" s="1" t="n">
        <v>0.0409</v>
      </c>
    </row>
    <row r="8321" customFormat="false" ht="15" hidden="false" customHeight="false" outlineLevel="0" collapsed="false">
      <c r="A8321" s="1" t="s">
        <v>8356</v>
      </c>
      <c r="B8321" s="1" t="s">
        <v>62</v>
      </c>
      <c r="C8321" s="1" t="n">
        <v>210000</v>
      </c>
      <c r="D8321" s="1" t="n">
        <v>785.9</v>
      </c>
      <c r="E8321" s="1" t="n">
        <v>0.0186</v>
      </c>
      <c r="F8321" s="1" t="n">
        <v>0.0585</v>
      </c>
    </row>
    <row r="8322" customFormat="false" ht="15" hidden="false" customHeight="false" outlineLevel="0" collapsed="false">
      <c r="A8322" s="1" t="s">
        <v>8357</v>
      </c>
      <c r="B8322" s="1" t="s">
        <v>195</v>
      </c>
      <c r="C8322" s="1" t="n">
        <v>288000</v>
      </c>
      <c r="D8322" s="1" t="n">
        <v>5775.2</v>
      </c>
      <c r="E8322" s="1" t="n">
        <v>0.0313</v>
      </c>
      <c r="F8322" s="1" t="n">
        <v>0.0759</v>
      </c>
    </row>
    <row r="8323" customFormat="false" ht="15" hidden="false" customHeight="false" outlineLevel="0" collapsed="false">
      <c r="A8323" s="1" t="s">
        <v>8358</v>
      </c>
      <c r="B8323" s="1" t="s">
        <v>26</v>
      </c>
      <c r="C8323" s="1" t="n">
        <v>371000</v>
      </c>
      <c r="D8323" s="1" t="n">
        <v>3491.9</v>
      </c>
      <c r="E8323" s="1" t="n">
        <v>0.0173</v>
      </c>
      <c r="F8323" s="1" t="n">
        <v>0.0726</v>
      </c>
    </row>
    <row r="8324" customFormat="false" ht="15" hidden="false" customHeight="false" outlineLevel="0" collapsed="false">
      <c r="A8324" s="1" t="s">
        <v>8359</v>
      </c>
      <c r="B8324" s="1" t="s">
        <v>62</v>
      </c>
      <c r="C8324" s="1" t="n">
        <v>207000</v>
      </c>
      <c r="D8324" s="1" t="n">
        <v>169.3</v>
      </c>
      <c r="E8324" s="1" t="n">
        <v>0.0424</v>
      </c>
      <c r="F8324" s="1" t="n">
        <v>0.0951</v>
      </c>
    </row>
    <row r="8325" customFormat="false" ht="15" hidden="false" customHeight="false" outlineLevel="0" collapsed="false">
      <c r="A8325" s="1" t="s">
        <v>8360</v>
      </c>
      <c r="B8325" s="1" t="s">
        <v>26</v>
      </c>
      <c r="C8325" s="1" t="n">
        <v>195000</v>
      </c>
      <c r="D8325" s="1" t="n">
        <v>289</v>
      </c>
      <c r="E8325" s="1" t="n">
        <v>0.0173</v>
      </c>
      <c r="F8325" s="1" t="n">
        <v>0.1067</v>
      </c>
    </row>
    <row r="8326" customFormat="false" ht="15" hidden="false" customHeight="false" outlineLevel="0" collapsed="false">
      <c r="A8326" s="1" t="s">
        <v>8361</v>
      </c>
      <c r="B8326" s="1" t="s">
        <v>74</v>
      </c>
      <c r="C8326" s="1" t="n">
        <v>691000</v>
      </c>
      <c r="D8326" s="1" t="n">
        <v>9784.6</v>
      </c>
      <c r="E8326" s="1" t="n">
        <v>0.0267</v>
      </c>
      <c r="F8326" s="1" t="n">
        <v>0.0759</v>
      </c>
    </row>
    <row r="8327" customFormat="false" ht="15" hidden="false" customHeight="false" outlineLevel="0" collapsed="false">
      <c r="A8327" s="1" t="s">
        <v>8362</v>
      </c>
      <c r="B8327" s="1" t="s">
        <v>26</v>
      </c>
      <c r="C8327" s="1" t="n">
        <v>215000</v>
      </c>
      <c r="D8327" s="1" t="n">
        <v>124.5</v>
      </c>
      <c r="E8327" s="1" t="n">
        <v>0.0096</v>
      </c>
      <c r="F8327" s="1" t="n">
        <v>0.0736</v>
      </c>
    </row>
    <row r="8328" customFormat="false" ht="15" hidden="false" customHeight="false" outlineLevel="0" collapsed="false">
      <c r="A8328" s="1" t="s">
        <v>8363</v>
      </c>
      <c r="B8328" s="1" t="s">
        <v>92</v>
      </c>
      <c r="C8328" s="1" t="n">
        <v>210000</v>
      </c>
      <c r="D8328" s="1" t="n">
        <v>3832.6</v>
      </c>
      <c r="E8328" s="1" t="n">
        <v>0.0069</v>
      </c>
      <c r="F8328" s="1" t="n">
        <v>0.0822</v>
      </c>
    </row>
    <row r="8329" customFormat="false" ht="15" hidden="false" customHeight="false" outlineLevel="0" collapsed="false">
      <c r="A8329" s="1" t="s">
        <v>8364</v>
      </c>
      <c r="B8329" s="1" t="s">
        <v>88</v>
      </c>
      <c r="C8329" s="1" t="n">
        <v>247000</v>
      </c>
      <c r="D8329" s="1" t="n">
        <v>2910.9</v>
      </c>
      <c r="E8329" s="1" t="n">
        <v>0.1793</v>
      </c>
      <c r="F8329" s="1" t="n">
        <v>0.0938</v>
      </c>
    </row>
    <row r="8330" customFormat="false" ht="15" hidden="false" customHeight="false" outlineLevel="0" collapsed="false">
      <c r="A8330" s="1" t="s">
        <v>8365</v>
      </c>
      <c r="B8330" s="1" t="s">
        <v>24</v>
      </c>
      <c r="C8330" s="1" t="n">
        <v>228000</v>
      </c>
      <c r="D8330" s="1" t="n">
        <v>1502.5</v>
      </c>
      <c r="E8330" s="1" t="n">
        <v>0.0056</v>
      </c>
      <c r="F8330" s="1" t="n">
        <v>0.0654</v>
      </c>
    </row>
    <row r="8331" customFormat="false" ht="15" hidden="false" customHeight="false" outlineLevel="0" collapsed="false">
      <c r="A8331" s="1" t="s">
        <v>8366</v>
      </c>
      <c r="B8331" s="1" t="s">
        <v>92</v>
      </c>
      <c r="C8331" s="1" t="n">
        <v>235000</v>
      </c>
      <c r="D8331" s="1" t="n">
        <v>189.6</v>
      </c>
      <c r="E8331" s="1" t="n">
        <v>0.0263</v>
      </c>
      <c r="F8331" s="1" t="n">
        <v>0.0938</v>
      </c>
    </row>
    <row r="8332" customFormat="false" ht="15" hidden="false" customHeight="false" outlineLevel="0" collapsed="false">
      <c r="A8332" s="1" t="s">
        <v>8367</v>
      </c>
      <c r="B8332" s="1" t="s">
        <v>35</v>
      </c>
      <c r="C8332" s="1" t="n">
        <v>301000</v>
      </c>
      <c r="D8332" s="1" t="n">
        <v>47482.5</v>
      </c>
      <c r="E8332" s="1" t="n">
        <v>0.0233</v>
      </c>
      <c r="F8332" s="1" t="n">
        <v>0.0759</v>
      </c>
    </row>
    <row r="8333" customFormat="false" ht="15" hidden="false" customHeight="false" outlineLevel="0" collapsed="false">
      <c r="A8333" s="1" t="s">
        <v>8368</v>
      </c>
      <c r="B8333" s="1" t="s">
        <v>26</v>
      </c>
      <c r="C8333" s="1" t="n">
        <v>385000</v>
      </c>
      <c r="D8333" s="1" t="n">
        <v>361.4</v>
      </c>
      <c r="E8333" s="1" t="n">
        <v>0.0055</v>
      </c>
      <c r="F8333" s="1" t="n">
        <v>0.0811</v>
      </c>
    </row>
    <row r="8334" customFormat="false" ht="15" hidden="false" customHeight="false" outlineLevel="0" collapsed="false">
      <c r="A8334" s="1" t="s">
        <v>8369</v>
      </c>
      <c r="B8334" s="1" t="s">
        <v>88</v>
      </c>
      <c r="C8334" s="1" t="n">
        <v>236000</v>
      </c>
      <c r="D8334" s="1" t="n">
        <v>69521.8</v>
      </c>
      <c r="E8334" s="1" t="n">
        <v>0.047</v>
      </c>
      <c r="F8334" s="1" t="n">
        <v>0.0951</v>
      </c>
    </row>
    <row r="8335" customFormat="false" ht="15" hidden="false" customHeight="false" outlineLevel="0" collapsed="false">
      <c r="A8335" s="1" t="s">
        <v>8370</v>
      </c>
      <c r="B8335" s="1" t="s">
        <v>214</v>
      </c>
      <c r="C8335" s="1" t="n">
        <v>235000</v>
      </c>
      <c r="D8335" s="1" t="n">
        <v>1699.3</v>
      </c>
      <c r="E8335" s="1" t="n">
        <v>0.0152</v>
      </c>
      <c r="F8335" s="1" t="n">
        <v>0.0462</v>
      </c>
    </row>
    <row r="8336" customFormat="false" ht="15" hidden="false" customHeight="false" outlineLevel="0" collapsed="false">
      <c r="A8336" s="1" t="s">
        <v>8371</v>
      </c>
      <c r="B8336" s="1" t="s">
        <v>26</v>
      </c>
      <c r="C8336" s="1" t="n">
        <v>887000</v>
      </c>
      <c r="D8336" s="1" t="n">
        <v>972118.5</v>
      </c>
      <c r="E8336" s="1" t="n">
        <v>0.0254</v>
      </c>
      <c r="F8336" s="1" t="n">
        <v>0.0938</v>
      </c>
    </row>
    <row r="8337" customFormat="false" ht="15" hidden="false" customHeight="false" outlineLevel="0" collapsed="false">
      <c r="A8337" s="1" t="s">
        <v>8372</v>
      </c>
      <c r="B8337" s="1" t="s">
        <v>92</v>
      </c>
      <c r="C8337" s="1" t="n">
        <v>932000</v>
      </c>
      <c r="D8337" s="1" t="n">
        <v>36467.1</v>
      </c>
      <c r="E8337" s="1" t="n">
        <v>0.0167</v>
      </c>
      <c r="F8337" s="1" t="n">
        <v>0.0462</v>
      </c>
    </row>
    <row r="8338" customFormat="false" ht="15" hidden="false" customHeight="false" outlineLevel="0" collapsed="false">
      <c r="A8338" s="1" t="s">
        <v>8373</v>
      </c>
      <c r="B8338" s="1" t="s">
        <v>24</v>
      </c>
      <c r="C8338" s="1" t="n">
        <v>219000</v>
      </c>
      <c r="D8338" s="1" t="n">
        <v>660.2</v>
      </c>
      <c r="E8338" s="1" t="n">
        <v>0.0094</v>
      </c>
      <c r="F8338" s="1" t="n">
        <v>0.1929</v>
      </c>
    </row>
    <row r="8339" customFormat="false" ht="15" hidden="false" customHeight="false" outlineLevel="0" collapsed="false">
      <c r="A8339" s="1" t="s">
        <v>8374</v>
      </c>
      <c r="B8339" s="1" t="s">
        <v>21</v>
      </c>
      <c r="C8339" s="1" t="n">
        <v>228000</v>
      </c>
      <c r="D8339" s="1" t="n">
        <v>3224.9</v>
      </c>
      <c r="E8339" s="1" t="n">
        <v>0.0284</v>
      </c>
      <c r="F8339" s="1" t="n">
        <v>0.1387</v>
      </c>
    </row>
    <row r="8340" customFormat="false" ht="15" hidden="false" customHeight="false" outlineLevel="0" collapsed="false">
      <c r="A8340" s="1" t="s">
        <v>8375</v>
      </c>
      <c r="B8340" s="1" t="s">
        <v>50</v>
      </c>
      <c r="C8340" s="1" t="n">
        <v>241000</v>
      </c>
      <c r="D8340" s="1" t="n">
        <v>193874.8</v>
      </c>
      <c r="E8340" s="1" t="n">
        <v>0.0347</v>
      </c>
      <c r="F8340" s="1" t="n">
        <v>0.0614</v>
      </c>
    </row>
    <row r="8341" customFormat="false" ht="15" hidden="false" customHeight="false" outlineLevel="0" collapsed="false">
      <c r="A8341" s="1" t="s">
        <v>8376</v>
      </c>
      <c r="B8341" s="1" t="s">
        <v>88</v>
      </c>
      <c r="C8341" s="1" t="n">
        <v>203000</v>
      </c>
      <c r="D8341" s="1" t="n">
        <v>500.4</v>
      </c>
      <c r="E8341" s="1" t="n">
        <v>0.0274</v>
      </c>
      <c r="F8341" s="1" t="n">
        <v>0.0644</v>
      </c>
    </row>
    <row r="8342" customFormat="false" ht="15" hidden="false" customHeight="false" outlineLevel="0" collapsed="false">
      <c r="A8342" s="1" t="s">
        <v>8377</v>
      </c>
      <c r="B8342" s="1" t="s">
        <v>30</v>
      </c>
      <c r="C8342" s="1" t="n">
        <v>224000</v>
      </c>
      <c r="D8342" s="1" t="n">
        <v>267026.8</v>
      </c>
      <c r="E8342" s="1" t="n">
        <v>0.0098</v>
      </c>
      <c r="F8342" s="1" t="n">
        <v>0.0822</v>
      </c>
    </row>
    <row r="8343" customFormat="false" ht="15" hidden="false" customHeight="false" outlineLevel="0" collapsed="false">
      <c r="A8343" s="1" t="s">
        <v>8378</v>
      </c>
      <c r="B8343" s="1" t="s">
        <v>26</v>
      </c>
      <c r="C8343" s="1" t="n">
        <v>225000</v>
      </c>
      <c r="D8343" s="1" t="n">
        <v>62207.9</v>
      </c>
      <c r="E8343" s="1" t="n">
        <v>0.0235</v>
      </c>
      <c r="F8343" s="1" t="n">
        <v>0.0546</v>
      </c>
    </row>
    <row r="8344" customFormat="false" ht="15" hidden="false" customHeight="false" outlineLevel="0" collapsed="false">
      <c r="A8344" s="1" t="s">
        <v>8379</v>
      </c>
      <c r="B8344" s="1" t="s">
        <v>24</v>
      </c>
      <c r="C8344" s="1" t="n">
        <v>222000</v>
      </c>
      <c r="D8344" s="1" t="n">
        <v>3066.5</v>
      </c>
      <c r="E8344" s="1" t="n">
        <v>0.0257</v>
      </c>
      <c r="F8344" s="1" t="n">
        <v>0.0759</v>
      </c>
    </row>
    <row r="8345" customFormat="false" ht="15" hidden="false" customHeight="false" outlineLevel="0" collapsed="false">
      <c r="A8345" s="1" t="s">
        <v>8380</v>
      </c>
      <c r="B8345" s="1" t="s">
        <v>62</v>
      </c>
      <c r="C8345" s="1" t="n">
        <v>1260000</v>
      </c>
      <c r="D8345" s="1" t="n">
        <v>193940.6</v>
      </c>
      <c r="E8345" s="1" t="n">
        <v>0.0508</v>
      </c>
      <c r="F8345" s="1" t="n">
        <v>0.0759</v>
      </c>
    </row>
    <row r="8346" customFormat="false" ht="15" hidden="false" customHeight="false" outlineLevel="0" collapsed="false">
      <c r="A8346" s="1" t="s">
        <v>8381</v>
      </c>
      <c r="B8346" s="1" t="s">
        <v>74</v>
      </c>
      <c r="C8346" s="1" t="n">
        <v>213000</v>
      </c>
      <c r="F8346" s="1" t="n">
        <v>0.0759</v>
      </c>
    </row>
    <row r="8347" customFormat="false" ht="15" hidden="false" customHeight="false" outlineLevel="0" collapsed="false">
      <c r="A8347" s="1" t="s">
        <v>8382</v>
      </c>
      <c r="B8347" s="1" t="s">
        <v>88</v>
      </c>
      <c r="C8347" s="1" t="n">
        <v>232000</v>
      </c>
      <c r="D8347" s="1" t="n">
        <v>25470.9</v>
      </c>
      <c r="E8347" s="1" t="n">
        <v>0.0136</v>
      </c>
      <c r="F8347" s="1" t="n">
        <v>0.0585</v>
      </c>
    </row>
    <row r="8348" customFormat="false" ht="15" hidden="false" customHeight="false" outlineLevel="0" collapsed="false">
      <c r="A8348" s="1" t="s">
        <v>8383</v>
      </c>
      <c r="B8348" s="1" t="s">
        <v>26</v>
      </c>
      <c r="C8348" s="1" t="n">
        <v>270000</v>
      </c>
      <c r="D8348" s="1" t="n">
        <v>29316.5</v>
      </c>
      <c r="E8348" s="1" t="n">
        <v>0.0304</v>
      </c>
      <c r="F8348" s="1" t="n">
        <v>0.0409</v>
      </c>
    </row>
    <row r="8349" customFormat="false" ht="15" hidden="false" customHeight="false" outlineLevel="0" collapsed="false">
      <c r="A8349" s="1" t="s">
        <v>8384</v>
      </c>
      <c r="B8349" s="1" t="s">
        <v>26</v>
      </c>
      <c r="C8349" s="1" t="n">
        <v>227000</v>
      </c>
      <c r="D8349" s="1" t="n">
        <v>5815.3</v>
      </c>
      <c r="E8349" s="1" t="n">
        <v>0.0702</v>
      </c>
      <c r="F8349" s="1" t="n">
        <v>0.0759</v>
      </c>
    </row>
    <row r="8350" customFormat="false" ht="15" hidden="false" customHeight="false" outlineLevel="0" collapsed="false">
      <c r="A8350" s="1" t="s">
        <v>8385</v>
      </c>
      <c r="B8350" s="1" t="s">
        <v>50</v>
      </c>
      <c r="C8350" s="1" t="n">
        <v>250000</v>
      </c>
      <c r="D8350" s="1" t="n">
        <v>59839.2</v>
      </c>
      <c r="E8350" s="1" t="n">
        <v>0.0661</v>
      </c>
      <c r="F8350" s="1" t="n">
        <v>0.0672</v>
      </c>
    </row>
    <row r="8351" customFormat="false" ht="15" hidden="false" customHeight="false" outlineLevel="0" collapsed="false">
      <c r="A8351" s="1" t="s">
        <v>8386</v>
      </c>
      <c r="B8351" s="1" t="s">
        <v>287</v>
      </c>
      <c r="C8351" s="1" t="n">
        <v>216000</v>
      </c>
      <c r="D8351" s="1" t="n">
        <v>1792.2</v>
      </c>
      <c r="E8351" s="1" t="n">
        <v>0.0036</v>
      </c>
      <c r="F8351" s="1" t="n">
        <v>0.0822</v>
      </c>
    </row>
    <row r="8352" customFormat="false" ht="15" hidden="false" customHeight="false" outlineLevel="0" collapsed="false">
      <c r="A8352" s="1" t="s">
        <v>8387</v>
      </c>
      <c r="B8352" s="1" t="s">
        <v>26</v>
      </c>
      <c r="C8352" s="1" t="n">
        <v>271000</v>
      </c>
      <c r="D8352" s="1" t="n">
        <v>6252.5</v>
      </c>
      <c r="F8352" s="1" t="n">
        <v>0.0759</v>
      </c>
    </row>
    <row r="8353" customFormat="false" ht="15" hidden="false" customHeight="false" outlineLevel="0" collapsed="false">
      <c r="A8353" s="1" t="s">
        <v>8388</v>
      </c>
      <c r="B8353" s="1" t="s">
        <v>74</v>
      </c>
      <c r="C8353" s="1" t="n">
        <v>370000</v>
      </c>
      <c r="D8353" s="1" t="n">
        <v>6700.6</v>
      </c>
      <c r="E8353" s="1" t="n">
        <v>0.0345</v>
      </c>
      <c r="F8353" s="1" t="n">
        <v>0.0672</v>
      </c>
    </row>
    <row r="8354" customFormat="false" ht="15" hidden="false" customHeight="false" outlineLevel="0" collapsed="false">
      <c r="A8354" s="1" t="s">
        <v>8389</v>
      </c>
      <c r="B8354" s="1" t="s">
        <v>53</v>
      </c>
      <c r="C8354" s="1" t="n">
        <v>471000</v>
      </c>
      <c r="D8354" s="1" t="n">
        <v>2003690.5</v>
      </c>
      <c r="E8354" s="1" t="n">
        <v>0.0168</v>
      </c>
      <c r="F8354" s="1" t="n">
        <v>0.0462</v>
      </c>
    </row>
    <row r="8355" customFormat="false" ht="15" hidden="false" customHeight="false" outlineLevel="0" collapsed="false">
      <c r="A8355" s="1" t="s">
        <v>8390</v>
      </c>
      <c r="B8355" s="1" t="s">
        <v>88</v>
      </c>
      <c r="C8355" s="1" t="n">
        <v>246000</v>
      </c>
      <c r="D8355" s="1" t="n">
        <v>859</v>
      </c>
      <c r="E8355" s="1" t="n">
        <v>0.023</v>
      </c>
      <c r="F8355" s="1" t="n">
        <v>0.1688</v>
      </c>
    </row>
    <row r="8356" customFormat="false" ht="15" hidden="false" customHeight="false" outlineLevel="0" collapsed="false">
      <c r="A8356" s="1" t="s">
        <v>8391</v>
      </c>
      <c r="B8356" s="1" t="s">
        <v>62</v>
      </c>
      <c r="C8356" s="1" t="n">
        <v>203000</v>
      </c>
      <c r="D8356" s="1" t="n">
        <v>71175.2</v>
      </c>
      <c r="E8356" s="1" t="n">
        <v>0.0488</v>
      </c>
      <c r="F8356" s="1" t="n">
        <v>0.0518</v>
      </c>
    </row>
    <row r="8357" customFormat="false" ht="15" hidden="false" customHeight="false" outlineLevel="0" collapsed="false">
      <c r="A8357" s="1" t="s">
        <v>8392</v>
      </c>
      <c r="B8357" s="1" t="s">
        <v>26</v>
      </c>
      <c r="C8357" s="1" t="n">
        <v>317000</v>
      </c>
      <c r="D8357" s="1" t="n">
        <v>9243.3</v>
      </c>
      <c r="E8357" s="1" t="n">
        <v>0.0345</v>
      </c>
      <c r="F8357" s="1" t="n">
        <v>0.0938</v>
      </c>
    </row>
    <row r="8358" customFormat="false" ht="15" hidden="false" customHeight="false" outlineLevel="0" collapsed="false">
      <c r="A8358" s="1" t="s">
        <v>8393</v>
      </c>
      <c r="B8358" s="1" t="s">
        <v>24</v>
      </c>
      <c r="C8358" s="1" t="n">
        <v>217000</v>
      </c>
      <c r="D8358" s="1" t="n">
        <v>92.9</v>
      </c>
      <c r="E8358" s="1" t="n">
        <v>0.0093</v>
      </c>
      <c r="F8358" s="1" t="n">
        <v>0.1592</v>
      </c>
    </row>
    <row r="8359" customFormat="false" ht="15" hidden="false" customHeight="false" outlineLevel="0" collapsed="false">
      <c r="A8359" s="1" t="s">
        <v>8394</v>
      </c>
      <c r="B8359" s="1" t="s">
        <v>74</v>
      </c>
      <c r="C8359" s="1" t="n">
        <v>259000</v>
      </c>
      <c r="D8359" s="1" t="n">
        <v>5494.4</v>
      </c>
      <c r="E8359" s="1" t="n">
        <v>0.0283</v>
      </c>
      <c r="F8359" s="1" t="n">
        <v>0.0951</v>
      </c>
    </row>
    <row r="8360" customFormat="false" ht="15" hidden="false" customHeight="false" outlineLevel="0" collapsed="false">
      <c r="A8360" s="1" t="s">
        <v>8395</v>
      </c>
      <c r="B8360" s="1" t="s">
        <v>92</v>
      </c>
      <c r="C8360" s="1" t="n">
        <v>208000</v>
      </c>
      <c r="D8360" s="1" t="n">
        <v>248.5</v>
      </c>
      <c r="E8360" s="1" t="n">
        <v>0.0182</v>
      </c>
      <c r="F8360" s="1" t="n">
        <v>0.5715</v>
      </c>
    </row>
    <row r="8361" customFormat="false" ht="15" hidden="false" customHeight="false" outlineLevel="0" collapsed="false">
      <c r="A8361" s="1" t="s">
        <v>8396</v>
      </c>
      <c r="B8361" s="1" t="s">
        <v>24</v>
      </c>
      <c r="C8361" s="1" t="n">
        <v>210000</v>
      </c>
      <c r="D8361" s="1" t="n">
        <v>3389.4</v>
      </c>
      <c r="E8361" s="1" t="n">
        <v>0.0056</v>
      </c>
      <c r="F8361" s="1" t="n">
        <v>0.0822</v>
      </c>
    </row>
    <row r="8362" customFormat="false" ht="15" hidden="false" customHeight="false" outlineLevel="0" collapsed="false">
      <c r="A8362" s="1" t="s">
        <v>8397</v>
      </c>
      <c r="B8362" s="1" t="s">
        <v>81</v>
      </c>
      <c r="C8362" s="1" t="n">
        <v>203000</v>
      </c>
      <c r="D8362" s="1" t="n">
        <v>360.8</v>
      </c>
      <c r="E8362" s="1" t="n">
        <v>0.0399</v>
      </c>
      <c r="F8362" s="1" t="n">
        <v>0.0518</v>
      </c>
    </row>
    <row r="8363" customFormat="false" ht="15" hidden="false" customHeight="false" outlineLevel="0" collapsed="false">
      <c r="A8363" s="1" t="s">
        <v>8398</v>
      </c>
      <c r="B8363" s="1" t="s">
        <v>92</v>
      </c>
      <c r="C8363" s="1" t="n">
        <v>230000</v>
      </c>
      <c r="D8363" s="1" t="n">
        <v>408241.4</v>
      </c>
      <c r="E8363" s="1" t="n">
        <v>0.0232</v>
      </c>
      <c r="F8363" s="1" t="n">
        <v>0.0518</v>
      </c>
    </row>
    <row r="8364" customFormat="false" ht="15" hidden="false" customHeight="false" outlineLevel="0" collapsed="false">
      <c r="A8364" s="1" t="s">
        <v>8399</v>
      </c>
      <c r="B8364" s="1" t="s">
        <v>81</v>
      </c>
      <c r="C8364" s="1" t="n">
        <v>387000</v>
      </c>
      <c r="D8364" s="1" t="n">
        <v>25293.1</v>
      </c>
      <c r="E8364" s="1" t="n">
        <v>0.0349</v>
      </c>
      <c r="F8364" s="1" t="n">
        <v>0.0759</v>
      </c>
    </row>
    <row r="8365" customFormat="false" ht="15" hidden="false" customHeight="false" outlineLevel="0" collapsed="false">
      <c r="A8365" s="1" t="s">
        <v>8400</v>
      </c>
      <c r="B8365" s="1" t="s">
        <v>32</v>
      </c>
      <c r="C8365" s="1" t="n">
        <v>221000</v>
      </c>
      <c r="D8365" s="1" t="n">
        <v>1393.4</v>
      </c>
      <c r="E8365" s="1" t="n">
        <v>0.0558</v>
      </c>
      <c r="F8365" s="1" t="n">
        <v>0.0938</v>
      </c>
    </row>
    <row r="8366" customFormat="false" ht="15" hidden="false" customHeight="false" outlineLevel="0" collapsed="false">
      <c r="A8366" s="1" t="s">
        <v>8401</v>
      </c>
      <c r="B8366" s="1" t="s">
        <v>53</v>
      </c>
      <c r="C8366" s="1" t="n">
        <v>415000</v>
      </c>
      <c r="D8366" s="1" t="n">
        <v>131079.9</v>
      </c>
      <c r="E8366" s="1" t="n">
        <v>0.0239</v>
      </c>
      <c r="F8366" s="1" t="n">
        <v>0.0409</v>
      </c>
    </row>
    <row r="8367" customFormat="false" ht="15" hidden="false" customHeight="false" outlineLevel="0" collapsed="false">
      <c r="A8367" s="1" t="s">
        <v>8402</v>
      </c>
      <c r="B8367" s="1" t="s">
        <v>74</v>
      </c>
      <c r="C8367" s="1" t="n">
        <v>205000</v>
      </c>
      <c r="D8367" s="1" t="n">
        <v>1600.7</v>
      </c>
      <c r="E8367" s="1" t="n">
        <v>0.0091</v>
      </c>
      <c r="F8367" s="1" t="n">
        <v>0.0828</v>
      </c>
    </row>
    <row r="8368" customFormat="false" ht="15" hidden="false" customHeight="false" outlineLevel="0" collapsed="false">
      <c r="A8368" s="1" t="s">
        <v>8403</v>
      </c>
      <c r="B8368" s="1" t="s">
        <v>26</v>
      </c>
      <c r="C8368" s="1" t="n">
        <v>345000</v>
      </c>
      <c r="D8368" s="1" t="n">
        <v>23767.7</v>
      </c>
      <c r="E8368" s="1" t="n">
        <v>0.0266</v>
      </c>
      <c r="F8368" s="1" t="n">
        <v>0.0644</v>
      </c>
    </row>
    <row r="8369" customFormat="false" ht="15" hidden="false" customHeight="false" outlineLevel="0" collapsed="false">
      <c r="A8369" s="1" t="s">
        <v>8404</v>
      </c>
      <c r="B8369" s="1" t="s">
        <v>26</v>
      </c>
      <c r="C8369" s="1" t="n">
        <v>230000</v>
      </c>
      <c r="D8369" s="1" t="n">
        <v>1654.4</v>
      </c>
      <c r="E8369" s="1" t="n">
        <v>0.0225</v>
      </c>
      <c r="F8369" s="1" t="n">
        <v>0.0518</v>
      </c>
    </row>
    <row r="8370" customFormat="false" ht="15" hidden="false" customHeight="false" outlineLevel="0" collapsed="false">
      <c r="A8370" s="1" t="s">
        <v>8405</v>
      </c>
      <c r="B8370" s="1" t="s">
        <v>26</v>
      </c>
      <c r="C8370" s="1" t="n">
        <v>208000</v>
      </c>
      <c r="D8370" s="1" t="n">
        <v>2303.1</v>
      </c>
      <c r="E8370" s="1" t="n">
        <v>0.0536</v>
      </c>
      <c r="F8370" s="1" t="n">
        <v>0.0951</v>
      </c>
    </row>
    <row r="8371" customFormat="false" ht="15" hidden="false" customHeight="false" outlineLevel="0" collapsed="false">
      <c r="A8371" s="1" t="s">
        <v>8406</v>
      </c>
      <c r="B8371" s="1" t="s">
        <v>81</v>
      </c>
      <c r="C8371" s="1" t="n">
        <v>226000</v>
      </c>
      <c r="D8371" s="1" t="n">
        <v>2755.6</v>
      </c>
      <c r="E8371" s="1" t="n">
        <v>0.0238</v>
      </c>
      <c r="F8371" s="1" t="n">
        <v>0.0759</v>
      </c>
    </row>
    <row r="8372" customFormat="false" ht="15" hidden="false" customHeight="false" outlineLevel="0" collapsed="false">
      <c r="A8372" s="1" t="s">
        <v>8407</v>
      </c>
      <c r="B8372" s="1" t="s">
        <v>24</v>
      </c>
      <c r="C8372" s="1" t="n">
        <v>221000</v>
      </c>
      <c r="D8372" s="1" t="n">
        <v>1641.6</v>
      </c>
      <c r="E8372" s="1" t="n">
        <v>0.0122</v>
      </c>
      <c r="F8372" s="1" t="n">
        <v>0.0657</v>
      </c>
    </row>
    <row r="8373" customFormat="false" ht="15" hidden="false" customHeight="false" outlineLevel="0" collapsed="false">
      <c r="A8373" s="1" t="s">
        <v>8408</v>
      </c>
      <c r="B8373" s="1" t="s">
        <v>24</v>
      </c>
      <c r="C8373" s="1" t="n">
        <v>296000</v>
      </c>
      <c r="D8373" s="1" t="n">
        <v>15829.1</v>
      </c>
      <c r="E8373" s="1" t="n">
        <v>0.0584</v>
      </c>
      <c r="F8373" s="1" t="n">
        <v>0.0951</v>
      </c>
    </row>
    <row r="8374" customFormat="false" ht="15" hidden="false" customHeight="false" outlineLevel="0" collapsed="false">
      <c r="A8374" s="1" t="s">
        <v>8409</v>
      </c>
      <c r="B8374" s="1" t="s">
        <v>26</v>
      </c>
      <c r="C8374" s="1" t="n">
        <v>241000</v>
      </c>
      <c r="D8374" s="1" t="n">
        <v>17673.2</v>
      </c>
      <c r="E8374" s="1" t="n">
        <v>0.0609</v>
      </c>
      <c r="F8374" s="1" t="n">
        <v>0.0951</v>
      </c>
    </row>
    <row r="8375" customFormat="false" ht="15" hidden="false" customHeight="false" outlineLevel="0" collapsed="false">
      <c r="A8375" s="1" t="s">
        <v>8410</v>
      </c>
      <c r="B8375" s="1" t="s">
        <v>26</v>
      </c>
      <c r="C8375" s="1" t="n">
        <v>217000</v>
      </c>
      <c r="D8375" s="1" t="n">
        <v>11448.8</v>
      </c>
      <c r="E8375" s="1" t="n">
        <v>0.0342</v>
      </c>
      <c r="F8375" s="1" t="n">
        <v>0.0951</v>
      </c>
    </row>
    <row r="8376" customFormat="false" ht="15" hidden="false" customHeight="false" outlineLevel="0" collapsed="false">
      <c r="A8376" s="1" t="s">
        <v>8411</v>
      </c>
      <c r="B8376" s="1" t="s">
        <v>214</v>
      </c>
      <c r="C8376" s="1" t="n">
        <v>232000</v>
      </c>
      <c r="D8376" s="1" t="n">
        <v>654149.8</v>
      </c>
      <c r="E8376" s="1" t="n">
        <v>0.0183</v>
      </c>
      <c r="F8376" s="1" t="n">
        <v>0.0462</v>
      </c>
    </row>
    <row r="8377" customFormat="false" ht="15" hidden="false" customHeight="false" outlineLevel="0" collapsed="false">
      <c r="A8377" s="1" t="s">
        <v>8412</v>
      </c>
      <c r="B8377" s="1" t="s">
        <v>41</v>
      </c>
      <c r="C8377" s="1" t="n">
        <v>238000</v>
      </c>
      <c r="D8377" s="1" t="n">
        <v>1751.7</v>
      </c>
      <c r="E8377" s="1" t="n">
        <v>0.0312</v>
      </c>
      <c r="F8377" s="1" t="n">
        <v>0.0938</v>
      </c>
    </row>
    <row r="8378" customFormat="false" ht="15" hidden="false" customHeight="false" outlineLevel="0" collapsed="false">
      <c r="A8378" s="1" t="s">
        <v>8413</v>
      </c>
      <c r="B8378" s="1" t="s">
        <v>88</v>
      </c>
      <c r="C8378" s="1" t="n">
        <v>230000</v>
      </c>
      <c r="D8378" s="1" t="n">
        <v>741.7</v>
      </c>
      <c r="E8378" s="1" t="n">
        <v>0.0313</v>
      </c>
      <c r="F8378" s="1" t="n">
        <v>0.051</v>
      </c>
    </row>
    <row r="8379" customFormat="false" ht="15" hidden="false" customHeight="false" outlineLevel="0" collapsed="false">
      <c r="A8379" s="1" t="s">
        <v>8414</v>
      </c>
      <c r="B8379" s="1" t="s">
        <v>88</v>
      </c>
      <c r="C8379" s="1" t="n">
        <v>252000</v>
      </c>
      <c r="D8379" s="1" t="n">
        <v>2851</v>
      </c>
      <c r="E8379" s="1" t="n">
        <v>0.0412</v>
      </c>
      <c r="F8379" s="1" t="n">
        <v>0.0759</v>
      </c>
    </row>
    <row r="8380" customFormat="false" ht="15" hidden="false" customHeight="false" outlineLevel="0" collapsed="false">
      <c r="A8380" s="1" t="s">
        <v>8415</v>
      </c>
      <c r="B8380" s="1" t="s">
        <v>62</v>
      </c>
      <c r="C8380" s="1" t="n">
        <v>340000</v>
      </c>
      <c r="D8380" s="1" t="n">
        <v>222931.8</v>
      </c>
      <c r="E8380" s="1" t="n">
        <v>0.0219</v>
      </c>
      <c r="F8380" s="1" t="n">
        <v>0.0951</v>
      </c>
    </row>
    <row r="8381" customFormat="false" ht="15" hidden="false" customHeight="false" outlineLevel="0" collapsed="false">
      <c r="A8381" s="1" t="s">
        <v>8416</v>
      </c>
      <c r="B8381" s="1" t="s">
        <v>26</v>
      </c>
      <c r="C8381" s="1" t="n">
        <v>227000</v>
      </c>
      <c r="D8381" s="1" t="n">
        <v>52921.6</v>
      </c>
      <c r="E8381" s="1" t="n">
        <v>0.0475</v>
      </c>
      <c r="F8381" s="1" t="n">
        <v>0.0951</v>
      </c>
    </row>
    <row r="8382" customFormat="false" ht="15" hidden="false" customHeight="false" outlineLevel="0" collapsed="false">
      <c r="A8382" s="1" t="s">
        <v>8417</v>
      </c>
      <c r="B8382" s="1" t="s">
        <v>88</v>
      </c>
      <c r="C8382" s="1" t="n">
        <v>328000</v>
      </c>
      <c r="D8382" s="1" t="n">
        <v>207.2</v>
      </c>
      <c r="E8382" s="1" t="n">
        <v>0.0833</v>
      </c>
      <c r="F8382" s="1" t="n">
        <v>0.0938</v>
      </c>
    </row>
    <row r="8383" customFormat="false" ht="15" hidden="false" customHeight="false" outlineLevel="0" collapsed="false">
      <c r="A8383" s="1" t="s">
        <v>8418</v>
      </c>
      <c r="B8383" s="1" t="s">
        <v>81</v>
      </c>
      <c r="C8383" s="1" t="n">
        <v>263000</v>
      </c>
      <c r="D8383" s="1" t="n">
        <v>17444</v>
      </c>
      <c r="E8383" s="1" t="n">
        <v>0.0336</v>
      </c>
      <c r="F8383" s="1" t="n">
        <v>0.0432</v>
      </c>
    </row>
    <row r="8384" customFormat="false" ht="15" hidden="false" customHeight="false" outlineLevel="0" collapsed="false">
      <c r="A8384" s="1" t="s">
        <v>8419</v>
      </c>
      <c r="B8384" s="1" t="s">
        <v>53</v>
      </c>
      <c r="C8384" s="1" t="n">
        <v>282000</v>
      </c>
      <c r="D8384" s="1" t="n">
        <v>90464.4</v>
      </c>
      <c r="E8384" s="1" t="n">
        <v>0.0581</v>
      </c>
      <c r="F8384" s="1" t="n">
        <v>0.0409</v>
      </c>
    </row>
    <row r="8385" customFormat="false" ht="15" hidden="false" customHeight="false" outlineLevel="0" collapsed="false">
      <c r="A8385" s="1" t="s">
        <v>8420</v>
      </c>
      <c r="B8385" s="1" t="s">
        <v>26</v>
      </c>
      <c r="C8385" s="1" t="n">
        <v>209000</v>
      </c>
      <c r="D8385" s="1" t="n">
        <v>400.2</v>
      </c>
      <c r="E8385" s="1" t="n">
        <v>0.0588</v>
      </c>
      <c r="F8385" s="1" t="n">
        <v>0.1516</v>
      </c>
    </row>
    <row r="8386" customFormat="false" ht="15" hidden="false" customHeight="false" outlineLevel="0" collapsed="false">
      <c r="A8386" s="1" t="s">
        <v>8421</v>
      </c>
      <c r="B8386" s="1" t="s">
        <v>88</v>
      </c>
      <c r="C8386" s="1" t="n">
        <v>289000</v>
      </c>
      <c r="D8386" s="1" t="n">
        <v>169263.3</v>
      </c>
      <c r="E8386" s="1" t="n">
        <v>0.0376</v>
      </c>
      <c r="F8386" s="1" t="n">
        <v>0.0759</v>
      </c>
    </row>
    <row r="8387" customFormat="false" ht="15" hidden="false" customHeight="false" outlineLevel="0" collapsed="false">
      <c r="A8387" s="1" t="s">
        <v>8422</v>
      </c>
      <c r="B8387" s="1" t="s">
        <v>88</v>
      </c>
      <c r="C8387" s="1" t="n">
        <v>209000</v>
      </c>
      <c r="D8387" s="1" t="n">
        <v>1732.4</v>
      </c>
      <c r="E8387" s="1" t="n">
        <v>0.0278</v>
      </c>
      <c r="F8387" s="1" t="n">
        <v>0.0518</v>
      </c>
    </row>
    <row r="8388" customFormat="false" ht="15" hidden="false" customHeight="false" outlineLevel="0" collapsed="false">
      <c r="A8388" s="1" t="s">
        <v>8423</v>
      </c>
      <c r="B8388" s="1" t="s">
        <v>26</v>
      </c>
      <c r="C8388" s="1" t="n">
        <v>218000</v>
      </c>
      <c r="D8388" s="1" t="n">
        <v>2001.2</v>
      </c>
      <c r="E8388" s="1" t="n">
        <v>0.0106</v>
      </c>
      <c r="F8388" s="1" t="n">
        <v>0.0654</v>
      </c>
    </row>
    <row r="8389" customFormat="false" ht="15" hidden="false" customHeight="false" outlineLevel="0" collapsed="false">
      <c r="A8389" s="1" t="s">
        <v>8424</v>
      </c>
      <c r="B8389" s="1" t="s">
        <v>53</v>
      </c>
      <c r="C8389" s="1" t="n">
        <v>250000</v>
      </c>
      <c r="D8389" s="1" t="n">
        <v>772.2</v>
      </c>
      <c r="E8389" s="1" t="n">
        <v>0.0502</v>
      </c>
      <c r="F8389" s="1" t="n">
        <v>0.0951</v>
      </c>
    </row>
    <row r="8390" customFormat="false" ht="15" hidden="false" customHeight="false" outlineLevel="0" collapsed="false">
      <c r="A8390" s="1" t="s">
        <v>8425</v>
      </c>
      <c r="B8390" s="1" t="s">
        <v>30</v>
      </c>
      <c r="C8390" s="1" t="n">
        <v>253000</v>
      </c>
      <c r="D8390" s="1" t="n">
        <v>219.7</v>
      </c>
      <c r="E8390" s="1" t="n">
        <v>0.0471</v>
      </c>
      <c r="F8390" s="1" t="n">
        <v>0.0951</v>
      </c>
    </row>
    <row r="8391" customFormat="false" ht="15" hidden="false" customHeight="false" outlineLevel="0" collapsed="false">
      <c r="A8391" s="1" t="s">
        <v>8426</v>
      </c>
      <c r="B8391" s="1" t="s">
        <v>26</v>
      </c>
      <c r="C8391" s="1" t="n">
        <v>218000</v>
      </c>
      <c r="D8391" s="1" t="n">
        <v>144.6</v>
      </c>
      <c r="E8391" s="1" t="n">
        <v>0.0793</v>
      </c>
      <c r="F8391" s="1" t="n">
        <v>0.0759</v>
      </c>
    </row>
    <row r="8392" customFormat="false" ht="15" hidden="false" customHeight="false" outlineLevel="0" collapsed="false">
      <c r="A8392" s="1" t="s">
        <v>8427</v>
      </c>
      <c r="B8392" s="1" t="s">
        <v>32</v>
      </c>
      <c r="C8392" s="1" t="n">
        <v>566000</v>
      </c>
      <c r="D8392" s="1" t="n">
        <v>6580.6</v>
      </c>
      <c r="E8392" s="1" t="n">
        <v>0.0228</v>
      </c>
      <c r="F8392" s="1" t="n">
        <v>0.051</v>
      </c>
    </row>
    <row r="8393" customFormat="false" ht="15" hidden="false" customHeight="false" outlineLevel="0" collapsed="false">
      <c r="A8393" s="1" t="s">
        <v>8428</v>
      </c>
      <c r="B8393" s="1" t="s">
        <v>74</v>
      </c>
      <c r="C8393" s="1" t="n">
        <v>242000</v>
      </c>
      <c r="D8393" s="1" t="n">
        <v>1816.4</v>
      </c>
      <c r="E8393" s="1" t="n">
        <v>0.0477</v>
      </c>
      <c r="F8393" s="1" t="n">
        <v>0.0951</v>
      </c>
    </row>
    <row r="8394" customFormat="false" ht="15" hidden="false" customHeight="false" outlineLevel="0" collapsed="false">
      <c r="A8394" s="1" t="s">
        <v>8429</v>
      </c>
      <c r="B8394" s="1" t="s">
        <v>74</v>
      </c>
      <c r="C8394" s="1" t="n">
        <v>552000</v>
      </c>
      <c r="D8394" s="1" t="n">
        <v>109609.1</v>
      </c>
      <c r="E8394" s="1" t="n">
        <v>0.0391</v>
      </c>
      <c r="F8394" s="1" t="n">
        <v>0.0951</v>
      </c>
    </row>
    <row r="8395" customFormat="false" ht="15" hidden="false" customHeight="false" outlineLevel="0" collapsed="false">
      <c r="A8395" s="1" t="s">
        <v>8430</v>
      </c>
      <c r="B8395" s="1" t="s">
        <v>50</v>
      </c>
      <c r="C8395" s="1" t="n">
        <v>277000</v>
      </c>
      <c r="D8395" s="1" t="n">
        <v>1614.7</v>
      </c>
      <c r="E8395" s="1" t="n">
        <v>0.0631</v>
      </c>
      <c r="F8395" s="1" t="n">
        <v>0.0938</v>
      </c>
    </row>
    <row r="8396" customFormat="false" ht="15" hidden="false" customHeight="false" outlineLevel="0" collapsed="false">
      <c r="A8396" s="1" t="s">
        <v>8431</v>
      </c>
      <c r="B8396" s="1" t="s">
        <v>24</v>
      </c>
      <c r="C8396" s="1" t="n">
        <v>286000</v>
      </c>
      <c r="D8396" s="1" t="n">
        <v>515.4</v>
      </c>
      <c r="E8396" s="1" t="n">
        <v>0.0433</v>
      </c>
      <c r="F8396" s="1" t="n">
        <v>0.051</v>
      </c>
    </row>
    <row r="8397" customFormat="false" ht="15" hidden="false" customHeight="false" outlineLevel="0" collapsed="false">
      <c r="A8397" s="1" t="s">
        <v>8432</v>
      </c>
      <c r="B8397" s="1" t="s">
        <v>92</v>
      </c>
      <c r="C8397" s="1" t="n">
        <v>209000</v>
      </c>
      <c r="D8397" s="1" t="n">
        <v>3635.9</v>
      </c>
      <c r="E8397" s="1" t="n">
        <v>0.0102</v>
      </c>
      <c r="F8397" s="1" t="n">
        <v>0.0822</v>
      </c>
    </row>
    <row r="8398" customFormat="false" ht="15" hidden="false" customHeight="false" outlineLevel="0" collapsed="false">
      <c r="A8398" s="1" t="s">
        <v>8433</v>
      </c>
      <c r="B8398" s="1" t="s">
        <v>53</v>
      </c>
      <c r="C8398" s="1" t="n">
        <v>244000</v>
      </c>
      <c r="D8398" s="1" t="n">
        <v>1569.8</v>
      </c>
      <c r="E8398" s="1" t="n">
        <v>0.0204</v>
      </c>
      <c r="F8398" s="1" t="n">
        <v>0.0938</v>
      </c>
    </row>
    <row r="8399" customFormat="false" ht="15" hidden="false" customHeight="false" outlineLevel="0" collapsed="false">
      <c r="A8399" s="1" t="s">
        <v>8434</v>
      </c>
      <c r="B8399" s="1" t="s">
        <v>88</v>
      </c>
      <c r="C8399" s="1" t="n">
        <v>253000</v>
      </c>
      <c r="D8399" s="1" t="n">
        <v>7923.6</v>
      </c>
      <c r="E8399" s="1" t="n">
        <v>0.0316</v>
      </c>
      <c r="F8399" s="1" t="n">
        <v>0.0938</v>
      </c>
    </row>
    <row r="8400" customFormat="false" ht="15" hidden="false" customHeight="false" outlineLevel="0" collapsed="false">
      <c r="A8400" s="1" t="s">
        <v>8435</v>
      </c>
      <c r="B8400" s="1" t="s">
        <v>74</v>
      </c>
      <c r="C8400" s="1" t="n">
        <v>204000</v>
      </c>
      <c r="D8400" s="1" t="n">
        <v>2918</v>
      </c>
      <c r="E8400" s="1" t="n">
        <v>0.0231</v>
      </c>
      <c r="F8400" s="1" t="n">
        <v>0.0585</v>
      </c>
    </row>
    <row r="8401" customFormat="false" ht="15" hidden="false" customHeight="false" outlineLevel="0" collapsed="false">
      <c r="A8401" s="1" t="s">
        <v>8436</v>
      </c>
      <c r="B8401" s="1" t="s">
        <v>214</v>
      </c>
      <c r="C8401" s="1" t="n">
        <v>200000</v>
      </c>
      <c r="D8401" s="1" t="n">
        <v>1748</v>
      </c>
      <c r="E8401" s="1" t="n">
        <v>0.0138</v>
      </c>
      <c r="F8401" s="1" t="n">
        <v>0.0585</v>
      </c>
    </row>
    <row r="8402" customFormat="false" ht="15" hidden="false" customHeight="false" outlineLevel="0" collapsed="false">
      <c r="A8402" s="1" t="s">
        <v>8437</v>
      </c>
      <c r="B8402" s="1" t="s">
        <v>53</v>
      </c>
      <c r="C8402" s="1" t="n">
        <v>354000</v>
      </c>
      <c r="D8402" s="1" t="n">
        <v>32038.9</v>
      </c>
      <c r="E8402" s="1" t="n">
        <v>0.0386</v>
      </c>
      <c r="F8402" s="1" t="n">
        <v>0.0538</v>
      </c>
    </row>
    <row r="8403" customFormat="false" ht="15" hidden="false" customHeight="false" outlineLevel="0" collapsed="false">
      <c r="A8403" s="1" t="s">
        <v>8438</v>
      </c>
      <c r="B8403" s="1" t="s">
        <v>26</v>
      </c>
      <c r="C8403" s="1" t="n">
        <v>257000</v>
      </c>
      <c r="D8403" s="1" t="n">
        <v>2341393.1</v>
      </c>
      <c r="E8403" s="1" t="n">
        <v>0.0305</v>
      </c>
      <c r="F8403" s="1" t="n">
        <v>0.0518</v>
      </c>
    </row>
    <row r="8404" customFormat="false" ht="15" hidden="false" customHeight="false" outlineLevel="0" collapsed="false">
      <c r="A8404" s="1" t="s">
        <v>8439</v>
      </c>
      <c r="B8404" s="1" t="s">
        <v>92</v>
      </c>
      <c r="C8404" s="1" t="n">
        <v>204000</v>
      </c>
      <c r="D8404" s="1" t="n">
        <v>5038</v>
      </c>
      <c r="E8404" s="1" t="n">
        <v>0.0172</v>
      </c>
      <c r="F8404" s="1" t="n">
        <v>0.1192</v>
      </c>
    </row>
    <row r="8405" customFormat="false" ht="15" hidden="false" customHeight="false" outlineLevel="0" collapsed="false">
      <c r="A8405" s="1" t="s">
        <v>8440</v>
      </c>
      <c r="B8405" s="1" t="s">
        <v>26</v>
      </c>
      <c r="C8405" s="1" t="n">
        <v>205000</v>
      </c>
      <c r="D8405" s="1" t="n">
        <v>359.3</v>
      </c>
      <c r="E8405" s="1" t="n">
        <v>0.0208</v>
      </c>
      <c r="F8405" s="1" t="n">
        <v>0.1543</v>
      </c>
    </row>
    <row r="8406" customFormat="false" ht="15" hidden="false" customHeight="false" outlineLevel="0" collapsed="false">
      <c r="A8406" s="1" t="s">
        <v>8441</v>
      </c>
      <c r="B8406" s="1" t="s">
        <v>88</v>
      </c>
      <c r="C8406" s="1" t="n">
        <v>202000</v>
      </c>
      <c r="D8406" s="1" t="n">
        <v>846.2</v>
      </c>
      <c r="E8406" s="1" t="n">
        <v>0.0342</v>
      </c>
      <c r="F8406" s="1" t="n">
        <v>0.117</v>
      </c>
    </row>
    <row r="8407" customFormat="false" ht="15" hidden="false" customHeight="false" outlineLevel="0" collapsed="false">
      <c r="A8407" s="1" t="s">
        <v>8442</v>
      </c>
      <c r="B8407" s="1" t="s">
        <v>88</v>
      </c>
      <c r="C8407" s="1" t="n">
        <v>224000</v>
      </c>
      <c r="D8407" s="1" t="n">
        <v>130.6</v>
      </c>
      <c r="E8407" s="1" t="n">
        <v>0.0793</v>
      </c>
      <c r="F8407" s="1" t="n">
        <v>0.0759</v>
      </c>
    </row>
    <row r="8408" customFormat="false" ht="15" hidden="false" customHeight="false" outlineLevel="0" collapsed="false">
      <c r="A8408" s="1" t="s">
        <v>8443</v>
      </c>
      <c r="B8408" s="1" t="s">
        <v>26</v>
      </c>
      <c r="C8408" s="1" t="n">
        <v>470000</v>
      </c>
      <c r="D8408" s="1" t="n">
        <v>12699.2</v>
      </c>
      <c r="E8408" s="1" t="n">
        <v>0.0234</v>
      </c>
      <c r="F8408" s="1" t="n">
        <v>0.0759</v>
      </c>
    </row>
    <row r="8409" customFormat="false" ht="15" hidden="false" customHeight="false" outlineLevel="0" collapsed="false">
      <c r="A8409" s="1" t="s">
        <v>8444</v>
      </c>
      <c r="B8409" s="1" t="s">
        <v>41</v>
      </c>
      <c r="C8409" s="1" t="n">
        <v>226000</v>
      </c>
      <c r="D8409" s="1" t="n">
        <v>710.5</v>
      </c>
      <c r="E8409" s="1" t="n">
        <v>0.0183</v>
      </c>
      <c r="F8409" s="1" t="n">
        <v>0.1372</v>
      </c>
    </row>
    <row r="8410" customFormat="false" ht="15" hidden="false" customHeight="false" outlineLevel="0" collapsed="false">
      <c r="A8410" s="1" t="s">
        <v>8445</v>
      </c>
      <c r="B8410" s="1" t="s">
        <v>71</v>
      </c>
      <c r="C8410" s="1" t="n">
        <v>386000</v>
      </c>
      <c r="D8410" s="1" t="n">
        <v>1750.1</v>
      </c>
      <c r="E8410" s="1" t="n">
        <v>0.0118</v>
      </c>
      <c r="F8410" s="1" t="n">
        <v>0.0811</v>
      </c>
    </row>
    <row r="8411" customFormat="false" ht="15" hidden="false" customHeight="false" outlineLevel="0" collapsed="false">
      <c r="A8411" s="1" t="s">
        <v>8446</v>
      </c>
      <c r="B8411" s="1" t="s">
        <v>41</v>
      </c>
      <c r="C8411" s="1" t="n">
        <v>233000</v>
      </c>
      <c r="D8411" s="1" t="n">
        <v>1217.5</v>
      </c>
      <c r="E8411" s="1" t="n">
        <v>0.0298</v>
      </c>
      <c r="F8411" s="1" t="n">
        <v>0.0518</v>
      </c>
    </row>
    <row r="8412" customFormat="false" ht="15" hidden="false" customHeight="false" outlineLevel="0" collapsed="false">
      <c r="A8412" s="1" t="s">
        <v>8447</v>
      </c>
      <c r="B8412" s="1" t="s">
        <v>26</v>
      </c>
      <c r="C8412" s="1" t="n">
        <v>719000</v>
      </c>
      <c r="D8412" s="1" t="n">
        <v>430316.8</v>
      </c>
      <c r="E8412" s="1" t="n">
        <v>0.043</v>
      </c>
      <c r="F8412" s="1" t="n">
        <v>0.0672</v>
      </c>
    </row>
    <row r="8413" customFormat="false" ht="15" hidden="false" customHeight="false" outlineLevel="0" collapsed="false">
      <c r="A8413" s="1" t="s">
        <v>8448</v>
      </c>
      <c r="B8413" s="1" t="s">
        <v>53</v>
      </c>
      <c r="C8413" s="1" t="n">
        <v>216000</v>
      </c>
      <c r="D8413" s="1" t="n">
        <v>22121.4</v>
      </c>
      <c r="E8413" s="1" t="n">
        <v>0.0766</v>
      </c>
      <c r="F8413" s="1" t="n">
        <v>0.0951</v>
      </c>
    </row>
    <row r="8414" customFormat="false" ht="15" hidden="false" customHeight="false" outlineLevel="0" collapsed="false">
      <c r="A8414" s="1" t="s">
        <v>8449</v>
      </c>
      <c r="B8414" s="1" t="s">
        <v>62</v>
      </c>
      <c r="C8414" s="1" t="n">
        <v>295000</v>
      </c>
      <c r="D8414" s="1" t="n">
        <v>36701.8</v>
      </c>
      <c r="E8414" s="1" t="n">
        <v>0.063</v>
      </c>
      <c r="F8414" s="1" t="n">
        <v>0.0409</v>
      </c>
    </row>
    <row r="8415" customFormat="false" ht="15" hidden="false" customHeight="false" outlineLevel="0" collapsed="false">
      <c r="A8415" s="1" t="s">
        <v>8450</v>
      </c>
      <c r="B8415" s="1" t="s">
        <v>41</v>
      </c>
      <c r="C8415" s="1" t="n">
        <v>345000</v>
      </c>
      <c r="D8415" s="1" t="n">
        <v>8775.7</v>
      </c>
      <c r="E8415" s="1" t="n">
        <v>0.0617</v>
      </c>
      <c r="F8415" s="1" t="n">
        <v>0.0938</v>
      </c>
    </row>
    <row r="8416" customFormat="false" ht="15" hidden="false" customHeight="false" outlineLevel="0" collapsed="false">
      <c r="A8416" s="1" t="s">
        <v>8451</v>
      </c>
      <c r="B8416" s="1" t="s">
        <v>26</v>
      </c>
      <c r="C8416" s="1" t="n">
        <v>245000</v>
      </c>
      <c r="D8416" s="1" t="n">
        <v>1463988</v>
      </c>
      <c r="E8416" s="1" t="n">
        <v>0.0535</v>
      </c>
      <c r="F8416" s="1" t="n">
        <v>0.0951</v>
      </c>
    </row>
    <row r="8417" customFormat="false" ht="15" hidden="false" customHeight="false" outlineLevel="0" collapsed="false">
      <c r="A8417" s="1" t="s">
        <v>8452</v>
      </c>
      <c r="B8417" s="1" t="s">
        <v>88</v>
      </c>
      <c r="C8417" s="1" t="n">
        <v>210000</v>
      </c>
      <c r="D8417" s="1" t="n">
        <v>21187.9</v>
      </c>
      <c r="E8417" s="1" t="n">
        <v>0.0305</v>
      </c>
      <c r="F8417" s="1" t="n">
        <v>0.0518</v>
      </c>
    </row>
    <row r="8418" customFormat="false" ht="15" hidden="false" customHeight="false" outlineLevel="0" collapsed="false">
      <c r="A8418" s="1" t="s">
        <v>8453</v>
      </c>
      <c r="B8418" s="1" t="s">
        <v>26</v>
      </c>
      <c r="C8418" s="1" t="n">
        <v>204000</v>
      </c>
      <c r="D8418" s="1" t="n">
        <v>7702.6</v>
      </c>
      <c r="E8418" s="1" t="n">
        <v>0.0229</v>
      </c>
      <c r="F8418" s="1" t="n">
        <v>0.1067</v>
      </c>
    </row>
    <row r="8419" customFormat="false" ht="15" hidden="false" customHeight="false" outlineLevel="0" collapsed="false">
      <c r="A8419" s="1" t="s">
        <v>8454</v>
      </c>
      <c r="B8419" s="1" t="s">
        <v>81</v>
      </c>
      <c r="C8419" s="1" t="n">
        <v>279000</v>
      </c>
      <c r="D8419" s="1" t="n">
        <v>14833.2</v>
      </c>
      <c r="E8419" s="1" t="n">
        <v>0.0136</v>
      </c>
      <c r="F8419" s="1" t="n">
        <v>0.0488</v>
      </c>
    </row>
    <row r="8420" customFormat="false" ht="15" hidden="false" customHeight="false" outlineLevel="0" collapsed="false">
      <c r="A8420" s="1" t="s">
        <v>8455</v>
      </c>
      <c r="B8420" s="1" t="s">
        <v>41</v>
      </c>
      <c r="C8420" s="1" t="n">
        <v>204000</v>
      </c>
      <c r="D8420" s="1" t="n">
        <v>84.6</v>
      </c>
      <c r="E8420" s="1" t="n">
        <v>0.0385</v>
      </c>
      <c r="F8420" s="1" t="n">
        <v>0.1241</v>
      </c>
    </row>
    <row r="8421" customFormat="false" ht="15" hidden="false" customHeight="false" outlineLevel="0" collapsed="false">
      <c r="A8421" s="1" t="s">
        <v>8456</v>
      </c>
      <c r="B8421" s="1" t="s">
        <v>32</v>
      </c>
      <c r="C8421" s="1" t="n">
        <v>253000</v>
      </c>
      <c r="D8421" s="1" t="n">
        <v>5914686.4</v>
      </c>
      <c r="E8421" s="1" t="n">
        <v>0.0332</v>
      </c>
      <c r="F8421" s="1" t="n">
        <v>0.1184</v>
      </c>
    </row>
    <row r="8422" customFormat="false" ht="15" hidden="false" customHeight="false" outlineLevel="0" collapsed="false">
      <c r="A8422" s="1" t="s">
        <v>8457</v>
      </c>
      <c r="B8422" s="1" t="s">
        <v>195</v>
      </c>
      <c r="C8422" s="1" t="n">
        <v>246000</v>
      </c>
      <c r="D8422" s="1" t="n">
        <v>567195.8</v>
      </c>
      <c r="E8422" s="1" t="n">
        <v>0.0036</v>
      </c>
      <c r="F8422" s="1" t="n">
        <v>0.6149</v>
      </c>
    </row>
    <row r="8423" customFormat="false" ht="15" hidden="false" customHeight="false" outlineLevel="0" collapsed="false">
      <c r="A8423" s="1" t="s">
        <v>8458</v>
      </c>
      <c r="B8423" s="1" t="s">
        <v>26</v>
      </c>
      <c r="C8423" s="1" t="n">
        <v>346000</v>
      </c>
      <c r="D8423" s="1" t="n">
        <v>199501.7</v>
      </c>
      <c r="E8423" s="1" t="n">
        <v>0.035</v>
      </c>
      <c r="F8423" s="1" t="n">
        <v>0.0759</v>
      </c>
    </row>
    <row r="8424" customFormat="false" ht="15" hidden="false" customHeight="false" outlineLevel="0" collapsed="false">
      <c r="A8424" s="1" t="s">
        <v>8459</v>
      </c>
      <c r="B8424" s="1" t="s">
        <v>92</v>
      </c>
      <c r="C8424" s="1" t="n">
        <v>245000</v>
      </c>
      <c r="D8424" s="1" t="n">
        <v>2651.8</v>
      </c>
      <c r="E8424" s="1" t="n">
        <v>0.0297</v>
      </c>
      <c r="F8424" s="1" t="n">
        <v>0.0759</v>
      </c>
    </row>
    <row r="8425" customFormat="false" ht="15" hidden="false" customHeight="false" outlineLevel="0" collapsed="false">
      <c r="A8425" s="1" t="s">
        <v>8460</v>
      </c>
      <c r="B8425" s="1" t="s">
        <v>92</v>
      </c>
      <c r="C8425" s="1" t="n">
        <v>323000</v>
      </c>
      <c r="D8425" s="1" t="n">
        <v>4427.6</v>
      </c>
      <c r="E8425" s="1" t="n">
        <v>0.0116</v>
      </c>
      <c r="F8425" s="1" t="n">
        <v>0.0731</v>
      </c>
    </row>
    <row r="8426" customFormat="false" ht="15" hidden="false" customHeight="false" outlineLevel="0" collapsed="false">
      <c r="A8426" s="1" t="s">
        <v>8461</v>
      </c>
      <c r="B8426" s="1" t="s">
        <v>62</v>
      </c>
      <c r="C8426" s="1" t="n">
        <v>203000</v>
      </c>
      <c r="D8426" s="1" t="n">
        <v>9362.4</v>
      </c>
      <c r="E8426" s="1" t="n">
        <v>0.0365</v>
      </c>
      <c r="F8426" s="1" t="n">
        <v>0.0951</v>
      </c>
    </row>
    <row r="8427" customFormat="false" ht="15" hidden="false" customHeight="false" outlineLevel="0" collapsed="false">
      <c r="A8427" s="1" t="s">
        <v>8462</v>
      </c>
      <c r="B8427" s="1" t="s">
        <v>53</v>
      </c>
      <c r="C8427" s="1" t="n">
        <v>205000</v>
      </c>
      <c r="D8427" s="1" t="n">
        <v>1313.2</v>
      </c>
      <c r="E8427" s="1" t="n">
        <v>0.0108</v>
      </c>
      <c r="F8427" s="1" t="n">
        <v>0.0654</v>
      </c>
    </row>
    <row r="8428" customFormat="false" ht="15" hidden="false" customHeight="false" outlineLevel="0" collapsed="false">
      <c r="A8428" s="1" t="s">
        <v>8463</v>
      </c>
      <c r="B8428" s="1" t="s">
        <v>88</v>
      </c>
      <c r="C8428" s="1" t="n">
        <v>303000</v>
      </c>
      <c r="D8428" s="1" t="n">
        <v>22388.1</v>
      </c>
      <c r="E8428" s="1" t="n">
        <v>0.0385</v>
      </c>
      <c r="F8428" s="1" t="n">
        <v>0.0759</v>
      </c>
    </row>
    <row r="8429" customFormat="false" ht="15" hidden="false" customHeight="false" outlineLevel="0" collapsed="false">
      <c r="A8429" s="1" t="s">
        <v>8464</v>
      </c>
      <c r="B8429" s="1" t="s">
        <v>41</v>
      </c>
      <c r="C8429" s="1" t="n">
        <v>232000</v>
      </c>
      <c r="D8429" s="1" t="n">
        <v>1645.7</v>
      </c>
      <c r="E8429" s="1" t="n">
        <v>0.046</v>
      </c>
      <c r="F8429" s="1" t="n">
        <v>0.0998</v>
      </c>
    </row>
    <row r="8430" customFormat="false" ht="15" hidden="false" customHeight="false" outlineLevel="0" collapsed="false">
      <c r="A8430" s="1" t="s">
        <v>8465</v>
      </c>
      <c r="B8430" s="1" t="s">
        <v>26</v>
      </c>
      <c r="C8430" s="1" t="n">
        <v>201000</v>
      </c>
      <c r="D8430" s="1" t="n">
        <v>98.4</v>
      </c>
      <c r="E8430" s="1" t="n">
        <v>0.0377</v>
      </c>
      <c r="F8430" s="1" t="n">
        <v>0.0951</v>
      </c>
    </row>
    <row r="8431" customFormat="false" ht="15" hidden="false" customHeight="false" outlineLevel="0" collapsed="false">
      <c r="A8431" s="1" t="s">
        <v>8466</v>
      </c>
      <c r="B8431" s="1" t="s">
        <v>30</v>
      </c>
      <c r="C8431" s="1" t="n">
        <v>1100000</v>
      </c>
      <c r="D8431" s="1" t="n">
        <v>496727.3</v>
      </c>
      <c r="E8431" s="1" t="n">
        <v>0.0459</v>
      </c>
      <c r="F8431" s="1" t="n">
        <v>0.0672</v>
      </c>
    </row>
    <row r="8432" customFormat="false" ht="15" hidden="false" customHeight="false" outlineLevel="0" collapsed="false">
      <c r="A8432" s="1" t="s">
        <v>8467</v>
      </c>
      <c r="B8432" s="1" t="s">
        <v>53</v>
      </c>
      <c r="C8432" s="1" t="n">
        <v>243000</v>
      </c>
      <c r="D8432" s="1" t="n">
        <v>1419.8</v>
      </c>
      <c r="E8432" s="1" t="n">
        <v>0.0947</v>
      </c>
      <c r="F8432" s="1" t="n">
        <v>0.0938</v>
      </c>
    </row>
    <row r="8433" customFormat="false" ht="15" hidden="false" customHeight="false" outlineLevel="0" collapsed="false">
      <c r="A8433" s="1" t="s">
        <v>8468</v>
      </c>
      <c r="B8433" s="1" t="s">
        <v>88</v>
      </c>
      <c r="C8433" s="1" t="n">
        <v>217000</v>
      </c>
      <c r="D8433" s="1" t="n">
        <v>252.9</v>
      </c>
      <c r="E8433" s="1" t="n">
        <v>0.0103</v>
      </c>
      <c r="F8433" s="1" t="n">
        <v>0.1015</v>
      </c>
    </row>
    <row r="8434" customFormat="false" ht="15" hidden="false" customHeight="false" outlineLevel="0" collapsed="false">
      <c r="A8434" s="1" t="s">
        <v>8469</v>
      </c>
      <c r="B8434" s="1" t="s">
        <v>214</v>
      </c>
      <c r="C8434" s="1" t="n">
        <v>209000</v>
      </c>
      <c r="D8434" s="1" t="n">
        <v>2399.9</v>
      </c>
      <c r="E8434" s="1" t="n">
        <v>0.0071</v>
      </c>
      <c r="F8434" s="1" t="n">
        <v>0.0654</v>
      </c>
    </row>
    <row r="8435" customFormat="false" ht="15" hidden="false" customHeight="false" outlineLevel="0" collapsed="false">
      <c r="A8435" s="1" t="s">
        <v>8470</v>
      </c>
      <c r="B8435" s="1" t="s">
        <v>88</v>
      </c>
      <c r="C8435" s="1" t="n">
        <v>329000</v>
      </c>
      <c r="D8435" s="1" t="n">
        <v>728.8</v>
      </c>
      <c r="E8435" s="1" t="n">
        <v>0.0107</v>
      </c>
      <c r="F8435" s="1" t="n">
        <v>0.1327</v>
      </c>
    </row>
    <row r="8436" customFormat="false" ht="15" hidden="false" customHeight="false" outlineLevel="0" collapsed="false">
      <c r="A8436" s="1" t="s">
        <v>8471</v>
      </c>
      <c r="B8436" s="1" t="s">
        <v>81</v>
      </c>
      <c r="C8436" s="1" t="n">
        <v>305000</v>
      </c>
      <c r="D8436" s="1" t="n">
        <v>8924.1</v>
      </c>
      <c r="E8436" s="1" t="n">
        <v>0.0167</v>
      </c>
      <c r="F8436" s="1" t="n">
        <v>0.0576</v>
      </c>
    </row>
    <row r="8437" customFormat="false" ht="15" hidden="false" customHeight="false" outlineLevel="0" collapsed="false">
      <c r="A8437" s="1" t="s">
        <v>8472</v>
      </c>
      <c r="B8437" s="1" t="s">
        <v>26</v>
      </c>
      <c r="C8437" s="1" t="n">
        <v>330000</v>
      </c>
      <c r="D8437" s="1" t="n">
        <v>5414.9</v>
      </c>
      <c r="E8437" s="1" t="n">
        <v>0.0255</v>
      </c>
      <c r="F8437" s="1" t="n">
        <v>0.0759</v>
      </c>
    </row>
    <row r="8438" customFormat="false" ht="15" hidden="false" customHeight="false" outlineLevel="0" collapsed="false">
      <c r="A8438" s="1" t="s">
        <v>8473</v>
      </c>
      <c r="B8438" s="1" t="s">
        <v>88</v>
      </c>
      <c r="C8438" s="1" t="n">
        <v>201000</v>
      </c>
      <c r="D8438" s="1" t="n">
        <v>7743.9</v>
      </c>
      <c r="E8438" s="1" t="n">
        <v>0.0241</v>
      </c>
      <c r="F8438" s="1" t="n">
        <v>0.0951</v>
      </c>
    </row>
    <row r="8439" customFormat="false" ht="15" hidden="false" customHeight="false" outlineLevel="0" collapsed="false">
      <c r="A8439" s="1" t="s">
        <v>8474</v>
      </c>
      <c r="B8439" s="1" t="s">
        <v>214</v>
      </c>
      <c r="C8439" s="1" t="n">
        <v>215000</v>
      </c>
      <c r="D8439" s="1" t="n">
        <v>474.6</v>
      </c>
      <c r="E8439" s="1" t="n">
        <v>0.008</v>
      </c>
      <c r="F8439" s="1" t="n">
        <v>0.3805</v>
      </c>
    </row>
    <row r="8440" customFormat="false" ht="15" hidden="false" customHeight="false" outlineLevel="0" collapsed="false">
      <c r="A8440" s="1" t="s">
        <v>8475</v>
      </c>
      <c r="B8440" s="1" t="s">
        <v>195</v>
      </c>
      <c r="C8440" s="1" t="n">
        <v>344000</v>
      </c>
      <c r="D8440" s="1" t="n">
        <v>1614.3</v>
      </c>
      <c r="E8440" s="1" t="n">
        <v>0.0117</v>
      </c>
      <c r="F8440" s="1" t="n">
        <v>0.0811</v>
      </c>
    </row>
    <row r="8441" customFormat="false" ht="15" hidden="false" customHeight="false" outlineLevel="0" collapsed="false">
      <c r="A8441" s="1" t="s">
        <v>8476</v>
      </c>
      <c r="B8441" s="1" t="s">
        <v>53</v>
      </c>
      <c r="C8441" s="1" t="n">
        <v>335000</v>
      </c>
      <c r="D8441" s="1" t="n">
        <v>856.7</v>
      </c>
      <c r="E8441" s="1" t="n">
        <v>0.0377</v>
      </c>
      <c r="F8441" s="1" t="n">
        <v>0.1243</v>
      </c>
    </row>
    <row r="8442" customFormat="false" ht="15" hidden="false" customHeight="false" outlineLevel="0" collapsed="false">
      <c r="A8442" s="1" t="s">
        <v>8477</v>
      </c>
      <c r="B8442" s="1" t="s">
        <v>30</v>
      </c>
      <c r="C8442" s="1" t="n">
        <v>498000</v>
      </c>
      <c r="D8442" s="1" t="n">
        <v>2448406.6</v>
      </c>
      <c r="F8442" s="1" t="n">
        <v>0.0518</v>
      </c>
    </row>
    <row r="8443" customFormat="false" ht="15" hidden="false" customHeight="false" outlineLevel="0" collapsed="false">
      <c r="A8443" s="1" t="s">
        <v>8478</v>
      </c>
      <c r="B8443" s="1" t="s">
        <v>50</v>
      </c>
      <c r="C8443" s="1" t="n">
        <v>219000</v>
      </c>
      <c r="D8443" s="1" t="n">
        <v>26272.7</v>
      </c>
      <c r="E8443" s="1" t="n">
        <v>0.022</v>
      </c>
      <c r="F8443" s="1" t="n">
        <v>0.0951</v>
      </c>
    </row>
    <row r="8444" customFormat="false" ht="15" hidden="false" customHeight="false" outlineLevel="0" collapsed="false">
      <c r="A8444" s="1" t="s">
        <v>8479</v>
      </c>
      <c r="B8444" s="1" t="s">
        <v>41</v>
      </c>
      <c r="C8444" s="1" t="n">
        <v>291000</v>
      </c>
      <c r="D8444" s="1" t="n">
        <v>3407.3</v>
      </c>
      <c r="E8444" s="1" t="n">
        <v>0.0108</v>
      </c>
      <c r="F8444" s="1" t="n">
        <v>0.1786</v>
      </c>
    </row>
    <row r="8445" customFormat="false" ht="15" hidden="false" customHeight="false" outlineLevel="0" collapsed="false">
      <c r="A8445" s="1" t="s">
        <v>8480</v>
      </c>
      <c r="B8445" s="1" t="s">
        <v>88</v>
      </c>
      <c r="C8445" s="1" t="n">
        <v>232000</v>
      </c>
      <c r="D8445" s="1" t="n">
        <v>225.8</v>
      </c>
      <c r="E8445" s="1" t="n">
        <v>0.0429</v>
      </c>
      <c r="F8445" s="1" t="n">
        <v>0.0938</v>
      </c>
    </row>
    <row r="8446" customFormat="false" ht="15" hidden="false" customHeight="false" outlineLevel="0" collapsed="false">
      <c r="A8446" s="1" t="s">
        <v>8481</v>
      </c>
      <c r="B8446" s="1" t="s">
        <v>88</v>
      </c>
      <c r="C8446" s="1" t="n">
        <v>455000</v>
      </c>
      <c r="D8446" s="1" t="n">
        <v>11215</v>
      </c>
      <c r="E8446" s="1" t="n">
        <v>0.0394</v>
      </c>
      <c r="F8446" s="1" t="n">
        <v>0.0938</v>
      </c>
    </row>
    <row r="8447" customFormat="false" ht="15" hidden="false" customHeight="false" outlineLevel="0" collapsed="false">
      <c r="A8447" s="1" t="s">
        <v>8482</v>
      </c>
      <c r="B8447" s="1" t="s">
        <v>88</v>
      </c>
      <c r="C8447" s="1" t="n">
        <v>238000</v>
      </c>
      <c r="D8447" s="1" t="n">
        <v>163.4</v>
      </c>
      <c r="E8447" s="1" t="n">
        <v>0.0404</v>
      </c>
      <c r="F8447" s="1" t="n">
        <v>0.0938</v>
      </c>
    </row>
    <row r="8448" customFormat="false" ht="15" hidden="false" customHeight="false" outlineLevel="0" collapsed="false">
      <c r="A8448" s="1" t="s">
        <v>8483</v>
      </c>
      <c r="B8448" s="1" t="s">
        <v>24</v>
      </c>
      <c r="C8448" s="1" t="n">
        <v>289000</v>
      </c>
      <c r="D8448" s="1" t="n">
        <v>4814.7</v>
      </c>
      <c r="E8448" s="1" t="n">
        <v>0.0236</v>
      </c>
      <c r="F8448" s="1" t="n">
        <v>0.0951</v>
      </c>
    </row>
    <row r="8449" customFormat="false" ht="15" hidden="false" customHeight="false" outlineLevel="0" collapsed="false">
      <c r="A8449" s="1" t="s">
        <v>8484</v>
      </c>
      <c r="B8449" s="1" t="s">
        <v>214</v>
      </c>
      <c r="C8449" s="1" t="n">
        <v>325000</v>
      </c>
      <c r="D8449" s="1" t="n">
        <v>13670.9</v>
      </c>
      <c r="E8449" s="1" t="n">
        <v>0.02</v>
      </c>
      <c r="F8449" s="1" t="n">
        <v>0.1067</v>
      </c>
    </row>
    <row r="8450" customFormat="false" ht="15" hidden="false" customHeight="false" outlineLevel="0" collapsed="false">
      <c r="A8450" s="1" t="s">
        <v>8485</v>
      </c>
      <c r="B8450" s="1" t="s">
        <v>26</v>
      </c>
      <c r="C8450" s="1" t="n">
        <v>258000</v>
      </c>
      <c r="D8450" s="1" t="n">
        <v>3019.4</v>
      </c>
      <c r="E8450" s="1" t="n">
        <v>0.0121</v>
      </c>
      <c r="F8450" s="1" t="n">
        <v>0.052</v>
      </c>
    </row>
    <row r="8451" customFormat="false" ht="15" hidden="false" customHeight="false" outlineLevel="0" collapsed="false">
      <c r="A8451" s="1" t="s">
        <v>8486</v>
      </c>
      <c r="B8451" s="1" t="s">
        <v>26</v>
      </c>
      <c r="C8451" s="1" t="n">
        <v>274000</v>
      </c>
      <c r="D8451" s="1" t="n">
        <v>1325.3</v>
      </c>
      <c r="E8451" s="1" t="n">
        <v>0.0113</v>
      </c>
      <c r="F8451" s="1" t="n">
        <v>0.0654</v>
      </c>
    </row>
    <row r="8452" customFormat="false" ht="15" hidden="false" customHeight="false" outlineLevel="0" collapsed="false">
      <c r="A8452" s="1" t="s">
        <v>8487</v>
      </c>
      <c r="B8452" s="1" t="s">
        <v>74</v>
      </c>
      <c r="C8452" s="1" t="n">
        <v>209000</v>
      </c>
      <c r="D8452" s="1" t="n">
        <v>1196.4</v>
      </c>
      <c r="E8452" s="1" t="n">
        <v>0.0287</v>
      </c>
      <c r="F8452" s="1" t="n">
        <v>0.0759</v>
      </c>
    </row>
    <row r="8453" customFormat="false" ht="15" hidden="false" customHeight="false" outlineLevel="0" collapsed="false">
      <c r="A8453" s="1" t="s">
        <v>8488</v>
      </c>
      <c r="B8453" s="1" t="s">
        <v>74</v>
      </c>
      <c r="C8453" s="1" t="n">
        <v>219000</v>
      </c>
      <c r="D8453" s="1" t="n">
        <v>288.3</v>
      </c>
      <c r="E8453" s="1" t="n">
        <v>0.0175</v>
      </c>
      <c r="F8453" s="1" t="n">
        <v>0.1067</v>
      </c>
    </row>
    <row r="8454" customFormat="false" ht="15" hidden="false" customHeight="false" outlineLevel="0" collapsed="false">
      <c r="A8454" s="1" t="s">
        <v>8489</v>
      </c>
      <c r="B8454" s="1" t="s">
        <v>74</v>
      </c>
      <c r="C8454" s="1" t="n">
        <v>257000</v>
      </c>
      <c r="D8454" s="1" t="n">
        <v>4614.2</v>
      </c>
      <c r="E8454" s="1" t="n">
        <v>0.0532</v>
      </c>
      <c r="F8454" s="1" t="n">
        <v>0.0759</v>
      </c>
    </row>
    <row r="8455" customFormat="false" ht="15" hidden="false" customHeight="false" outlineLevel="0" collapsed="false">
      <c r="A8455" s="1" t="s">
        <v>8490</v>
      </c>
      <c r="B8455" s="1" t="s">
        <v>26</v>
      </c>
      <c r="C8455" s="1" t="n">
        <v>256000</v>
      </c>
      <c r="D8455" s="1" t="n">
        <v>1703</v>
      </c>
      <c r="E8455" s="1" t="n">
        <v>0.0129</v>
      </c>
      <c r="F8455" s="1" t="n">
        <v>0.1309</v>
      </c>
    </row>
    <row r="8456" customFormat="false" ht="15" hidden="false" customHeight="false" outlineLevel="0" collapsed="false">
      <c r="A8456" s="1" t="s">
        <v>8491</v>
      </c>
      <c r="B8456" s="1" t="s">
        <v>214</v>
      </c>
      <c r="C8456" s="1" t="n">
        <v>247000</v>
      </c>
      <c r="D8456" s="1" t="n">
        <v>197999.6</v>
      </c>
      <c r="E8456" s="1" t="n">
        <v>0.0306</v>
      </c>
      <c r="F8456" s="1" t="n">
        <v>0.0735</v>
      </c>
    </row>
    <row r="8457" customFormat="false" ht="15" hidden="false" customHeight="false" outlineLevel="0" collapsed="false">
      <c r="A8457" s="1" t="s">
        <v>8492</v>
      </c>
      <c r="B8457" s="1" t="s">
        <v>92</v>
      </c>
      <c r="C8457" s="1" t="n">
        <v>283000</v>
      </c>
      <c r="D8457" s="1" t="n">
        <v>1137</v>
      </c>
      <c r="E8457" s="1" t="n">
        <v>0.0295</v>
      </c>
      <c r="F8457" s="1" t="n">
        <v>0.0759</v>
      </c>
    </row>
    <row r="8458" customFormat="false" ht="15" hidden="false" customHeight="false" outlineLevel="0" collapsed="false">
      <c r="A8458" s="1" t="s">
        <v>8493</v>
      </c>
      <c r="B8458" s="1" t="s">
        <v>53</v>
      </c>
      <c r="C8458" s="1" t="n">
        <v>159000</v>
      </c>
      <c r="D8458" s="1" t="n">
        <v>88423.7</v>
      </c>
      <c r="E8458" s="1" t="n">
        <v>0.0146</v>
      </c>
      <c r="F8458" s="1" t="n">
        <v>0.2294</v>
      </c>
    </row>
    <row r="8459" customFormat="false" ht="15" hidden="false" customHeight="false" outlineLevel="0" collapsed="false">
      <c r="A8459" s="1" t="s">
        <v>8494</v>
      </c>
      <c r="B8459" s="1" t="s">
        <v>287</v>
      </c>
      <c r="C8459" s="1" t="n">
        <v>314000</v>
      </c>
      <c r="D8459" s="1" t="n">
        <v>5477</v>
      </c>
      <c r="E8459" s="1" t="n">
        <v>0.082</v>
      </c>
      <c r="F8459" s="1" t="n">
        <v>0.0759</v>
      </c>
    </row>
    <row r="8460" customFormat="false" ht="15" hidden="false" customHeight="false" outlineLevel="0" collapsed="false">
      <c r="A8460" s="1" t="s">
        <v>8495</v>
      </c>
      <c r="B8460" s="1" t="s">
        <v>287</v>
      </c>
      <c r="C8460" s="1" t="n">
        <v>201000</v>
      </c>
      <c r="D8460" s="1" t="n">
        <v>12528.2</v>
      </c>
      <c r="E8460" s="1" t="n">
        <v>0.0327</v>
      </c>
      <c r="F8460" s="1" t="n">
        <v>0.0759</v>
      </c>
    </row>
    <row r="8461" customFormat="false" ht="15" hidden="false" customHeight="false" outlineLevel="0" collapsed="false">
      <c r="A8461" s="1" t="s">
        <v>8496</v>
      </c>
      <c r="B8461" s="1" t="s">
        <v>62</v>
      </c>
      <c r="C8461" s="1" t="n">
        <v>239000</v>
      </c>
      <c r="D8461" s="1" t="n">
        <v>524.5</v>
      </c>
      <c r="E8461" s="1" t="n">
        <v>0.0281</v>
      </c>
      <c r="F8461" s="1" t="n">
        <v>0.0951</v>
      </c>
    </row>
    <row r="8462" customFormat="false" ht="15" hidden="false" customHeight="false" outlineLevel="0" collapsed="false">
      <c r="A8462" s="1" t="s">
        <v>8497</v>
      </c>
      <c r="B8462" s="1" t="s">
        <v>287</v>
      </c>
      <c r="C8462" s="1" t="n">
        <v>195000</v>
      </c>
      <c r="D8462" s="1" t="n">
        <v>1194.3</v>
      </c>
      <c r="E8462" s="1" t="n">
        <v>0.0195</v>
      </c>
      <c r="F8462" s="1" t="n">
        <v>0.1067</v>
      </c>
    </row>
    <row r="8463" customFormat="false" ht="15" hidden="false" customHeight="false" outlineLevel="0" collapsed="false">
      <c r="A8463" s="1" t="s">
        <v>8498</v>
      </c>
      <c r="B8463" s="1" t="s">
        <v>32</v>
      </c>
      <c r="C8463" s="1" t="n">
        <v>195000</v>
      </c>
      <c r="D8463" s="1" t="n">
        <v>592805.4</v>
      </c>
      <c r="E8463" s="1" t="n">
        <v>0.0737</v>
      </c>
      <c r="F8463" s="1" t="n">
        <v>0.0951</v>
      </c>
    </row>
    <row r="8464" customFormat="false" ht="15" hidden="false" customHeight="false" outlineLevel="0" collapsed="false">
      <c r="A8464" s="1" t="s">
        <v>8499</v>
      </c>
      <c r="B8464" s="1" t="s">
        <v>26</v>
      </c>
      <c r="C8464" s="1" t="n">
        <v>428000</v>
      </c>
      <c r="D8464" s="1" t="n">
        <v>516.9</v>
      </c>
      <c r="E8464" s="1" t="n">
        <v>0.0215</v>
      </c>
      <c r="F8464" s="1" t="n">
        <v>0.1053</v>
      </c>
    </row>
    <row r="8465" customFormat="false" ht="15" hidden="false" customHeight="false" outlineLevel="0" collapsed="false">
      <c r="A8465" s="1" t="s">
        <v>8500</v>
      </c>
      <c r="B8465" s="1" t="s">
        <v>26</v>
      </c>
      <c r="C8465" s="1" t="n">
        <v>227000</v>
      </c>
      <c r="D8465" s="1" t="n">
        <v>57.5</v>
      </c>
      <c r="F8465" s="1" t="n">
        <v>0.0409</v>
      </c>
    </row>
    <row r="8466" customFormat="false" ht="15" hidden="false" customHeight="false" outlineLevel="0" collapsed="false">
      <c r="A8466" s="1" t="s">
        <v>8501</v>
      </c>
      <c r="B8466" s="1" t="s">
        <v>26</v>
      </c>
      <c r="C8466" s="1" t="n">
        <v>208000</v>
      </c>
      <c r="D8466" s="1" t="n">
        <v>13123.8</v>
      </c>
      <c r="E8466" s="1" t="n">
        <v>0.0207</v>
      </c>
      <c r="F8466" s="1" t="n">
        <v>0.095</v>
      </c>
    </row>
    <row r="8467" customFormat="false" ht="15" hidden="false" customHeight="false" outlineLevel="0" collapsed="false">
      <c r="A8467" s="1" t="s">
        <v>8502</v>
      </c>
      <c r="B8467" s="1" t="s">
        <v>62</v>
      </c>
      <c r="C8467" s="1" t="n">
        <v>620000</v>
      </c>
      <c r="D8467" s="1" t="n">
        <v>184708.1</v>
      </c>
      <c r="E8467" s="1" t="n">
        <v>0.0481</v>
      </c>
      <c r="F8467" s="1" t="n">
        <v>0.0409</v>
      </c>
    </row>
    <row r="8468" customFormat="false" ht="15" hidden="false" customHeight="false" outlineLevel="0" collapsed="false">
      <c r="A8468" s="1" t="s">
        <v>8503</v>
      </c>
      <c r="B8468" s="1" t="s">
        <v>62</v>
      </c>
      <c r="C8468" s="1" t="n">
        <v>258000</v>
      </c>
      <c r="D8468" s="1" t="n">
        <v>4306.9</v>
      </c>
      <c r="E8468" s="1" t="n">
        <v>0.0197</v>
      </c>
      <c r="F8468" s="1" t="n">
        <v>0.0576</v>
      </c>
    </row>
    <row r="8469" customFormat="false" ht="15" hidden="false" customHeight="false" outlineLevel="0" collapsed="false">
      <c r="A8469" s="1" t="s">
        <v>8504</v>
      </c>
      <c r="B8469" s="1" t="s">
        <v>287</v>
      </c>
      <c r="C8469" s="1" t="n">
        <v>220000</v>
      </c>
      <c r="D8469" s="1" t="n">
        <v>8816.9</v>
      </c>
      <c r="E8469" s="1" t="n">
        <v>0.0403</v>
      </c>
      <c r="F8469" s="1" t="n">
        <v>0.0759</v>
      </c>
    </row>
    <row r="8470" customFormat="false" ht="15" hidden="false" customHeight="false" outlineLevel="0" collapsed="false">
      <c r="A8470" s="1" t="s">
        <v>8505</v>
      </c>
      <c r="B8470" s="1" t="s">
        <v>26</v>
      </c>
      <c r="C8470" s="1" t="n">
        <v>270000</v>
      </c>
      <c r="D8470" s="1" t="n">
        <v>2636</v>
      </c>
      <c r="E8470" s="1" t="n">
        <v>0.0227</v>
      </c>
      <c r="F8470" s="1" t="n">
        <v>0.0538</v>
      </c>
    </row>
    <row r="8471" customFormat="false" ht="15" hidden="false" customHeight="false" outlineLevel="0" collapsed="false">
      <c r="A8471" s="1" t="s">
        <v>8506</v>
      </c>
      <c r="B8471" s="1" t="s">
        <v>214</v>
      </c>
      <c r="C8471" s="1" t="n">
        <v>698000</v>
      </c>
      <c r="D8471" s="1" t="n">
        <v>16287.3</v>
      </c>
      <c r="E8471" s="1" t="n">
        <v>0.0145</v>
      </c>
      <c r="F8471" s="1" t="n">
        <v>0.0854</v>
      </c>
    </row>
    <row r="8472" customFormat="false" ht="15" hidden="false" customHeight="false" outlineLevel="0" collapsed="false">
      <c r="A8472" s="1" t="s">
        <v>8507</v>
      </c>
      <c r="B8472" s="1" t="s">
        <v>74</v>
      </c>
      <c r="C8472" s="1" t="n">
        <v>295000</v>
      </c>
      <c r="D8472" s="1" t="n">
        <v>387.5</v>
      </c>
      <c r="E8472" s="1" t="n">
        <v>0.0458</v>
      </c>
      <c r="F8472" s="1" t="n">
        <v>0.0759</v>
      </c>
    </row>
    <row r="8473" customFormat="false" ht="15" hidden="false" customHeight="false" outlineLevel="0" collapsed="false">
      <c r="A8473" s="1" t="s">
        <v>8508</v>
      </c>
      <c r="B8473" s="1" t="s">
        <v>74</v>
      </c>
      <c r="C8473" s="1" t="n">
        <v>630000</v>
      </c>
      <c r="D8473" s="1" t="n">
        <v>31.6</v>
      </c>
      <c r="F8473" s="1" t="n">
        <v>0.0938</v>
      </c>
    </row>
    <row r="8474" customFormat="false" ht="15" hidden="false" customHeight="false" outlineLevel="0" collapsed="false">
      <c r="A8474" s="1" t="s">
        <v>8509</v>
      </c>
      <c r="B8474" s="1" t="s">
        <v>26</v>
      </c>
      <c r="C8474" s="1" t="n">
        <v>200000</v>
      </c>
      <c r="D8474" s="1" t="n">
        <v>857.4</v>
      </c>
      <c r="E8474" s="1" t="n">
        <v>0.0251</v>
      </c>
      <c r="F8474" s="1" t="n">
        <v>0.0951</v>
      </c>
    </row>
    <row r="8475" customFormat="false" ht="15" hidden="false" customHeight="false" outlineLevel="0" collapsed="false">
      <c r="A8475" s="1" t="s">
        <v>8510</v>
      </c>
      <c r="B8475" s="1" t="s">
        <v>88</v>
      </c>
      <c r="C8475" s="1" t="n">
        <v>203000</v>
      </c>
      <c r="D8475" s="1" t="n">
        <v>973.4</v>
      </c>
      <c r="E8475" s="1" t="n">
        <v>0.0492</v>
      </c>
      <c r="F8475" s="1" t="n">
        <v>0.0759</v>
      </c>
    </row>
    <row r="8476" customFormat="false" ht="15" hidden="false" customHeight="false" outlineLevel="0" collapsed="false">
      <c r="A8476" s="1" t="s">
        <v>8511</v>
      </c>
      <c r="B8476" s="1" t="s">
        <v>26</v>
      </c>
      <c r="C8476" s="1" t="n">
        <v>202000</v>
      </c>
      <c r="D8476" s="1" t="n">
        <v>56072.9</v>
      </c>
      <c r="E8476" s="1" t="n">
        <v>0.0203</v>
      </c>
      <c r="F8476" s="1" t="n">
        <v>0.0585</v>
      </c>
    </row>
    <row r="8477" customFormat="false" ht="15" hidden="false" customHeight="false" outlineLevel="0" collapsed="false">
      <c r="A8477" s="1" t="s">
        <v>8512</v>
      </c>
      <c r="B8477" s="1" t="s">
        <v>28</v>
      </c>
      <c r="C8477" s="1" t="n">
        <v>236000</v>
      </c>
      <c r="D8477" s="1" t="n">
        <v>5118.2</v>
      </c>
      <c r="E8477" s="1" t="n">
        <v>0.0391</v>
      </c>
      <c r="F8477" s="1" t="n">
        <v>0.0951</v>
      </c>
    </row>
    <row r="8478" customFormat="false" ht="15" hidden="false" customHeight="false" outlineLevel="0" collapsed="false">
      <c r="A8478" s="1" t="s">
        <v>8513</v>
      </c>
      <c r="B8478" s="1" t="s">
        <v>26</v>
      </c>
      <c r="C8478" s="1" t="n">
        <v>282000</v>
      </c>
      <c r="D8478" s="1" t="n">
        <v>20196.2</v>
      </c>
      <c r="E8478" s="1" t="n">
        <v>0.0201</v>
      </c>
      <c r="F8478" s="1" t="n">
        <v>0.0815</v>
      </c>
    </row>
    <row r="8479" customFormat="false" ht="15" hidden="false" customHeight="false" outlineLevel="0" collapsed="false">
      <c r="A8479" s="1" t="s">
        <v>8514</v>
      </c>
      <c r="B8479" s="1" t="s">
        <v>62</v>
      </c>
      <c r="C8479" s="1" t="n">
        <v>196000</v>
      </c>
      <c r="D8479" s="1" t="n">
        <v>3365</v>
      </c>
      <c r="E8479" s="1" t="n">
        <v>0.0091</v>
      </c>
      <c r="F8479" s="1" t="n">
        <v>0.0822</v>
      </c>
    </row>
    <row r="8480" customFormat="false" ht="15" hidden="false" customHeight="false" outlineLevel="0" collapsed="false">
      <c r="A8480" s="1" t="s">
        <v>8515</v>
      </c>
      <c r="B8480" s="1" t="s">
        <v>41</v>
      </c>
      <c r="C8480" s="1" t="n">
        <v>270000</v>
      </c>
      <c r="D8480" s="1" t="n">
        <v>19315</v>
      </c>
      <c r="E8480" s="1" t="n">
        <v>0.0125</v>
      </c>
      <c r="F8480" s="1" t="n">
        <v>0.0726</v>
      </c>
    </row>
    <row r="8481" customFormat="false" ht="15" hidden="false" customHeight="false" outlineLevel="0" collapsed="false">
      <c r="A8481" s="1" t="s">
        <v>8516</v>
      </c>
      <c r="B8481" s="1" t="s">
        <v>26</v>
      </c>
      <c r="C8481" s="1" t="n">
        <v>217000</v>
      </c>
      <c r="D8481" s="1" t="n">
        <v>2231.8</v>
      </c>
      <c r="E8481" s="1" t="n">
        <v>0.0119</v>
      </c>
      <c r="F8481" s="1" t="n">
        <v>0.1377</v>
      </c>
    </row>
    <row r="8482" customFormat="false" ht="15" hidden="false" customHeight="false" outlineLevel="0" collapsed="false">
      <c r="A8482" s="1" t="s">
        <v>8517</v>
      </c>
      <c r="B8482" s="1" t="s">
        <v>26</v>
      </c>
      <c r="C8482" s="1" t="n">
        <v>888000</v>
      </c>
      <c r="D8482" s="1" t="n">
        <v>235663.5</v>
      </c>
      <c r="E8482" s="1" t="n">
        <v>0.0372</v>
      </c>
      <c r="F8482" s="1" t="n">
        <v>0.0409</v>
      </c>
    </row>
    <row r="8483" customFormat="false" ht="15" hidden="false" customHeight="false" outlineLevel="0" collapsed="false">
      <c r="A8483" s="1" t="s">
        <v>8518</v>
      </c>
      <c r="B8483" s="1" t="s">
        <v>81</v>
      </c>
      <c r="C8483" s="1" t="n">
        <v>231000</v>
      </c>
      <c r="D8483" s="1" t="n">
        <v>10427</v>
      </c>
      <c r="E8483" s="1" t="n">
        <v>0.023</v>
      </c>
      <c r="F8483" s="1" t="n">
        <v>0.0759</v>
      </c>
    </row>
    <row r="8484" customFormat="false" ht="15" hidden="false" customHeight="false" outlineLevel="0" collapsed="false">
      <c r="A8484" s="1" t="s">
        <v>8519</v>
      </c>
      <c r="B8484" s="1" t="s">
        <v>53</v>
      </c>
      <c r="C8484" s="1" t="n">
        <v>189000</v>
      </c>
      <c r="D8484" s="1" t="n">
        <v>2335.3</v>
      </c>
      <c r="E8484" s="1" t="n">
        <v>0.0227</v>
      </c>
      <c r="F8484" s="1" t="n">
        <v>0.0518</v>
      </c>
    </row>
    <row r="8485" customFormat="false" ht="15" hidden="false" customHeight="false" outlineLevel="0" collapsed="false">
      <c r="A8485" s="1" t="s">
        <v>8520</v>
      </c>
      <c r="B8485" s="1" t="s">
        <v>88</v>
      </c>
      <c r="C8485" s="1" t="n">
        <v>283000</v>
      </c>
      <c r="D8485" s="1" t="n">
        <v>1075.8</v>
      </c>
      <c r="E8485" s="1" t="n">
        <v>0.0358</v>
      </c>
      <c r="F8485" s="1" t="n">
        <v>0.0938</v>
      </c>
    </row>
    <row r="8486" customFormat="false" ht="15" hidden="false" customHeight="false" outlineLevel="0" collapsed="false">
      <c r="A8486" s="1" t="s">
        <v>8521</v>
      </c>
      <c r="B8486" s="1" t="s">
        <v>50</v>
      </c>
      <c r="C8486" s="1" t="n">
        <v>304000</v>
      </c>
      <c r="D8486" s="1" t="n">
        <v>47897.5</v>
      </c>
      <c r="E8486" s="1" t="n">
        <v>0.0264</v>
      </c>
      <c r="F8486" s="1" t="n">
        <v>0.0951</v>
      </c>
    </row>
    <row r="8487" customFormat="false" ht="15" hidden="false" customHeight="false" outlineLevel="0" collapsed="false">
      <c r="A8487" s="1" t="s">
        <v>8522</v>
      </c>
      <c r="B8487" s="1" t="s">
        <v>24</v>
      </c>
      <c r="C8487" s="1" t="n">
        <v>251000</v>
      </c>
      <c r="D8487" s="1" t="n">
        <v>1200724.3</v>
      </c>
      <c r="F8487" s="1" t="n">
        <v>0.0951</v>
      </c>
    </row>
    <row r="8488" customFormat="false" ht="15" hidden="false" customHeight="false" outlineLevel="0" collapsed="false">
      <c r="A8488" s="1" t="s">
        <v>8523</v>
      </c>
      <c r="B8488" s="1" t="s">
        <v>214</v>
      </c>
      <c r="C8488" s="1" t="n">
        <v>286000</v>
      </c>
      <c r="D8488" s="1" t="n">
        <v>404.6</v>
      </c>
      <c r="E8488" s="1" t="n">
        <v>0.0175</v>
      </c>
      <c r="F8488" s="1" t="n">
        <v>0.1067</v>
      </c>
    </row>
    <row r="8489" customFormat="false" ht="15" hidden="false" customHeight="false" outlineLevel="0" collapsed="false">
      <c r="A8489" s="1" t="s">
        <v>8524</v>
      </c>
      <c r="B8489" s="1" t="s">
        <v>41</v>
      </c>
      <c r="C8489" s="1" t="n">
        <v>210000</v>
      </c>
      <c r="D8489" s="1" t="n">
        <v>117.7</v>
      </c>
      <c r="E8489" s="1" t="n">
        <v>0.0026</v>
      </c>
      <c r="F8489" s="1" t="n">
        <v>0.2399</v>
      </c>
    </row>
    <row r="8490" customFormat="false" ht="15" hidden="false" customHeight="false" outlineLevel="0" collapsed="false">
      <c r="A8490" s="1" t="s">
        <v>8525</v>
      </c>
      <c r="B8490" s="1" t="s">
        <v>62</v>
      </c>
      <c r="C8490" s="1" t="n">
        <v>270000</v>
      </c>
      <c r="D8490" s="1" t="n">
        <v>11010</v>
      </c>
      <c r="E8490" s="1" t="n">
        <v>0.0183</v>
      </c>
      <c r="F8490" s="1" t="n">
        <v>0.0585</v>
      </c>
    </row>
    <row r="8491" customFormat="false" ht="15" hidden="false" customHeight="false" outlineLevel="0" collapsed="false">
      <c r="A8491" s="1" t="s">
        <v>8526</v>
      </c>
      <c r="B8491" s="1" t="s">
        <v>26</v>
      </c>
      <c r="C8491" s="1" t="n">
        <v>281000</v>
      </c>
      <c r="D8491" s="1" t="n">
        <v>6434.6</v>
      </c>
      <c r="E8491" s="1" t="n">
        <v>0.0199</v>
      </c>
      <c r="F8491" s="1" t="n">
        <v>0.0759</v>
      </c>
    </row>
    <row r="8492" customFormat="false" ht="15" hidden="false" customHeight="false" outlineLevel="0" collapsed="false">
      <c r="A8492" s="1" t="s">
        <v>8527</v>
      </c>
      <c r="B8492" s="1" t="s">
        <v>92</v>
      </c>
      <c r="C8492" s="1" t="n">
        <v>197000</v>
      </c>
      <c r="D8492" s="1" t="n">
        <v>66279.5</v>
      </c>
      <c r="E8492" s="1" t="n">
        <v>0.025</v>
      </c>
      <c r="F8492" s="1" t="n">
        <v>0.0951</v>
      </c>
    </row>
    <row r="8493" customFormat="false" ht="15" hidden="false" customHeight="false" outlineLevel="0" collapsed="false">
      <c r="A8493" s="1" t="s">
        <v>8528</v>
      </c>
      <c r="B8493" s="1" t="s">
        <v>26</v>
      </c>
      <c r="C8493" s="1" t="n">
        <v>205000</v>
      </c>
      <c r="D8493" s="1" t="n">
        <v>4285.8</v>
      </c>
      <c r="E8493" s="1" t="n">
        <v>0.0295</v>
      </c>
      <c r="F8493" s="1" t="n">
        <v>0.0951</v>
      </c>
    </row>
    <row r="8494" customFormat="false" ht="15" hidden="false" customHeight="false" outlineLevel="0" collapsed="false">
      <c r="A8494" s="1" t="s">
        <v>8529</v>
      </c>
      <c r="B8494" s="1" t="s">
        <v>26</v>
      </c>
      <c r="C8494" s="1" t="n">
        <v>370000</v>
      </c>
      <c r="D8494" s="1" t="n">
        <v>3790.5</v>
      </c>
      <c r="E8494" s="1" t="n">
        <v>0.0096</v>
      </c>
      <c r="F8494" s="1" t="n">
        <v>0.0822</v>
      </c>
    </row>
    <row r="8495" customFormat="false" ht="15" hidden="false" customHeight="false" outlineLevel="0" collapsed="false">
      <c r="A8495" s="1" t="s">
        <v>8530</v>
      </c>
      <c r="B8495" s="1" t="s">
        <v>214</v>
      </c>
      <c r="C8495" s="1" t="n">
        <v>236000</v>
      </c>
      <c r="D8495" s="1" t="n">
        <v>638.5</v>
      </c>
      <c r="E8495" s="1" t="n">
        <v>0.0264</v>
      </c>
      <c r="F8495" s="1" t="n">
        <v>0.0938</v>
      </c>
    </row>
    <row r="8496" customFormat="false" ht="15" hidden="false" customHeight="false" outlineLevel="0" collapsed="false">
      <c r="A8496" s="1" t="s">
        <v>8531</v>
      </c>
      <c r="B8496" s="1" t="s">
        <v>195</v>
      </c>
      <c r="C8496" s="1" t="n">
        <v>233000</v>
      </c>
      <c r="D8496" s="1" t="n">
        <v>2554.8</v>
      </c>
      <c r="E8496" s="1" t="n">
        <v>0.011</v>
      </c>
      <c r="F8496" s="1" t="n">
        <v>0.0828</v>
      </c>
    </row>
    <row r="8497" customFormat="false" ht="15" hidden="false" customHeight="false" outlineLevel="0" collapsed="false">
      <c r="A8497" s="1" t="s">
        <v>8532</v>
      </c>
      <c r="B8497" s="1" t="s">
        <v>214</v>
      </c>
      <c r="C8497" s="1" t="n">
        <v>223000</v>
      </c>
      <c r="D8497" s="1" t="n">
        <v>1646.7</v>
      </c>
      <c r="E8497" s="1" t="n">
        <v>0.0089</v>
      </c>
      <c r="F8497" s="1" t="n">
        <v>0.1187</v>
      </c>
    </row>
    <row r="8498" customFormat="false" ht="15" hidden="false" customHeight="false" outlineLevel="0" collapsed="false">
      <c r="A8498" s="1" t="s">
        <v>8533</v>
      </c>
      <c r="B8498" s="1" t="s">
        <v>41</v>
      </c>
      <c r="C8498" s="1" t="n">
        <v>290000</v>
      </c>
      <c r="D8498" s="1" t="n">
        <v>54939.5</v>
      </c>
      <c r="E8498" s="1" t="n">
        <v>0.0583</v>
      </c>
      <c r="F8498" s="1" t="n">
        <v>0.0759</v>
      </c>
    </row>
    <row r="8499" customFormat="false" ht="15" hidden="false" customHeight="false" outlineLevel="0" collapsed="false">
      <c r="A8499" s="1" t="s">
        <v>8534</v>
      </c>
      <c r="B8499" s="1" t="s">
        <v>71</v>
      </c>
      <c r="C8499" s="1" t="n">
        <v>229000</v>
      </c>
      <c r="D8499" s="1" t="n">
        <v>258</v>
      </c>
      <c r="E8499" s="1" t="n">
        <v>0.0166</v>
      </c>
      <c r="F8499" s="1" t="n">
        <v>0.0854</v>
      </c>
    </row>
    <row r="8500" customFormat="false" ht="15" hidden="false" customHeight="false" outlineLevel="0" collapsed="false">
      <c r="A8500" s="1" t="s">
        <v>8535</v>
      </c>
      <c r="B8500" s="1" t="s">
        <v>26</v>
      </c>
      <c r="C8500" s="1" t="n">
        <v>354000</v>
      </c>
      <c r="D8500" s="1" t="n">
        <v>4290.4</v>
      </c>
      <c r="E8500" s="1" t="n">
        <v>0.0245</v>
      </c>
      <c r="F8500" s="1" t="n">
        <v>0.051</v>
      </c>
    </row>
    <row r="8501" customFormat="false" ht="15" hidden="false" customHeight="false" outlineLevel="0" collapsed="false">
      <c r="A8501" s="1" t="s">
        <v>8536</v>
      </c>
      <c r="B8501" s="1" t="s">
        <v>92</v>
      </c>
      <c r="C8501" s="1" t="n">
        <v>212000</v>
      </c>
      <c r="D8501" s="1" t="n">
        <v>2311.6</v>
      </c>
      <c r="E8501" s="1" t="n">
        <v>0.0139</v>
      </c>
      <c r="F8501" s="1" t="n">
        <v>0.1062</v>
      </c>
    </row>
    <row r="8502" customFormat="false" ht="15" hidden="false" customHeight="false" outlineLevel="0" collapsed="false">
      <c r="A8502" s="1" t="s">
        <v>8537</v>
      </c>
      <c r="B8502" s="1" t="s">
        <v>92</v>
      </c>
      <c r="C8502" s="1" t="n">
        <v>233000</v>
      </c>
      <c r="D8502" s="1" t="n">
        <v>4205.6</v>
      </c>
      <c r="F8502" s="1" t="n">
        <v>0.0409</v>
      </c>
    </row>
    <row r="8503" customFormat="false" ht="15" hidden="false" customHeight="false" outlineLevel="0" collapsed="false">
      <c r="A8503" s="1" t="s">
        <v>8538</v>
      </c>
      <c r="B8503" s="1" t="s">
        <v>62</v>
      </c>
      <c r="C8503" s="1" t="n">
        <v>396000</v>
      </c>
      <c r="D8503" s="1" t="n">
        <v>1258.8</v>
      </c>
      <c r="E8503" s="1" t="n">
        <v>0.0188</v>
      </c>
      <c r="F8503" s="1" t="n">
        <v>0.1372</v>
      </c>
    </row>
    <row r="8504" customFormat="false" ht="15" hidden="false" customHeight="false" outlineLevel="0" collapsed="false">
      <c r="A8504" s="1" t="s">
        <v>8539</v>
      </c>
      <c r="B8504" s="1" t="s">
        <v>287</v>
      </c>
      <c r="C8504" s="1" t="n">
        <v>230000</v>
      </c>
      <c r="D8504" s="1" t="n">
        <v>20223.3</v>
      </c>
      <c r="E8504" s="1" t="n">
        <v>0.0267</v>
      </c>
      <c r="F8504" s="1" t="n">
        <v>0.0759</v>
      </c>
    </row>
    <row r="8505" customFormat="false" ht="15" hidden="false" customHeight="false" outlineLevel="0" collapsed="false">
      <c r="A8505" s="1" t="s">
        <v>8540</v>
      </c>
      <c r="B8505" s="1" t="s">
        <v>26</v>
      </c>
      <c r="C8505" s="1" t="n">
        <v>267000</v>
      </c>
      <c r="D8505" s="1" t="n">
        <v>11470</v>
      </c>
      <c r="E8505" s="1" t="n">
        <v>0.0717</v>
      </c>
      <c r="F8505" s="1" t="n">
        <v>0.0759</v>
      </c>
    </row>
    <row r="8506" customFormat="false" ht="15" hidden="false" customHeight="false" outlineLevel="0" collapsed="false">
      <c r="A8506" s="1" t="s">
        <v>8541</v>
      </c>
      <c r="B8506" s="1" t="s">
        <v>88</v>
      </c>
      <c r="C8506" s="1" t="n">
        <v>214000</v>
      </c>
      <c r="D8506" s="1" t="n">
        <v>1957.1</v>
      </c>
      <c r="F8506" s="1" t="n">
        <v>0.117</v>
      </c>
    </row>
    <row r="8507" customFormat="false" ht="15" hidden="false" customHeight="false" outlineLevel="0" collapsed="false">
      <c r="A8507" s="1" t="s">
        <v>8542</v>
      </c>
      <c r="B8507" s="1" t="s">
        <v>26</v>
      </c>
      <c r="C8507" s="1" t="n">
        <v>250000</v>
      </c>
      <c r="D8507" s="1" t="n">
        <v>1240.3</v>
      </c>
      <c r="F8507" s="1" t="n">
        <v>0.0409</v>
      </c>
    </row>
    <row r="8508" customFormat="false" ht="15" hidden="false" customHeight="false" outlineLevel="0" collapsed="false">
      <c r="A8508" s="1" t="s">
        <v>8543</v>
      </c>
      <c r="B8508" s="1" t="s">
        <v>88</v>
      </c>
      <c r="C8508" s="1" t="n">
        <v>230000</v>
      </c>
      <c r="D8508" s="1" t="n">
        <v>785.6</v>
      </c>
      <c r="E8508" s="1" t="n">
        <v>0.0251</v>
      </c>
      <c r="F8508" s="1" t="n">
        <v>0.0546</v>
      </c>
    </row>
    <row r="8509" customFormat="false" ht="15" hidden="false" customHeight="false" outlineLevel="0" collapsed="false">
      <c r="A8509" s="1" t="s">
        <v>8544</v>
      </c>
      <c r="B8509" s="1" t="s">
        <v>24</v>
      </c>
      <c r="C8509" s="1" t="n">
        <v>360000</v>
      </c>
      <c r="D8509" s="1" t="n">
        <v>178133.2</v>
      </c>
      <c r="E8509" s="1" t="n">
        <v>0.0095</v>
      </c>
      <c r="F8509" s="1" t="n">
        <v>0.0822</v>
      </c>
    </row>
    <row r="8510" customFormat="false" ht="15" hidden="false" customHeight="false" outlineLevel="0" collapsed="false">
      <c r="A8510" s="1" t="s">
        <v>8545</v>
      </c>
      <c r="B8510" s="1" t="s">
        <v>214</v>
      </c>
      <c r="C8510" s="1" t="n">
        <v>224000</v>
      </c>
      <c r="D8510" s="1" t="n">
        <v>23951.9</v>
      </c>
      <c r="E8510" s="1" t="n">
        <v>0.0095</v>
      </c>
      <c r="F8510" s="1" t="n">
        <v>0.0822</v>
      </c>
    </row>
    <row r="8511" customFormat="false" ht="15" hidden="false" customHeight="false" outlineLevel="0" collapsed="false">
      <c r="A8511" s="1" t="s">
        <v>8546</v>
      </c>
      <c r="B8511" s="1" t="s">
        <v>26</v>
      </c>
      <c r="C8511" s="1" t="n">
        <v>388000</v>
      </c>
      <c r="D8511" s="1" t="n">
        <v>1549.1</v>
      </c>
      <c r="E8511" s="1" t="n">
        <v>0.0047</v>
      </c>
      <c r="F8511" s="1" t="n">
        <v>0.0811</v>
      </c>
    </row>
    <row r="8512" customFormat="false" ht="15" hidden="false" customHeight="false" outlineLevel="0" collapsed="false">
      <c r="A8512" s="1" t="s">
        <v>8547</v>
      </c>
      <c r="B8512" s="1" t="s">
        <v>88</v>
      </c>
      <c r="C8512" s="1" t="n">
        <v>646000</v>
      </c>
      <c r="D8512" s="1" t="n">
        <v>18262</v>
      </c>
      <c r="E8512" s="1" t="n">
        <v>0.0413</v>
      </c>
      <c r="F8512" s="1" t="n">
        <v>0.0938</v>
      </c>
    </row>
    <row r="8513" customFormat="false" ht="15" hidden="false" customHeight="false" outlineLevel="0" collapsed="false">
      <c r="A8513" s="1" t="s">
        <v>8548</v>
      </c>
      <c r="B8513" s="1" t="s">
        <v>26</v>
      </c>
      <c r="C8513" s="1" t="n">
        <v>205000</v>
      </c>
      <c r="D8513" s="1" t="n">
        <v>10644.2</v>
      </c>
      <c r="E8513" s="1" t="n">
        <v>0.0345</v>
      </c>
      <c r="F8513" s="1" t="n">
        <v>0.1535</v>
      </c>
    </row>
    <row r="8514" customFormat="false" ht="15" hidden="false" customHeight="false" outlineLevel="0" collapsed="false">
      <c r="A8514" s="1" t="s">
        <v>8549</v>
      </c>
      <c r="B8514" s="1" t="s">
        <v>26</v>
      </c>
      <c r="C8514" s="1" t="n">
        <v>198000</v>
      </c>
      <c r="D8514" s="1" t="n">
        <v>507.1</v>
      </c>
      <c r="E8514" s="1" t="n">
        <v>0.0482</v>
      </c>
      <c r="F8514" s="1" t="n">
        <v>0.0951</v>
      </c>
    </row>
    <row r="8515" customFormat="false" ht="15" hidden="false" customHeight="false" outlineLevel="0" collapsed="false">
      <c r="A8515" s="1" t="s">
        <v>8550</v>
      </c>
      <c r="B8515" s="1" t="s">
        <v>26</v>
      </c>
      <c r="C8515" s="1" t="n">
        <v>253000</v>
      </c>
      <c r="D8515" s="1" t="n">
        <v>20496.5</v>
      </c>
      <c r="F8515" s="1" t="n">
        <v>0.0518</v>
      </c>
    </row>
    <row r="8516" customFormat="false" ht="15" hidden="false" customHeight="false" outlineLevel="0" collapsed="false">
      <c r="A8516" s="1" t="s">
        <v>8551</v>
      </c>
      <c r="B8516" s="1" t="s">
        <v>26</v>
      </c>
      <c r="C8516" s="1" t="n">
        <v>189000</v>
      </c>
      <c r="D8516" s="1" t="n">
        <v>270.9</v>
      </c>
      <c r="E8516" s="1" t="n">
        <v>0.0166</v>
      </c>
      <c r="F8516" s="1" t="n">
        <v>0.0657</v>
      </c>
    </row>
    <row r="8517" customFormat="false" ht="15" hidden="false" customHeight="false" outlineLevel="0" collapsed="false">
      <c r="A8517" s="1" t="s">
        <v>8552</v>
      </c>
      <c r="B8517" s="1" t="s">
        <v>195</v>
      </c>
      <c r="C8517" s="1" t="n">
        <v>198000</v>
      </c>
      <c r="D8517" s="1" t="n">
        <v>190632.2</v>
      </c>
      <c r="E8517" s="1" t="n">
        <v>0.008</v>
      </c>
      <c r="F8517" s="1" t="n">
        <v>0.0822</v>
      </c>
    </row>
    <row r="8518" customFormat="false" ht="15" hidden="false" customHeight="false" outlineLevel="0" collapsed="false">
      <c r="A8518" s="1" t="s">
        <v>8553</v>
      </c>
      <c r="B8518" s="1" t="s">
        <v>26</v>
      </c>
      <c r="C8518" s="1" t="n">
        <v>203000</v>
      </c>
      <c r="D8518" s="1" t="n">
        <v>3653347.7</v>
      </c>
      <c r="E8518" s="1" t="n">
        <v>0.0064</v>
      </c>
      <c r="F8518" s="1" t="n">
        <v>0.0822</v>
      </c>
    </row>
    <row r="8519" customFormat="false" ht="15" hidden="false" customHeight="false" outlineLevel="0" collapsed="false">
      <c r="A8519" s="1" t="s">
        <v>8554</v>
      </c>
      <c r="B8519" s="1" t="s">
        <v>74</v>
      </c>
      <c r="C8519" s="1" t="n">
        <v>268000</v>
      </c>
      <c r="D8519" s="1" t="n">
        <v>12384.9</v>
      </c>
      <c r="E8519" s="1" t="n">
        <v>0.0837</v>
      </c>
      <c r="F8519" s="1" t="n">
        <v>0.0938</v>
      </c>
    </row>
    <row r="8520" customFormat="false" ht="15" hidden="false" customHeight="false" outlineLevel="0" collapsed="false">
      <c r="A8520" s="1" t="s">
        <v>8555</v>
      </c>
      <c r="B8520" s="1" t="s">
        <v>88</v>
      </c>
      <c r="C8520" s="1" t="n">
        <v>222000</v>
      </c>
      <c r="D8520" s="1" t="n">
        <v>6934.9</v>
      </c>
      <c r="E8520" s="1" t="n">
        <v>0.0439</v>
      </c>
      <c r="F8520" s="1" t="n">
        <v>0.0759</v>
      </c>
    </row>
    <row r="8521" customFormat="false" ht="15" hidden="false" customHeight="false" outlineLevel="0" collapsed="false">
      <c r="A8521" s="1" t="s">
        <v>8556</v>
      </c>
      <c r="B8521" s="1" t="s">
        <v>26</v>
      </c>
      <c r="C8521" s="1" t="n">
        <v>198000</v>
      </c>
      <c r="D8521" s="1" t="n">
        <v>8972.4</v>
      </c>
      <c r="E8521" s="1" t="n">
        <v>0.0674</v>
      </c>
      <c r="F8521" s="1" t="n">
        <v>0.0951</v>
      </c>
    </row>
    <row r="8522" customFormat="false" ht="15" hidden="false" customHeight="false" outlineLevel="0" collapsed="false">
      <c r="A8522" s="1" t="s">
        <v>8557</v>
      </c>
      <c r="B8522" s="1" t="s">
        <v>74</v>
      </c>
      <c r="C8522" s="1" t="n">
        <v>295000</v>
      </c>
      <c r="D8522" s="1" t="n">
        <v>22290.2</v>
      </c>
      <c r="E8522" s="1" t="n">
        <v>0.0474</v>
      </c>
      <c r="F8522" s="1" t="n">
        <v>0.0759</v>
      </c>
    </row>
    <row r="8523" customFormat="false" ht="15" hidden="false" customHeight="false" outlineLevel="0" collapsed="false">
      <c r="A8523" s="1" t="s">
        <v>8558</v>
      </c>
      <c r="B8523" s="1" t="s">
        <v>26</v>
      </c>
      <c r="C8523" s="1" t="n">
        <v>279000</v>
      </c>
      <c r="D8523" s="1" t="n">
        <v>1664</v>
      </c>
      <c r="E8523" s="1" t="n">
        <v>0.0272</v>
      </c>
      <c r="F8523" s="1" t="n">
        <v>0.095</v>
      </c>
    </row>
    <row r="8524" customFormat="false" ht="15" hidden="false" customHeight="false" outlineLevel="0" collapsed="false">
      <c r="A8524" s="1" t="s">
        <v>8559</v>
      </c>
      <c r="B8524" s="1" t="s">
        <v>287</v>
      </c>
      <c r="C8524" s="1" t="n">
        <v>262000</v>
      </c>
      <c r="D8524" s="1" t="n">
        <v>1610.5</v>
      </c>
      <c r="E8524" s="1" t="n">
        <v>0.0063</v>
      </c>
      <c r="F8524" s="1" t="n">
        <v>0.0811</v>
      </c>
    </row>
    <row r="8525" customFormat="false" ht="15" hidden="false" customHeight="false" outlineLevel="0" collapsed="false">
      <c r="A8525" s="1" t="s">
        <v>8560</v>
      </c>
      <c r="B8525" s="1" t="s">
        <v>62</v>
      </c>
      <c r="C8525" s="1" t="n">
        <v>442000</v>
      </c>
      <c r="D8525" s="1" t="n">
        <v>2980.3</v>
      </c>
      <c r="E8525" s="1" t="n">
        <v>0.0228</v>
      </c>
      <c r="F8525" s="1" t="n">
        <v>0.0576</v>
      </c>
    </row>
    <row r="8526" customFormat="false" ht="15" hidden="false" customHeight="false" outlineLevel="0" collapsed="false">
      <c r="A8526" s="1" t="s">
        <v>8561</v>
      </c>
      <c r="B8526" s="1" t="s">
        <v>32</v>
      </c>
      <c r="C8526" s="1" t="n">
        <v>220000</v>
      </c>
      <c r="D8526" s="1" t="n">
        <v>11741.6</v>
      </c>
      <c r="E8526" s="1" t="n">
        <v>0.0448</v>
      </c>
      <c r="F8526" s="1" t="n">
        <v>0.0845</v>
      </c>
    </row>
    <row r="8527" customFormat="false" ht="15" hidden="false" customHeight="false" outlineLevel="0" collapsed="false">
      <c r="A8527" s="1" t="s">
        <v>8562</v>
      </c>
      <c r="B8527" s="1" t="s">
        <v>195</v>
      </c>
      <c r="C8527" s="1" t="n">
        <v>199000</v>
      </c>
      <c r="D8527" s="1" t="n">
        <v>1378.1</v>
      </c>
      <c r="E8527" s="1" t="n">
        <v>0.0265</v>
      </c>
      <c r="F8527" s="1" t="n">
        <v>0.1243</v>
      </c>
    </row>
    <row r="8528" customFormat="false" ht="15" hidden="false" customHeight="false" outlineLevel="0" collapsed="false">
      <c r="A8528" s="1" t="s">
        <v>8563</v>
      </c>
      <c r="B8528" s="1" t="s">
        <v>26</v>
      </c>
      <c r="C8528" s="1" t="n">
        <v>264000</v>
      </c>
      <c r="D8528" s="1" t="n">
        <v>535413.5</v>
      </c>
      <c r="E8528" s="1" t="n">
        <v>0.0497</v>
      </c>
      <c r="F8528" s="1" t="n">
        <v>0.0759</v>
      </c>
    </row>
    <row r="8529" customFormat="false" ht="15" hidden="false" customHeight="false" outlineLevel="0" collapsed="false">
      <c r="A8529" s="1" t="s">
        <v>8564</v>
      </c>
      <c r="B8529" s="1" t="s">
        <v>32</v>
      </c>
      <c r="C8529" s="1" t="n">
        <v>299000</v>
      </c>
      <c r="D8529" s="1" t="n">
        <v>98508.1</v>
      </c>
      <c r="E8529" s="1" t="n">
        <v>0.0099</v>
      </c>
      <c r="F8529" s="1" t="n">
        <v>0.0822</v>
      </c>
    </row>
    <row r="8530" customFormat="false" ht="15" hidden="false" customHeight="false" outlineLevel="0" collapsed="false">
      <c r="A8530" s="1" t="s">
        <v>8565</v>
      </c>
      <c r="B8530" s="1" t="s">
        <v>26</v>
      </c>
      <c r="C8530" s="1" t="n">
        <v>229000</v>
      </c>
      <c r="D8530" s="1" t="n">
        <v>14345.9</v>
      </c>
      <c r="E8530" s="1" t="n">
        <v>0.0749</v>
      </c>
      <c r="F8530" s="1" t="n">
        <v>0.0938</v>
      </c>
    </row>
    <row r="8531" customFormat="false" ht="15" hidden="false" customHeight="false" outlineLevel="0" collapsed="false">
      <c r="A8531" s="1" t="s">
        <v>8566</v>
      </c>
      <c r="B8531" s="1" t="s">
        <v>490</v>
      </c>
      <c r="C8531" s="1" t="n">
        <v>270000</v>
      </c>
      <c r="D8531" s="1" t="n">
        <v>15945.6</v>
      </c>
      <c r="E8531" s="1" t="n">
        <v>0.0096</v>
      </c>
      <c r="F8531" s="1" t="n">
        <v>0.0654</v>
      </c>
    </row>
    <row r="8532" customFormat="false" ht="15" hidden="false" customHeight="false" outlineLevel="0" collapsed="false">
      <c r="A8532" s="1" t="s">
        <v>8567</v>
      </c>
      <c r="B8532" s="1" t="s">
        <v>32</v>
      </c>
      <c r="C8532" s="1" t="n">
        <v>202000</v>
      </c>
      <c r="D8532" s="1" t="n">
        <v>60067.8</v>
      </c>
      <c r="E8532" s="1" t="n">
        <v>0.0313</v>
      </c>
      <c r="F8532" s="1" t="n">
        <v>0.171</v>
      </c>
    </row>
    <row r="8533" customFormat="false" ht="15" hidden="false" customHeight="false" outlineLevel="0" collapsed="false">
      <c r="A8533" s="1" t="s">
        <v>8568</v>
      </c>
      <c r="B8533" s="1" t="s">
        <v>214</v>
      </c>
      <c r="C8533" s="1" t="n">
        <v>252000</v>
      </c>
      <c r="D8533" s="1" t="n">
        <v>4303.5</v>
      </c>
      <c r="E8533" s="1" t="n">
        <v>0.0591</v>
      </c>
      <c r="F8533" s="1" t="n">
        <v>0.0938</v>
      </c>
    </row>
    <row r="8534" customFormat="false" ht="15" hidden="false" customHeight="false" outlineLevel="0" collapsed="false">
      <c r="A8534" s="1" t="s">
        <v>8569</v>
      </c>
      <c r="B8534" s="1" t="s">
        <v>26</v>
      </c>
      <c r="C8534" s="1" t="n">
        <v>226000</v>
      </c>
      <c r="D8534" s="1" t="n">
        <v>23793.2</v>
      </c>
      <c r="E8534" s="1" t="n">
        <v>0.0161</v>
      </c>
      <c r="F8534" s="1" t="n">
        <v>0.0585</v>
      </c>
    </row>
    <row r="8535" customFormat="false" ht="15" hidden="false" customHeight="false" outlineLevel="0" collapsed="false">
      <c r="A8535" s="1" t="s">
        <v>8570</v>
      </c>
      <c r="B8535" s="1" t="s">
        <v>30</v>
      </c>
      <c r="C8535" s="1" t="n">
        <v>273000</v>
      </c>
      <c r="D8535" s="1" t="n">
        <v>25229.7</v>
      </c>
      <c r="E8535" s="1" t="n">
        <v>0.0345</v>
      </c>
      <c r="F8535" s="1" t="n">
        <v>0.0951</v>
      </c>
    </row>
    <row r="8536" customFormat="false" ht="15" hidden="false" customHeight="false" outlineLevel="0" collapsed="false">
      <c r="A8536" s="1" t="s">
        <v>8571</v>
      </c>
      <c r="B8536" s="1" t="s">
        <v>214</v>
      </c>
      <c r="C8536" s="1" t="n">
        <v>206000</v>
      </c>
      <c r="D8536" s="1" t="n">
        <v>72798.6</v>
      </c>
      <c r="E8536" s="1" t="n">
        <v>0.0304</v>
      </c>
      <c r="F8536" s="1" t="n">
        <v>0.1325</v>
      </c>
    </row>
    <row r="8537" customFormat="false" ht="15" hidden="false" customHeight="false" outlineLevel="0" collapsed="false">
      <c r="A8537" s="1" t="s">
        <v>8572</v>
      </c>
      <c r="B8537" s="1" t="s">
        <v>92</v>
      </c>
      <c r="C8537" s="1" t="n">
        <v>248000</v>
      </c>
      <c r="D8537" s="1" t="n">
        <v>1055.8</v>
      </c>
      <c r="E8537" s="1" t="n">
        <v>0.0207</v>
      </c>
      <c r="F8537" s="1" t="n">
        <v>0.1067</v>
      </c>
    </row>
    <row r="8538" customFormat="false" ht="15" hidden="false" customHeight="false" outlineLevel="0" collapsed="false">
      <c r="A8538" s="1" t="s">
        <v>8573</v>
      </c>
      <c r="B8538" s="1" t="s">
        <v>88</v>
      </c>
      <c r="C8538" s="1" t="n">
        <v>229000</v>
      </c>
      <c r="D8538" s="1" t="n">
        <v>574.2</v>
      </c>
      <c r="E8538" s="1" t="n">
        <v>0.0129</v>
      </c>
      <c r="F8538" s="1" t="n">
        <v>0.0462</v>
      </c>
    </row>
    <row r="8539" customFormat="false" ht="15" hidden="false" customHeight="false" outlineLevel="0" collapsed="false">
      <c r="A8539" s="1" t="s">
        <v>8574</v>
      </c>
      <c r="B8539" s="1" t="s">
        <v>214</v>
      </c>
      <c r="C8539" s="1" t="n">
        <v>200000</v>
      </c>
      <c r="D8539" s="1" t="n">
        <v>27325.5</v>
      </c>
      <c r="E8539" s="1" t="n">
        <v>0.0575</v>
      </c>
      <c r="F8539" s="1" t="n">
        <v>0.0951</v>
      </c>
    </row>
    <row r="8540" customFormat="false" ht="15" hidden="false" customHeight="false" outlineLevel="0" collapsed="false">
      <c r="A8540" s="1" t="s">
        <v>8575</v>
      </c>
      <c r="B8540" s="1" t="s">
        <v>32</v>
      </c>
      <c r="C8540" s="1" t="n">
        <v>271000</v>
      </c>
      <c r="D8540" s="1" t="n">
        <v>787.4</v>
      </c>
      <c r="E8540" s="1" t="n">
        <v>0.0116</v>
      </c>
      <c r="F8540" s="1" t="n">
        <v>0.1886</v>
      </c>
    </row>
    <row r="8541" customFormat="false" ht="15" hidden="false" customHeight="false" outlineLevel="0" collapsed="false">
      <c r="A8541" s="1" t="s">
        <v>8576</v>
      </c>
      <c r="B8541" s="1" t="s">
        <v>81</v>
      </c>
      <c r="C8541" s="1" t="n">
        <v>622000</v>
      </c>
      <c r="D8541" s="1" t="n">
        <v>1432378.2</v>
      </c>
      <c r="E8541" s="1" t="n">
        <v>0.0319</v>
      </c>
      <c r="F8541" s="1" t="n">
        <v>0.0409</v>
      </c>
    </row>
    <row r="8542" customFormat="false" ht="15" hidden="false" customHeight="false" outlineLevel="0" collapsed="false">
      <c r="A8542" s="1" t="s">
        <v>8577</v>
      </c>
      <c r="B8542" s="1" t="s">
        <v>26</v>
      </c>
      <c r="C8542" s="1" t="n">
        <v>203000</v>
      </c>
      <c r="D8542" s="1" t="n">
        <v>2922.5</v>
      </c>
      <c r="E8542" s="1" t="n">
        <v>0.0345</v>
      </c>
      <c r="F8542" s="1" t="n">
        <v>0.0518</v>
      </c>
    </row>
    <row r="8543" customFormat="false" ht="15" hidden="false" customHeight="false" outlineLevel="0" collapsed="false">
      <c r="A8543" s="1" t="s">
        <v>8578</v>
      </c>
      <c r="B8543" s="1" t="s">
        <v>214</v>
      </c>
      <c r="C8543" s="1" t="n">
        <v>208000</v>
      </c>
      <c r="D8543" s="1" t="n">
        <v>1284.3</v>
      </c>
      <c r="E8543" s="1" t="n">
        <v>0.0061</v>
      </c>
      <c r="F8543" s="1" t="n">
        <v>0.0654</v>
      </c>
    </row>
    <row r="8544" customFormat="false" ht="15" hidden="false" customHeight="false" outlineLevel="0" collapsed="false">
      <c r="A8544" s="1" t="s">
        <v>8579</v>
      </c>
      <c r="B8544" s="1" t="s">
        <v>41</v>
      </c>
      <c r="C8544" s="1" t="n">
        <v>210000</v>
      </c>
      <c r="D8544" s="1" t="n">
        <v>17674.5</v>
      </c>
      <c r="E8544" s="1" t="n">
        <v>0.1</v>
      </c>
      <c r="F8544" s="1" t="n">
        <v>0.0759</v>
      </c>
    </row>
    <row r="8545" customFormat="false" ht="15" hidden="false" customHeight="false" outlineLevel="0" collapsed="false">
      <c r="A8545" s="1" t="s">
        <v>8580</v>
      </c>
      <c r="B8545" s="1" t="s">
        <v>41</v>
      </c>
      <c r="C8545" s="1" t="n">
        <v>275000</v>
      </c>
      <c r="D8545" s="1" t="n">
        <v>191592.5</v>
      </c>
      <c r="E8545" s="1" t="n">
        <v>0.0404</v>
      </c>
      <c r="F8545" s="1" t="n">
        <v>0.0759</v>
      </c>
    </row>
    <row r="8546" customFormat="false" ht="15" hidden="false" customHeight="false" outlineLevel="0" collapsed="false">
      <c r="A8546" s="1" t="s">
        <v>8581</v>
      </c>
      <c r="B8546" s="1" t="s">
        <v>21</v>
      </c>
      <c r="C8546" s="1" t="n">
        <v>259000</v>
      </c>
      <c r="D8546" s="1" t="n">
        <v>12383.8</v>
      </c>
      <c r="E8546" s="1" t="n">
        <v>0.0176</v>
      </c>
      <c r="F8546" s="1" t="n">
        <v>0.0576</v>
      </c>
    </row>
    <row r="8547" customFormat="false" ht="15" hidden="false" customHeight="false" outlineLevel="0" collapsed="false">
      <c r="A8547" s="1" t="s">
        <v>8582</v>
      </c>
      <c r="B8547" s="1" t="s">
        <v>88</v>
      </c>
      <c r="C8547" s="1" t="n">
        <v>341000</v>
      </c>
      <c r="D8547" s="1" t="n">
        <v>15839.9</v>
      </c>
      <c r="E8547" s="1" t="n">
        <v>0.0265</v>
      </c>
      <c r="F8547" s="1" t="n">
        <v>0.0409</v>
      </c>
    </row>
    <row r="8548" customFormat="false" ht="15" hidden="false" customHeight="false" outlineLevel="0" collapsed="false">
      <c r="A8548" s="1" t="s">
        <v>8583</v>
      </c>
      <c r="B8548" s="1" t="s">
        <v>26</v>
      </c>
      <c r="C8548" s="1" t="n">
        <v>247000</v>
      </c>
      <c r="D8548" s="1" t="n">
        <v>25024.4</v>
      </c>
      <c r="E8548" s="1" t="n">
        <v>0.0557</v>
      </c>
      <c r="F8548" s="1" t="n">
        <v>0.0938</v>
      </c>
    </row>
    <row r="8549" customFormat="false" ht="15" hidden="false" customHeight="false" outlineLevel="0" collapsed="false">
      <c r="A8549" s="1" t="s">
        <v>8584</v>
      </c>
      <c r="B8549" s="1" t="s">
        <v>26</v>
      </c>
      <c r="C8549" s="1" t="n">
        <v>256000</v>
      </c>
      <c r="D8549" s="1" t="n">
        <v>58513.9</v>
      </c>
      <c r="E8549" s="1" t="n">
        <v>0.0431</v>
      </c>
      <c r="F8549" s="1" t="n">
        <v>0.0518</v>
      </c>
    </row>
    <row r="8550" customFormat="false" ht="15" hidden="false" customHeight="false" outlineLevel="0" collapsed="false">
      <c r="A8550" s="1" t="s">
        <v>8585</v>
      </c>
      <c r="B8550" s="1" t="s">
        <v>71</v>
      </c>
      <c r="C8550" s="1" t="n">
        <v>201000</v>
      </c>
      <c r="D8550" s="1" t="n">
        <v>985.8</v>
      </c>
      <c r="E8550" s="1" t="n">
        <v>0.034</v>
      </c>
      <c r="F8550" s="1" t="n">
        <v>0.0998</v>
      </c>
    </row>
    <row r="8551" customFormat="false" ht="15" hidden="false" customHeight="false" outlineLevel="0" collapsed="false">
      <c r="A8551" s="1" t="s">
        <v>8586</v>
      </c>
      <c r="B8551" s="1" t="s">
        <v>74</v>
      </c>
      <c r="C8551" s="1" t="n">
        <v>216000</v>
      </c>
      <c r="D8551" s="1" t="n">
        <v>674996.8</v>
      </c>
      <c r="E8551" s="1" t="n">
        <v>0.0099</v>
      </c>
      <c r="F8551" s="1" t="n">
        <v>0.6718</v>
      </c>
    </row>
    <row r="8552" customFormat="false" ht="15" hidden="false" customHeight="false" outlineLevel="0" collapsed="false">
      <c r="A8552" s="1" t="s">
        <v>8587</v>
      </c>
      <c r="B8552" s="1" t="s">
        <v>26</v>
      </c>
      <c r="C8552" s="1" t="n">
        <v>413000</v>
      </c>
      <c r="D8552" s="1" t="n">
        <v>1734.6</v>
      </c>
      <c r="E8552" s="1" t="n">
        <v>0.0095</v>
      </c>
      <c r="F8552" s="1" t="n">
        <v>0.0654</v>
      </c>
    </row>
    <row r="8553" customFormat="false" ht="15" hidden="false" customHeight="false" outlineLevel="0" collapsed="false">
      <c r="A8553" s="1" t="s">
        <v>8588</v>
      </c>
      <c r="B8553" s="1" t="s">
        <v>88</v>
      </c>
      <c r="C8553" s="1" t="n">
        <v>217000</v>
      </c>
      <c r="D8553" s="1" t="n">
        <v>1998.5</v>
      </c>
      <c r="E8553" s="1" t="n">
        <v>0.0433</v>
      </c>
      <c r="F8553" s="1" t="n">
        <v>0.0938</v>
      </c>
    </row>
    <row r="8554" customFormat="false" ht="15" hidden="false" customHeight="false" outlineLevel="0" collapsed="false">
      <c r="A8554" s="1" t="s">
        <v>8589</v>
      </c>
      <c r="B8554" s="1" t="s">
        <v>88</v>
      </c>
      <c r="C8554" s="1" t="n">
        <v>225000</v>
      </c>
      <c r="D8554" s="1" t="n">
        <v>8523</v>
      </c>
      <c r="E8554" s="1" t="n">
        <v>0.0381</v>
      </c>
      <c r="F8554" s="1" t="n">
        <v>0.0951</v>
      </c>
    </row>
    <row r="8555" customFormat="false" ht="15" hidden="false" customHeight="false" outlineLevel="0" collapsed="false">
      <c r="A8555" s="1" t="s">
        <v>8590</v>
      </c>
      <c r="B8555" s="1" t="s">
        <v>74</v>
      </c>
      <c r="C8555" s="1" t="n">
        <v>209000</v>
      </c>
      <c r="D8555" s="1" t="n">
        <v>944.5</v>
      </c>
      <c r="E8555" s="1" t="n">
        <v>0.0151</v>
      </c>
      <c r="F8555" s="1" t="n">
        <v>0.0585</v>
      </c>
    </row>
    <row r="8556" customFormat="false" ht="15" hidden="false" customHeight="false" outlineLevel="0" collapsed="false">
      <c r="A8556" s="1" t="s">
        <v>8591</v>
      </c>
      <c r="B8556" s="1" t="s">
        <v>490</v>
      </c>
      <c r="C8556" s="1" t="n">
        <v>163000</v>
      </c>
      <c r="D8556" s="1" t="n">
        <v>1037.4</v>
      </c>
      <c r="E8556" s="1" t="n">
        <v>0.0109</v>
      </c>
      <c r="F8556" s="1" t="n">
        <v>0.1174</v>
      </c>
    </row>
    <row r="8557" customFormat="false" ht="15" hidden="false" customHeight="false" outlineLevel="0" collapsed="false">
      <c r="A8557" s="1" t="s">
        <v>8592</v>
      </c>
      <c r="B8557" s="1" t="s">
        <v>74</v>
      </c>
      <c r="C8557" s="1" t="n">
        <v>221000</v>
      </c>
      <c r="D8557" s="1" t="n">
        <v>9443.8</v>
      </c>
      <c r="E8557" s="1" t="n">
        <v>0.0448</v>
      </c>
      <c r="F8557" s="1" t="n">
        <v>0.0938</v>
      </c>
    </row>
    <row r="8558" customFormat="false" ht="15" hidden="false" customHeight="false" outlineLevel="0" collapsed="false">
      <c r="A8558" s="1" t="s">
        <v>8593</v>
      </c>
      <c r="B8558" s="1" t="s">
        <v>195</v>
      </c>
      <c r="C8558" s="1" t="n">
        <v>301000</v>
      </c>
      <c r="D8558" s="1" t="n">
        <v>38229.8</v>
      </c>
      <c r="E8558" s="1" t="n">
        <v>0.0118</v>
      </c>
      <c r="F8558" s="1" t="n">
        <v>0.0654</v>
      </c>
    </row>
    <row r="8559" customFormat="false" ht="15" hidden="false" customHeight="false" outlineLevel="0" collapsed="false">
      <c r="A8559" s="1" t="s">
        <v>8594</v>
      </c>
      <c r="B8559" s="1" t="s">
        <v>26</v>
      </c>
      <c r="C8559" s="1" t="n">
        <v>202000</v>
      </c>
      <c r="D8559" s="1" t="n">
        <v>286069.9</v>
      </c>
      <c r="E8559" s="1" t="n">
        <v>0.023</v>
      </c>
      <c r="F8559" s="1" t="n">
        <v>0.0672</v>
      </c>
    </row>
    <row r="8560" customFormat="false" ht="15" hidden="false" customHeight="false" outlineLevel="0" collapsed="false">
      <c r="A8560" s="1" t="s">
        <v>8595</v>
      </c>
      <c r="B8560" s="1" t="s">
        <v>74</v>
      </c>
      <c r="C8560" s="1" t="n">
        <v>373000</v>
      </c>
      <c r="D8560" s="1" t="n">
        <v>15273.3</v>
      </c>
      <c r="E8560" s="1" t="n">
        <v>0.0293</v>
      </c>
      <c r="F8560" s="1" t="n">
        <v>0.0432</v>
      </c>
    </row>
    <row r="8561" customFormat="false" ht="15" hidden="false" customHeight="false" outlineLevel="0" collapsed="false">
      <c r="A8561" s="1" t="s">
        <v>8596</v>
      </c>
      <c r="B8561" s="1" t="s">
        <v>21</v>
      </c>
      <c r="C8561" s="1" t="n">
        <v>196000</v>
      </c>
      <c r="D8561" s="1" t="n">
        <v>7633.6</v>
      </c>
      <c r="E8561" s="1" t="n">
        <v>0.0122</v>
      </c>
      <c r="F8561" s="1" t="n">
        <v>0.0822</v>
      </c>
    </row>
    <row r="8562" customFormat="false" ht="15" hidden="false" customHeight="false" outlineLevel="0" collapsed="false">
      <c r="A8562" s="1" t="s">
        <v>8597</v>
      </c>
      <c r="B8562" s="1" t="s">
        <v>26</v>
      </c>
      <c r="C8562" s="1" t="n">
        <v>398000</v>
      </c>
      <c r="D8562" s="1" t="n">
        <v>55425</v>
      </c>
      <c r="E8562" s="1" t="n">
        <v>0.037</v>
      </c>
      <c r="F8562" s="1" t="n">
        <v>0.0759</v>
      </c>
    </row>
    <row r="8563" customFormat="false" ht="15" hidden="false" customHeight="false" outlineLevel="0" collapsed="false">
      <c r="A8563" s="1" t="s">
        <v>8598</v>
      </c>
      <c r="B8563" s="1" t="s">
        <v>53</v>
      </c>
      <c r="C8563" s="1" t="n">
        <v>301000</v>
      </c>
      <c r="D8563" s="1" t="n">
        <v>6286.8</v>
      </c>
      <c r="E8563" s="1" t="n">
        <v>0.033</v>
      </c>
      <c r="F8563" s="1" t="n">
        <v>0.1109</v>
      </c>
    </row>
    <row r="8564" customFormat="false" ht="15" hidden="false" customHeight="false" outlineLevel="0" collapsed="false">
      <c r="A8564" s="1" t="s">
        <v>8599</v>
      </c>
      <c r="B8564" s="1" t="s">
        <v>53</v>
      </c>
      <c r="C8564" s="1" t="n">
        <v>205000</v>
      </c>
      <c r="D8564" s="1" t="n">
        <v>1423.8</v>
      </c>
      <c r="E8564" s="1" t="n">
        <v>0.0379</v>
      </c>
      <c r="F8564" s="1" t="n">
        <v>0.0951</v>
      </c>
    </row>
    <row r="8565" customFormat="false" ht="15" hidden="false" customHeight="false" outlineLevel="0" collapsed="false">
      <c r="A8565" s="1" t="s">
        <v>8600</v>
      </c>
      <c r="B8565" s="1" t="s">
        <v>41</v>
      </c>
      <c r="C8565" s="1" t="n">
        <v>199000</v>
      </c>
      <c r="D8565" s="1" t="n">
        <v>3786.2</v>
      </c>
      <c r="E8565" s="1" t="n">
        <v>0.0076</v>
      </c>
      <c r="F8565" s="1" t="n">
        <v>0.0822</v>
      </c>
    </row>
    <row r="8566" customFormat="false" ht="15" hidden="false" customHeight="false" outlineLevel="0" collapsed="false">
      <c r="A8566" s="1" t="s">
        <v>8601</v>
      </c>
      <c r="B8566" s="1" t="s">
        <v>92</v>
      </c>
      <c r="C8566" s="1" t="n">
        <v>213000</v>
      </c>
      <c r="D8566" s="1" t="n">
        <v>142</v>
      </c>
      <c r="E8566" s="1" t="n">
        <v>0.1102</v>
      </c>
      <c r="F8566" s="1" t="n">
        <v>0.0951</v>
      </c>
    </row>
    <row r="8567" customFormat="false" ht="15" hidden="false" customHeight="false" outlineLevel="0" collapsed="false">
      <c r="A8567" s="1" t="s">
        <v>8602</v>
      </c>
      <c r="B8567" s="1" t="s">
        <v>71</v>
      </c>
      <c r="C8567" s="1" t="n">
        <v>385000</v>
      </c>
      <c r="D8567" s="1" t="n">
        <v>111685</v>
      </c>
      <c r="E8567" s="1" t="n">
        <v>0.0217</v>
      </c>
      <c r="F8567" s="1" t="n">
        <v>0.0833</v>
      </c>
    </row>
    <row r="8568" customFormat="false" ht="15" hidden="false" customHeight="false" outlineLevel="0" collapsed="false">
      <c r="A8568" s="1" t="s">
        <v>8603</v>
      </c>
      <c r="B8568" s="1" t="s">
        <v>41</v>
      </c>
      <c r="C8568" s="1" t="n">
        <v>235000</v>
      </c>
      <c r="D8568" s="1" t="n">
        <v>61.5</v>
      </c>
      <c r="E8568" s="1" t="n">
        <v>0.0186</v>
      </c>
      <c r="F8568" s="1" t="n">
        <v>0.2059</v>
      </c>
    </row>
    <row r="8569" customFormat="false" ht="15" hidden="false" customHeight="false" outlineLevel="0" collapsed="false">
      <c r="A8569" s="1" t="s">
        <v>8604</v>
      </c>
      <c r="B8569" s="1" t="s">
        <v>53</v>
      </c>
      <c r="C8569" s="1" t="n">
        <v>211000</v>
      </c>
      <c r="D8569" s="1" t="n">
        <v>808.4</v>
      </c>
      <c r="E8569" s="1" t="n">
        <v>0.0156</v>
      </c>
      <c r="F8569" s="1" t="n">
        <v>0.0462</v>
      </c>
    </row>
    <row r="8570" customFormat="false" ht="15" hidden="false" customHeight="false" outlineLevel="0" collapsed="false">
      <c r="A8570" s="1" t="s">
        <v>8605</v>
      </c>
      <c r="B8570" s="1" t="s">
        <v>26</v>
      </c>
      <c r="C8570" s="1" t="n">
        <v>219000</v>
      </c>
      <c r="D8570" s="1" t="n">
        <v>1304.3</v>
      </c>
      <c r="E8570" s="1" t="n">
        <v>0.0597</v>
      </c>
      <c r="F8570" s="1" t="n">
        <v>0.0759</v>
      </c>
    </row>
    <row r="8571" customFormat="false" ht="15" hidden="false" customHeight="false" outlineLevel="0" collapsed="false">
      <c r="A8571" s="1" t="s">
        <v>8606</v>
      </c>
      <c r="B8571" s="1" t="s">
        <v>74</v>
      </c>
      <c r="C8571" s="1" t="n">
        <v>199000</v>
      </c>
      <c r="D8571" s="1" t="n">
        <v>117.7</v>
      </c>
      <c r="E8571" s="1" t="n">
        <v>0.0014</v>
      </c>
      <c r="F8571" s="1" t="n">
        <v>0.2095</v>
      </c>
    </row>
    <row r="8572" customFormat="false" ht="15" hidden="false" customHeight="false" outlineLevel="0" collapsed="false">
      <c r="A8572" s="1" t="s">
        <v>8607</v>
      </c>
      <c r="B8572" s="1" t="s">
        <v>92</v>
      </c>
      <c r="C8572" s="1" t="n">
        <v>376000</v>
      </c>
      <c r="D8572" s="1" t="n">
        <v>276612.6</v>
      </c>
      <c r="E8572" s="1" t="n">
        <v>0.0389</v>
      </c>
      <c r="F8572" s="1" t="n">
        <v>0.051</v>
      </c>
    </row>
    <row r="8573" customFormat="false" ht="15" hidden="false" customHeight="false" outlineLevel="0" collapsed="false">
      <c r="A8573" s="1" t="s">
        <v>8608</v>
      </c>
      <c r="B8573" s="1" t="s">
        <v>26</v>
      </c>
      <c r="C8573" s="1" t="n">
        <v>192000</v>
      </c>
      <c r="D8573" s="1" t="n">
        <v>1517.8</v>
      </c>
      <c r="E8573" s="1" t="n">
        <v>0.0577</v>
      </c>
      <c r="F8573" s="1" t="n">
        <v>0.0951</v>
      </c>
    </row>
    <row r="8574" customFormat="false" ht="15" hidden="false" customHeight="false" outlineLevel="0" collapsed="false">
      <c r="A8574" s="1" t="s">
        <v>8609</v>
      </c>
      <c r="B8574" s="1" t="s">
        <v>26</v>
      </c>
      <c r="C8574" s="1" t="n">
        <v>198000</v>
      </c>
      <c r="D8574" s="1" t="n">
        <v>23199.2</v>
      </c>
      <c r="E8574" s="1" t="n">
        <v>0.0397</v>
      </c>
      <c r="F8574" s="1" t="n">
        <v>0.0951</v>
      </c>
    </row>
    <row r="8575" customFormat="false" ht="15" hidden="false" customHeight="false" outlineLevel="0" collapsed="false">
      <c r="A8575" s="1" t="s">
        <v>8610</v>
      </c>
      <c r="B8575" s="1" t="s">
        <v>92</v>
      </c>
      <c r="C8575" s="1" t="n">
        <v>250000</v>
      </c>
      <c r="D8575" s="1" t="n">
        <v>3245.8</v>
      </c>
      <c r="E8575" s="1" t="n">
        <v>0.0187</v>
      </c>
      <c r="F8575" s="1" t="n">
        <v>0.0854</v>
      </c>
    </row>
    <row r="8576" customFormat="false" ht="15" hidden="false" customHeight="false" outlineLevel="0" collapsed="false">
      <c r="A8576" s="1" t="s">
        <v>8611</v>
      </c>
      <c r="B8576" s="1" t="s">
        <v>21</v>
      </c>
      <c r="C8576" s="1" t="n">
        <v>204000</v>
      </c>
      <c r="D8576" s="1" t="n">
        <v>3946.6</v>
      </c>
      <c r="E8576" s="1" t="n">
        <v>0.0454</v>
      </c>
      <c r="F8576" s="1" t="n">
        <v>0.0951</v>
      </c>
    </row>
    <row r="8577" customFormat="false" ht="15" hidden="false" customHeight="false" outlineLevel="0" collapsed="false">
      <c r="A8577" s="1" t="s">
        <v>8612</v>
      </c>
      <c r="B8577" s="1" t="s">
        <v>88</v>
      </c>
      <c r="C8577" s="1" t="n">
        <v>711000</v>
      </c>
      <c r="D8577" s="1" t="n">
        <v>268799.1</v>
      </c>
      <c r="E8577" s="1" t="n">
        <v>0.0622</v>
      </c>
      <c r="F8577" s="1" t="n">
        <v>0.0759</v>
      </c>
    </row>
    <row r="8578" customFormat="false" ht="15" hidden="false" customHeight="false" outlineLevel="0" collapsed="false">
      <c r="A8578" s="1" t="s">
        <v>8613</v>
      </c>
      <c r="B8578" s="1" t="s">
        <v>26</v>
      </c>
      <c r="C8578" s="1" t="n">
        <v>981000</v>
      </c>
      <c r="D8578" s="1" t="n">
        <v>166101.8</v>
      </c>
      <c r="E8578" s="1" t="n">
        <v>0.0374</v>
      </c>
      <c r="F8578" s="1" t="n">
        <v>0.0759</v>
      </c>
    </row>
    <row r="8579" customFormat="false" ht="15" hidden="false" customHeight="false" outlineLevel="0" collapsed="false">
      <c r="A8579" s="1" t="s">
        <v>8614</v>
      </c>
      <c r="B8579" s="1" t="s">
        <v>195</v>
      </c>
      <c r="C8579" s="1" t="n">
        <v>238000</v>
      </c>
      <c r="D8579" s="1" t="n">
        <v>376.6</v>
      </c>
      <c r="E8579" s="1" t="n">
        <v>0.0036</v>
      </c>
      <c r="F8579" s="1" t="n">
        <v>0.1594</v>
      </c>
    </row>
    <row r="8580" customFormat="false" ht="15" hidden="false" customHeight="false" outlineLevel="0" collapsed="false">
      <c r="A8580" s="1" t="s">
        <v>8615</v>
      </c>
      <c r="B8580" s="1" t="s">
        <v>50</v>
      </c>
      <c r="C8580" s="1" t="n">
        <v>364000</v>
      </c>
      <c r="D8580" s="1" t="n">
        <v>44519</v>
      </c>
      <c r="E8580" s="1" t="n">
        <v>0.0297</v>
      </c>
      <c r="F8580" s="1" t="n">
        <v>0.0759</v>
      </c>
    </row>
    <row r="8581" customFormat="false" ht="15" hidden="false" customHeight="false" outlineLevel="0" collapsed="false">
      <c r="A8581" s="1" t="s">
        <v>8616</v>
      </c>
      <c r="B8581" s="1" t="s">
        <v>41</v>
      </c>
      <c r="C8581" s="1" t="n">
        <v>306000</v>
      </c>
      <c r="D8581" s="1" t="n">
        <v>1565.6</v>
      </c>
      <c r="E8581" s="1" t="n">
        <v>0.0274</v>
      </c>
      <c r="F8581" s="1" t="n">
        <v>0.0576</v>
      </c>
    </row>
    <row r="8582" customFormat="false" ht="15" hidden="false" customHeight="false" outlineLevel="0" collapsed="false">
      <c r="A8582" s="1" t="s">
        <v>8617</v>
      </c>
      <c r="B8582" s="1" t="s">
        <v>35</v>
      </c>
      <c r="C8582" s="1" t="n">
        <v>365000</v>
      </c>
      <c r="D8582" s="1" t="n">
        <v>206025.8</v>
      </c>
      <c r="E8582" s="1" t="n">
        <v>0.0396</v>
      </c>
      <c r="F8582" s="1" t="n">
        <v>0.0409</v>
      </c>
    </row>
    <row r="8583" customFormat="false" ht="15" hidden="false" customHeight="false" outlineLevel="0" collapsed="false">
      <c r="A8583" s="1" t="s">
        <v>8618</v>
      </c>
      <c r="B8583" s="1" t="s">
        <v>71</v>
      </c>
      <c r="C8583" s="1" t="n">
        <v>196000</v>
      </c>
      <c r="D8583" s="1" t="n">
        <v>2360.2</v>
      </c>
      <c r="E8583" s="1" t="n">
        <v>0.042</v>
      </c>
      <c r="F8583" s="1" t="n">
        <v>0.0951</v>
      </c>
    </row>
    <row r="8584" customFormat="false" ht="15" hidden="false" customHeight="false" outlineLevel="0" collapsed="false">
      <c r="A8584" s="1" t="s">
        <v>8619</v>
      </c>
      <c r="B8584" s="1" t="s">
        <v>88</v>
      </c>
      <c r="C8584" s="1" t="n">
        <v>440000</v>
      </c>
      <c r="D8584" s="1" t="n">
        <v>21139.7</v>
      </c>
      <c r="E8584" s="1" t="n">
        <v>0.0761</v>
      </c>
      <c r="F8584" s="1" t="n">
        <v>0.0759</v>
      </c>
    </row>
    <row r="8585" customFormat="false" ht="15" hidden="false" customHeight="false" outlineLevel="0" collapsed="false">
      <c r="A8585" s="1" t="s">
        <v>8620</v>
      </c>
      <c r="B8585" s="1" t="s">
        <v>88</v>
      </c>
      <c r="C8585" s="1" t="n">
        <v>192000</v>
      </c>
      <c r="D8585" s="1" t="n">
        <v>582.8</v>
      </c>
      <c r="E8585" s="1" t="n">
        <v>0.0249</v>
      </c>
      <c r="F8585" s="1" t="n">
        <v>0.3294</v>
      </c>
    </row>
    <row r="8586" customFormat="false" ht="15" hidden="false" customHeight="false" outlineLevel="0" collapsed="false">
      <c r="A8586" s="1" t="s">
        <v>8621</v>
      </c>
      <c r="B8586" s="1" t="s">
        <v>26</v>
      </c>
      <c r="C8586" s="1" t="n">
        <v>198000</v>
      </c>
      <c r="D8586" s="1" t="n">
        <v>20092.4</v>
      </c>
      <c r="E8586" s="1" t="n">
        <v>0.0158</v>
      </c>
      <c r="F8586" s="1" t="n">
        <v>0.0585</v>
      </c>
    </row>
    <row r="8587" customFormat="false" ht="15" hidden="false" customHeight="false" outlineLevel="0" collapsed="false">
      <c r="A8587" s="1" t="s">
        <v>8622</v>
      </c>
      <c r="B8587" s="1" t="s">
        <v>50</v>
      </c>
      <c r="C8587" s="1" t="n">
        <v>357000</v>
      </c>
      <c r="D8587" s="1" t="n">
        <v>27741.2</v>
      </c>
      <c r="E8587" s="1" t="n">
        <v>0.0347</v>
      </c>
      <c r="F8587" s="1" t="n">
        <v>0.0672</v>
      </c>
    </row>
    <row r="8588" customFormat="false" ht="15" hidden="false" customHeight="false" outlineLevel="0" collapsed="false">
      <c r="A8588" s="1" t="s">
        <v>8623</v>
      </c>
      <c r="B8588" s="1" t="s">
        <v>24</v>
      </c>
      <c r="C8588" s="1" t="n">
        <v>351000</v>
      </c>
      <c r="D8588" s="1" t="n">
        <v>10117.4</v>
      </c>
      <c r="E8588" s="1" t="n">
        <v>0.0706</v>
      </c>
      <c r="F8588" s="1" t="n">
        <v>0.0938</v>
      </c>
    </row>
    <row r="8589" customFormat="false" ht="15" hidden="false" customHeight="false" outlineLevel="0" collapsed="false">
      <c r="A8589" s="1" t="s">
        <v>8624</v>
      </c>
      <c r="B8589" s="1" t="s">
        <v>88</v>
      </c>
      <c r="C8589" s="1" t="n">
        <v>438000</v>
      </c>
      <c r="D8589" s="1" t="n">
        <v>3154.6</v>
      </c>
      <c r="E8589" s="1" t="n">
        <v>0.068</v>
      </c>
      <c r="F8589" s="1" t="n">
        <v>0.0938</v>
      </c>
    </row>
    <row r="8590" customFormat="false" ht="15" hidden="false" customHeight="false" outlineLevel="0" collapsed="false">
      <c r="A8590" s="1" t="s">
        <v>8625</v>
      </c>
      <c r="B8590" s="1" t="s">
        <v>74</v>
      </c>
      <c r="C8590" s="1" t="n">
        <v>220000</v>
      </c>
      <c r="D8590" s="1" t="n">
        <v>11133.1</v>
      </c>
      <c r="E8590" s="1" t="n">
        <v>0.0241</v>
      </c>
      <c r="F8590" s="1" t="n">
        <v>0.0951</v>
      </c>
    </row>
    <row r="8591" customFormat="false" ht="15" hidden="false" customHeight="false" outlineLevel="0" collapsed="false">
      <c r="A8591" s="1" t="s">
        <v>8626</v>
      </c>
      <c r="B8591" s="1" t="s">
        <v>88</v>
      </c>
      <c r="C8591" s="1" t="n">
        <v>232000</v>
      </c>
      <c r="D8591" s="1" t="n">
        <v>1980</v>
      </c>
      <c r="E8591" s="1" t="n">
        <v>0.026</v>
      </c>
      <c r="F8591" s="1" t="n">
        <v>0.0951</v>
      </c>
    </row>
    <row r="8592" customFormat="false" ht="15" hidden="false" customHeight="false" outlineLevel="0" collapsed="false">
      <c r="A8592" s="1" t="s">
        <v>8627</v>
      </c>
      <c r="B8592" s="1" t="s">
        <v>32</v>
      </c>
      <c r="C8592" s="1" t="n">
        <v>2060000</v>
      </c>
      <c r="D8592" s="1" t="n">
        <v>116328.3</v>
      </c>
      <c r="E8592" s="1" t="n">
        <v>0.0273</v>
      </c>
      <c r="F8592" s="1" t="n">
        <v>0.0759</v>
      </c>
    </row>
    <row r="8593" customFormat="false" ht="15" hidden="false" customHeight="false" outlineLevel="0" collapsed="false">
      <c r="A8593" s="1" t="s">
        <v>8628</v>
      </c>
      <c r="B8593" s="1" t="s">
        <v>88</v>
      </c>
      <c r="C8593" s="1" t="n">
        <v>194000</v>
      </c>
      <c r="D8593" s="1" t="n">
        <v>9880.3</v>
      </c>
      <c r="E8593" s="1" t="n">
        <v>0.0284</v>
      </c>
      <c r="F8593" s="1" t="n">
        <v>0.0951</v>
      </c>
    </row>
    <row r="8594" customFormat="false" ht="15" hidden="false" customHeight="false" outlineLevel="0" collapsed="false">
      <c r="A8594" s="1" t="s">
        <v>8629</v>
      </c>
      <c r="B8594" s="1" t="s">
        <v>26</v>
      </c>
      <c r="C8594" s="1" t="n">
        <v>202000</v>
      </c>
      <c r="D8594" s="1" t="n">
        <v>4258.5</v>
      </c>
      <c r="E8594" s="1" t="n">
        <v>0.0778</v>
      </c>
      <c r="F8594" s="1" t="n">
        <v>0.0951</v>
      </c>
    </row>
    <row r="8595" customFormat="false" ht="15" hidden="false" customHeight="false" outlineLevel="0" collapsed="false">
      <c r="A8595" s="1" t="s">
        <v>8630</v>
      </c>
      <c r="B8595" s="1" t="s">
        <v>88</v>
      </c>
      <c r="C8595" s="1" t="n">
        <v>204000</v>
      </c>
      <c r="D8595" s="1" t="n">
        <v>134.8</v>
      </c>
      <c r="E8595" s="1" t="n">
        <v>0.015</v>
      </c>
      <c r="F8595" s="1" t="n">
        <v>0.1691</v>
      </c>
    </row>
    <row r="8596" customFormat="false" ht="15" hidden="false" customHeight="false" outlineLevel="0" collapsed="false">
      <c r="A8596" s="1" t="s">
        <v>8631</v>
      </c>
      <c r="B8596" s="1" t="s">
        <v>88</v>
      </c>
      <c r="C8596" s="1" t="n">
        <v>499000</v>
      </c>
      <c r="D8596" s="1" t="n">
        <v>899.5</v>
      </c>
      <c r="E8596" s="1" t="n">
        <v>0.0693</v>
      </c>
      <c r="F8596" s="1" t="n">
        <v>0.1226</v>
      </c>
    </row>
    <row r="8597" customFormat="false" ht="15" hidden="false" customHeight="false" outlineLevel="0" collapsed="false">
      <c r="A8597" s="1" t="s">
        <v>8632</v>
      </c>
      <c r="B8597" s="1" t="s">
        <v>195</v>
      </c>
      <c r="C8597" s="1" t="n">
        <v>209000</v>
      </c>
      <c r="D8597" s="1" t="n">
        <v>1980.9</v>
      </c>
      <c r="E8597" s="1" t="n">
        <v>0.011</v>
      </c>
      <c r="F8597" s="1" t="n">
        <v>0.1327</v>
      </c>
    </row>
    <row r="8598" customFormat="false" ht="15" hidden="false" customHeight="false" outlineLevel="0" collapsed="false">
      <c r="A8598" s="1" t="s">
        <v>8633</v>
      </c>
      <c r="B8598" s="1" t="s">
        <v>26</v>
      </c>
      <c r="C8598" s="1" t="n">
        <v>217000</v>
      </c>
      <c r="D8598" s="1" t="n">
        <v>4571.1</v>
      </c>
      <c r="E8598" s="1" t="n">
        <v>0.0203</v>
      </c>
      <c r="F8598" s="1" t="n">
        <v>0.0854</v>
      </c>
    </row>
    <row r="8599" customFormat="false" ht="15" hidden="false" customHeight="false" outlineLevel="0" collapsed="false">
      <c r="A8599" s="1" t="s">
        <v>8634</v>
      </c>
      <c r="B8599" s="1" t="s">
        <v>88</v>
      </c>
      <c r="C8599" s="1" t="n">
        <v>346000</v>
      </c>
      <c r="D8599" s="1" t="n">
        <v>232149</v>
      </c>
      <c r="E8599" s="1" t="n">
        <v>0.0164</v>
      </c>
      <c r="F8599" s="1" t="n">
        <v>0.0585</v>
      </c>
    </row>
    <row r="8600" customFormat="false" ht="15" hidden="false" customHeight="false" outlineLevel="0" collapsed="false">
      <c r="A8600" s="1" t="s">
        <v>8635</v>
      </c>
      <c r="B8600" s="1" t="s">
        <v>214</v>
      </c>
      <c r="C8600" s="1" t="n">
        <v>251000</v>
      </c>
      <c r="D8600" s="1" t="n">
        <v>3548.7</v>
      </c>
      <c r="E8600" s="1" t="n">
        <v>0.0129</v>
      </c>
      <c r="F8600" s="1" t="n">
        <v>0.0854</v>
      </c>
    </row>
    <row r="8601" customFormat="false" ht="15" hidden="false" customHeight="false" outlineLevel="0" collapsed="false">
      <c r="A8601" s="1" t="s">
        <v>8636</v>
      </c>
      <c r="B8601" s="1" t="s">
        <v>81</v>
      </c>
      <c r="C8601" s="1" t="n">
        <v>230000</v>
      </c>
      <c r="D8601" s="1" t="n">
        <v>2244.5</v>
      </c>
      <c r="F8601" s="1" t="n">
        <v>0.0951</v>
      </c>
    </row>
    <row r="8602" customFormat="false" ht="15" hidden="false" customHeight="false" outlineLevel="0" collapsed="false">
      <c r="A8602" s="1" t="s">
        <v>8637</v>
      </c>
      <c r="B8602" s="1" t="s">
        <v>53</v>
      </c>
      <c r="C8602" s="1" t="n">
        <v>195000</v>
      </c>
      <c r="D8602" s="1" t="n">
        <v>19548.2</v>
      </c>
      <c r="E8602" s="1" t="n">
        <v>0.0505</v>
      </c>
      <c r="F8602" s="1" t="n">
        <v>0.0951</v>
      </c>
    </row>
    <row r="8603" customFormat="false" ht="15" hidden="false" customHeight="false" outlineLevel="0" collapsed="false">
      <c r="A8603" s="1" t="s">
        <v>8638</v>
      </c>
      <c r="B8603" s="1" t="s">
        <v>195</v>
      </c>
      <c r="C8603" s="1" t="n">
        <v>266000</v>
      </c>
      <c r="D8603" s="1" t="n">
        <v>12105.9</v>
      </c>
      <c r="E8603" s="1" t="n">
        <v>0.0205</v>
      </c>
      <c r="F8603" s="1" t="n">
        <v>0.0854</v>
      </c>
    </row>
    <row r="8604" customFormat="false" ht="15" hidden="false" customHeight="false" outlineLevel="0" collapsed="false">
      <c r="A8604" s="1" t="s">
        <v>8639</v>
      </c>
      <c r="B8604" s="1" t="s">
        <v>88</v>
      </c>
      <c r="C8604" s="1" t="n">
        <v>451000</v>
      </c>
      <c r="D8604" s="1" t="n">
        <v>986.8</v>
      </c>
      <c r="E8604" s="1" t="n">
        <v>0.0168</v>
      </c>
      <c r="F8604" s="1" t="n">
        <v>0.131</v>
      </c>
    </row>
    <row r="8605" customFormat="false" ht="15" hidden="false" customHeight="false" outlineLevel="0" collapsed="false">
      <c r="A8605" s="1" t="s">
        <v>8640</v>
      </c>
      <c r="B8605" s="1" t="s">
        <v>41</v>
      </c>
      <c r="C8605" s="1" t="n">
        <v>255000</v>
      </c>
      <c r="D8605" s="1" t="n">
        <v>71.6</v>
      </c>
      <c r="E8605" s="1" t="n">
        <v>0.0045</v>
      </c>
      <c r="F8605" s="1" t="n">
        <v>0.1779</v>
      </c>
    </row>
    <row r="8606" customFormat="false" ht="15" hidden="false" customHeight="false" outlineLevel="0" collapsed="false">
      <c r="A8606" s="1" t="s">
        <v>8641</v>
      </c>
      <c r="B8606" s="1" t="s">
        <v>26</v>
      </c>
      <c r="C8606" s="1" t="n">
        <v>224000</v>
      </c>
      <c r="D8606" s="1" t="n">
        <v>56977</v>
      </c>
      <c r="E8606" s="1" t="n">
        <v>0.0336</v>
      </c>
      <c r="F8606" s="1" t="n">
        <v>0.0951</v>
      </c>
    </row>
    <row r="8607" customFormat="false" ht="15" hidden="false" customHeight="false" outlineLevel="0" collapsed="false">
      <c r="A8607" s="1" t="s">
        <v>8642</v>
      </c>
      <c r="B8607" s="1" t="s">
        <v>26</v>
      </c>
      <c r="C8607" s="1" t="n">
        <v>232000</v>
      </c>
      <c r="D8607" s="1" t="n">
        <v>4527.1</v>
      </c>
      <c r="E8607" s="1" t="n">
        <v>0.0776</v>
      </c>
      <c r="F8607" s="1" t="n">
        <v>0.0409</v>
      </c>
    </row>
    <row r="8608" customFormat="false" ht="15" hidden="false" customHeight="false" outlineLevel="0" collapsed="false">
      <c r="A8608" s="1" t="s">
        <v>8643</v>
      </c>
      <c r="B8608" s="1" t="s">
        <v>88</v>
      </c>
      <c r="C8608" s="1" t="n">
        <v>210000</v>
      </c>
      <c r="D8608" s="1" t="n">
        <v>5606.5</v>
      </c>
      <c r="E8608" s="1" t="n">
        <v>0.0383</v>
      </c>
      <c r="F8608" s="1" t="n">
        <v>0.0759</v>
      </c>
    </row>
    <row r="8609" customFormat="false" ht="15" hidden="false" customHeight="false" outlineLevel="0" collapsed="false">
      <c r="A8609" s="1" t="s">
        <v>8644</v>
      </c>
      <c r="B8609" s="1" t="s">
        <v>41</v>
      </c>
      <c r="C8609" s="1" t="n">
        <v>229000</v>
      </c>
      <c r="D8609" s="1" t="n">
        <v>590665.8</v>
      </c>
      <c r="E8609" s="1" t="n">
        <v>0.0216</v>
      </c>
      <c r="F8609" s="1" t="n">
        <v>0.0546</v>
      </c>
    </row>
    <row r="8610" customFormat="false" ht="15" hidden="false" customHeight="false" outlineLevel="0" collapsed="false">
      <c r="A8610" s="1" t="s">
        <v>8645</v>
      </c>
      <c r="B8610" s="1" t="s">
        <v>92</v>
      </c>
      <c r="C8610" s="1" t="n">
        <v>246000</v>
      </c>
      <c r="D8610" s="1" t="n">
        <v>2612.4</v>
      </c>
      <c r="E8610" s="1" t="n">
        <v>0.0273</v>
      </c>
      <c r="F8610" s="1" t="n">
        <v>0.0951</v>
      </c>
    </row>
    <row r="8611" customFormat="false" ht="15" hidden="false" customHeight="false" outlineLevel="0" collapsed="false">
      <c r="A8611" s="1" t="s">
        <v>8646</v>
      </c>
      <c r="B8611" s="1" t="s">
        <v>26</v>
      </c>
      <c r="C8611" s="1" t="n">
        <v>243000</v>
      </c>
      <c r="D8611" s="1" t="n">
        <v>4532.9</v>
      </c>
      <c r="E8611" s="1" t="n">
        <v>0.0483</v>
      </c>
      <c r="F8611" s="1" t="n">
        <v>0.0759</v>
      </c>
    </row>
    <row r="8612" customFormat="false" ht="15" hidden="false" customHeight="false" outlineLevel="0" collapsed="false">
      <c r="A8612" s="1" t="s">
        <v>8647</v>
      </c>
      <c r="B8612" s="1" t="s">
        <v>26</v>
      </c>
      <c r="C8612" s="1" t="n">
        <v>336000</v>
      </c>
      <c r="D8612" s="1" t="n">
        <v>465307</v>
      </c>
      <c r="E8612" s="1" t="n">
        <v>0.0155</v>
      </c>
      <c r="F8612" s="1" t="n">
        <v>0.0616</v>
      </c>
    </row>
    <row r="8613" customFormat="false" ht="15" hidden="false" customHeight="false" outlineLevel="0" collapsed="false">
      <c r="A8613" s="1" t="s">
        <v>8648</v>
      </c>
      <c r="B8613" s="1" t="s">
        <v>92</v>
      </c>
      <c r="C8613" s="1" t="n">
        <v>210000</v>
      </c>
      <c r="D8613" s="1" t="n">
        <v>1373.2</v>
      </c>
      <c r="E8613" s="1" t="n">
        <v>0.0196</v>
      </c>
      <c r="F8613" s="1" t="n">
        <v>0.1709</v>
      </c>
    </row>
    <row r="8614" customFormat="false" ht="15" hidden="false" customHeight="false" outlineLevel="0" collapsed="false">
      <c r="A8614" s="1" t="s">
        <v>8649</v>
      </c>
      <c r="B8614" s="1" t="s">
        <v>26</v>
      </c>
      <c r="C8614" s="1" t="n">
        <v>521000</v>
      </c>
      <c r="D8614" s="1" t="n">
        <v>22277.2</v>
      </c>
      <c r="E8614" s="1" t="n">
        <v>0.0417</v>
      </c>
      <c r="F8614" s="1" t="n">
        <v>0.0951</v>
      </c>
    </row>
    <row r="8615" customFormat="false" ht="15" hidden="false" customHeight="false" outlineLevel="0" collapsed="false">
      <c r="A8615" s="1" t="s">
        <v>8650</v>
      </c>
      <c r="B8615" s="1" t="s">
        <v>41</v>
      </c>
      <c r="C8615" s="1" t="n">
        <v>215000</v>
      </c>
      <c r="D8615" s="1" t="n">
        <v>13375.3</v>
      </c>
      <c r="E8615" s="1" t="n">
        <v>0.0225</v>
      </c>
      <c r="F8615" s="1" t="n">
        <v>0.0938</v>
      </c>
    </row>
    <row r="8616" customFormat="false" ht="15" hidden="false" customHeight="false" outlineLevel="0" collapsed="false">
      <c r="A8616" s="1" t="s">
        <v>8651</v>
      </c>
      <c r="B8616" s="1" t="s">
        <v>26</v>
      </c>
      <c r="C8616" s="1" t="n">
        <v>247000</v>
      </c>
      <c r="D8616" s="1" t="n">
        <v>239295.1</v>
      </c>
      <c r="E8616" s="1" t="n">
        <v>0.0231</v>
      </c>
      <c r="F8616" s="1" t="n">
        <v>0.0518</v>
      </c>
    </row>
    <row r="8617" customFormat="false" ht="15" hidden="false" customHeight="false" outlineLevel="0" collapsed="false">
      <c r="A8617" s="1" t="s">
        <v>8652</v>
      </c>
      <c r="B8617" s="1" t="s">
        <v>21</v>
      </c>
      <c r="C8617" s="1" t="n">
        <v>289000</v>
      </c>
      <c r="D8617" s="1" t="n">
        <v>8121.7</v>
      </c>
      <c r="E8617" s="1" t="n">
        <v>0.0246</v>
      </c>
      <c r="F8617" s="1" t="n">
        <v>0.0584</v>
      </c>
    </row>
    <row r="8618" customFormat="false" ht="15" hidden="false" customHeight="false" outlineLevel="0" collapsed="false">
      <c r="A8618" s="1" t="s">
        <v>8653</v>
      </c>
      <c r="B8618" s="1" t="s">
        <v>88</v>
      </c>
      <c r="C8618" s="1" t="n">
        <v>229000</v>
      </c>
      <c r="D8618" s="1" t="n">
        <v>76889.6</v>
      </c>
      <c r="E8618" s="1" t="n">
        <v>0.0377</v>
      </c>
      <c r="F8618" s="1" t="n">
        <v>0.0951</v>
      </c>
    </row>
    <row r="8619" customFormat="false" ht="15" hidden="false" customHeight="false" outlineLevel="0" collapsed="false">
      <c r="A8619" s="1" t="s">
        <v>8654</v>
      </c>
      <c r="B8619" s="1" t="s">
        <v>24</v>
      </c>
      <c r="C8619" s="1" t="n">
        <v>219000</v>
      </c>
      <c r="D8619" s="1" t="n">
        <v>1537.8</v>
      </c>
      <c r="E8619" s="1" t="n">
        <v>0.0067</v>
      </c>
      <c r="F8619" s="1" t="n">
        <v>0.0654</v>
      </c>
    </row>
    <row r="8620" customFormat="false" ht="15" hidden="false" customHeight="false" outlineLevel="0" collapsed="false">
      <c r="A8620" s="1" t="s">
        <v>8655</v>
      </c>
      <c r="B8620" s="1" t="s">
        <v>53</v>
      </c>
      <c r="C8620" s="1" t="n">
        <v>231000</v>
      </c>
      <c r="D8620" s="1" t="n">
        <v>7574.4</v>
      </c>
      <c r="E8620" s="1" t="n">
        <v>0.0288</v>
      </c>
      <c r="F8620" s="1" t="n">
        <v>0.0938</v>
      </c>
    </row>
    <row r="8621" customFormat="false" ht="15" hidden="false" customHeight="false" outlineLevel="0" collapsed="false">
      <c r="A8621" s="1" t="s">
        <v>8656</v>
      </c>
      <c r="B8621" s="1" t="s">
        <v>26</v>
      </c>
      <c r="C8621" s="1" t="n">
        <v>233000</v>
      </c>
      <c r="D8621" s="1" t="n">
        <v>2701.7</v>
      </c>
      <c r="E8621" s="1" t="n">
        <v>0.0362</v>
      </c>
      <c r="F8621" s="1" t="n">
        <v>0.0951</v>
      </c>
    </row>
    <row r="8622" customFormat="false" ht="15" hidden="false" customHeight="false" outlineLevel="0" collapsed="false">
      <c r="A8622" s="1" t="s">
        <v>8657</v>
      </c>
      <c r="B8622" s="1" t="s">
        <v>88</v>
      </c>
      <c r="C8622" s="1" t="n">
        <v>337000</v>
      </c>
      <c r="D8622" s="1" t="n">
        <v>2913.7</v>
      </c>
      <c r="E8622" s="1" t="n">
        <v>0.0373</v>
      </c>
      <c r="F8622" s="1" t="n">
        <v>0.0938</v>
      </c>
    </row>
    <row r="8623" customFormat="false" ht="15" hidden="false" customHeight="false" outlineLevel="0" collapsed="false">
      <c r="A8623" s="1" t="s">
        <v>8658</v>
      </c>
      <c r="B8623" s="1" t="s">
        <v>92</v>
      </c>
      <c r="C8623" s="1" t="n">
        <v>196000</v>
      </c>
      <c r="D8623" s="1" t="n">
        <v>5128</v>
      </c>
      <c r="E8623" s="1" t="n">
        <v>0.0517</v>
      </c>
      <c r="F8623" s="1" t="n">
        <v>0.0951</v>
      </c>
    </row>
    <row r="8624" customFormat="false" ht="15" hidden="false" customHeight="false" outlineLevel="0" collapsed="false">
      <c r="A8624" s="1" t="s">
        <v>8659</v>
      </c>
      <c r="B8624" s="1" t="s">
        <v>32</v>
      </c>
      <c r="C8624" s="1" t="n">
        <v>193000</v>
      </c>
      <c r="D8624" s="1" t="n">
        <v>116013.2</v>
      </c>
      <c r="E8624" s="1" t="n">
        <v>0.0733</v>
      </c>
      <c r="F8624" s="1" t="n">
        <v>0.0951</v>
      </c>
    </row>
    <row r="8625" customFormat="false" ht="15" hidden="false" customHeight="false" outlineLevel="0" collapsed="false">
      <c r="A8625" s="1" t="s">
        <v>8660</v>
      </c>
      <c r="B8625" s="1" t="s">
        <v>26</v>
      </c>
      <c r="C8625" s="1" t="n">
        <v>196000</v>
      </c>
      <c r="D8625" s="1" t="n">
        <v>5570405.2</v>
      </c>
      <c r="E8625" s="1" t="n">
        <v>0.0074</v>
      </c>
      <c r="F8625" s="1" t="n">
        <v>0.0822</v>
      </c>
    </row>
    <row r="8626" customFormat="false" ht="15" hidden="false" customHeight="false" outlineLevel="0" collapsed="false">
      <c r="A8626" s="1" t="s">
        <v>8661</v>
      </c>
      <c r="B8626" s="1" t="s">
        <v>26</v>
      </c>
      <c r="C8626" s="1" t="n">
        <v>212000</v>
      </c>
      <c r="D8626" s="1" t="n">
        <v>4742.3</v>
      </c>
      <c r="E8626" s="1" t="n">
        <v>0.0272</v>
      </c>
      <c r="F8626" s="1" t="n">
        <v>0.0951</v>
      </c>
    </row>
    <row r="8627" customFormat="false" ht="15" hidden="false" customHeight="false" outlineLevel="0" collapsed="false">
      <c r="A8627" s="1" t="s">
        <v>8662</v>
      </c>
      <c r="B8627" s="1" t="s">
        <v>88</v>
      </c>
      <c r="C8627" s="1" t="n">
        <v>309000</v>
      </c>
      <c r="D8627" s="1" t="n">
        <v>60716.7</v>
      </c>
      <c r="E8627" s="1" t="n">
        <v>0.0441</v>
      </c>
      <c r="F8627" s="1" t="n">
        <v>0.0951</v>
      </c>
    </row>
    <row r="8628" customFormat="false" ht="15" hidden="false" customHeight="false" outlineLevel="0" collapsed="false">
      <c r="A8628" s="1" t="s">
        <v>8663</v>
      </c>
      <c r="B8628" s="1" t="s">
        <v>88</v>
      </c>
      <c r="C8628" s="1" t="n">
        <v>213000</v>
      </c>
      <c r="D8628" s="1" t="n">
        <v>4974.5</v>
      </c>
      <c r="E8628" s="1" t="n">
        <v>0.0441</v>
      </c>
      <c r="F8628" s="1" t="n">
        <v>0.0759</v>
      </c>
    </row>
    <row r="8629" customFormat="false" ht="15" hidden="false" customHeight="false" outlineLevel="0" collapsed="false">
      <c r="A8629" s="1" t="s">
        <v>8664</v>
      </c>
      <c r="B8629" s="1" t="s">
        <v>53</v>
      </c>
      <c r="C8629" s="1" t="n">
        <v>220000</v>
      </c>
      <c r="D8629" s="1" t="n">
        <v>29941.7</v>
      </c>
      <c r="E8629" s="1" t="n">
        <v>0.0178</v>
      </c>
      <c r="F8629" s="1" t="n">
        <v>0.0585</v>
      </c>
    </row>
    <row r="8630" customFormat="false" ht="15" hidden="false" customHeight="false" outlineLevel="0" collapsed="false">
      <c r="A8630" s="1" t="s">
        <v>8665</v>
      </c>
      <c r="B8630" s="1" t="s">
        <v>88</v>
      </c>
      <c r="C8630" s="1" t="n">
        <v>198000</v>
      </c>
      <c r="D8630" s="1" t="n">
        <v>103.8</v>
      </c>
      <c r="E8630" s="1" t="n">
        <v>0.0851</v>
      </c>
      <c r="F8630" s="1" t="n">
        <v>0.0759</v>
      </c>
    </row>
    <row r="8631" customFormat="false" ht="15" hidden="false" customHeight="false" outlineLevel="0" collapsed="false">
      <c r="A8631" s="1" t="s">
        <v>8666</v>
      </c>
      <c r="B8631" s="1" t="s">
        <v>490</v>
      </c>
      <c r="C8631" s="1" t="n">
        <v>247000</v>
      </c>
      <c r="D8631" s="1" t="n">
        <v>3109.2</v>
      </c>
      <c r="E8631" s="1" t="n">
        <v>0.0271</v>
      </c>
      <c r="F8631" s="1" t="n">
        <v>0.1688</v>
      </c>
    </row>
    <row r="8632" customFormat="false" ht="15" hidden="false" customHeight="false" outlineLevel="0" collapsed="false">
      <c r="A8632" s="1" t="s">
        <v>8667</v>
      </c>
      <c r="B8632" s="1" t="s">
        <v>92</v>
      </c>
      <c r="C8632" s="1" t="n">
        <v>242000</v>
      </c>
      <c r="D8632" s="1" t="n">
        <v>9380.4</v>
      </c>
      <c r="E8632" s="1" t="n">
        <v>0.0114</v>
      </c>
      <c r="F8632" s="1" t="n">
        <v>0.1067</v>
      </c>
    </row>
    <row r="8633" customFormat="false" ht="15" hidden="false" customHeight="false" outlineLevel="0" collapsed="false">
      <c r="A8633" s="1" t="s">
        <v>8668</v>
      </c>
      <c r="B8633" s="1" t="s">
        <v>214</v>
      </c>
      <c r="C8633" s="1" t="n">
        <v>194000</v>
      </c>
      <c r="D8633" s="1" t="n">
        <v>1976</v>
      </c>
      <c r="E8633" s="1" t="n">
        <v>0.0091</v>
      </c>
      <c r="F8633" s="1" t="n">
        <v>0.0822</v>
      </c>
    </row>
    <row r="8634" customFormat="false" ht="15" hidden="false" customHeight="false" outlineLevel="0" collapsed="false">
      <c r="A8634" s="1" t="s">
        <v>8669</v>
      </c>
      <c r="B8634" s="1" t="s">
        <v>81</v>
      </c>
      <c r="C8634" s="1" t="n">
        <v>194000</v>
      </c>
      <c r="D8634" s="1" t="n">
        <v>225742.3</v>
      </c>
      <c r="E8634" s="1" t="n">
        <v>0.013</v>
      </c>
      <c r="F8634" s="1" t="n">
        <v>0.0736</v>
      </c>
    </row>
    <row r="8635" customFormat="false" ht="15" hidden="false" customHeight="false" outlineLevel="0" collapsed="false">
      <c r="A8635" s="1" t="s">
        <v>8670</v>
      </c>
      <c r="B8635" s="1" t="s">
        <v>26</v>
      </c>
      <c r="C8635" s="1" t="n">
        <v>868000</v>
      </c>
      <c r="D8635" s="1" t="n">
        <v>5712.5</v>
      </c>
      <c r="E8635" s="1" t="n">
        <v>0.0067</v>
      </c>
      <c r="F8635" s="1" t="n">
        <v>0.0822</v>
      </c>
    </row>
    <row r="8636" customFormat="false" ht="15" hidden="false" customHeight="false" outlineLevel="0" collapsed="false">
      <c r="A8636" s="1" t="s">
        <v>8671</v>
      </c>
      <c r="B8636" s="1" t="s">
        <v>50</v>
      </c>
      <c r="C8636" s="1" t="n">
        <v>314000</v>
      </c>
      <c r="D8636" s="1" t="n">
        <v>169936.9</v>
      </c>
      <c r="E8636" s="1" t="n">
        <v>0.0547</v>
      </c>
      <c r="F8636" s="1" t="n">
        <v>0.0759</v>
      </c>
    </row>
    <row r="8637" customFormat="false" ht="15" hidden="false" customHeight="false" outlineLevel="0" collapsed="false">
      <c r="A8637" s="1" t="s">
        <v>8672</v>
      </c>
      <c r="B8637" s="1" t="s">
        <v>26</v>
      </c>
      <c r="C8637" s="1" t="n">
        <v>263000</v>
      </c>
      <c r="D8637" s="1" t="n">
        <v>48622.8</v>
      </c>
      <c r="E8637" s="1" t="n">
        <v>0.0063</v>
      </c>
      <c r="F8637" s="1" t="n">
        <v>0.0654</v>
      </c>
    </row>
    <row r="8638" customFormat="false" ht="15" hidden="false" customHeight="false" outlineLevel="0" collapsed="false">
      <c r="A8638" s="1" t="s">
        <v>8673</v>
      </c>
      <c r="B8638" s="1" t="s">
        <v>26</v>
      </c>
      <c r="C8638" s="1" t="n">
        <v>218000</v>
      </c>
      <c r="D8638" s="1" t="n">
        <v>122.3</v>
      </c>
      <c r="E8638" s="1" t="n">
        <v>0.0035</v>
      </c>
      <c r="F8638" s="1" t="n">
        <v>0.3805</v>
      </c>
    </row>
    <row r="8639" customFormat="false" ht="15" hidden="false" customHeight="false" outlineLevel="0" collapsed="false">
      <c r="A8639" s="1" t="s">
        <v>8674</v>
      </c>
      <c r="B8639" s="1" t="s">
        <v>62</v>
      </c>
      <c r="C8639" s="1" t="n">
        <v>210000</v>
      </c>
      <c r="D8639" s="1" t="n">
        <v>6097.4</v>
      </c>
      <c r="E8639" s="1" t="n">
        <v>0.0126</v>
      </c>
      <c r="F8639" s="1" t="n">
        <v>0.0736</v>
      </c>
    </row>
    <row r="8640" customFormat="false" ht="15" hidden="false" customHeight="false" outlineLevel="0" collapsed="false">
      <c r="A8640" s="1" t="s">
        <v>8675</v>
      </c>
      <c r="B8640" s="1" t="s">
        <v>287</v>
      </c>
      <c r="C8640" s="1" t="n">
        <v>225000</v>
      </c>
      <c r="D8640" s="1" t="n">
        <v>5973.8</v>
      </c>
      <c r="E8640" s="1" t="n">
        <v>0.0194</v>
      </c>
      <c r="F8640" s="1" t="n">
        <v>0.0462</v>
      </c>
    </row>
    <row r="8641" customFormat="false" ht="15" hidden="false" customHeight="false" outlineLevel="0" collapsed="false">
      <c r="A8641" s="1" t="s">
        <v>8676</v>
      </c>
      <c r="B8641" s="1" t="s">
        <v>195</v>
      </c>
      <c r="C8641" s="1" t="n">
        <v>236000</v>
      </c>
      <c r="D8641" s="1" t="n">
        <v>7890.3</v>
      </c>
      <c r="E8641" s="1" t="n">
        <v>0.0173</v>
      </c>
      <c r="F8641" s="1" t="n">
        <v>0.0462</v>
      </c>
    </row>
    <row r="8642" customFormat="false" ht="15" hidden="false" customHeight="false" outlineLevel="0" collapsed="false">
      <c r="A8642" s="1" t="s">
        <v>8677</v>
      </c>
      <c r="B8642" s="1" t="s">
        <v>62</v>
      </c>
      <c r="C8642" s="1" t="n">
        <v>251000</v>
      </c>
      <c r="D8642" s="1" t="n">
        <v>2267.3</v>
      </c>
      <c r="E8642" s="1" t="n">
        <v>0.0191</v>
      </c>
      <c r="F8642" s="1" t="n">
        <v>0.0462</v>
      </c>
    </row>
    <row r="8643" customFormat="false" ht="15" hidden="false" customHeight="false" outlineLevel="0" collapsed="false">
      <c r="A8643" s="1" t="s">
        <v>8678</v>
      </c>
      <c r="B8643" s="1" t="s">
        <v>53</v>
      </c>
      <c r="C8643" s="1" t="n">
        <v>292000</v>
      </c>
      <c r="D8643" s="1" t="n">
        <v>113.9</v>
      </c>
      <c r="E8643" s="1" t="n">
        <v>0.0977</v>
      </c>
      <c r="F8643" s="1" t="n">
        <v>0.051</v>
      </c>
    </row>
    <row r="8644" customFormat="false" ht="15" hidden="false" customHeight="false" outlineLevel="0" collapsed="false">
      <c r="A8644" s="1" t="s">
        <v>8679</v>
      </c>
      <c r="B8644" s="1" t="s">
        <v>88</v>
      </c>
      <c r="C8644" s="1" t="n">
        <v>205000</v>
      </c>
      <c r="D8644" s="1" t="n">
        <v>1709.6</v>
      </c>
      <c r="E8644" s="1" t="n">
        <v>0.0076</v>
      </c>
      <c r="F8644" s="1" t="n">
        <v>0.0811</v>
      </c>
    </row>
    <row r="8645" customFormat="false" ht="15" hidden="false" customHeight="false" outlineLevel="0" collapsed="false">
      <c r="A8645" s="1" t="s">
        <v>8680</v>
      </c>
      <c r="B8645" s="1" t="s">
        <v>26</v>
      </c>
      <c r="C8645" s="1" t="n">
        <v>257000</v>
      </c>
      <c r="D8645" s="1" t="n">
        <v>806144.8</v>
      </c>
      <c r="E8645" s="1" t="n">
        <v>0.0152</v>
      </c>
      <c r="F8645" s="1" t="n">
        <v>0.0462</v>
      </c>
    </row>
    <row r="8646" customFormat="false" ht="15" hidden="false" customHeight="false" outlineLevel="0" collapsed="false">
      <c r="A8646" s="1" t="s">
        <v>8681</v>
      </c>
      <c r="B8646" s="1" t="s">
        <v>26</v>
      </c>
      <c r="C8646" s="1" t="n">
        <v>267000</v>
      </c>
      <c r="D8646" s="1" t="n">
        <v>11733.7</v>
      </c>
      <c r="E8646" s="1" t="n">
        <v>0.0123</v>
      </c>
      <c r="F8646" s="1" t="n">
        <v>0.0654</v>
      </c>
    </row>
    <row r="8647" customFormat="false" ht="15" hidden="false" customHeight="false" outlineLevel="0" collapsed="false">
      <c r="A8647" s="1" t="s">
        <v>8682</v>
      </c>
      <c r="B8647" s="1" t="s">
        <v>88</v>
      </c>
      <c r="C8647" s="1" t="n">
        <v>195000</v>
      </c>
      <c r="D8647" s="1" t="n">
        <v>5102.8</v>
      </c>
      <c r="E8647" s="1" t="n">
        <v>0.0315</v>
      </c>
      <c r="F8647" s="1" t="n">
        <v>0.0951</v>
      </c>
    </row>
    <row r="8648" customFormat="false" ht="15" hidden="false" customHeight="false" outlineLevel="0" collapsed="false">
      <c r="A8648" s="1" t="s">
        <v>8683</v>
      </c>
      <c r="B8648" s="1" t="s">
        <v>26</v>
      </c>
      <c r="C8648" s="1" t="n">
        <v>260000</v>
      </c>
      <c r="D8648" s="1" t="n">
        <v>10193</v>
      </c>
      <c r="E8648" s="1" t="n">
        <v>0.0197</v>
      </c>
      <c r="F8648" s="1" t="n">
        <v>0.1242</v>
      </c>
    </row>
    <row r="8649" customFormat="false" ht="15" hidden="false" customHeight="false" outlineLevel="0" collapsed="false">
      <c r="A8649" s="1" t="s">
        <v>8684</v>
      </c>
      <c r="B8649" s="1" t="s">
        <v>53</v>
      </c>
      <c r="C8649" s="1" t="n">
        <v>423000</v>
      </c>
      <c r="D8649" s="1" t="n">
        <v>9253.4</v>
      </c>
      <c r="E8649" s="1" t="n">
        <v>0.0516</v>
      </c>
      <c r="F8649" s="1" t="n">
        <v>0.0759</v>
      </c>
    </row>
    <row r="8650" customFormat="false" ht="15" hidden="false" customHeight="false" outlineLevel="0" collapsed="false">
      <c r="A8650" s="1" t="s">
        <v>8685</v>
      </c>
      <c r="B8650" s="1" t="s">
        <v>88</v>
      </c>
      <c r="C8650" s="1" t="n">
        <v>236000</v>
      </c>
      <c r="D8650" s="1" t="n">
        <v>2769.5</v>
      </c>
      <c r="E8650" s="1" t="n">
        <v>0.017</v>
      </c>
      <c r="F8650" s="1" t="n">
        <v>0.0937</v>
      </c>
    </row>
    <row r="8651" customFormat="false" ht="15" hidden="false" customHeight="false" outlineLevel="0" collapsed="false">
      <c r="A8651" s="1" t="s">
        <v>8686</v>
      </c>
      <c r="B8651" s="1" t="s">
        <v>26</v>
      </c>
      <c r="C8651" s="1" t="n">
        <v>384000</v>
      </c>
      <c r="D8651" s="1" t="n">
        <v>56280.9</v>
      </c>
      <c r="E8651" s="1" t="n">
        <v>0.002</v>
      </c>
      <c r="F8651" s="1" t="n">
        <v>0.0654</v>
      </c>
    </row>
    <row r="8652" customFormat="false" ht="15" hidden="false" customHeight="false" outlineLevel="0" collapsed="false">
      <c r="A8652" s="1" t="s">
        <v>8687</v>
      </c>
      <c r="B8652" s="1" t="s">
        <v>71</v>
      </c>
      <c r="C8652" s="1" t="n">
        <v>270000</v>
      </c>
      <c r="D8652" s="1" t="n">
        <v>95910.7</v>
      </c>
      <c r="E8652" s="1" t="n">
        <v>0.0175</v>
      </c>
      <c r="F8652" s="1" t="n">
        <v>0.0462</v>
      </c>
    </row>
    <row r="8653" customFormat="false" ht="15" hidden="false" customHeight="false" outlineLevel="0" collapsed="false">
      <c r="A8653" s="1" t="s">
        <v>8688</v>
      </c>
      <c r="B8653" s="1" t="s">
        <v>26</v>
      </c>
      <c r="C8653" s="1" t="n">
        <v>397000</v>
      </c>
      <c r="D8653" s="1" t="n">
        <v>39042.7</v>
      </c>
      <c r="E8653" s="1" t="n">
        <v>0.0081</v>
      </c>
      <c r="F8653" s="1" t="n">
        <v>0.0654</v>
      </c>
    </row>
    <row r="8654" customFormat="false" ht="15" hidden="false" customHeight="false" outlineLevel="0" collapsed="false">
      <c r="A8654" s="1" t="s">
        <v>8689</v>
      </c>
      <c r="B8654" s="1" t="s">
        <v>26</v>
      </c>
      <c r="C8654" s="1" t="n">
        <v>199000</v>
      </c>
      <c r="D8654" s="1" t="n">
        <v>48193.4</v>
      </c>
      <c r="E8654" s="1" t="n">
        <v>0.0631</v>
      </c>
      <c r="F8654" s="1" t="n">
        <v>0.0845</v>
      </c>
    </row>
    <row r="8655" customFormat="false" ht="15" hidden="false" customHeight="false" outlineLevel="0" collapsed="false">
      <c r="A8655" s="1" t="s">
        <v>8690</v>
      </c>
      <c r="B8655" s="1" t="s">
        <v>26</v>
      </c>
      <c r="C8655" s="1" t="n">
        <v>208000</v>
      </c>
      <c r="D8655" s="1" t="n">
        <v>11545.7</v>
      </c>
      <c r="E8655" s="1" t="n">
        <v>0.0233</v>
      </c>
      <c r="F8655" s="1" t="n">
        <v>0.0951</v>
      </c>
    </row>
    <row r="8656" customFormat="false" ht="15" hidden="false" customHeight="false" outlineLevel="0" collapsed="false">
      <c r="A8656" s="1" t="s">
        <v>8691</v>
      </c>
      <c r="B8656" s="1" t="s">
        <v>21</v>
      </c>
      <c r="C8656" s="1" t="n">
        <v>202000</v>
      </c>
      <c r="D8656" s="1" t="n">
        <v>12327.2</v>
      </c>
      <c r="E8656" s="1" t="n">
        <v>0.0087</v>
      </c>
      <c r="F8656" s="1" t="n">
        <v>0.1068</v>
      </c>
    </row>
    <row r="8657" customFormat="false" ht="15" hidden="false" customHeight="false" outlineLevel="0" collapsed="false">
      <c r="A8657" s="1" t="s">
        <v>8692</v>
      </c>
      <c r="B8657" s="1" t="s">
        <v>92</v>
      </c>
      <c r="C8657" s="1" t="n">
        <v>280000</v>
      </c>
      <c r="D8657" s="1" t="n">
        <v>5218.4</v>
      </c>
      <c r="E8657" s="1" t="n">
        <v>0.0261</v>
      </c>
      <c r="F8657" s="1" t="n">
        <v>0.0938</v>
      </c>
    </row>
    <row r="8658" customFormat="false" ht="15" hidden="false" customHeight="false" outlineLevel="0" collapsed="false">
      <c r="A8658" s="1" t="s">
        <v>8693</v>
      </c>
      <c r="B8658" s="1" t="s">
        <v>92</v>
      </c>
      <c r="C8658" s="1" t="n">
        <v>192000</v>
      </c>
      <c r="D8658" s="1" t="n">
        <v>319.9</v>
      </c>
      <c r="E8658" s="1" t="n">
        <v>0.0545</v>
      </c>
      <c r="F8658" s="1" t="n">
        <v>0.0951</v>
      </c>
    </row>
    <row r="8659" customFormat="false" ht="15" hidden="false" customHeight="false" outlineLevel="0" collapsed="false">
      <c r="A8659" s="1" t="s">
        <v>8694</v>
      </c>
      <c r="B8659" s="1" t="s">
        <v>74</v>
      </c>
      <c r="C8659" s="1" t="n">
        <v>299000</v>
      </c>
      <c r="D8659" s="1" t="n">
        <v>11045</v>
      </c>
      <c r="E8659" s="1" t="n">
        <v>0.0746</v>
      </c>
      <c r="F8659" s="1" t="n">
        <v>0.0759</v>
      </c>
    </row>
    <row r="8660" customFormat="false" ht="15" hidden="false" customHeight="false" outlineLevel="0" collapsed="false">
      <c r="A8660" s="1" t="s">
        <v>8695</v>
      </c>
      <c r="B8660" s="1" t="s">
        <v>53</v>
      </c>
      <c r="C8660" s="1" t="n">
        <v>203000</v>
      </c>
      <c r="D8660" s="1" t="n">
        <v>9036.8</v>
      </c>
      <c r="E8660" s="1" t="n">
        <v>0.0686</v>
      </c>
      <c r="F8660" s="1" t="n">
        <v>0.0759</v>
      </c>
    </row>
    <row r="8661" customFormat="false" ht="15" hidden="false" customHeight="false" outlineLevel="0" collapsed="false">
      <c r="A8661" s="1" t="s">
        <v>8696</v>
      </c>
      <c r="B8661" s="1" t="s">
        <v>26</v>
      </c>
      <c r="C8661" s="1" t="n">
        <v>318000</v>
      </c>
      <c r="D8661" s="1" t="n">
        <v>163.5</v>
      </c>
      <c r="E8661" s="1" t="n">
        <v>0.0152</v>
      </c>
      <c r="F8661" s="1" t="n">
        <v>0.3861</v>
      </c>
    </row>
    <row r="8662" customFormat="false" ht="15" hidden="false" customHeight="false" outlineLevel="0" collapsed="false">
      <c r="A8662" s="1" t="s">
        <v>8697</v>
      </c>
      <c r="B8662" s="1" t="s">
        <v>88</v>
      </c>
      <c r="C8662" s="1" t="n">
        <v>177000</v>
      </c>
      <c r="D8662" s="1" t="n">
        <v>2719.4</v>
      </c>
      <c r="E8662" s="1" t="n">
        <v>0.0644</v>
      </c>
      <c r="F8662" s="1" t="n">
        <v>0.0951</v>
      </c>
    </row>
    <row r="8663" customFormat="false" ht="15" hidden="false" customHeight="false" outlineLevel="0" collapsed="false">
      <c r="A8663" s="1" t="s">
        <v>8698</v>
      </c>
      <c r="B8663" s="1" t="s">
        <v>50</v>
      </c>
      <c r="C8663" s="1" t="n">
        <v>239000</v>
      </c>
      <c r="D8663" s="1" t="n">
        <v>9174.4</v>
      </c>
      <c r="E8663" s="1" t="n">
        <v>0.0252</v>
      </c>
      <c r="F8663" s="1" t="n">
        <v>0.0759</v>
      </c>
    </row>
    <row r="8664" customFormat="false" ht="15" hidden="false" customHeight="false" outlineLevel="0" collapsed="false">
      <c r="A8664" s="1" t="s">
        <v>8699</v>
      </c>
      <c r="B8664" s="1" t="s">
        <v>81</v>
      </c>
      <c r="C8664" s="1" t="n">
        <v>219000</v>
      </c>
      <c r="D8664" s="1" t="n">
        <v>3350.1</v>
      </c>
      <c r="E8664" s="1" t="n">
        <v>0.022</v>
      </c>
      <c r="F8664" s="1" t="n">
        <v>0.0518</v>
      </c>
    </row>
    <row r="8665" customFormat="false" ht="15" hidden="false" customHeight="false" outlineLevel="0" collapsed="false">
      <c r="A8665" s="1" t="s">
        <v>8700</v>
      </c>
      <c r="B8665" s="1" t="s">
        <v>490</v>
      </c>
      <c r="C8665" s="1" t="n">
        <v>202000</v>
      </c>
      <c r="D8665" s="1" t="n">
        <v>3378.6</v>
      </c>
      <c r="E8665" s="1" t="n">
        <v>0.0094</v>
      </c>
      <c r="F8665" s="1" t="n">
        <v>0.0654</v>
      </c>
    </row>
    <row r="8666" customFormat="false" ht="15" hidden="false" customHeight="false" outlineLevel="0" collapsed="false">
      <c r="A8666" s="1" t="s">
        <v>8701</v>
      </c>
      <c r="B8666" s="1" t="s">
        <v>53</v>
      </c>
      <c r="C8666" s="1" t="n">
        <v>253000</v>
      </c>
      <c r="D8666" s="1" t="n">
        <v>10038.2</v>
      </c>
      <c r="E8666" s="1" t="n">
        <v>0.0118</v>
      </c>
      <c r="F8666" s="1" t="n">
        <v>0.0726</v>
      </c>
    </row>
    <row r="8667" customFormat="false" ht="15" hidden="false" customHeight="false" outlineLevel="0" collapsed="false">
      <c r="A8667" s="1" t="s">
        <v>8702</v>
      </c>
      <c r="B8667" s="1" t="s">
        <v>81</v>
      </c>
      <c r="C8667" s="1" t="n">
        <v>325000</v>
      </c>
      <c r="D8667" s="1" t="n">
        <v>13831</v>
      </c>
      <c r="E8667" s="1" t="n">
        <v>0.0286</v>
      </c>
      <c r="F8667" s="1" t="n">
        <v>0.0759</v>
      </c>
    </row>
    <row r="8668" customFormat="false" ht="15" hidden="false" customHeight="false" outlineLevel="0" collapsed="false">
      <c r="A8668" s="1" t="s">
        <v>8703</v>
      </c>
      <c r="B8668" s="1" t="s">
        <v>50</v>
      </c>
      <c r="C8668" s="1" t="n">
        <v>460000</v>
      </c>
      <c r="D8668" s="1" t="n">
        <v>3837.8</v>
      </c>
      <c r="E8668" s="1" t="n">
        <v>0.019</v>
      </c>
      <c r="F8668" s="1" t="n">
        <v>0.0576</v>
      </c>
    </row>
    <row r="8669" customFormat="false" ht="15" hidden="false" customHeight="false" outlineLevel="0" collapsed="false">
      <c r="A8669" s="1" t="s">
        <v>8704</v>
      </c>
      <c r="B8669" s="1" t="s">
        <v>26</v>
      </c>
      <c r="C8669" s="1" t="n">
        <v>217000</v>
      </c>
      <c r="D8669" s="1" t="n">
        <v>1922.2</v>
      </c>
      <c r="E8669" s="1" t="n">
        <v>0.0177</v>
      </c>
      <c r="F8669" s="1" t="n">
        <v>0.0996</v>
      </c>
    </row>
    <row r="8670" customFormat="false" ht="15" hidden="false" customHeight="false" outlineLevel="0" collapsed="false">
      <c r="A8670" s="1" t="s">
        <v>8705</v>
      </c>
      <c r="B8670" s="1" t="s">
        <v>214</v>
      </c>
      <c r="C8670" s="1" t="n">
        <v>193000</v>
      </c>
      <c r="D8670" s="1" t="n">
        <v>5575.3</v>
      </c>
      <c r="E8670" s="1" t="n">
        <v>0.0261</v>
      </c>
      <c r="F8670" s="1" t="n">
        <v>0.0951</v>
      </c>
    </row>
    <row r="8671" customFormat="false" ht="15" hidden="false" customHeight="false" outlineLevel="0" collapsed="false">
      <c r="A8671" s="1" t="s">
        <v>8706</v>
      </c>
      <c r="B8671" s="1" t="s">
        <v>26</v>
      </c>
      <c r="C8671" s="1" t="n">
        <v>210000</v>
      </c>
      <c r="D8671" s="1" t="n">
        <v>458.1</v>
      </c>
      <c r="E8671" s="1" t="n">
        <v>0.0275</v>
      </c>
      <c r="F8671" s="1" t="n">
        <v>0.0759</v>
      </c>
    </row>
    <row r="8672" customFormat="false" ht="15" hidden="false" customHeight="false" outlineLevel="0" collapsed="false">
      <c r="A8672" s="1" t="s">
        <v>8707</v>
      </c>
      <c r="B8672" s="1" t="s">
        <v>26</v>
      </c>
      <c r="C8672" s="1" t="n">
        <v>237000</v>
      </c>
      <c r="D8672" s="1" t="n">
        <v>770.6</v>
      </c>
      <c r="E8672" s="1" t="n">
        <v>0.0237</v>
      </c>
      <c r="F8672" s="1" t="n">
        <v>0.0725</v>
      </c>
    </row>
    <row r="8673" customFormat="false" ht="15" hidden="false" customHeight="false" outlineLevel="0" collapsed="false">
      <c r="A8673" s="1" t="s">
        <v>8708</v>
      </c>
      <c r="B8673" s="1" t="s">
        <v>26</v>
      </c>
      <c r="C8673" s="1" t="n">
        <v>195000</v>
      </c>
      <c r="D8673" s="1" t="n">
        <v>8235.9</v>
      </c>
      <c r="E8673" s="1" t="n">
        <v>0.0239</v>
      </c>
      <c r="F8673" s="1" t="n">
        <v>0.0409</v>
      </c>
    </row>
    <row r="8674" customFormat="false" ht="15" hidden="false" customHeight="false" outlineLevel="0" collapsed="false">
      <c r="A8674" s="1" t="s">
        <v>8709</v>
      </c>
      <c r="B8674" s="1" t="s">
        <v>26</v>
      </c>
      <c r="C8674" s="1" t="n">
        <v>193000</v>
      </c>
      <c r="D8674" s="1" t="n">
        <v>5115.5</v>
      </c>
      <c r="E8674" s="1" t="n">
        <v>0.027</v>
      </c>
      <c r="F8674" s="1" t="n">
        <v>0.0518</v>
      </c>
    </row>
    <row r="8675" customFormat="false" ht="15" hidden="false" customHeight="false" outlineLevel="0" collapsed="false">
      <c r="A8675" s="1" t="s">
        <v>8710</v>
      </c>
      <c r="B8675" s="1" t="s">
        <v>88</v>
      </c>
      <c r="C8675" s="1" t="n">
        <v>332000</v>
      </c>
      <c r="D8675" s="1" t="n">
        <v>46712.3</v>
      </c>
      <c r="E8675" s="1" t="n">
        <v>0.0207</v>
      </c>
      <c r="F8675" s="1" t="n">
        <v>0.0854</v>
      </c>
    </row>
    <row r="8676" customFormat="false" ht="15" hidden="false" customHeight="false" outlineLevel="0" collapsed="false">
      <c r="A8676" s="1" t="s">
        <v>8711</v>
      </c>
      <c r="B8676" s="1" t="s">
        <v>41</v>
      </c>
      <c r="C8676" s="1" t="n">
        <v>202000</v>
      </c>
      <c r="D8676" s="1" t="n">
        <v>581.7</v>
      </c>
      <c r="E8676" s="1" t="n">
        <v>0.0774</v>
      </c>
      <c r="F8676" s="1" t="n">
        <v>0.1516</v>
      </c>
    </row>
    <row r="8677" customFormat="false" ht="15" hidden="false" customHeight="false" outlineLevel="0" collapsed="false">
      <c r="A8677" s="1" t="s">
        <v>8712</v>
      </c>
      <c r="B8677" s="1" t="s">
        <v>287</v>
      </c>
      <c r="C8677" s="1" t="n">
        <v>313000</v>
      </c>
      <c r="D8677" s="1" t="n">
        <v>19042.2</v>
      </c>
      <c r="E8677" s="1" t="n">
        <v>0.0113</v>
      </c>
      <c r="F8677" s="1" t="n">
        <v>0.0726</v>
      </c>
    </row>
    <row r="8678" customFormat="false" ht="15" hidden="false" customHeight="false" outlineLevel="0" collapsed="false">
      <c r="A8678" s="1" t="s">
        <v>8713</v>
      </c>
      <c r="B8678" s="1" t="s">
        <v>62</v>
      </c>
      <c r="C8678" s="1" t="n">
        <v>411000</v>
      </c>
      <c r="D8678" s="1" t="n">
        <v>1870.4</v>
      </c>
      <c r="E8678" s="1" t="n">
        <v>0.0154</v>
      </c>
      <c r="F8678" s="1" t="n">
        <v>0.0462</v>
      </c>
    </row>
    <row r="8679" customFormat="false" ht="15" hidden="false" customHeight="false" outlineLevel="0" collapsed="false">
      <c r="A8679" s="1" t="s">
        <v>8714</v>
      </c>
      <c r="B8679" s="1" t="s">
        <v>88</v>
      </c>
      <c r="C8679" s="1" t="n">
        <v>230000</v>
      </c>
      <c r="D8679" s="1" t="n">
        <v>4485.6</v>
      </c>
      <c r="E8679" s="1" t="n">
        <v>0.0571</v>
      </c>
      <c r="F8679" s="1" t="n">
        <v>0.0951</v>
      </c>
    </row>
    <row r="8680" customFormat="false" ht="15" hidden="false" customHeight="false" outlineLevel="0" collapsed="false">
      <c r="A8680" s="1" t="s">
        <v>8715</v>
      </c>
      <c r="B8680" s="1" t="s">
        <v>26</v>
      </c>
      <c r="C8680" s="1" t="n">
        <v>208000</v>
      </c>
      <c r="D8680" s="1" t="n">
        <v>2709.3</v>
      </c>
      <c r="E8680" s="1" t="n">
        <v>0.027</v>
      </c>
      <c r="F8680" s="1" t="n">
        <v>0.0518</v>
      </c>
    </row>
    <row r="8681" customFormat="false" ht="15" hidden="false" customHeight="false" outlineLevel="0" collapsed="false">
      <c r="A8681" s="1" t="s">
        <v>8716</v>
      </c>
      <c r="B8681" s="1" t="s">
        <v>88</v>
      </c>
      <c r="C8681" s="1" t="n">
        <v>204000</v>
      </c>
      <c r="D8681" s="1" t="n">
        <v>8930.5</v>
      </c>
      <c r="E8681" s="1" t="n">
        <v>0.0167</v>
      </c>
      <c r="F8681" s="1" t="n">
        <v>0.0589</v>
      </c>
    </row>
    <row r="8682" customFormat="false" ht="15" hidden="false" customHeight="false" outlineLevel="0" collapsed="false">
      <c r="A8682" s="1" t="s">
        <v>8717</v>
      </c>
      <c r="B8682" s="1" t="s">
        <v>214</v>
      </c>
      <c r="C8682" s="1" t="n">
        <v>203000</v>
      </c>
      <c r="D8682" s="1" t="n">
        <v>3251</v>
      </c>
      <c r="E8682" s="1" t="n">
        <v>0.0418</v>
      </c>
      <c r="F8682" s="1" t="n">
        <v>0.0951</v>
      </c>
    </row>
    <row r="8683" customFormat="false" ht="15" hidden="false" customHeight="false" outlineLevel="0" collapsed="false">
      <c r="A8683" s="1" t="s">
        <v>8718</v>
      </c>
      <c r="B8683" s="1" t="s">
        <v>74</v>
      </c>
      <c r="C8683" s="1" t="n">
        <v>209000</v>
      </c>
      <c r="D8683" s="1" t="n">
        <v>711.8</v>
      </c>
      <c r="E8683" s="1" t="n">
        <v>0.0408</v>
      </c>
      <c r="F8683" s="1" t="n">
        <v>0.0938</v>
      </c>
    </row>
    <row r="8684" customFormat="false" ht="15" hidden="false" customHeight="false" outlineLevel="0" collapsed="false">
      <c r="A8684" s="1" t="s">
        <v>8719</v>
      </c>
      <c r="B8684" s="1" t="s">
        <v>81</v>
      </c>
      <c r="C8684" s="1" t="n">
        <v>220000</v>
      </c>
      <c r="D8684" s="1" t="n">
        <v>284587.5</v>
      </c>
      <c r="E8684" s="1" t="n">
        <v>0.0072</v>
      </c>
      <c r="F8684" s="1" t="n">
        <v>0.0822</v>
      </c>
    </row>
    <row r="8685" customFormat="false" ht="15" hidden="false" customHeight="false" outlineLevel="0" collapsed="false">
      <c r="A8685" s="1" t="s">
        <v>8720</v>
      </c>
      <c r="B8685" s="1" t="s">
        <v>50</v>
      </c>
      <c r="C8685" s="1" t="n">
        <v>193000</v>
      </c>
      <c r="D8685" s="1" t="n">
        <v>83.4</v>
      </c>
      <c r="E8685" s="1" t="n">
        <v>0.018</v>
      </c>
      <c r="F8685" s="1" t="n">
        <v>0.0576</v>
      </c>
    </row>
    <row r="8686" customFormat="false" ht="15" hidden="false" customHeight="false" outlineLevel="0" collapsed="false">
      <c r="A8686" s="1" t="s">
        <v>8721</v>
      </c>
      <c r="B8686" s="1" t="s">
        <v>71</v>
      </c>
      <c r="C8686" s="1" t="n">
        <v>250000</v>
      </c>
      <c r="D8686" s="1" t="n">
        <v>8361.2</v>
      </c>
      <c r="E8686" s="1" t="n">
        <v>0.0211</v>
      </c>
      <c r="F8686" s="1" t="n">
        <v>0.0759</v>
      </c>
    </row>
    <row r="8687" customFormat="false" ht="15" hidden="false" customHeight="false" outlineLevel="0" collapsed="false">
      <c r="A8687" s="1" t="s">
        <v>8722</v>
      </c>
      <c r="B8687" s="1" t="s">
        <v>26</v>
      </c>
      <c r="C8687" s="1" t="n">
        <v>657000</v>
      </c>
      <c r="D8687" s="1" t="n">
        <v>461587.1</v>
      </c>
      <c r="E8687" s="1" t="n">
        <v>0.0454</v>
      </c>
      <c r="F8687" s="1" t="n">
        <v>0.0759</v>
      </c>
    </row>
    <row r="8688" customFormat="false" ht="15" hidden="false" customHeight="false" outlineLevel="0" collapsed="false">
      <c r="A8688" s="1" t="s">
        <v>8723</v>
      </c>
      <c r="B8688" s="1" t="s">
        <v>26</v>
      </c>
      <c r="C8688" s="1" t="n">
        <v>234000</v>
      </c>
      <c r="D8688" s="1" t="n">
        <v>55963.2</v>
      </c>
      <c r="E8688" s="1" t="n">
        <v>0.0467</v>
      </c>
      <c r="F8688" s="1" t="n">
        <v>0.0951</v>
      </c>
    </row>
    <row r="8689" customFormat="false" ht="15" hidden="false" customHeight="false" outlineLevel="0" collapsed="false">
      <c r="A8689" s="1" t="s">
        <v>8724</v>
      </c>
      <c r="B8689" s="1" t="s">
        <v>71</v>
      </c>
      <c r="C8689" s="1" t="n">
        <v>191000</v>
      </c>
      <c r="D8689" s="1" t="n">
        <v>4668.1</v>
      </c>
      <c r="E8689" s="1" t="n">
        <v>0.0544</v>
      </c>
      <c r="F8689" s="1" t="n">
        <v>0.0951</v>
      </c>
    </row>
    <row r="8690" customFormat="false" ht="15" hidden="false" customHeight="false" outlineLevel="0" collapsed="false">
      <c r="A8690" s="1" t="s">
        <v>8725</v>
      </c>
      <c r="B8690" s="1" t="s">
        <v>88</v>
      </c>
      <c r="C8690" s="1" t="n">
        <v>429000</v>
      </c>
      <c r="D8690" s="1" t="n">
        <v>12610.2</v>
      </c>
      <c r="E8690" s="1" t="n">
        <v>0.0368</v>
      </c>
      <c r="F8690" s="1" t="n">
        <v>0.0938</v>
      </c>
    </row>
    <row r="8691" customFormat="false" ht="15" hidden="false" customHeight="false" outlineLevel="0" collapsed="false">
      <c r="A8691" s="1" t="s">
        <v>8726</v>
      </c>
      <c r="B8691" s="1" t="s">
        <v>71</v>
      </c>
      <c r="C8691" s="1" t="n">
        <v>195000</v>
      </c>
      <c r="D8691" s="1" t="n">
        <v>5432.8</v>
      </c>
      <c r="E8691" s="1" t="n">
        <v>0.0053</v>
      </c>
      <c r="F8691" s="1" t="n">
        <v>0.0822</v>
      </c>
    </row>
    <row r="8692" customFormat="false" ht="15" hidden="false" customHeight="false" outlineLevel="0" collapsed="false">
      <c r="A8692" s="1" t="s">
        <v>8727</v>
      </c>
      <c r="B8692" s="1" t="s">
        <v>26</v>
      </c>
      <c r="C8692" s="1" t="n">
        <v>670000</v>
      </c>
      <c r="D8692" s="1" t="n">
        <v>1874275.9</v>
      </c>
      <c r="E8692" s="1" t="n">
        <v>0.0449</v>
      </c>
      <c r="F8692" s="1" t="n">
        <v>0.0951</v>
      </c>
    </row>
    <row r="8693" customFormat="false" ht="15" hidden="false" customHeight="false" outlineLevel="0" collapsed="false">
      <c r="A8693" s="1" t="s">
        <v>8728</v>
      </c>
      <c r="B8693" s="1" t="s">
        <v>74</v>
      </c>
      <c r="C8693" s="1" t="n">
        <v>422000</v>
      </c>
      <c r="D8693" s="1" t="n">
        <v>20170.2</v>
      </c>
      <c r="E8693" s="1" t="n">
        <v>0.0299</v>
      </c>
      <c r="F8693" s="1" t="n">
        <v>0.0759</v>
      </c>
    </row>
    <row r="8694" customFormat="false" ht="15" hidden="false" customHeight="false" outlineLevel="0" collapsed="false">
      <c r="A8694" s="1" t="s">
        <v>8729</v>
      </c>
      <c r="B8694" s="1" t="s">
        <v>26</v>
      </c>
      <c r="C8694" s="1" t="n">
        <v>189000</v>
      </c>
      <c r="D8694" s="1" t="n">
        <v>7519.1</v>
      </c>
      <c r="E8694" s="1" t="n">
        <v>0.0083</v>
      </c>
      <c r="F8694" s="1" t="n">
        <v>0.1471</v>
      </c>
    </row>
    <row r="8695" customFormat="false" ht="15" hidden="false" customHeight="false" outlineLevel="0" collapsed="false">
      <c r="A8695" s="1" t="s">
        <v>8730</v>
      </c>
      <c r="B8695" s="1" t="s">
        <v>26</v>
      </c>
      <c r="C8695" s="1" t="n">
        <v>198000</v>
      </c>
      <c r="D8695" s="1" t="n">
        <v>23233.2</v>
      </c>
      <c r="E8695" s="1" t="n">
        <v>0.0474</v>
      </c>
      <c r="F8695" s="1" t="n">
        <v>0.0951</v>
      </c>
    </row>
    <row r="8696" customFormat="false" ht="15" hidden="false" customHeight="false" outlineLevel="0" collapsed="false">
      <c r="A8696" s="1" t="s">
        <v>8731</v>
      </c>
      <c r="B8696" s="1" t="s">
        <v>53</v>
      </c>
      <c r="C8696" s="1" t="n">
        <v>214000</v>
      </c>
      <c r="D8696" s="1" t="n">
        <v>810.1</v>
      </c>
      <c r="E8696" s="1" t="n">
        <v>0.0128</v>
      </c>
      <c r="F8696" s="1" t="n">
        <v>0.0811</v>
      </c>
    </row>
    <row r="8697" customFormat="false" ht="15" hidden="false" customHeight="false" outlineLevel="0" collapsed="false">
      <c r="A8697" s="1" t="s">
        <v>8732</v>
      </c>
      <c r="B8697" s="1" t="s">
        <v>53</v>
      </c>
      <c r="C8697" s="1" t="n">
        <v>195000</v>
      </c>
      <c r="D8697" s="1" t="n">
        <v>51817.2</v>
      </c>
      <c r="E8697" s="1" t="n">
        <v>0.0602</v>
      </c>
      <c r="F8697" s="1" t="n">
        <v>0.117</v>
      </c>
    </row>
    <row r="8698" customFormat="false" ht="15" hidden="false" customHeight="false" outlineLevel="0" collapsed="false">
      <c r="A8698" s="1" t="s">
        <v>8733</v>
      </c>
      <c r="B8698" s="1" t="s">
        <v>74</v>
      </c>
      <c r="C8698" s="1" t="n">
        <v>195000</v>
      </c>
      <c r="D8698" s="1" t="n">
        <v>6202.6</v>
      </c>
      <c r="E8698" s="1" t="n">
        <v>0.0366</v>
      </c>
      <c r="F8698" s="1" t="n">
        <v>0.0951</v>
      </c>
    </row>
    <row r="8699" customFormat="false" ht="15" hidden="false" customHeight="false" outlineLevel="0" collapsed="false">
      <c r="A8699" s="1" t="s">
        <v>8734</v>
      </c>
      <c r="B8699" s="1" t="s">
        <v>32</v>
      </c>
      <c r="C8699" s="1" t="n">
        <v>262000</v>
      </c>
      <c r="D8699" s="1" t="n">
        <v>2785369.9</v>
      </c>
      <c r="E8699" s="1" t="n">
        <v>0.0087</v>
      </c>
      <c r="F8699" s="1" t="n">
        <v>0.0822</v>
      </c>
    </row>
    <row r="8700" customFormat="false" ht="15" hidden="false" customHeight="false" outlineLevel="0" collapsed="false">
      <c r="A8700" s="1" t="s">
        <v>8735</v>
      </c>
      <c r="B8700" s="1" t="s">
        <v>74</v>
      </c>
      <c r="C8700" s="1" t="n">
        <v>228000</v>
      </c>
      <c r="D8700" s="1" t="n">
        <v>4169.4</v>
      </c>
      <c r="E8700" s="1" t="n">
        <v>0.0375</v>
      </c>
      <c r="F8700" s="1" t="n">
        <v>0.0951</v>
      </c>
    </row>
    <row r="8701" customFormat="false" ht="15" hidden="false" customHeight="false" outlineLevel="0" collapsed="false">
      <c r="A8701" s="1" t="s">
        <v>8736</v>
      </c>
      <c r="B8701" s="1" t="s">
        <v>26</v>
      </c>
      <c r="C8701" s="1" t="n">
        <v>211000</v>
      </c>
      <c r="D8701" s="1" t="n">
        <v>1924.8</v>
      </c>
      <c r="E8701" s="1" t="n">
        <v>0.026</v>
      </c>
      <c r="F8701" s="1" t="n">
        <v>0.0759</v>
      </c>
    </row>
    <row r="8702" customFormat="false" ht="15" hidden="false" customHeight="false" outlineLevel="0" collapsed="false">
      <c r="A8702" s="1" t="s">
        <v>8737</v>
      </c>
      <c r="B8702" s="1" t="s">
        <v>74</v>
      </c>
      <c r="C8702" s="1" t="n">
        <v>549000</v>
      </c>
      <c r="D8702" s="1" t="n">
        <v>49455.9</v>
      </c>
      <c r="E8702" s="1" t="n">
        <v>0.0555</v>
      </c>
      <c r="F8702" s="1" t="n">
        <v>0.0759</v>
      </c>
    </row>
    <row r="8703" customFormat="false" ht="15" hidden="false" customHeight="false" outlineLevel="0" collapsed="false">
      <c r="A8703" s="1" t="s">
        <v>8738</v>
      </c>
      <c r="B8703" s="1" t="s">
        <v>62</v>
      </c>
      <c r="C8703" s="1" t="n">
        <v>676000</v>
      </c>
      <c r="D8703" s="1" t="n">
        <v>292.7</v>
      </c>
      <c r="E8703" s="1" t="n">
        <v>0.0804</v>
      </c>
      <c r="F8703" s="1" t="n">
        <v>0.0998</v>
      </c>
    </row>
    <row r="8704" customFormat="false" ht="15" hidden="false" customHeight="false" outlineLevel="0" collapsed="false">
      <c r="A8704" s="1" t="s">
        <v>8739</v>
      </c>
      <c r="B8704" s="1" t="s">
        <v>490</v>
      </c>
      <c r="C8704" s="1" t="n">
        <v>245000</v>
      </c>
      <c r="D8704" s="1" t="n">
        <v>163</v>
      </c>
      <c r="E8704" s="1" t="n">
        <v>0.0266</v>
      </c>
      <c r="F8704" s="1" t="n">
        <v>0.3928</v>
      </c>
    </row>
    <row r="8705" customFormat="false" ht="15" hidden="false" customHeight="false" outlineLevel="0" collapsed="false">
      <c r="A8705" s="1" t="s">
        <v>8740</v>
      </c>
      <c r="B8705" s="1" t="s">
        <v>214</v>
      </c>
      <c r="C8705" s="1" t="n">
        <v>252000</v>
      </c>
      <c r="D8705" s="1" t="n">
        <v>120306.9</v>
      </c>
      <c r="E8705" s="1" t="n">
        <v>0.0512</v>
      </c>
      <c r="F8705" s="1" t="n">
        <v>0.0951</v>
      </c>
    </row>
    <row r="8706" customFormat="false" ht="15" hidden="false" customHeight="false" outlineLevel="0" collapsed="false">
      <c r="A8706" s="1" t="s">
        <v>8741</v>
      </c>
      <c r="B8706" s="1" t="s">
        <v>41</v>
      </c>
      <c r="C8706" s="1" t="n">
        <v>208000</v>
      </c>
      <c r="D8706" s="1" t="n">
        <v>743.2</v>
      </c>
      <c r="E8706" s="1" t="n">
        <v>0.0186</v>
      </c>
      <c r="F8706" s="1" t="n">
        <v>0.0726</v>
      </c>
    </row>
    <row r="8707" customFormat="false" ht="15" hidden="false" customHeight="false" outlineLevel="0" collapsed="false">
      <c r="A8707" s="1" t="s">
        <v>8742</v>
      </c>
      <c r="B8707" s="1" t="s">
        <v>26</v>
      </c>
      <c r="C8707" s="1" t="n">
        <v>187000</v>
      </c>
      <c r="D8707" s="1" t="n">
        <v>3553.3</v>
      </c>
      <c r="E8707" s="1" t="n">
        <v>0.0481</v>
      </c>
      <c r="F8707" s="1" t="n">
        <v>0.0951</v>
      </c>
    </row>
    <row r="8708" customFormat="false" ht="15" hidden="false" customHeight="false" outlineLevel="0" collapsed="false">
      <c r="A8708" s="1" t="s">
        <v>8743</v>
      </c>
      <c r="B8708" s="1" t="s">
        <v>26</v>
      </c>
      <c r="C8708" s="1" t="n">
        <v>204000</v>
      </c>
      <c r="D8708" s="1" t="n">
        <v>10888.6</v>
      </c>
      <c r="E8708" s="1" t="n">
        <v>0.0401</v>
      </c>
      <c r="F8708" s="1" t="n">
        <v>0.0951</v>
      </c>
    </row>
    <row r="8709" customFormat="false" ht="15" hidden="false" customHeight="false" outlineLevel="0" collapsed="false">
      <c r="A8709" s="1" t="s">
        <v>8744</v>
      </c>
      <c r="B8709" s="1" t="s">
        <v>26</v>
      </c>
      <c r="C8709" s="1" t="n">
        <v>218000</v>
      </c>
      <c r="F8709" s="1" t="n">
        <v>0.0759</v>
      </c>
    </row>
    <row r="8710" customFormat="false" ht="15" hidden="false" customHeight="false" outlineLevel="0" collapsed="false">
      <c r="A8710" s="1" t="s">
        <v>8745</v>
      </c>
      <c r="B8710" s="1" t="s">
        <v>62</v>
      </c>
      <c r="C8710" s="1" t="n">
        <v>225000</v>
      </c>
      <c r="D8710" s="1" t="n">
        <v>1084.4</v>
      </c>
      <c r="E8710" s="1" t="n">
        <v>0.0798</v>
      </c>
      <c r="F8710" s="1" t="n">
        <v>0.0759</v>
      </c>
    </row>
    <row r="8711" customFormat="false" ht="15" hidden="false" customHeight="false" outlineLevel="0" collapsed="false">
      <c r="A8711" s="1" t="s">
        <v>8746</v>
      </c>
      <c r="B8711" s="1" t="s">
        <v>88</v>
      </c>
      <c r="C8711" s="1" t="n">
        <v>446000</v>
      </c>
      <c r="D8711" s="1" t="n">
        <v>658</v>
      </c>
      <c r="E8711" s="1" t="n">
        <v>0.0576</v>
      </c>
      <c r="F8711" s="1" t="n">
        <v>0.0514</v>
      </c>
    </row>
    <row r="8712" customFormat="false" ht="15" hidden="false" customHeight="false" outlineLevel="0" collapsed="false">
      <c r="A8712" s="1" t="s">
        <v>8747</v>
      </c>
      <c r="B8712" s="1" t="s">
        <v>74</v>
      </c>
      <c r="C8712" s="1" t="n">
        <v>477000</v>
      </c>
      <c r="D8712" s="1" t="n">
        <v>12959.5</v>
      </c>
      <c r="E8712" s="1" t="n">
        <v>0.0359</v>
      </c>
      <c r="F8712" s="1" t="n">
        <v>0.0759</v>
      </c>
    </row>
    <row r="8713" customFormat="false" ht="15" hidden="false" customHeight="false" outlineLevel="0" collapsed="false">
      <c r="A8713" s="1" t="s">
        <v>8748</v>
      </c>
      <c r="B8713" s="1" t="s">
        <v>88</v>
      </c>
      <c r="C8713" s="1" t="n">
        <v>183000</v>
      </c>
      <c r="D8713" s="1" t="n">
        <v>4557.7</v>
      </c>
      <c r="E8713" s="1" t="n">
        <v>0.0182</v>
      </c>
      <c r="F8713" s="1" t="n">
        <v>0.1067</v>
      </c>
    </row>
    <row r="8714" customFormat="false" ht="15" hidden="false" customHeight="false" outlineLevel="0" collapsed="false">
      <c r="A8714" s="1" t="s">
        <v>8749</v>
      </c>
      <c r="B8714" s="1" t="s">
        <v>88</v>
      </c>
      <c r="C8714" s="1" t="n">
        <v>237000</v>
      </c>
      <c r="D8714" s="1" t="n">
        <v>12519.2</v>
      </c>
      <c r="E8714" s="1" t="n">
        <v>0.0464</v>
      </c>
      <c r="F8714" s="1" t="n">
        <v>0.117</v>
      </c>
    </row>
    <row r="8715" customFormat="false" ht="15" hidden="false" customHeight="false" outlineLevel="0" collapsed="false">
      <c r="A8715" s="1" t="s">
        <v>8750</v>
      </c>
      <c r="B8715" s="1" t="s">
        <v>41</v>
      </c>
      <c r="C8715" s="1" t="n">
        <v>257000</v>
      </c>
      <c r="D8715" s="1" t="n">
        <v>1291.8</v>
      </c>
      <c r="E8715" s="1" t="n">
        <v>0.0911</v>
      </c>
      <c r="F8715" s="1" t="n">
        <v>0.0759</v>
      </c>
    </row>
    <row r="8716" customFormat="false" ht="15" hidden="false" customHeight="false" outlineLevel="0" collapsed="false">
      <c r="A8716" s="1" t="s">
        <v>8751</v>
      </c>
      <c r="B8716" s="1" t="s">
        <v>53</v>
      </c>
      <c r="C8716" s="1" t="n">
        <v>186000</v>
      </c>
      <c r="D8716" s="1" t="n">
        <v>6.7</v>
      </c>
      <c r="E8716" s="1" t="n">
        <v>0.0091</v>
      </c>
      <c r="F8716" s="1" t="n">
        <v>0.4614</v>
      </c>
    </row>
    <row r="8717" customFormat="false" ht="15" hidden="false" customHeight="false" outlineLevel="0" collapsed="false">
      <c r="A8717" s="1" t="s">
        <v>8752</v>
      </c>
      <c r="B8717" s="1" t="s">
        <v>62</v>
      </c>
      <c r="C8717" s="1" t="n">
        <v>189000</v>
      </c>
      <c r="D8717" s="1" t="n">
        <v>35.3</v>
      </c>
      <c r="F8717" s="1" t="n">
        <v>0.117</v>
      </c>
    </row>
    <row r="8718" customFormat="false" ht="15" hidden="false" customHeight="false" outlineLevel="0" collapsed="false">
      <c r="A8718" s="1" t="s">
        <v>8753</v>
      </c>
      <c r="B8718" s="1" t="s">
        <v>88</v>
      </c>
      <c r="C8718" s="1" t="n">
        <v>193000</v>
      </c>
      <c r="D8718" s="1" t="n">
        <v>427.5</v>
      </c>
      <c r="E8718" s="1" t="n">
        <v>0.0347</v>
      </c>
      <c r="F8718" s="1" t="n">
        <v>0.0759</v>
      </c>
    </row>
    <row r="8719" customFormat="false" ht="15" hidden="false" customHeight="false" outlineLevel="0" collapsed="false">
      <c r="A8719" s="1" t="s">
        <v>8754</v>
      </c>
      <c r="B8719" s="1" t="s">
        <v>24</v>
      </c>
      <c r="C8719" s="1" t="n">
        <v>262000</v>
      </c>
      <c r="D8719" s="1" t="n">
        <v>309761.3</v>
      </c>
      <c r="E8719" s="1" t="n">
        <v>0.0229</v>
      </c>
      <c r="F8719" s="1" t="n">
        <v>0.0409</v>
      </c>
    </row>
    <row r="8720" customFormat="false" ht="15" hidden="false" customHeight="false" outlineLevel="0" collapsed="false">
      <c r="A8720" s="1" t="s">
        <v>8755</v>
      </c>
      <c r="B8720" s="1" t="s">
        <v>41</v>
      </c>
      <c r="C8720" s="1" t="n">
        <v>191000</v>
      </c>
      <c r="D8720" s="1" t="n">
        <v>2538.9</v>
      </c>
      <c r="E8720" s="1" t="n">
        <v>0.0472</v>
      </c>
      <c r="F8720" s="1" t="n">
        <v>0.117</v>
      </c>
    </row>
    <row r="8721" customFormat="false" ht="15" hidden="false" customHeight="false" outlineLevel="0" collapsed="false">
      <c r="A8721" s="1" t="s">
        <v>8756</v>
      </c>
      <c r="B8721" s="1" t="s">
        <v>53</v>
      </c>
      <c r="C8721" s="1" t="n">
        <v>256000</v>
      </c>
      <c r="D8721" s="1" t="n">
        <v>642</v>
      </c>
      <c r="F8721" s="1" t="n">
        <v>0.0951</v>
      </c>
    </row>
    <row r="8722" customFormat="false" ht="15" hidden="false" customHeight="false" outlineLevel="0" collapsed="false">
      <c r="A8722" s="1" t="s">
        <v>8757</v>
      </c>
      <c r="B8722" s="1" t="s">
        <v>74</v>
      </c>
      <c r="C8722" s="1" t="n">
        <v>188000</v>
      </c>
      <c r="D8722" s="1" t="n">
        <v>1097.6</v>
      </c>
      <c r="E8722" s="1" t="n">
        <v>0.0265</v>
      </c>
      <c r="F8722" s="1" t="n">
        <v>0.0951</v>
      </c>
    </row>
    <row r="8723" customFormat="false" ht="15" hidden="false" customHeight="false" outlineLevel="0" collapsed="false">
      <c r="A8723" s="1" t="s">
        <v>8758</v>
      </c>
      <c r="B8723" s="1" t="s">
        <v>41</v>
      </c>
      <c r="C8723" s="1" t="n">
        <v>191000</v>
      </c>
      <c r="D8723" s="1" t="n">
        <v>4393.4</v>
      </c>
      <c r="E8723" s="1" t="n">
        <v>0.0404</v>
      </c>
      <c r="F8723" s="1" t="n">
        <v>0.0951</v>
      </c>
    </row>
    <row r="8724" customFormat="false" ht="15" hidden="false" customHeight="false" outlineLevel="0" collapsed="false">
      <c r="A8724" s="1" t="s">
        <v>8759</v>
      </c>
      <c r="B8724" s="1" t="s">
        <v>88</v>
      </c>
      <c r="C8724" s="1" t="n">
        <v>206000</v>
      </c>
      <c r="D8724" s="1" t="n">
        <v>9214.9</v>
      </c>
      <c r="E8724" s="1" t="n">
        <v>0.0325</v>
      </c>
      <c r="F8724" s="1" t="n">
        <v>0.0759</v>
      </c>
    </row>
    <row r="8725" customFormat="false" ht="15" hidden="false" customHeight="false" outlineLevel="0" collapsed="false">
      <c r="A8725" s="1" t="s">
        <v>8760</v>
      </c>
      <c r="B8725" s="1" t="s">
        <v>26</v>
      </c>
      <c r="C8725" s="1" t="n">
        <v>192000</v>
      </c>
      <c r="D8725" s="1" t="n">
        <v>17126.2</v>
      </c>
      <c r="E8725" s="1" t="n">
        <v>0.0511</v>
      </c>
      <c r="F8725" s="1" t="n">
        <v>0.0951</v>
      </c>
    </row>
    <row r="8726" customFormat="false" ht="15" hidden="false" customHeight="false" outlineLevel="0" collapsed="false">
      <c r="A8726" s="1" t="s">
        <v>8761</v>
      </c>
      <c r="B8726" s="1" t="s">
        <v>74</v>
      </c>
      <c r="C8726" s="1" t="n">
        <v>195000</v>
      </c>
      <c r="D8726" s="1" t="n">
        <v>934.7</v>
      </c>
      <c r="E8726" s="1" t="n">
        <v>0.0132</v>
      </c>
      <c r="F8726" s="1" t="n">
        <v>0.0811</v>
      </c>
    </row>
    <row r="8727" customFormat="false" ht="15" hidden="false" customHeight="false" outlineLevel="0" collapsed="false">
      <c r="A8727" s="1" t="s">
        <v>8762</v>
      </c>
      <c r="B8727" s="1" t="s">
        <v>88</v>
      </c>
      <c r="C8727" s="1" t="n">
        <v>299000</v>
      </c>
      <c r="D8727" s="1" t="n">
        <v>7157.7</v>
      </c>
      <c r="E8727" s="1" t="n">
        <v>0.0842</v>
      </c>
      <c r="F8727" s="1" t="n">
        <v>0.0938</v>
      </c>
    </row>
    <row r="8728" customFormat="false" ht="15" hidden="false" customHeight="false" outlineLevel="0" collapsed="false">
      <c r="A8728" s="1" t="s">
        <v>8763</v>
      </c>
      <c r="B8728" s="1" t="s">
        <v>88</v>
      </c>
      <c r="C8728" s="1" t="n">
        <v>377000</v>
      </c>
      <c r="D8728" s="1" t="n">
        <v>6780</v>
      </c>
      <c r="E8728" s="1" t="n">
        <v>0.0686</v>
      </c>
      <c r="F8728" s="1" t="n">
        <v>0.0938</v>
      </c>
    </row>
    <row r="8729" customFormat="false" ht="15" hidden="false" customHeight="false" outlineLevel="0" collapsed="false">
      <c r="A8729" s="1" t="s">
        <v>8764</v>
      </c>
      <c r="B8729" s="1" t="s">
        <v>26</v>
      </c>
      <c r="C8729" s="1" t="n">
        <v>201000</v>
      </c>
      <c r="D8729" s="1" t="n">
        <v>210647</v>
      </c>
      <c r="E8729" s="1" t="n">
        <v>0.0303</v>
      </c>
      <c r="F8729" s="1" t="n">
        <v>0.0518</v>
      </c>
    </row>
    <row r="8730" customFormat="false" ht="15" hidden="false" customHeight="false" outlineLevel="0" collapsed="false">
      <c r="A8730" s="1" t="s">
        <v>8765</v>
      </c>
      <c r="B8730" s="1" t="s">
        <v>26</v>
      </c>
      <c r="C8730" s="1" t="n">
        <v>261000</v>
      </c>
      <c r="D8730" s="1" t="n">
        <v>53643</v>
      </c>
      <c r="E8730" s="1" t="n">
        <v>0.0461</v>
      </c>
      <c r="F8730" s="1" t="n">
        <v>0.0759</v>
      </c>
    </row>
    <row r="8731" customFormat="false" ht="15" hidden="false" customHeight="false" outlineLevel="0" collapsed="false">
      <c r="A8731" s="1" t="s">
        <v>8766</v>
      </c>
      <c r="B8731" s="1" t="s">
        <v>50</v>
      </c>
      <c r="C8731" s="1" t="n">
        <v>523000</v>
      </c>
      <c r="D8731" s="1" t="n">
        <v>33978.1</v>
      </c>
      <c r="E8731" s="1" t="n">
        <v>0.0266</v>
      </c>
      <c r="F8731" s="1" t="n">
        <v>0.0759</v>
      </c>
    </row>
    <row r="8732" customFormat="false" ht="15" hidden="false" customHeight="false" outlineLevel="0" collapsed="false">
      <c r="A8732" s="1" t="s">
        <v>8767</v>
      </c>
      <c r="B8732" s="1" t="s">
        <v>50</v>
      </c>
      <c r="C8732" s="1" t="n">
        <v>306000</v>
      </c>
      <c r="D8732" s="1" t="n">
        <v>63137.2</v>
      </c>
      <c r="E8732" s="1" t="n">
        <v>0.0093</v>
      </c>
      <c r="F8732" s="1" t="n">
        <v>0.0822</v>
      </c>
    </row>
    <row r="8733" customFormat="false" ht="15" hidden="false" customHeight="false" outlineLevel="0" collapsed="false">
      <c r="A8733" s="1" t="s">
        <v>8768</v>
      </c>
      <c r="B8733" s="1" t="s">
        <v>74</v>
      </c>
      <c r="C8733" s="1" t="n">
        <v>199000</v>
      </c>
      <c r="D8733" s="1" t="n">
        <v>6000.9</v>
      </c>
      <c r="E8733" s="1" t="n">
        <v>0.0534</v>
      </c>
      <c r="F8733" s="1" t="n">
        <v>0.0951</v>
      </c>
    </row>
    <row r="8734" customFormat="false" ht="15" hidden="false" customHeight="false" outlineLevel="0" collapsed="false">
      <c r="A8734" s="1" t="s">
        <v>8769</v>
      </c>
      <c r="B8734" s="1" t="s">
        <v>41</v>
      </c>
      <c r="C8734" s="1" t="n">
        <v>211000</v>
      </c>
      <c r="D8734" s="1" t="n">
        <v>1712.9</v>
      </c>
      <c r="E8734" s="1" t="n">
        <v>0.0152</v>
      </c>
      <c r="F8734" s="1" t="n">
        <v>0.0726</v>
      </c>
    </row>
    <row r="8735" customFormat="false" ht="15" hidden="false" customHeight="false" outlineLevel="0" collapsed="false">
      <c r="A8735" s="1" t="s">
        <v>8770</v>
      </c>
      <c r="B8735" s="1" t="s">
        <v>41</v>
      </c>
      <c r="C8735" s="1" t="n">
        <v>199000</v>
      </c>
      <c r="D8735" s="1" t="n">
        <v>121278.9</v>
      </c>
      <c r="E8735" s="1" t="n">
        <v>0.0313</v>
      </c>
      <c r="F8735" s="1" t="n">
        <v>0.0951</v>
      </c>
    </row>
    <row r="8736" customFormat="false" ht="15" hidden="false" customHeight="false" outlineLevel="0" collapsed="false">
      <c r="A8736" s="1" t="s">
        <v>8771</v>
      </c>
      <c r="B8736" s="1" t="s">
        <v>214</v>
      </c>
      <c r="C8736" s="1" t="n">
        <v>275000</v>
      </c>
      <c r="D8736" s="1" t="n">
        <v>1037.5</v>
      </c>
      <c r="E8736" s="1" t="n">
        <v>0.0294</v>
      </c>
      <c r="F8736" s="1" t="n">
        <v>0.0759</v>
      </c>
    </row>
    <row r="8737" customFormat="false" ht="15" hidden="false" customHeight="false" outlineLevel="0" collapsed="false">
      <c r="A8737" s="1" t="s">
        <v>8772</v>
      </c>
      <c r="B8737" s="1" t="s">
        <v>26</v>
      </c>
      <c r="C8737" s="1" t="n">
        <v>1680000</v>
      </c>
      <c r="D8737" s="1" t="n">
        <v>101470.2</v>
      </c>
      <c r="E8737" s="1" t="n">
        <v>0.02</v>
      </c>
      <c r="F8737" s="1" t="n">
        <v>0.0854</v>
      </c>
    </row>
    <row r="8738" customFormat="false" ht="15" hidden="false" customHeight="false" outlineLevel="0" collapsed="false">
      <c r="A8738" s="1" t="s">
        <v>8773</v>
      </c>
      <c r="B8738" s="1" t="s">
        <v>26</v>
      </c>
      <c r="C8738" s="1" t="n">
        <v>187000</v>
      </c>
      <c r="D8738" s="1" t="n">
        <v>972.8</v>
      </c>
      <c r="E8738" s="1" t="n">
        <v>0.0565</v>
      </c>
      <c r="F8738" s="1" t="n">
        <v>0.0951</v>
      </c>
    </row>
    <row r="8739" customFormat="false" ht="15" hidden="false" customHeight="false" outlineLevel="0" collapsed="false">
      <c r="A8739" s="1" t="s">
        <v>8774</v>
      </c>
      <c r="B8739" s="1" t="s">
        <v>74</v>
      </c>
      <c r="C8739" s="1" t="n">
        <v>213000</v>
      </c>
      <c r="D8739" s="1" t="n">
        <v>3711.4</v>
      </c>
      <c r="E8739" s="1" t="n">
        <v>0.0556</v>
      </c>
      <c r="F8739" s="1" t="n">
        <v>0.0759</v>
      </c>
    </row>
    <row r="8740" customFormat="false" ht="15" hidden="false" customHeight="false" outlineLevel="0" collapsed="false">
      <c r="A8740" s="1" t="s">
        <v>8775</v>
      </c>
      <c r="B8740" s="1" t="s">
        <v>26</v>
      </c>
      <c r="C8740" s="1" t="n">
        <v>248000</v>
      </c>
      <c r="D8740" s="1" t="n">
        <v>1054.1</v>
      </c>
      <c r="E8740" s="1" t="n">
        <v>0.0232</v>
      </c>
      <c r="F8740" s="1" t="n">
        <v>0.0759</v>
      </c>
    </row>
    <row r="8741" customFormat="false" ht="15" hidden="false" customHeight="false" outlineLevel="0" collapsed="false">
      <c r="A8741" s="1" t="s">
        <v>8776</v>
      </c>
      <c r="B8741" s="1" t="s">
        <v>92</v>
      </c>
      <c r="C8741" s="1" t="n">
        <v>194000</v>
      </c>
      <c r="D8741" s="1" t="n">
        <v>2358.7</v>
      </c>
      <c r="F8741" s="1" t="n">
        <v>0.0518</v>
      </c>
    </row>
    <row r="8742" customFormat="false" ht="15" hidden="false" customHeight="false" outlineLevel="0" collapsed="false">
      <c r="A8742" s="1" t="s">
        <v>8777</v>
      </c>
      <c r="B8742" s="1" t="s">
        <v>41</v>
      </c>
      <c r="C8742" s="1" t="n">
        <v>303000</v>
      </c>
      <c r="D8742" s="1" t="n">
        <v>2490.6</v>
      </c>
      <c r="E8742" s="1" t="n">
        <v>0.0427</v>
      </c>
      <c r="F8742" s="1" t="n">
        <v>0.0546</v>
      </c>
    </row>
    <row r="8743" customFormat="false" ht="15" hidden="false" customHeight="false" outlineLevel="0" collapsed="false">
      <c r="A8743" s="1" t="s">
        <v>8778</v>
      </c>
      <c r="B8743" s="1" t="s">
        <v>30</v>
      </c>
      <c r="C8743" s="1" t="n">
        <v>316000</v>
      </c>
      <c r="D8743" s="1" t="n">
        <v>2994000.9</v>
      </c>
      <c r="E8743" s="1" t="n">
        <v>0.0137</v>
      </c>
      <c r="F8743" s="1" t="n">
        <v>0.0585</v>
      </c>
    </row>
    <row r="8744" customFormat="false" ht="15" hidden="false" customHeight="false" outlineLevel="0" collapsed="false">
      <c r="A8744" s="1" t="s">
        <v>8779</v>
      </c>
      <c r="B8744" s="1" t="s">
        <v>24</v>
      </c>
      <c r="C8744" s="1" t="n">
        <v>191000</v>
      </c>
      <c r="D8744" s="1" t="n">
        <v>9616.7</v>
      </c>
      <c r="E8744" s="1" t="n">
        <v>0.0369</v>
      </c>
      <c r="F8744" s="1" t="n">
        <v>0.0951</v>
      </c>
    </row>
    <row r="8745" customFormat="false" ht="15" hidden="false" customHeight="false" outlineLevel="0" collapsed="false">
      <c r="A8745" s="1" t="s">
        <v>8780</v>
      </c>
      <c r="B8745" s="1" t="s">
        <v>26</v>
      </c>
      <c r="C8745" s="1" t="n">
        <v>293000</v>
      </c>
      <c r="D8745" s="1" t="n">
        <v>10061.8</v>
      </c>
      <c r="E8745" s="1" t="n">
        <v>0.08</v>
      </c>
      <c r="F8745" s="1" t="n">
        <v>0.0759</v>
      </c>
    </row>
    <row r="8746" customFormat="false" ht="15" hidden="false" customHeight="false" outlineLevel="0" collapsed="false">
      <c r="A8746" s="1" t="s">
        <v>8781</v>
      </c>
      <c r="B8746" s="1" t="s">
        <v>88</v>
      </c>
      <c r="C8746" s="1" t="n">
        <v>207000</v>
      </c>
      <c r="D8746" s="1" t="n">
        <v>119.5</v>
      </c>
      <c r="E8746" s="1" t="n">
        <v>0.0341</v>
      </c>
      <c r="F8746" s="1" t="n">
        <v>0.301</v>
      </c>
    </row>
    <row r="8747" customFormat="false" ht="15" hidden="false" customHeight="false" outlineLevel="0" collapsed="false">
      <c r="A8747" s="1" t="s">
        <v>8782</v>
      </c>
      <c r="B8747" s="1" t="s">
        <v>287</v>
      </c>
      <c r="C8747" s="1" t="n">
        <v>237000</v>
      </c>
      <c r="D8747" s="1" t="n">
        <v>6097.4</v>
      </c>
      <c r="E8747" s="1" t="n">
        <v>0.0201</v>
      </c>
      <c r="F8747" s="1" t="n">
        <v>0.3301</v>
      </c>
    </row>
    <row r="8748" customFormat="false" ht="15" hidden="false" customHeight="false" outlineLevel="0" collapsed="false">
      <c r="A8748" s="1" t="s">
        <v>8783</v>
      </c>
      <c r="B8748" s="1" t="s">
        <v>195</v>
      </c>
      <c r="C8748" s="1" t="n">
        <v>186000</v>
      </c>
      <c r="D8748" s="1" t="n">
        <v>45076.5</v>
      </c>
      <c r="E8748" s="1" t="n">
        <v>0.0604</v>
      </c>
      <c r="F8748" s="1" t="n">
        <v>0.0951</v>
      </c>
    </row>
    <row r="8749" customFormat="false" ht="15" hidden="false" customHeight="false" outlineLevel="0" collapsed="false">
      <c r="A8749" s="1" t="s">
        <v>8784</v>
      </c>
      <c r="B8749" s="1" t="s">
        <v>214</v>
      </c>
      <c r="C8749" s="1" t="n">
        <v>213000</v>
      </c>
      <c r="D8749" s="1" t="n">
        <v>1228.4</v>
      </c>
      <c r="E8749" s="1" t="n">
        <v>0.0148</v>
      </c>
      <c r="F8749" s="1" t="n">
        <v>0.0462</v>
      </c>
    </row>
    <row r="8750" customFormat="false" ht="15" hidden="false" customHeight="false" outlineLevel="0" collapsed="false">
      <c r="A8750" s="1" t="s">
        <v>8785</v>
      </c>
      <c r="B8750" s="1" t="s">
        <v>24</v>
      </c>
      <c r="C8750" s="1" t="n">
        <v>220000</v>
      </c>
      <c r="D8750" s="1" t="n">
        <v>3913.8</v>
      </c>
      <c r="E8750" s="1" t="n">
        <v>0.0227</v>
      </c>
      <c r="F8750" s="1" t="n">
        <v>0.0951</v>
      </c>
    </row>
    <row r="8751" customFormat="false" ht="15" hidden="false" customHeight="false" outlineLevel="0" collapsed="false">
      <c r="A8751" s="1" t="s">
        <v>8786</v>
      </c>
      <c r="B8751" s="1" t="s">
        <v>88</v>
      </c>
      <c r="C8751" s="1" t="n">
        <v>222000</v>
      </c>
      <c r="D8751" s="1" t="n">
        <v>866</v>
      </c>
      <c r="E8751" s="1" t="n">
        <v>0.0528</v>
      </c>
      <c r="F8751" s="1" t="n">
        <v>0.0951</v>
      </c>
    </row>
    <row r="8752" customFormat="false" ht="15" hidden="false" customHeight="false" outlineLevel="0" collapsed="false">
      <c r="A8752" s="1" t="s">
        <v>8787</v>
      </c>
      <c r="B8752" s="1" t="s">
        <v>21</v>
      </c>
      <c r="C8752" s="1" t="n">
        <v>186000</v>
      </c>
      <c r="F8752" s="1" t="n">
        <v>0.0759</v>
      </c>
    </row>
    <row r="8753" customFormat="false" ht="15" hidden="false" customHeight="false" outlineLevel="0" collapsed="false">
      <c r="A8753" s="1" t="s">
        <v>8788</v>
      </c>
      <c r="B8753" s="1" t="s">
        <v>214</v>
      </c>
      <c r="C8753" s="1" t="n">
        <v>210000</v>
      </c>
      <c r="D8753" s="1" t="n">
        <v>222.9</v>
      </c>
      <c r="E8753" s="1" t="n">
        <v>0.0207</v>
      </c>
      <c r="F8753" s="1" t="n">
        <v>0.0759</v>
      </c>
    </row>
    <row r="8754" customFormat="false" ht="15" hidden="false" customHeight="false" outlineLevel="0" collapsed="false">
      <c r="A8754" s="1" t="s">
        <v>8789</v>
      </c>
      <c r="B8754" s="1" t="s">
        <v>92</v>
      </c>
      <c r="C8754" s="1" t="n">
        <v>243000</v>
      </c>
      <c r="D8754" s="1" t="n">
        <v>2897.8</v>
      </c>
      <c r="E8754" s="1" t="n">
        <v>0.041</v>
      </c>
      <c r="F8754" s="1" t="n">
        <v>0.0759</v>
      </c>
    </row>
    <row r="8755" customFormat="false" ht="15" hidden="false" customHeight="false" outlineLevel="0" collapsed="false">
      <c r="A8755" s="1" t="s">
        <v>8790</v>
      </c>
      <c r="B8755" s="1" t="s">
        <v>71</v>
      </c>
      <c r="C8755" s="1" t="n">
        <v>290000</v>
      </c>
      <c r="D8755" s="1" t="n">
        <v>31684.7</v>
      </c>
      <c r="E8755" s="1" t="n">
        <v>0.0535</v>
      </c>
      <c r="F8755" s="1" t="n">
        <v>0.0938</v>
      </c>
    </row>
    <row r="8756" customFormat="false" ht="15" hidden="false" customHeight="false" outlineLevel="0" collapsed="false">
      <c r="A8756" s="1" t="s">
        <v>8791</v>
      </c>
      <c r="B8756" s="1" t="s">
        <v>26</v>
      </c>
      <c r="C8756" s="1" t="n">
        <v>252000</v>
      </c>
      <c r="D8756" s="1" t="n">
        <v>605.6</v>
      </c>
      <c r="E8756" s="1" t="n">
        <v>0.0133</v>
      </c>
      <c r="F8756" s="1" t="n">
        <v>0.0811</v>
      </c>
    </row>
    <row r="8757" customFormat="false" ht="15" hidden="false" customHeight="false" outlineLevel="0" collapsed="false">
      <c r="A8757" s="1" t="s">
        <v>8792</v>
      </c>
      <c r="B8757" s="1" t="s">
        <v>92</v>
      </c>
      <c r="C8757" s="1" t="n">
        <v>203000</v>
      </c>
      <c r="D8757" s="1" t="n">
        <v>150.2</v>
      </c>
      <c r="E8757" s="1" t="n">
        <v>0.0257</v>
      </c>
      <c r="F8757" s="1" t="n">
        <v>0.0938</v>
      </c>
    </row>
    <row r="8758" customFormat="false" ht="15" hidden="false" customHeight="false" outlineLevel="0" collapsed="false">
      <c r="A8758" s="1" t="s">
        <v>8793</v>
      </c>
      <c r="B8758" s="1" t="s">
        <v>88</v>
      </c>
      <c r="C8758" s="1" t="n">
        <v>503000</v>
      </c>
      <c r="D8758" s="1" t="n">
        <v>16198.7</v>
      </c>
      <c r="E8758" s="1" t="n">
        <v>0.0228</v>
      </c>
      <c r="F8758" s="1" t="n">
        <v>0.0938</v>
      </c>
    </row>
    <row r="8759" customFormat="false" ht="15" hidden="false" customHeight="false" outlineLevel="0" collapsed="false">
      <c r="A8759" s="1" t="s">
        <v>8794</v>
      </c>
      <c r="B8759" s="1" t="s">
        <v>62</v>
      </c>
      <c r="C8759" s="1" t="n">
        <v>196000</v>
      </c>
      <c r="D8759" s="1" t="n">
        <v>1503.8</v>
      </c>
      <c r="E8759" s="1" t="n">
        <v>0.0212</v>
      </c>
      <c r="F8759" s="1" t="n">
        <v>0.0759</v>
      </c>
    </row>
    <row r="8760" customFormat="false" ht="15" hidden="false" customHeight="false" outlineLevel="0" collapsed="false">
      <c r="A8760" s="1" t="s">
        <v>8795</v>
      </c>
      <c r="B8760" s="1" t="s">
        <v>214</v>
      </c>
      <c r="C8760" s="1" t="n">
        <v>227000</v>
      </c>
      <c r="D8760" s="1" t="n">
        <v>16387.7</v>
      </c>
      <c r="F8760" s="1" t="n">
        <v>0.0409</v>
      </c>
    </row>
    <row r="8761" customFormat="false" ht="15" hidden="false" customHeight="false" outlineLevel="0" collapsed="false">
      <c r="A8761" s="1" t="s">
        <v>8796</v>
      </c>
      <c r="B8761" s="1" t="s">
        <v>62</v>
      </c>
      <c r="C8761" s="1" t="n">
        <v>207000</v>
      </c>
      <c r="D8761" s="1" t="n">
        <v>7784.3</v>
      </c>
      <c r="E8761" s="1" t="n">
        <v>0.0329</v>
      </c>
      <c r="F8761" s="1" t="n">
        <v>0.0951</v>
      </c>
    </row>
    <row r="8762" customFormat="false" ht="15" hidden="false" customHeight="false" outlineLevel="0" collapsed="false">
      <c r="A8762" s="1" t="s">
        <v>8797</v>
      </c>
      <c r="B8762" s="1" t="s">
        <v>24</v>
      </c>
      <c r="C8762" s="1" t="n">
        <v>493000</v>
      </c>
      <c r="D8762" s="1" t="n">
        <v>13850.4</v>
      </c>
      <c r="E8762" s="1" t="n">
        <v>0.0085</v>
      </c>
      <c r="F8762" s="1" t="n">
        <v>0.0654</v>
      </c>
    </row>
    <row r="8763" customFormat="false" ht="15" hidden="false" customHeight="false" outlineLevel="0" collapsed="false">
      <c r="A8763" s="1" t="s">
        <v>8798</v>
      </c>
      <c r="B8763" s="1" t="s">
        <v>21</v>
      </c>
      <c r="C8763" s="1" t="n">
        <v>225000</v>
      </c>
      <c r="D8763" s="1" t="n">
        <v>759989.6</v>
      </c>
      <c r="E8763" s="1" t="n">
        <v>0.0552</v>
      </c>
      <c r="F8763" s="1" t="n">
        <v>0.0518</v>
      </c>
    </row>
    <row r="8764" customFormat="false" ht="15" hidden="false" customHeight="false" outlineLevel="0" collapsed="false">
      <c r="A8764" s="1" t="s">
        <v>8799</v>
      </c>
      <c r="B8764" s="1" t="s">
        <v>92</v>
      </c>
      <c r="C8764" s="1" t="n">
        <v>196000</v>
      </c>
      <c r="D8764" s="1" t="n">
        <v>29495.1</v>
      </c>
      <c r="E8764" s="1" t="n">
        <v>0.0176</v>
      </c>
      <c r="F8764" s="1" t="n">
        <v>0.1067</v>
      </c>
    </row>
    <row r="8765" customFormat="false" ht="15" hidden="false" customHeight="false" outlineLevel="0" collapsed="false">
      <c r="A8765" s="1" t="s">
        <v>8800</v>
      </c>
      <c r="B8765" s="1" t="s">
        <v>26</v>
      </c>
      <c r="C8765" s="1" t="n">
        <v>313000</v>
      </c>
      <c r="D8765" s="1" t="n">
        <v>362.8</v>
      </c>
      <c r="E8765" s="1" t="n">
        <v>0.0608</v>
      </c>
      <c r="F8765" s="1" t="n">
        <v>0.1226</v>
      </c>
    </row>
    <row r="8766" customFormat="false" ht="15" hidden="false" customHeight="false" outlineLevel="0" collapsed="false">
      <c r="A8766" s="1" t="s">
        <v>8801</v>
      </c>
      <c r="B8766" s="1" t="s">
        <v>74</v>
      </c>
      <c r="C8766" s="1" t="n">
        <v>761000</v>
      </c>
      <c r="D8766" s="1" t="n">
        <v>31291.6</v>
      </c>
      <c r="E8766" s="1" t="n">
        <v>0.0184</v>
      </c>
      <c r="F8766" s="1" t="n">
        <v>0.0462</v>
      </c>
    </row>
    <row r="8767" customFormat="false" ht="15" hidden="false" customHeight="false" outlineLevel="0" collapsed="false">
      <c r="A8767" s="1" t="s">
        <v>8802</v>
      </c>
      <c r="B8767" s="1" t="s">
        <v>35</v>
      </c>
      <c r="C8767" s="1" t="n">
        <v>271000</v>
      </c>
      <c r="D8767" s="1" t="n">
        <v>8381.7</v>
      </c>
      <c r="E8767" s="1" t="n">
        <v>0.0367</v>
      </c>
      <c r="F8767" s="1" t="n">
        <v>0.0938</v>
      </c>
    </row>
    <row r="8768" customFormat="false" ht="15" hidden="false" customHeight="false" outlineLevel="0" collapsed="false">
      <c r="A8768" s="1" t="s">
        <v>8803</v>
      </c>
      <c r="B8768" s="1" t="s">
        <v>35</v>
      </c>
      <c r="C8768" s="1" t="n">
        <v>187000</v>
      </c>
      <c r="D8768" s="1" t="n">
        <v>490</v>
      </c>
      <c r="E8768" s="1" t="n">
        <v>0.0112</v>
      </c>
      <c r="F8768" s="1" t="n">
        <v>0.0654</v>
      </c>
    </row>
    <row r="8769" customFormat="false" ht="15" hidden="false" customHeight="false" outlineLevel="0" collapsed="false">
      <c r="A8769" s="1" t="s">
        <v>8804</v>
      </c>
      <c r="B8769" s="1" t="s">
        <v>71</v>
      </c>
      <c r="C8769" s="1" t="n">
        <v>202000</v>
      </c>
      <c r="D8769" s="1" t="n">
        <v>1996</v>
      </c>
      <c r="E8769" s="1" t="n">
        <v>0.0307</v>
      </c>
      <c r="F8769" s="1" t="n">
        <v>0.0951</v>
      </c>
    </row>
    <row r="8770" customFormat="false" ht="15" hidden="false" customHeight="false" outlineLevel="0" collapsed="false">
      <c r="A8770" s="1" t="s">
        <v>8805</v>
      </c>
      <c r="B8770" s="1" t="s">
        <v>88</v>
      </c>
      <c r="C8770" s="1" t="n">
        <v>186000</v>
      </c>
      <c r="D8770" s="1" t="n">
        <v>19203.8</v>
      </c>
      <c r="E8770" s="1" t="n">
        <v>0.0278</v>
      </c>
      <c r="F8770" s="1" t="n">
        <v>0.0951</v>
      </c>
    </row>
    <row r="8771" customFormat="false" ht="15" hidden="false" customHeight="false" outlineLevel="0" collapsed="false">
      <c r="A8771" s="1" t="s">
        <v>8806</v>
      </c>
      <c r="B8771" s="1" t="s">
        <v>35</v>
      </c>
      <c r="C8771" s="1" t="n">
        <v>188000</v>
      </c>
      <c r="D8771" s="1" t="n">
        <v>350.2</v>
      </c>
      <c r="E8771" s="1" t="n">
        <v>0.0476</v>
      </c>
      <c r="F8771" s="1" t="n">
        <v>0.0951</v>
      </c>
    </row>
    <row r="8772" customFormat="false" ht="15" hidden="false" customHeight="false" outlineLevel="0" collapsed="false">
      <c r="A8772" s="1" t="s">
        <v>8807</v>
      </c>
      <c r="B8772" s="1" t="s">
        <v>41</v>
      </c>
      <c r="C8772" s="1" t="n">
        <v>532000</v>
      </c>
      <c r="D8772" s="1" t="n">
        <v>376.1</v>
      </c>
      <c r="E8772" s="1" t="n">
        <v>0.0398</v>
      </c>
      <c r="F8772" s="1" t="n">
        <v>0.1516</v>
      </c>
    </row>
    <row r="8773" customFormat="false" ht="15" hidden="false" customHeight="false" outlineLevel="0" collapsed="false">
      <c r="A8773" s="1" t="s">
        <v>8808</v>
      </c>
      <c r="B8773" s="1" t="s">
        <v>35</v>
      </c>
      <c r="C8773" s="1" t="n">
        <v>301000</v>
      </c>
      <c r="D8773" s="1" t="n">
        <v>7590.9</v>
      </c>
      <c r="E8773" s="1" t="n">
        <v>0.0318</v>
      </c>
      <c r="F8773" s="1" t="n">
        <v>0.0938</v>
      </c>
    </row>
    <row r="8774" customFormat="false" ht="15" hidden="false" customHeight="false" outlineLevel="0" collapsed="false">
      <c r="A8774" s="1" t="s">
        <v>8809</v>
      </c>
      <c r="B8774" s="1" t="s">
        <v>214</v>
      </c>
      <c r="C8774" s="1" t="n">
        <v>241000</v>
      </c>
      <c r="D8774" s="1" t="n">
        <v>7143.6</v>
      </c>
      <c r="E8774" s="1" t="n">
        <v>0.0325</v>
      </c>
      <c r="F8774" s="1" t="n">
        <v>0.0759</v>
      </c>
    </row>
    <row r="8775" customFormat="false" ht="15" hidden="false" customHeight="false" outlineLevel="0" collapsed="false">
      <c r="A8775" s="1" t="s">
        <v>8810</v>
      </c>
      <c r="B8775" s="1" t="s">
        <v>88</v>
      </c>
      <c r="C8775" s="1" t="n">
        <v>215000</v>
      </c>
      <c r="D8775" s="1" t="n">
        <v>2581.5</v>
      </c>
      <c r="E8775" s="1" t="n">
        <v>0.0501</v>
      </c>
      <c r="F8775" s="1" t="n">
        <v>0.0938</v>
      </c>
    </row>
    <row r="8776" customFormat="false" ht="15" hidden="false" customHeight="false" outlineLevel="0" collapsed="false">
      <c r="A8776" s="1" t="s">
        <v>8811</v>
      </c>
      <c r="B8776" s="1" t="s">
        <v>26</v>
      </c>
      <c r="C8776" s="1" t="n">
        <v>188000</v>
      </c>
      <c r="D8776" s="1" t="n">
        <v>3392.6</v>
      </c>
      <c r="E8776" s="1" t="n">
        <v>0.0228</v>
      </c>
      <c r="F8776" s="1" t="n">
        <v>0.0951</v>
      </c>
    </row>
    <row r="8777" customFormat="false" ht="15" hidden="false" customHeight="false" outlineLevel="0" collapsed="false">
      <c r="A8777" s="1" t="s">
        <v>8812</v>
      </c>
      <c r="B8777" s="1" t="s">
        <v>92</v>
      </c>
      <c r="C8777" s="1" t="n">
        <v>214000</v>
      </c>
      <c r="D8777" s="1" t="n">
        <v>125708.9</v>
      </c>
      <c r="E8777" s="1" t="n">
        <v>0.0118</v>
      </c>
      <c r="F8777" s="1" t="n">
        <v>0.0585</v>
      </c>
    </row>
    <row r="8778" customFormat="false" ht="15" hidden="false" customHeight="false" outlineLevel="0" collapsed="false">
      <c r="A8778" s="1" t="s">
        <v>8813</v>
      </c>
      <c r="B8778" s="1" t="s">
        <v>74</v>
      </c>
      <c r="C8778" s="1" t="n">
        <v>397000</v>
      </c>
      <c r="D8778" s="1" t="n">
        <v>33790.6</v>
      </c>
      <c r="E8778" s="1" t="n">
        <v>0.0541</v>
      </c>
      <c r="F8778" s="1" t="n">
        <v>0.0951</v>
      </c>
    </row>
    <row r="8779" customFormat="false" ht="15" hidden="false" customHeight="false" outlineLevel="0" collapsed="false">
      <c r="A8779" s="1" t="s">
        <v>8814</v>
      </c>
      <c r="B8779" s="1" t="s">
        <v>26</v>
      </c>
      <c r="C8779" s="1" t="n">
        <v>194000</v>
      </c>
      <c r="D8779" s="1" t="n">
        <v>30134.8</v>
      </c>
      <c r="E8779" s="1" t="n">
        <v>0.0527</v>
      </c>
      <c r="F8779" s="1" t="n">
        <v>0.0759</v>
      </c>
    </row>
    <row r="8780" customFormat="false" ht="15" hidden="false" customHeight="false" outlineLevel="0" collapsed="false">
      <c r="A8780" s="1" t="s">
        <v>8815</v>
      </c>
      <c r="B8780" s="1" t="s">
        <v>214</v>
      </c>
      <c r="C8780" s="1" t="n">
        <v>270000</v>
      </c>
      <c r="D8780" s="1" t="n">
        <v>44957.7</v>
      </c>
      <c r="E8780" s="1" t="n">
        <v>0.0986</v>
      </c>
      <c r="F8780" s="1" t="n">
        <v>0.0759</v>
      </c>
    </row>
    <row r="8781" customFormat="false" ht="15" hidden="false" customHeight="false" outlineLevel="0" collapsed="false">
      <c r="A8781" s="1" t="s">
        <v>8816</v>
      </c>
      <c r="B8781" s="1" t="s">
        <v>50</v>
      </c>
      <c r="C8781" s="1" t="n">
        <v>459000</v>
      </c>
      <c r="D8781" s="1" t="n">
        <v>93985.2</v>
      </c>
      <c r="E8781" s="1" t="n">
        <v>0.0371</v>
      </c>
      <c r="F8781" s="1" t="n">
        <v>0.0409</v>
      </c>
    </row>
    <row r="8782" customFormat="false" ht="15" hidden="false" customHeight="false" outlineLevel="0" collapsed="false">
      <c r="A8782" s="1" t="s">
        <v>8817</v>
      </c>
      <c r="B8782" s="1" t="s">
        <v>195</v>
      </c>
      <c r="C8782" s="1" t="n">
        <v>248000</v>
      </c>
      <c r="D8782" s="1" t="n">
        <v>1898.3</v>
      </c>
      <c r="E8782" s="1" t="n">
        <v>0.0787</v>
      </c>
      <c r="F8782" s="1" t="n">
        <v>0.0759</v>
      </c>
    </row>
    <row r="8783" customFormat="false" ht="15" hidden="false" customHeight="false" outlineLevel="0" collapsed="false">
      <c r="A8783" s="1" t="s">
        <v>8818</v>
      </c>
      <c r="B8783" s="1" t="s">
        <v>53</v>
      </c>
      <c r="C8783" s="1" t="n">
        <v>287000</v>
      </c>
      <c r="D8783" s="1" t="n">
        <v>91053.9</v>
      </c>
      <c r="E8783" s="1" t="n">
        <v>0.0136</v>
      </c>
      <c r="F8783" s="1" t="n">
        <v>0.052</v>
      </c>
    </row>
    <row r="8784" customFormat="false" ht="15" hidden="false" customHeight="false" outlineLevel="0" collapsed="false">
      <c r="A8784" s="1" t="s">
        <v>8819</v>
      </c>
      <c r="B8784" s="1" t="s">
        <v>26</v>
      </c>
      <c r="C8784" s="1" t="n">
        <v>215000</v>
      </c>
      <c r="D8784" s="1" t="n">
        <v>6418.7</v>
      </c>
      <c r="E8784" s="1" t="n">
        <v>0.021</v>
      </c>
      <c r="F8784" s="1" t="n">
        <v>0.0854</v>
      </c>
    </row>
    <row r="8785" customFormat="false" ht="15" hidden="false" customHeight="false" outlineLevel="0" collapsed="false">
      <c r="A8785" s="1" t="s">
        <v>8820</v>
      </c>
      <c r="B8785" s="1" t="s">
        <v>50</v>
      </c>
      <c r="C8785" s="1" t="n">
        <v>202000</v>
      </c>
      <c r="D8785" s="1" t="n">
        <v>6189.6</v>
      </c>
      <c r="E8785" s="1" t="n">
        <v>0.0399</v>
      </c>
      <c r="F8785" s="1" t="n">
        <v>0.0951</v>
      </c>
    </row>
    <row r="8786" customFormat="false" ht="15" hidden="false" customHeight="false" outlineLevel="0" collapsed="false">
      <c r="A8786" s="1" t="s">
        <v>8821</v>
      </c>
      <c r="B8786" s="1" t="s">
        <v>35</v>
      </c>
      <c r="C8786" s="1" t="n">
        <v>233000</v>
      </c>
      <c r="D8786" s="1" t="n">
        <v>14529.7</v>
      </c>
      <c r="E8786" s="1" t="n">
        <v>0.037</v>
      </c>
      <c r="F8786" s="1" t="n">
        <v>0.0759</v>
      </c>
    </row>
    <row r="8787" customFormat="false" ht="15" hidden="false" customHeight="false" outlineLevel="0" collapsed="false">
      <c r="A8787" s="1" t="s">
        <v>8822</v>
      </c>
      <c r="B8787" s="1" t="s">
        <v>50</v>
      </c>
      <c r="C8787" s="1" t="n">
        <v>167000</v>
      </c>
      <c r="D8787" s="1" t="n">
        <v>2021.6</v>
      </c>
      <c r="E8787" s="1" t="n">
        <v>0.0255</v>
      </c>
      <c r="F8787" s="1" t="n">
        <v>0.117</v>
      </c>
    </row>
    <row r="8788" customFormat="false" ht="15" hidden="false" customHeight="false" outlineLevel="0" collapsed="false">
      <c r="A8788" s="1" t="s">
        <v>8823</v>
      </c>
      <c r="B8788" s="1" t="s">
        <v>26</v>
      </c>
      <c r="C8788" s="1" t="n">
        <v>233000</v>
      </c>
      <c r="D8788" s="1" t="n">
        <v>243.8</v>
      </c>
      <c r="E8788" s="1" t="n">
        <v>0.0557</v>
      </c>
      <c r="F8788" s="1" t="n">
        <v>0.0759</v>
      </c>
    </row>
    <row r="8789" customFormat="false" ht="15" hidden="false" customHeight="false" outlineLevel="0" collapsed="false">
      <c r="A8789" s="1" t="s">
        <v>8824</v>
      </c>
      <c r="B8789" s="1" t="s">
        <v>50</v>
      </c>
      <c r="C8789" s="1" t="n">
        <v>195000</v>
      </c>
      <c r="D8789" s="1" t="n">
        <v>15997.6</v>
      </c>
      <c r="E8789" s="1" t="n">
        <v>0.0547</v>
      </c>
      <c r="F8789" s="1" t="n">
        <v>0.0518</v>
      </c>
    </row>
    <row r="8790" customFormat="false" ht="15" hidden="false" customHeight="false" outlineLevel="0" collapsed="false">
      <c r="A8790" s="1" t="s">
        <v>8825</v>
      </c>
      <c r="B8790" s="1" t="s">
        <v>88</v>
      </c>
      <c r="C8790" s="1" t="n">
        <v>223000</v>
      </c>
      <c r="D8790" s="1" t="n">
        <v>7313.4</v>
      </c>
      <c r="E8790" s="1" t="n">
        <v>0.0366</v>
      </c>
      <c r="F8790" s="1" t="n">
        <v>0.0951</v>
      </c>
    </row>
    <row r="8791" customFormat="false" ht="15" hidden="false" customHeight="false" outlineLevel="0" collapsed="false">
      <c r="A8791" s="1" t="s">
        <v>8826</v>
      </c>
      <c r="B8791" s="1" t="s">
        <v>24</v>
      </c>
      <c r="C8791" s="1" t="n">
        <v>204000</v>
      </c>
      <c r="D8791" s="1" t="n">
        <v>57.1</v>
      </c>
      <c r="E8791" s="1" t="n">
        <v>0.009</v>
      </c>
      <c r="F8791" s="1" t="n">
        <v>0.2059</v>
      </c>
    </row>
    <row r="8792" customFormat="false" ht="15" hidden="false" customHeight="false" outlineLevel="0" collapsed="false">
      <c r="A8792" s="1" t="s">
        <v>8827</v>
      </c>
      <c r="B8792" s="1" t="s">
        <v>81</v>
      </c>
      <c r="C8792" s="1" t="n">
        <v>281000</v>
      </c>
      <c r="D8792" s="1" t="n">
        <v>59596.5</v>
      </c>
      <c r="E8792" s="1" t="n">
        <v>0.0384</v>
      </c>
      <c r="F8792" s="1" t="n">
        <v>0.0672</v>
      </c>
    </row>
    <row r="8793" customFormat="false" ht="15" hidden="false" customHeight="false" outlineLevel="0" collapsed="false">
      <c r="A8793" s="1" t="s">
        <v>8828</v>
      </c>
      <c r="B8793" s="1" t="s">
        <v>26</v>
      </c>
      <c r="C8793" s="1" t="n">
        <v>207000</v>
      </c>
      <c r="D8793" s="1" t="n">
        <v>17676.1</v>
      </c>
      <c r="E8793" s="1" t="n">
        <v>0.0215</v>
      </c>
      <c r="F8793" s="1" t="n">
        <v>0.0759</v>
      </c>
    </row>
    <row r="8794" customFormat="false" ht="15" hidden="false" customHeight="false" outlineLevel="0" collapsed="false">
      <c r="A8794" s="1" t="s">
        <v>8829</v>
      </c>
      <c r="B8794" s="1" t="s">
        <v>88</v>
      </c>
      <c r="C8794" s="1" t="n">
        <v>193000</v>
      </c>
      <c r="D8794" s="1" t="n">
        <v>2002.5</v>
      </c>
      <c r="E8794" s="1" t="n">
        <v>0.0351</v>
      </c>
      <c r="F8794" s="1" t="n">
        <v>0.117</v>
      </c>
    </row>
    <row r="8795" customFormat="false" ht="15" hidden="false" customHeight="false" outlineLevel="0" collapsed="false">
      <c r="A8795" s="1" t="s">
        <v>8830</v>
      </c>
      <c r="B8795" s="1" t="s">
        <v>26</v>
      </c>
      <c r="C8795" s="1" t="n">
        <v>186000</v>
      </c>
      <c r="D8795" s="1" t="n">
        <v>10783.8</v>
      </c>
      <c r="E8795" s="1" t="n">
        <v>0.0513</v>
      </c>
      <c r="F8795" s="1" t="n">
        <v>0.0951</v>
      </c>
    </row>
    <row r="8796" customFormat="false" ht="15" hidden="false" customHeight="false" outlineLevel="0" collapsed="false">
      <c r="A8796" s="1" t="s">
        <v>8831</v>
      </c>
      <c r="B8796" s="1" t="s">
        <v>26</v>
      </c>
      <c r="C8796" s="1" t="n">
        <v>195000</v>
      </c>
      <c r="D8796" s="1" t="n">
        <v>3137.3</v>
      </c>
      <c r="E8796" s="1" t="n">
        <v>0.0164</v>
      </c>
      <c r="F8796" s="1" t="n">
        <v>0.0589</v>
      </c>
    </row>
    <row r="8797" customFormat="false" ht="15" hidden="false" customHeight="false" outlineLevel="0" collapsed="false">
      <c r="A8797" s="1" t="s">
        <v>8832</v>
      </c>
      <c r="B8797" s="1" t="s">
        <v>26</v>
      </c>
      <c r="C8797" s="1" t="n">
        <v>225000</v>
      </c>
      <c r="D8797" s="1" t="n">
        <v>37677.2</v>
      </c>
      <c r="E8797" s="1" t="n">
        <v>0.0341</v>
      </c>
      <c r="F8797" s="1" t="n">
        <v>0.0951</v>
      </c>
    </row>
    <row r="8798" customFormat="false" ht="15" hidden="false" customHeight="false" outlineLevel="0" collapsed="false">
      <c r="A8798" s="1" t="s">
        <v>8833</v>
      </c>
      <c r="B8798" s="1" t="s">
        <v>41</v>
      </c>
      <c r="C8798" s="1" t="n">
        <v>272000</v>
      </c>
      <c r="D8798" s="1" t="n">
        <v>10183.5</v>
      </c>
      <c r="E8798" s="1" t="n">
        <v>0.0268</v>
      </c>
      <c r="F8798" s="1" t="n">
        <v>0.0759</v>
      </c>
    </row>
    <row r="8799" customFormat="false" ht="15" hidden="false" customHeight="false" outlineLevel="0" collapsed="false">
      <c r="A8799" s="1" t="s">
        <v>8834</v>
      </c>
      <c r="B8799" s="1" t="s">
        <v>32</v>
      </c>
      <c r="C8799" s="1" t="n">
        <v>265000</v>
      </c>
      <c r="D8799" s="1" t="n">
        <v>2262.4</v>
      </c>
      <c r="E8799" s="1" t="n">
        <v>0.0636</v>
      </c>
      <c r="F8799" s="1" t="n">
        <v>0.0759</v>
      </c>
    </row>
    <row r="8800" customFormat="false" ht="15" hidden="false" customHeight="false" outlineLevel="0" collapsed="false">
      <c r="A8800" s="1" t="s">
        <v>8835</v>
      </c>
      <c r="B8800" s="1" t="s">
        <v>74</v>
      </c>
      <c r="C8800" s="1" t="n">
        <v>383000</v>
      </c>
      <c r="D8800" s="1" t="n">
        <v>17165.3</v>
      </c>
      <c r="E8800" s="1" t="n">
        <v>0.0368</v>
      </c>
      <c r="F8800" s="1" t="n">
        <v>0.0759</v>
      </c>
    </row>
    <row r="8801" customFormat="false" ht="15" hidden="false" customHeight="false" outlineLevel="0" collapsed="false">
      <c r="A8801" s="1" t="s">
        <v>8836</v>
      </c>
      <c r="B8801" s="1" t="s">
        <v>41</v>
      </c>
      <c r="C8801" s="1" t="n">
        <v>374000</v>
      </c>
      <c r="D8801" s="1" t="n">
        <v>1153.3</v>
      </c>
      <c r="E8801" s="1" t="n">
        <v>0.0095</v>
      </c>
      <c r="F8801" s="1" t="n">
        <v>0.1013</v>
      </c>
    </row>
    <row r="8802" customFormat="false" ht="15" hidden="false" customHeight="false" outlineLevel="0" collapsed="false">
      <c r="A8802" s="1" t="s">
        <v>8837</v>
      </c>
      <c r="B8802" s="1" t="s">
        <v>50</v>
      </c>
      <c r="C8802" s="1" t="n">
        <v>268000</v>
      </c>
      <c r="D8802" s="1" t="n">
        <v>9017.4</v>
      </c>
      <c r="E8802" s="1" t="n">
        <v>0.0219</v>
      </c>
      <c r="F8802" s="1" t="n">
        <v>0.0576</v>
      </c>
    </row>
    <row r="8803" customFormat="false" ht="15" hidden="false" customHeight="false" outlineLevel="0" collapsed="false">
      <c r="A8803" s="1" t="s">
        <v>8838</v>
      </c>
      <c r="B8803" s="1" t="s">
        <v>24</v>
      </c>
      <c r="C8803" s="1" t="n">
        <v>202000</v>
      </c>
      <c r="D8803" s="1" t="n">
        <v>48124.2</v>
      </c>
      <c r="E8803" s="1" t="n">
        <v>0.0224</v>
      </c>
      <c r="F8803" s="1" t="n">
        <v>0.0518</v>
      </c>
    </row>
    <row r="8804" customFormat="false" ht="15" hidden="false" customHeight="false" outlineLevel="0" collapsed="false">
      <c r="A8804" s="1" t="s">
        <v>8839</v>
      </c>
      <c r="B8804" s="1" t="s">
        <v>26</v>
      </c>
      <c r="C8804" s="1" t="n">
        <v>187000</v>
      </c>
      <c r="D8804" s="1" t="n">
        <v>5365</v>
      </c>
      <c r="E8804" s="1" t="n">
        <v>0.0277</v>
      </c>
      <c r="F8804" s="1" t="n">
        <v>0.0518</v>
      </c>
    </row>
    <row r="8805" customFormat="false" ht="15" hidden="false" customHeight="false" outlineLevel="0" collapsed="false">
      <c r="A8805" s="1" t="s">
        <v>8840</v>
      </c>
      <c r="B8805" s="1" t="s">
        <v>41</v>
      </c>
      <c r="C8805" s="1" t="n">
        <v>189000</v>
      </c>
      <c r="D8805" s="1" t="n">
        <v>861.7</v>
      </c>
      <c r="E8805" s="1" t="n">
        <v>0.0124</v>
      </c>
      <c r="F8805" s="1" t="n">
        <v>0.0811</v>
      </c>
    </row>
    <row r="8806" customFormat="false" ht="15" hidden="false" customHeight="false" outlineLevel="0" collapsed="false">
      <c r="A8806" s="1" t="s">
        <v>8841</v>
      </c>
      <c r="B8806" s="1" t="s">
        <v>26</v>
      </c>
      <c r="C8806" s="1" t="n">
        <v>186000</v>
      </c>
      <c r="D8806" s="1" t="n">
        <v>387051</v>
      </c>
      <c r="E8806" s="1" t="n">
        <v>0.015</v>
      </c>
      <c r="F8806" s="1" t="n">
        <v>0.0736</v>
      </c>
    </row>
    <row r="8807" customFormat="false" ht="15" hidden="false" customHeight="false" outlineLevel="0" collapsed="false">
      <c r="A8807" s="1" t="s">
        <v>8842</v>
      </c>
      <c r="B8807" s="1" t="s">
        <v>74</v>
      </c>
      <c r="C8807" s="1" t="n">
        <v>243000</v>
      </c>
      <c r="D8807" s="1" t="n">
        <v>4114.2</v>
      </c>
      <c r="E8807" s="1" t="n">
        <v>0.042</v>
      </c>
      <c r="F8807" s="1" t="n">
        <v>0.0759</v>
      </c>
    </row>
    <row r="8808" customFormat="false" ht="15" hidden="false" customHeight="false" outlineLevel="0" collapsed="false">
      <c r="A8808" s="1" t="s">
        <v>8843</v>
      </c>
      <c r="B8808" s="1" t="s">
        <v>26</v>
      </c>
      <c r="C8808" s="1" t="n">
        <v>237000</v>
      </c>
      <c r="D8808" s="1" t="n">
        <v>432</v>
      </c>
      <c r="E8808" s="1" t="n">
        <v>0.0196</v>
      </c>
      <c r="F8808" s="1" t="n">
        <v>0.1013</v>
      </c>
    </row>
    <row r="8809" customFormat="false" ht="15" hidden="false" customHeight="false" outlineLevel="0" collapsed="false">
      <c r="A8809" s="1" t="s">
        <v>8844</v>
      </c>
      <c r="B8809" s="1" t="s">
        <v>26</v>
      </c>
      <c r="C8809" s="1" t="n">
        <v>193000</v>
      </c>
      <c r="D8809" s="1" t="n">
        <v>11300</v>
      </c>
      <c r="E8809" s="1" t="n">
        <v>0.0736</v>
      </c>
      <c r="F8809" s="1" t="n">
        <v>0.0432</v>
      </c>
    </row>
    <row r="8810" customFormat="false" ht="15" hidden="false" customHeight="false" outlineLevel="0" collapsed="false">
      <c r="A8810" s="1" t="s">
        <v>8845</v>
      </c>
      <c r="B8810" s="1" t="s">
        <v>88</v>
      </c>
      <c r="C8810" s="1" t="n">
        <v>179000</v>
      </c>
      <c r="D8810" s="1" t="n">
        <v>936.7</v>
      </c>
      <c r="E8810" s="1" t="n">
        <v>0.0244</v>
      </c>
      <c r="F8810" s="1" t="n">
        <v>0.0518</v>
      </c>
    </row>
    <row r="8811" customFormat="false" ht="15" hidden="false" customHeight="false" outlineLevel="0" collapsed="false">
      <c r="A8811" s="1" t="s">
        <v>8846</v>
      </c>
      <c r="B8811" s="1" t="s">
        <v>88</v>
      </c>
      <c r="C8811" s="1" t="n">
        <v>206000</v>
      </c>
      <c r="D8811" s="1" t="n">
        <v>1444.3</v>
      </c>
      <c r="E8811" s="1" t="n">
        <v>0.1476</v>
      </c>
      <c r="F8811" s="1" t="n">
        <v>0.1226</v>
      </c>
    </row>
    <row r="8812" customFormat="false" ht="15" hidden="false" customHeight="false" outlineLevel="0" collapsed="false">
      <c r="A8812" s="1" t="s">
        <v>8847</v>
      </c>
      <c r="B8812" s="1" t="s">
        <v>214</v>
      </c>
      <c r="C8812" s="1" t="n">
        <v>200000</v>
      </c>
      <c r="D8812" s="1" t="n">
        <v>904.3</v>
      </c>
      <c r="F8812" s="1" t="n">
        <v>0.0951</v>
      </c>
    </row>
    <row r="8813" customFormat="false" ht="15" hidden="false" customHeight="false" outlineLevel="0" collapsed="false">
      <c r="A8813" s="1" t="s">
        <v>8848</v>
      </c>
      <c r="B8813" s="1" t="s">
        <v>24</v>
      </c>
      <c r="C8813" s="1" t="n">
        <v>203000</v>
      </c>
      <c r="D8813" s="1" t="n">
        <v>768.2</v>
      </c>
      <c r="E8813" s="1" t="n">
        <v>0.0471</v>
      </c>
      <c r="F8813" s="1" t="n">
        <v>0.0951</v>
      </c>
    </row>
    <row r="8814" customFormat="false" ht="15" hidden="false" customHeight="false" outlineLevel="0" collapsed="false">
      <c r="A8814" s="1" t="s">
        <v>8849</v>
      </c>
      <c r="B8814" s="1" t="s">
        <v>32</v>
      </c>
      <c r="C8814" s="1" t="n">
        <v>191000</v>
      </c>
      <c r="D8814" s="1" t="n">
        <v>1142.1</v>
      </c>
      <c r="E8814" s="1" t="n">
        <v>0.005</v>
      </c>
      <c r="F8814" s="1" t="n">
        <v>0.0822</v>
      </c>
    </row>
    <row r="8815" customFormat="false" ht="15" hidden="false" customHeight="false" outlineLevel="0" collapsed="false">
      <c r="A8815" s="1" t="s">
        <v>8850</v>
      </c>
      <c r="B8815" s="1" t="s">
        <v>53</v>
      </c>
      <c r="C8815" s="1" t="n">
        <v>289000</v>
      </c>
      <c r="D8815" s="1" t="n">
        <v>21492.9</v>
      </c>
      <c r="E8815" s="1" t="n">
        <v>0.0502</v>
      </c>
      <c r="F8815" s="1" t="n">
        <v>0.051</v>
      </c>
    </row>
    <row r="8816" customFormat="false" ht="15" hidden="false" customHeight="false" outlineLevel="0" collapsed="false">
      <c r="A8816" s="1" t="s">
        <v>8851</v>
      </c>
      <c r="B8816" s="1" t="s">
        <v>41</v>
      </c>
      <c r="C8816" s="1" t="n">
        <v>193000</v>
      </c>
      <c r="D8816" s="1" t="n">
        <v>218.7</v>
      </c>
      <c r="E8816" s="1" t="n">
        <v>0.0431</v>
      </c>
      <c r="F8816" s="1" t="n">
        <v>0.057</v>
      </c>
    </row>
    <row r="8817" customFormat="false" ht="15" hidden="false" customHeight="false" outlineLevel="0" collapsed="false">
      <c r="A8817" s="1" t="s">
        <v>8852</v>
      </c>
      <c r="B8817" s="1" t="s">
        <v>88</v>
      </c>
      <c r="C8817" s="1" t="n">
        <v>226000</v>
      </c>
      <c r="D8817" s="1" t="n">
        <v>1120</v>
      </c>
      <c r="E8817" s="1" t="n">
        <v>0.0366</v>
      </c>
      <c r="F8817" s="1" t="n">
        <v>0.117</v>
      </c>
    </row>
    <row r="8818" customFormat="false" ht="15" hidden="false" customHeight="false" outlineLevel="0" collapsed="false">
      <c r="A8818" s="1" t="s">
        <v>8853</v>
      </c>
      <c r="B8818" s="1" t="s">
        <v>26</v>
      </c>
      <c r="C8818" s="1" t="n">
        <v>231000</v>
      </c>
      <c r="D8818" s="1" t="n">
        <v>3448.6</v>
      </c>
      <c r="E8818" s="1" t="n">
        <v>0.011</v>
      </c>
      <c r="F8818" s="1" t="n">
        <v>0.0736</v>
      </c>
    </row>
    <row r="8819" customFormat="false" ht="15" hidden="false" customHeight="false" outlineLevel="0" collapsed="false">
      <c r="A8819" s="1" t="s">
        <v>8854</v>
      </c>
      <c r="B8819" s="1" t="s">
        <v>26</v>
      </c>
      <c r="C8819" s="1" t="n">
        <v>201000</v>
      </c>
      <c r="D8819" s="1" t="n">
        <v>55167.9</v>
      </c>
      <c r="E8819" s="1" t="n">
        <v>0.0329</v>
      </c>
      <c r="F8819" s="1" t="n">
        <v>0.0759</v>
      </c>
    </row>
    <row r="8820" customFormat="false" ht="15" hidden="false" customHeight="false" outlineLevel="0" collapsed="false">
      <c r="A8820" s="1" t="s">
        <v>8855</v>
      </c>
      <c r="B8820" s="1" t="s">
        <v>214</v>
      </c>
      <c r="C8820" s="1" t="n">
        <v>216000</v>
      </c>
      <c r="D8820" s="1" t="n">
        <v>4179.6</v>
      </c>
      <c r="E8820" s="1" t="n">
        <v>0.022</v>
      </c>
      <c r="F8820" s="1" t="n">
        <v>0.0546</v>
      </c>
    </row>
    <row r="8821" customFormat="false" ht="15" hidden="false" customHeight="false" outlineLevel="0" collapsed="false">
      <c r="A8821" s="1" t="s">
        <v>8856</v>
      </c>
      <c r="B8821" s="1" t="s">
        <v>74</v>
      </c>
      <c r="C8821" s="1" t="n">
        <v>257000</v>
      </c>
      <c r="D8821" s="1" t="n">
        <v>654.7</v>
      </c>
      <c r="E8821" s="1" t="n">
        <v>0.0408</v>
      </c>
      <c r="F8821" s="1" t="n">
        <v>0.0938</v>
      </c>
    </row>
    <row r="8822" customFormat="false" ht="15" hidden="false" customHeight="false" outlineLevel="0" collapsed="false">
      <c r="A8822" s="1" t="s">
        <v>8857</v>
      </c>
      <c r="B8822" s="1" t="s">
        <v>26</v>
      </c>
      <c r="C8822" s="1" t="n">
        <v>201000</v>
      </c>
      <c r="D8822" s="1" t="n">
        <v>2300.9</v>
      </c>
      <c r="E8822" s="1" t="n">
        <v>0.0198</v>
      </c>
      <c r="F8822" s="1" t="n">
        <v>0.1053</v>
      </c>
    </row>
    <row r="8823" customFormat="false" ht="15" hidden="false" customHeight="false" outlineLevel="0" collapsed="false">
      <c r="A8823" s="1" t="s">
        <v>8858</v>
      </c>
      <c r="B8823" s="1" t="s">
        <v>81</v>
      </c>
      <c r="C8823" s="1" t="n">
        <v>288000</v>
      </c>
      <c r="D8823" s="1" t="n">
        <v>44874.9</v>
      </c>
      <c r="E8823" s="1" t="n">
        <v>0.0738</v>
      </c>
      <c r="F8823" s="1" t="n">
        <v>0.0951</v>
      </c>
    </row>
    <row r="8824" customFormat="false" ht="15" hidden="false" customHeight="false" outlineLevel="0" collapsed="false">
      <c r="A8824" s="1" t="s">
        <v>8859</v>
      </c>
      <c r="B8824" s="1" t="s">
        <v>50</v>
      </c>
      <c r="C8824" s="1" t="n">
        <v>503000</v>
      </c>
      <c r="D8824" s="1" t="n">
        <v>129.8</v>
      </c>
      <c r="E8824" s="1" t="n">
        <v>0.0189</v>
      </c>
      <c r="F8824" s="1" t="n">
        <v>0.0462</v>
      </c>
    </row>
    <row r="8825" customFormat="false" ht="15" hidden="false" customHeight="false" outlineLevel="0" collapsed="false">
      <c r="A8825" s="1" t="s">
        <v>8860</v>
      </c>
      <c r="B8825" s="1" t="s">
        <v>92</v>
      </c>
      <c r="C8825" s="1" t="n">
        <v>199000</v>
      </c>
      <c r="D8825" s="1" t="n">
        <v>395.9</v>
      </c>
      <c r="E8825" s="1" t="n">
        <v>0.0372</v>
      </c>
      <c r="F8825" s="1" t="n">
        <v>0.0759</v>
      </c>
    </row>
    <row r="8826" customFormat="false" ht="15" hidden="false" customHeight="false" outlineLevel="0" collapsed="false">
      <c r="A8826" s="1" t="s">
        <v>8861</v>
      </c>
      <c r="B8826" s="1" t="s">
        <v>214</v>
      </c>
      <c r="C8826" s="1" t="n">
        <v>201000</v>
      </c>
      <c r="D8826" s="1" t="n">
        <v>3047.8</v>
      </c>
      <c r="E8826" s="1" t="n">
        <v>0.0019</v>
      </c>
      <c r="F8826" s="1" t="n">
        <v>0.0654</v>
      </c>
    </row>
    <row r="8827" customFormat="false" ht="15" hidden="false" customHeight="false" outlineLevel="0" collapsed="false">
      <c r="A8827" s="1" t="s">
        <v>8862</v>
      </c>
      <c r="B8827" s="1" t="s">
        <v>88</v>
      </c>
      <c r="C8827" s="1" t="n">
        <v>383000</v>
      </c>
      <c r="D8827" s="1" t="n">
        <v>451.7</v>
      </c>
      <c r="E8827" s="1" t="n">
        <v>0.0402</v>
      </c>
      <c r="F8827" s="1" t="n">
        <v>0.0517</v>
      </c>
    </row>
    <row r="8828" customFormat="false" ht="15" hidden="false" customHeight="false" outlineLevel="0" collapsed="false">
      <c r="A8828" s="1" t="s">
        <v>8863</v>
      </c>
      <c r="B8828" s="1" t="s">
        <v>26</v>
      </c>
      <c r="C8828" s="1" t="n">
        <v>213000</v>
      </c>
      <c r="D8828" s="1" t="n">
        <v>251415.9</v>
      </c>
      <c r="E8828" s="1" t="n">
        <v>0.0053</v>
      </c>
      <c r="F8828" s="1" t="n">
        <v>0.0654</v>
      </c>
    </row>
    <row r="8829" customFormat="false" ht="15" hidden="false" customHeight="false" outlineLevel="0" collapsed="false">
      <c r="A8829" s="1" t="s">
        <v>8864</v>
      </c>
      <c r="B8829" s="1" t="s">
        <v>26</v>
      </c>
      <c r="C8829" s="1" t="n">
        <v>187000</v>
      </c>
      <c r="F8829" s="1" t="n">
        <v>0.0759</v>
      </c>
    </row>
    <row r="8830" customFormat="false" ht="15" hidden="false" customHeight="false" outlineLevel="0" collapsed="false">
      <c r="A8830" s="1" t="s">
        <v>8865</v>
      </c>
      <c r="B8830" s="1" t="s">
        <v>88</v>
      </c>
      <c r="C8830" s="1" t="n">
        <v>262000</v>
      </c>
      <c r="D8830" s="1" t="n">
        <v>880</v>
      </c>
      <c r="E8830" s="1" t="n">
        <v>0.0344</v>
      </c>
      <c r="F8830" s="1" t="n">
        <v>0.051</v>
      </c>
    </row>
    <row r="8831" customFormat="false" ht="15" hidden="false" customHeight="false" outlineLevel="0" collapsed="false">
      <c r="A8831" s="1" t="s">
        <v>8866</v>
      </c>
      <c r="B8831" s="1" t="s">
        <v>26</v>
      </c>
      <c r="C8831" s="1" t="n">
        <v>270000</v>
      </c>
      <c r="D8831" s="1" t="n">
        <v>2475.6</v>
      </c>
      <c r="E8831" s="1" t="n">
        <v>0.0188</v>
      </c>
      <c r="F8831" s="1" t="n">
        <v>0.0488</v>
      </c>
    </row>
    <row r="8832" customFormat="false" ht="15" hidden="false" customHeight="false" outlineLevel="0" collapsed="false">
      <c r="A8832" s="1" t="s">
        <v>8867</v>
      </c>
      <c r="B8832" s="1" t="s">
        <v>88</v>
      </c>
      <c r="C8832" s="1" t="n">
        <v>446000</v>
      </c>
      <c r="D8832" s="1" t="n">
        <v>154876.9</v>
      </c>
      <c r="E8832" s="1" t="n">
        <v>0.0071</v>
      </c>
      <c r="F8832" s="1" t="n">
        <v>0.0822</v>
      </c>
    </row>
    <row r="8833" customFormat="false" ht="15" hidden="false" customHeight="false" outlineLevel="0" collapsed="false">
      <c r="A8833" s="1" t="s">
        <v>8868</v>
      </c>
      <c r="B8833" s="1" t="s">
        <v>50</v>
      </c>
      <c r="C8833" s="1" t="n">
        <v>216000</v>
      </c>
      <c r="D8833" s="1" t="n">
        <v>10840.9</v>
      </c>
      <c r="E8833" s="1" t="n">
        <v>0.0351</v>
      </c>
      <c r="F8833" s="1" t="n">
        <v>0.0759</v>
      </c>
    </row>
    <row r="8834" customFormat="false" ht="15" hidden="false" customHeight="false" outlineLevel="0" collapsed="false">
      <c r="A8834" s="1" t="s">
        <v>8869</v>
      </c>
      <c r="B8834" s="1" t="s">
        <v>32</v>
      </c>
      <c r="C8834" s="1" t="n">
        <v>238000</v>
      </c>
      <c r="D8834" s="1" t="n">
        <v>9932.2</v>
      </c>
      <c r="E8834" s="1" t="n">
        <v>0.0125</v>
      </c>
      <c r="F8834" s="1" t="n">
        <v>0.1067</v>
      </c>
    </row>
    <row r="8835" customFormat="false" ht="15" hidden="false" customHeight="false" outlineLevel="0" collapsed="false">
      <c r="A8835" s="1" t="s">
        <v>8870</v>
      </c>
      <c r="B8835" s="1" t="s">
        <v>214</v>
      </c>
      <c r="C8835" s="1" t="n">
        <v>272000</v>
      </c>
      <c r="D8835" s="1" t="n">
        <v>880</v>
      </c>
      <c r="E8835" s="1" t="n">
        <v>0.0372</v>
      </c>
      <c r="F8835" s="1" t="n">
        <v>0.0938</v>
      </c>
    </row>
    <row r="8836" customFormat="false" ht="15" hidden="false" customHeight="false" outlineLevel="0" collapsed="false">
      <c r="A8836" s="1" t="s">
        <v>8871</v>
      </c>
      <c r="B8836" s="1" t="s">
        <v>88</v>
      </c>
      <c r="C8836" s="1" t="n">
        <v>247000</v>
      </c>
      <c r="D8836" s="1" t="n">
        <v>2170.8</v>
      </c>
      <c r="E8836" s="1" t="n">
        <v>0.0326</v>
      </c>
      <c r="F8836" s="1" t="n">
        <v>0.0938</v>
      </c>
    </row>
    <row r="8837" customFormat="false" ht="15" hidden="false" customHeight="false" outlineLevel="0" collapsed="false">
      <c r="A8837" s="1" t="s">
        <v>8872</v>
      </c>
      <c r="B8837" s="1" t="s">
        <v>88</v>
      </c>
      <c r="C8837" s="1" t="n">
        <v>176000</v>
      </c>
      <c r="D8837" s="1" t="n">
        <v>858.1</v>
      </c>
      <c r="E8837" s="1" t="n">
        <v>0.0254</v>
      </c>
      <c r="F8837" s="1" t="n">
        <v>0.117</v>
      </c>
    </row>
    <row r="8838" customFormat="false" ht="15" hidden="false" customHeight="false" outlineLevel="0" collapsed="false">
      <c r="A8838" s="1" t="s">
        <v>8873</v>
      </c>
      <c r="B8838" s="1" t="s">
        <v>26</v>
      </c>
      <c r="C8838" s="1" t="n">
        <v>201000</v>
      </c>
      <c r="D8838" s="1" t="n">
        <v>169.6</v>
      </c>
      <c r="E8838" s="1" t="n">
        <v>0.0255</v>
      </c>
      <c r="F8838" s="1" t="n">
        <v>0.0518</v>
      </c>
    </row>
    <row r="8839" customFormat="false" ht="15" hidden="false" customHeight="false" outlineLevel="0" collapsed="false">
      <c r="A8839" s="1" t="s">
        <v>8874</v>
      </c>
      <c r="B8839" s="1" t="s">
        <v>24</v>
      </c>
      <c r="C8839" s="1" t="n">
        <v>228000</v>
      </c>
      <c r="D8839" s="1" t="n">
        <v>7556.3</v>
      </c>
      <c r="E8839" s="1" t="n">
        <v>0.0078</v>
      </c>
      <c r="F8839" s="1" t="n">
        <v>0.0822</v>
      </c>
    </row>
    <row r="8840" customFormat="false" ht="15" hidden="false" customHeight="false" outlineLevel="0" collapsed="false">
      <c r="A8840" s="1" t="s">
        <v>8875</v>
      </c>
      <c r="B8840" s="1" t="s">
        <v>71</v>
      </c>
      <c r="C8840" s="1" t="n">
        <v>244000</v>
      </c>
      <c r="D8840" s="1" t="n">
        <v>9217.7</v>
      </c>
      <c r="F8840" s="1" t="n">
        <v>0.0409</v>
      </c>
    </row>
    <row r="8841" customFormat="false" ht="15" hidden="false" customHeight="false" outlineLevel="0" collapsed="false">
      <c r="A8841" s="1" t="s">
        <v>8876</v>
      </c>
      <c r="B8841" s="1" t="s">
        <v>24</v>
      </c>
      <c r="C8841" s="1" t="n">
        <v>211000</v>
      </c>
      <c r="D8841" s="1" t="n">
        <v>463.8</v>
      </c>
      <c r="E8841" s="1" t="n">
        <v>0.0425</v>
      </c>
      <c r="F8841" s="1" t="n">
        <v>0.0759</v>
      </c>
    </row>
    <row r="8842" customFormat="false" ht="15" hidden="false" customHeight="false" outlineLevel="0" collapsed="false">
      <c r="A8842" s="1" t="s">
        <v>8877</v>
      </c>
      <c r="B8842" s="1" t="s">
        <v>26</v>
      </c>
      <c r="C8842" s="1" t="n">
        <v>196000</v>
      </c>
      <c r="D8842" s="1" t="n">
        <v>11572.5</v>
      </c>
      <c r="E8842" s="1" t="n">
        <v>0.0205</v>
      </c>
      <c r="F8842" s="1" t="n">
        <v>0.0951</v>
      </c>
    </row>
    <row r="8843" customFormat="false" ht="15" hidden="false" customHeight="false" outlineLevel="0" collapsed="false">
      <c r="A8843" s="1" t="s">
        <v>8878</v>
      </c>
      <c r="B8843" s="1" t="s">
        <v>26</v>
      </c>
      <c r="C8843" s="1" t="n">
        <v>210000</v>
      </c>
      <c r="D8843" s="1" t="n">
        <v>11240.9</v>
      </c>
      <c r="E8843" s="1" t="n">
        <v>0.0739</v>
      </c>
      <c r="F8843" s="1" t="n">
        <v>0.0759</v>
      </c>
    </row>
    <row r="8844" customFormat="false" ht="15" hidden="false" customHeight="false" outlineLevel="0" collapsed="false">
      <c r="A8844" s="1" t="s">
        <v>8879</v>
      </c>
      <c r="B8844" s="1" t="s">
        <v>53</v>
      </c>
      <c r="C8844" s="1" t="n">
        <v>198000</v>
      </c>
      <c r="D8844" s="1" t="n">
        <v>6361.2</v>
      </c>
      <c r="E8844" s="1" t="n">
        <v>0.0091</v>
      </c>
      <c r="F8844" s="1" t="n">
        <v>0.0822</v>
      </c>
    </row>
    <row r="8845" customFormat="false" ht="15" hidden="false" customHeight="false" outlineLevel="0" collapsed="false">
      <c r="A8845" s="1" t="s">
        <v>8880</v>
      </c>
      <c r="B8845" s="1" t="s">
        <v>62</v>
      </c>
      <c r="C8845" s="1" t="n">
        <v>183000</v>
      </c>
      <c r="D8845" s="1" t="n">
        <v>8084.8</v>
      </c>
      <c r="E8845" s="1" t="n">
        <v>0.0211</v>
      </c>
      <c r="F8845" s="1" t="n">
        <v>0.0585</v>
      </c>
    </row>
    <row r="8846" customFormat="false" ht="15" hidden="false" customHeight="false" outlineLevel="0" collapsed="false">
      <c r="A8846" s="1" t="s">
        <v>8881</v>
      </c>
      <c r="B8846" s="1" t="s">
        <v>62</v>
      </c>
      <c r="C8846" s="1" t="n">
        <v>254000</v>
      </c>
      <c r="D8846" s="1" t="n">
        <v>3477.3</v>
      </c>
      <c r="E8846" s="1" t="n">
        <v>0.0326</v>
      </c>
      <c r="F8846" s="1" t="n">
        <v>0.0951</v>
      </c>
    </row>
    <row r="8847" customFormat="false" ht="15" hidden="false" customHeight="false" outlineLevel="0" collapsed="false">
      <c r="A8847" s="1" t="s">
        <v>8882</v>
      </c>
      <c r="B8847" s="1" t="s">
        <v>74</v>
      </c>
      <c r="C8847" s="1" t="n">
        <v>250000</v>
      </c>
      <c r="D8847" s="1" t="n">
        <v>5876.4</v>
      </c>
      <c r="E8847" s="1" t="n">
        <v>0.0236</v>
      </c>
      <c r="F8847" s="1" t="n">
        <v>0.0938</v>
      </c>
    </row>
    <row r="8848" customFormat="false" ht="15" hidden="false" customHeight="false" outlineLevel="0" collapsed="false">
      <c r="A8848" s="1" t="s">
        <v>8883</v>
      </c>
      <c r="B8848" s="1" t="s">
        <v>195</v>
      </c>
      <c r="C8848" s="1" t="n">
        <v>184000</v>
      </c>
      <c r="D8848" s="1" t="n">
        <v>3581.5</v>
      </c>
      <c r="F8848" s="1" t="n">
        <v>0.051</v>
      </c>
    </row>
    <row r="8849" customFormat="false" ht="15" hidden="false" customHeight="false" outlineLevel="0" collapsed="false">
      <c r="A8849" s="1" t="s">
        <v>8884</v>
      </c>
      <c r="B8849" s="1" t="s">
        <v>26</v>
      </c>
      <c r="C8849" s="1" t="n">
        <v>213000</v>
      </c>
      <c r="D8849" s="1" t="n">
        <v>1133.8</v>
      </c>
      <c r="E8849" s="1" t="n">
        <v>0.0145</v>
      </c>
      <c r="F8849" s="1" t="n">
        <v>0.0726</v>
      </c>
    </row>
    <row r="8850" customFormat="false" ht="15" hidden="false" customHeight="false" outlineLevel="0" collapsed="false">
      <c r="A8850" s="1" t="s">
        <v>8885</v>
      </c>
      <c r="B8850" s="1" t="s">
        <v>26</v>
      </c>
      <c r="C8850" s="1" t="n">
        <v>210000</v>
      </c>
      <c r="D8850" s="1" t="n">
        <v>8391.2</v>
      </c>
      <c r="E8850" s="1" t="n">
        <v>0.0273</v>
      </c>
      <c r="F8850" s="1" t="n">
        <v>0.0759</v>
      </c>
    </row>
    <row r="8851" customFormat="false" ht="15" hidden="false" customHeight="false" outlineLevel="0" collapsed="false">
      <c r="A8851" s="1" t="s">
        <v>8886</v>
      </c>
      <c r="B8851" s="1" t="s">
        <v>88</v>
      </c>
      <c r="C8851" s="1" t="n">
        <v>220000</v>
      </c>
      <c r="D8851" s="1" t="n">
        <v>999.9</v>
      </c>
      <c r="E8851" s="1" t="n">
        <v>0.043</v>
      </c>
      <c r="F8851" s="1" t="n">
        <v>0.0938</v>
      </c>
    </row>
    <row r="8852" customFormat="false" ht="15" hidden="false" customHeight="false" outlineLevel="0" collapsed="false">
      <c r="A8852" s="1" t="s">
        <v>8887</v>
      </c>
      <c r="B8852" s="1" t="s">
        <v>26</v>
      </c>
      <c r="C8852" s="1" t="n">
        <v>197000</v>
      </c>
      <c r="D8852" s="1" t="n">
        <v>26067.1</v>
      </c>
      <c r="E8852" s="1" t="n">
        <v>0.0422</v>
      </c>
      <c r="F8852" s="1" t="n">
        <v>0.0951</v>
      </c>
    </row>
    <row r="8853" customFormat="false" ht="15" hidden="false" customHeight="false" outlineLevel="0" collapsed="false">
      <c r="A8853" s="1" t="s">
        <v>8888</v>
      </c>
      <c r="B8853" s="1" t="s">
        <v>26</v>
      </c>
      <c r="C8853" s="1" t="n">
        <v>188000</v>
      </c>
      <c r="D8853" s="1" t="n">
        <v>15778.7</v>
      </c>
      <c r="E8853" s="1" t="n">
        <v>0.027</v>
      </c>
      <c r="F8853" s="1" t="n">
        <v>0.0951</v>
      </c>
    </row>
    <row r="8854" customFormat="false" ht="15" hidden="false" customHeight="false" outlineLevel="0" collapsed="false">
      <c r="A8854" s="1" t="s">
        <v>8889</v>
      </c>
      <c r="B8854" s="1" t="s">
        <v>26</v>
      </c>
      <c r="C8854" s="1" t="n">
        <v>221000</v>
      </c>
      <c r="D8854" s="1" t="n">
        <v>13901.4</v>
      </c>
      <c r="E8854" s="1" t="n">
        <v>0.0517</v>
      </c>
      <c r="F8854" s="1" t="n">
        <v>0.0759</v>
      </c>
    </row>
    <row r="8855" customFormat="false" ht="15" hidden="false" customHeight="false" outlineLevel="0" collapsed="false">
      <c r="A8855" s="1" t="s">
        <v>8890</v>
      </c>
      <c r="B8855" s="1" t="s">
        <v>32</v>
      </c>
      <c r="C8855" s="1" t="n">
        <v>232000</v>
      </c>
      <c r="D8855" s="1" t="n">
        <v>1490698.5</v>
      </c>
      <c r="E8855" s="1" t="n">
        <v>0.0153</v>
      </c>
      <c r="F8855" s="1" t="n">
        <v>0.1027</v>
      </c>
    </row>
    <row r="8856" customFormat="false" ht="15" hidden="false" customHeight="false" outlineLevel="0" collapsed="false">
      <c r="A8856" s="1" t="s">
        <v>8891</v>
      </c>
      <c r="B8856" s="1" t="s">
        <v>26</v>
      </c>
      <c r="C8856" s="1" t="n">
        <v>210000</v>
      </c>
      <c r="D8856" s="1" t="n">
        <v>6011.5</v>
      </c>
      <c r="E8856" s="1" t="n">
        <v>0.0295</v>
      </c>
      <c r="F8856" s="1" t="n">
        <v>0.0409</v>
      </c>
    </row>
    <row r="8857" customFormat="false" ht="15" hidden="false" customHeight="false" outlineLevel="0" collapsed="false">
      <c r="A8857" s="1" t="s">
        <v>8892</v>
      </c>
      <c r="B8857" s="1" t="s">
        <v>92</v>
      </c>
      <c r="C8857" s="1" t="n">
        <v>206000</v>
      </c>
      <c r="D8857" s="1" t="n">
        <v>24678.5</v>
      </c>
      <c r="E8857" s="1" t="n">
        <v>0.0647</v>
      </c>
      <c r="F8857" s="1" t="n">
        <v>0.0672</v>
      </c>
    </row>
    <row r="8858" customFormat="false" ht="15" hidden="false" customHeight="false" outlineLevel="0" collapsed="false">
      <c r="A8858" s="1" t="s">
        <v>8893</v>
      </c>
      <c r="B8858" s="1" t="s">
        <v>41</v>
      </c>
      <c r="C8858" s="1" t="n">
        <v>378000</v>
      </c>
      <c r="D8858" s="1" t="n">
        <v>3402.2</v>
      </c>
      <c r="E8858" s="1" t="n">
        <v>0.0372</v>
      </c>
      <c r="F8858" s="1" t="n">
        <v>0.0759</v>
      </c>
    </row>
    <row r="8859" customFormat="false" ht="15" hidden="false" customHeight="false" outlineLevel="0" collapsed="false">
      <c r="A8859" s="1" t="s">
        <v>8894</v>
      </c>
      <c r="B8859" s="1" t="s">
        <v>214</v>
      </c>
      <c r="C8859" s="1" t="n">
        <v>191000</v>
      </c>
      <c r="D8859" s="1" t="n">
        <v>5157.9</v>
      </c>
      <c r="E8859" s="1" t="n">
        <v>0.0488</v>
      </c>
      <c r="F8859" s="1" t="n">
        <v>0.0951</v>
      </c>
    </row>
    <row r="8860" customFormat="false" ht="15" hidden="false" customHeight="false" outlineLevel="0" collapsed="false">
      <c r="A8860" s="1" t="s">
        <v>8895</v>
      </c>
      <c r="B8860" s="1" t="s">
        <v>26</v>
      </c>
      <c r="C8860" s="1" t="n">
        <v>193000</v>
      </c>
      <c r="D8860" s="1" t="n">
        <v>14847.5</v>
      </c>
      <c r="E8860" s="1" t="n">
        <v>0.0253</v>
      </c>
      <c r="F8860" s="1" t="n">
        <v>0.0951</v>
      </c>
    </row>
    <row r="8861" customFormat="false" ht="15" hidden="false" customHeight="false" outlineLevel="0" collapsed="false">
      <c r="A8861" s="1" t="s">
        <v>8896</v>
      </c>
      <c r="B8861" s="1" t="s">
        <v>26</v>
      </c>
      <c r="C8861" s="1" t="n">
        <v>211000</v>
      </c>
      <c r="D8861" s="1" t="n">
        <v>2770.8</v>
      </c>
      <c r="E8861" s="1" t="n">
        <v>0.0068</v>
      </c>
      <c r="F8861" s="1" t="n">
        <v>0.0822</v>
      </c>
    </row>
    <row r="8862" customFormat="false" ht="15" hidden="false" customHeight="false" outlineLevel="0" collapsed="false">
      <c r="A8862" s="1" t="s">
        <v>8897</v>
      </c>
      <c r="B8862" s="1" t="s">
        <v>26</v>
      </c>
      <c r="C8862" s="1" t="n">
        <v>200000</v>
      </c>
      <c r="D8862" s="1" t="n">
        <v>10414.1</v>
      </c>
      <c r="E8862" s="1" t="n">
        <v>0.0344</v>
      </c>
      <c r="F8862" s="1" t="n">
        <v>0.0759</v>
      </c>
    </row>
    <row r="8863" customFormat="false" ht="15" hidden="false" customHeight="false" outlineLevel="0" collapsed="false">
      <c r="A8863" s="1" t="s">
        <v>8898</v>
      </c>
      <c r="B8863" s="1" t="s">
        <v>26</v>
      </c>
      <c r="C8863" s="1" t="n">
        <v>198000</v>
      </c>
      <c r="D8863" s="1" t="n">
        <v>277914.5</v>
      </c>
      <c r="E8863" s="1" t="n">
        <v>0.048</v>
      </c>
      <c r="F8863" s="1" t="n">
        <v>0.0951</v>
      </c>
    </row>
    <row r="8864" customFormat="false" ht="15" hidden="false" customHeight="false" outlineLevel="0" collapsed="false">
      <c r="A8864" s="1" t="s">
        <v>8899</v>
      </c>
      <c r="B8864" s="1" t="s">
        <v>26</v>
      </c>
      <c r="C8864" s="1" t="n">
        <v>208000</v>
      </c>
      <c r="D8864" s="1" t="n">
        <v>11718.9</v>
      </c>
      <c r="E8864" s="1" t="n">
        <v>0.0433</v>
      </c>
      <c r="F8864" s="1" t="n">
        <v>0.0938</v>
      </c>
    </row>
    <row r="8865" customFormat="false" ht="15" hidden="false" customHeight="false" outlineLevel="0" collapsed="false">
      <c r="A8865" s="1" t="s">
        <v>8900</v>
      </c>
      <c r="B8865" s="1" t="s">
        <v>26</v>
      </c>
      <c r="C8865" s="1" t="n">
        <v>222000</v>
      </c>
      <c r="D8865" s="1" t="n">
        <v>69.1</v>
      </c>
      <c r="E8865" s="1" t="n">
        <v>0.0338</v>
      </c>
      <c r="F8865" s="1" t="n">
        <v>0.0518</v>
      </c>
    </row>
    <row r="8866" customFormat="false" ht="15" hidden="false" customHeight="false" outlineLevel="0" collapsed="false">
      <c r="A8866" s="1" t="s">
        <v>8901</v>
      </c>
      <c r="B8866" s="1" t="s">
        <v>26</v>
      </c>
      <c r="C8866" s="1" t="n">
        <v>261000</v>
      </c>
      <c r="D8866" s="1" t="n">
        <v>539374.3</v>
      </c>
      <c r="E8866" s="1" t="n">
        <v>0.0323</v>
      </c>
      <c r="F8866" s="1" t="n">
        <v>0.0951</v>
      </c>
    </row>
    <row r="8867" customFormat="false" ht="15" hidden="false" customHeight="false" outlineLevel="0" collapsed="false">
      <c r="A8867" s="1" t="s">
        <v>8902</v>
      </c>
      <c r="B8867" s="1" t="s">
        <v>26</v>
      </c>
      <c r="C8867" s="1" t="n">
        <v>398000</v>
      </c>
      <c r="D8867" s="1" t="n">
        <v>6427.3</v>
      </c>
      <c r="E8867" s="1" t="n">
        <v>0.0255</v>
      </c>
      <c r="F8867" s="1" t="n">
        <v>0.0409</v>
      </c>
    </row>
    <row r="8868" customFormat="false" ht="15" hidden="false" customHeight="false" outlineLevel="0" collapsed="false">
      <c r="A8868" s="1" t="s">
        <v>8903</v>
      </c>
      <c r="B8868" s="1" t="s">
        <v>26</v>
      </c>
      <c r="C8868" s="1" t="n">
        <v>379000</v>
      </c>
      <c r="D8868" s="1" t="n">
        <v>13884.5</v>
      </c>
      <c r="E8868" s="1" t="n">
        <v>0.0348</v>
      </c>
      <c r="F8868" s="1" t="n">
        <v>0.0951</v>
      </c>
    </row>
    <row r="8869" customFormat="false" ht="15" hidden="false" customHeight="false" outlineLevel="0" collapsed="false">
      <c r="A8869" s="1" t="s">
        <v>8904</v>
      </c>
      <c r="B8869" s="1" t="s">
        <v>195</v>
      </c>
      <c r="C8869" s="1" t="n">
        <v>191000</v>
      </c>
      <c r="D8869" s="1" t="n">
        <v>2386888.4</v>
      </c>
      <c r="E8869" s="1" t="n">
        <v>0.003</v>
      </c>
      <c r="F8869" s="1" t="n">
        <v>0.3805</v>
      </c>
    </row>
    <row r="8870" customFormat="false" ht="15" hidden="false" customHeight="false" outlineLevel="0" collapsed="false">
      <c r="A8870" s="1" t="s">
        <v>8905</v>
      </c>
      <c r="B8870" s="1" t="s">
        <v>24</v>
      </c>
      <c r="C8870" s="1" t="n">
        <v>332000</v>
      </c>
      <c r="D8870" s="1" t="n">
        <v>1062.5</v>
      </c>
      <c r="E8870" s="1" t="n">
        <v>0.0271</v>
      </c>
      <c r="F8870" s="1" t="n">
        <v>0.0759</v>
      </c>
    </row>
    <row r="8871" customFormat="false" ht="15" hidden="false" customHeight="false" outlineLevel="0" collapsed="false">
      <c r="A8871" s="1" t="s">
        <v>8906</v>
      </c>
      <c r="B8871" s="1" t="s">
        <v>26</v>
      </c>
      <c r="C8871" s="1" t="n">
        <v>360000</v>
      </c>
      <c r="D8871" s="1" t="n">
        <v>15222.4</v>
      </c>
      <c r="E8871" s="1" t="n">
        <v>0.0309</v>
      </c>
      <c r="F8871" s="1" t="n">
        <v>0.0409</v>
      </c>
    </row>
    <row r="8872" customFormat="false" ht="15" hidden="false" customHeight="false" outlineLevel="0" collapsed="false">
      <c r="A8872" s="1" t="s">
        <v>8907</v>
      </c>
      <c r="B8872" s="1" t="s">
        <v>26</v>
      </c>
      <c r="C8872" s="1" t="n">
        <v>191000</v>
      </c>
      <c r="D8872" s="1" t="n">
        <v>473.3</v>
      </c>
      <c r="E8872" s="1" t="n">
        <v>0.0334</v>
      </c>
      <c r="F8872" s="1" t="n">
        <v>0.0759</v>
      </c>
    </row>
    <row r="8873" customFormat="false" ht="15" hidden="false" customHeight="false" outlineLevel="0" collapsed="false">
      <c r="A8873" s="1" t="s">
        <v>8908</v>
      </c>
      <c r="B8873" s="1" t="s">
        <v>214</v>
      </c>
      <c r="C8873" s="1" t="n">
        <v>184000</v>
      </c>
      <c r="D8873" s="1" t="n">
        <v>6013.5</v>
      </c>
      <c r="E8873" s="1" t="n">
        <v>0.0333</v>
      </c>
      <c r="F8873" s="1" t="n">
        <v>0.0518</v>
      </c>
    </row>
    <row r="8874" customFormat="false" ht="15" hidden="false" customHeight="false" outlineLevel="0" collapsed="false">
      <c r="A8874" s="1" t="s">
        <v>8909</v>
      </c>
      <c r="B8874" s="1" t="s">
        <v>214</v>
      </c>
      <c r="C8874" s="1" t="n">
        <v>201000</v>
      </c>
      <c r="D8874" s="1" t="n">
        <v>8144.4</v>
      </c>
      <c r="E8874" s="1" t="n">
        <v>0.0189</v>
      </c>
      <c r="F8874" s="1" t="n">
        <v>0.1067</v>
      </c>
    </row>
    <row r="8875" customFormat="false" ht="15" hidden="false" customHeight="false" outlineLevel="0" collapsed="false">
      <c r="A8875" s="1" t="s">
        <v>8910</v>
      </c>
      <c r="B8875" s="1" t="s">
        <v>26</v>
      </c>
      <c r="C8875" s="1" t="n">
        <v>207000</v>
      </c>
      <c r="D8875" s="1" t="n">
        <v>726.6</v>
      </c>
      <c r="E8875" s="1" t="n">
        <v>0.0081</v>
      </c>
      <c r="F8875" s="1" t="n">
        <v>0.1953</v>
      </c>
    </row>
    <row r="8876" customFormat="false" ht="15" hidden="false" customHeight="false" outlineLevel="0" collapsed="false">
      <c r="A8876" s="1" t="s">
        <v>8911</v>
      </c>
      <c r="B8876" s="1" t="s">
        <v>62</v>
      </c>
      <c r="C8876" s="1" t="n">
        <v>187000</v>
      </c>
      <c r="D8876" s="1" t="n">
        <v>1940.1</v>
      </c>
      <c r="E8876" s="1" t="n">
        <v>0.0376</v>
      </c>
      <c r="F8876" s="1" t="n">
        <v>0.0951</v>
      </c>
    </row>
    <row r="8877" customFormat="false" ht="15" hidden="false" customHeight="false" outlineLevel="0" collapsed="false">
      <c r="A8877" s="1" t="s">
        <v>8912</v>
      </c>
      <c r="B8877" s="1" t="s">
        <v>71</v>
      </c>
      <c r="C8877" s="1" t="n">
        <v>257000</v>
      </c>
      <c r="D8877" s="1" t="n">
        <v>11621.2</v>
      </c>
      <c r="E8877" s="1" t="n">
        <v>0.0277</v>
      </c>
      <c r="F8877" s="1" t="n">
        <v>0.0409</v>
      </c>
    </row>
    <row r="8878" customFormat="false" ht="15" hidden="false" customHeight="false" outlineLevel="0" collapsed="false">
      <c r="A8878" s="1" t="s">
        <v>8913</v>
      </c>
      <c r="B8878" s="1" t="s">
        <v>26</v>
      </c>
      <c r="C8878" s="1" t="n">
        <v>227000</v>
      </c>
      <c r="D8878" s="1" t="n">
        <v>28278.3</v>
      </c>
      <c r="E8878" s="1" t="n">
        <v>0.0333</v>
      </c>
      <c r="F8878" s="1" t="n">
        <v>0.0759</v>
      </c>
    </row>
    <row r="8879" customFormat="false" ht="15" hidden="false" customHeight="false" outlineLevel="0" collapsed="false">
      <c r="A8879" s="1" t="s">
        <v>8914</v>
      </c>
      <c r="B8879" s="1" t="s">
        <v>26</v>
      </c>
      <c r="C8879" s="1" t="n">
        <v>229000</v>
      </c>
      <c r="D8879" s="1" t="n">
        <v>5257.7</v>
      </c>
      <c r="E8879" s="1" t="n">
        <v>0.0265</v>
      </c>
      <c r="F8879" s="1" t="n">
        <v>0.0759</v>
      </c>
    </row>
    <row r="8880" customFormat="false" ht="15" hidden="false" customHeight="false" outlineLevel="0" collapsed="false">
      <c r="A8880" s="1" t="s">
        <v>8915</v>
      </c>
      <c r="B8880" s="1" t="s">
        <v>71</v>
      </c>
      <c r="C8880" s="1" t="n">
        <v>185000</v>
      </c>
      <c r="D8880" s="1" t="n">
        <v>4918.6</v>
      </c>
      <c r="E8880" s="1" t="n">
        <v>0.009</v>
      </c>
      <c r="F8880" s="1" t="n">
        <v>0.1471</v>
      </c>
    </row>
    <row r="8881" customFormat="false" ht="15" hidden="false" customHeight="false" outlineLevel="0" collapsed="false">
      <c r="A8881" s="1" t="s">
        <v>8916</v>
      </c>
      <c r="B8881" s="1" t="s">
        <v>26</v>
      </c>
      <c r="C8881" s="1" t="n">
        <v>204000</v>
      </c>
      <c r="D8881" s="1" t="n">
        <v>6137.8</v>
      </c>
      <c r="E8881" s="1" t="n">
        <v>0.0191</v>
      </c>
      <c r="F8881" s="1" t="n">
        <v>0.4405</v>
      </c>
    </row>
    <row r="8882" customFormat="false" ht="15" hidden="false" customHeight="false" outlineLevel="0" collapsed="false">
      <c r="A8882" s="1" t="s">
        <v>8917</v>
      </c>
      <c r="B8882" s="1" t="s">
        <v>62</v>
      </c>
      <c r="C8882" s="1" t="n">
        <v>196000</v>
      </c>
      <c r="D8882" s="1" t="n">
        <v>916.7</v>
      </c>
      <c r="E8882" s="1" t="n">
        <v>0.01</v>
      </c>
      <c r="F8882" s="1" t="n">
        <v>0.1471</v>
      </c>
    </row>
    <row r="8883" customFormat="false" ht="15" hidden="false" customHeight="false" outlineLevel="0" collapsed="false">
      <c r="A8883" s="1" t="s">
        <v>8918</v>
      </c>
      <c r="B8883" s="1" t="s">
        <v>21</v>
      </c>
      <c r="C8883" s="1" t="n">
        <v>205000</v>
      </c>
      <c r="D8883" s="1" t="n">
        <v>821.5</v>
      </c>
      <c r="E8883" s="1" t="n">
        <v>0.0482</v>
      </c>
      <c r="F8883" s="1" t="n">
        <v>0.0517</v>
      </c>
    </row>
    <row r="8884" customFormat="false" ht="15" hidden="false" customHeight="false" outlineLevel="0" collapsed="false">
      <c r="A8884" s="1" t="s">
        <v>8919</v>
      </c>
      <c r="B8884" s="1" t="s">
        <v>24</v>
      </c>
      <c r="C8884" s="1" t="n">
        <v>232000</v>
      </c>
      <c r="D8884" s="1" t="n">
        <v>143446.9</v>
      </c>
      <c r="E8884" s="1" t="n">
        <v>0.0252</v>
      </c>
      <c r="F8884" s="1" t="n">
        <v>0.0518</v>
      </c>
    </row>
    <row r="8885" customFormat="false" ht="15" hidden="false" customHeight="false" outlineLevel="0" collapsed="false">
      <c r="A8885" s="1" t="s">
        <v>8920</v>
      </c>
      <c r="B8885" s="1" t="s">
        <v>26</v>
      </c>
      <c r="C8885" s="1" t="n">
        <v>262000</v>
      </c>
      <c r="D8885" s="1" t="n">
        <v>155467.9</v>
      </c>
      <c r="E8885" s="1" t="n">
        <v>0.0516</v>
      </c>
      <c r="F8885" s="1" t="n">
        <v>0.0672</v>
      </c>
    </row>
    <row r="8886" customFormat="false" ht="15" hidden="false" customHeight="false" outlineLevel="0" collapsed="false">
      <c r="A8886" s="1" t="s">
        <v>8921</v>
      </c>
      <c r="B8886" s="1" t="s">
        <v>53</v>
      </c>
      <c r="C8886" s="1" t="n">
        <v>367000</v>
      </c>
      <c r="D8886" s="1" t="n">
        <v>20451.4</v>
      </c>
      <c r="E8886" s="1" t="n">
        <v>0.0179</v>
      </c>
      <c r="F8886" s="1" t="n">
        <v>0.0937</v>
      </c>
    </row>
    <row r="8887" customFormat="false" ht="15" hidden="false" customHeight="false" outlineLevel="0" collapsed="false">
      <c r="A8887" s="1" t="s">
        <v>8922</v>
      </c>
      <c r="B8887" s="1" t="s">
        <v>214</v>
      </c>
      <c r="C8887" s="1" t="n">
        <v>210000</v>
      </c>
      <c r="D8887" s="1" t="n">
        <v>5236.6</v>
      </c>
      <c r="E8887" s="1" t="n">
        <v>0.0191</v>
      </c>
      <c r="F8887" s="1" t="n">
        <v>0.0909</v>
      </c>
    </row>
    <row r="8888" customFormat="false" ht="15" hidden="false" customHeight="false" outlineLevel="0" collapsed="false">
      <c r="A8888" s="1" t="s">
        <v>8923</v>
      </c>
      <c r="B8888" s="1" t="s">
        <v>88</v>
      </c>
      <c r="C8888" s="1" t="n">
        <v>224000</v>
      </c>
      <c r="D8888" s="1" t="n">
        <v>7453.9</v>
      </c>
      <c r="E8888" s="1" t="n">
        <v>0.0157</v>
      </c>
      <c r="F8888" s="1" t="n">
        <v>0.1067</v>
      </c>
    </row>
    <row r="8889" customFormat="false" ht="15" hidden="false" customHeight="false" outlineLevel="0" collapsed="false">
      <c r="A8889" s="1" t="s">
        <v>8924</v>
      </c>
      <c r="B8889" s="1" t="s">
        <v>81</v>
      </c>
      <c r="C8889" s="1" t="n">
        <v>342000</v>
      </c>
      <c r="D8889" s="1" t="n">
        <v>7990.9</v>
      </c>
      <c r="E8889" s="1" t="n">
        <v>0.0339</v>
      </c>
      <c r="F8889" s="1" t="n">
        <v>0.0409</v>
      </c>
    </row>
    <row r="8890" customFormat="false" ht="15" hidden="false" customHeight="false" outlineLevel="0" collapsed="false">
      <c r="A8890" s="1" t="s">
        <v>8925</v>
      </c>
      <c r="B8890" s="1" t="s">
        <v>26</v>
      </c>
      <c r="C8890" s="1" t="n">
        <v>187000</v>
      </c>
      <c r="D8890" s="1" t="n">
        <v>914.6</v>
      </c>
      <c r="E8890" s="1" t="n">
        <v>0.0153</v>
      </c>
      <c r="F8890" s="1" t="n">
        <v>0.0654</v>
      </c>
    </row>
    <row r="8891" customFormat="false" ht="15" hidden="false" customHeight="false" outlineLevel="0" collapsed="false">
      <c r="A8891" s="1" t="s">
        <v>8926</v>
      </c>
      <c r="B8891" s="1" t="s">
        <v>88</v>
      </c>
      <c r="C8891" s="1" t="n">
        <v>211000</v>
      </c>
      <c r="D8891" s="1" t="n">
        <v>295.5</v>
      </c>
      <c r="E8891" s="1" t="n">
        <v>0.0209</v>
      </c>
      <c r="F8891" s="1" t="n">
        <v>0.117</v>
      </c>
    </row>
    <row r="8892" customFormat="false" ht="15" hidden="false" customHeight="false" outlineLevel="0" collapsed="false">
      <c r="A8892" s="1" t="s">
        <v>8927</v>
      </c>
      <c r="B8892" s="1" t="s">
        <v>88</v>
      </c>
      <c r="C8892" s="1" t="n">
        <v>251000</v>
      </c>
      <c r="D8892" s="1" t="n">
        <v>523.7</v>
      </c>
      <c r="E8892" s="1" t="n">
        <v>0.0815</v>
      </c>
      <c r="F8892" s="1" t="n">
        <v>0.0672</v>
      </c>
    </row>
    <row r="8893" customFormat="false" ht="15" hidden="false" customHeight="false" outlineLevel="0" collapsed="false">
      <c r="A8893" s="1" t="s">
        <v>8928</v>
      </c>
      <c r="B8893" s="1" t="s">
        <v>62</v>
      </c>
      <c r="C8893" s="1" t="n">
        <v>179000</v>
      </c>
      <c r="D8893" s="1" t="n">
        <v>66153.1</v>
      </c>
      <c r="E8893" s="1" t="n">
        <v>0.0772</v>
      </c>
      <c r="F8893" s="1" t="n">
        <v>0.0518</v>
      </c>
    </row>
    <row r="8894" customFormat="false" ht="15" hidden="false" customHeight="false" outlineLevel="0" collapsed="false">
      <c r="A8894" s="1" t="s">
        <v>8929</v>
      </c>
      <c r="B8894" s="1" t="s">
        <v>26</v>
      </c>
      <c r="C8894" s="1" t="n">
        <v>191000</v>
      </c>
      <c r="D8894" s="1" t="n">
        <v>85023.7</v>
      </c>
      <c r="E8894" s="1" t="n">
        <v>0.0165</v>
      </c>
      <c r="F8894" s="1" t="n">
        <v>0.0462</v>
      </c>
    </row>
    <row r="8895" customFormat="false" ht="15" hidden="false" customHeight="false" outlineLevel="0" collapsed="false">
      <c r="A8895" s="1" t="s">
        <v>8930</v>
      </c>
      <c r="B8895" s="1" t="s">
        <v>88</v>
      </c>
      <c r="C8895" s="1" t="n">
        <v>328000</v>
      </c>
      <c r="D8895" s="1" t="n">
        <v>20322.3</v>
      </c>
      <c r="E8895" s="1" t="n">
        <v>0.0402</v>
      </c>
      <c r="F8895" s="1" t="n">
        <v>0.0759</v>
      </c>
    </row>
    <row r="8896" customFormat="false" ht="15" hidden="false" customHeight="false" outlineLevel="0" collapsed="false">
      <c r="A8896" s="1" t="s">
        <v>8931</v>
      </c>
      <c r="B8896" s="1" t="s">
        <v>26</v>
      </c>
      <c r="C8896" s="1" t="n">
        <v>308000</v>
      </c>
      <c r="D8896" s="1" t="n">
        <v>5019.7</v>
      </c>
      <c r="F8896" s="1" t="n">
        <v>0.0938</v>
      </c>
    </row>
    <row r="8897" customFormat="false" ht="15" hidden="false" customHeight="false" outlineLevel="0" collapsed="false">
      <c r="A8897" s="1" t="s">
        <v>8932</v>
      </c>
      <c r="B8897" s="1" t="s">
        <v>26</v>
      </c>
      <c r="C8897" s="1" t="n">
        <v>271000</v>
      </c>
      <c r="D8897" s="1" t="n">
        <v>776338.8</v>
      </c>
      <c r="E8897" s="1" t="n">
        <v>0.0101</v>
      </c>
      <c r="F8897" s="1" t="n">
        <v>0.0822</v>
      </c>
    </row>
    <row r="8898" customFormat="false" ht="15" hidden="false" customHeight="false" outlineLevel="0" collapsed="false">
      <c r="A8898" s="1" t="s">
        <v>8933</v>
      </c>
      <c r="B8898" s="1" t="s">
        <v>26</v>
      </c>
      <c r="C8898" s="1" t="n">
        <v>190000</v>
      </c>
      <c r="D8898" s="1" t="n">
        <v>5160.7</v>
      </c>
      <c r="E8898" s="1" t="n">
        <v>0.0349</v>
      </c>
      <c r="F8898" s="1" t="n">
        <v>0.0951</v>
      </c>
    </row>
    <row r="8899" customFormat="false" ht="15" hidden="false" customHeight="false" outlineLevel="0" collapsed="false">
      <c r="A8899" s="1" t="s">
        <v>8934</v>
      </c>
      <c r="B8899" s="1" t="s">
        <v>26</v>
      </c>
      <c r="C8899" s="1" t="n">
        <v>217000</v>
      </c>
      <c r="D8899" s="1" t="n">
        <v>657.2</v>
      </c>
      <c r="E8899" s="1" t="n">
        <v>0.0063</v>
      </c>
      <c r="F8899" s="1" t="n">
        <v>0.0654</v>
      </c>
    </row>
    <row r="8900" customFormat="false" ht="15" hidden="false" customHeight="false" outlineLevel="0" collapsed="false">
      <c r="A8900" s="1" t="s">
        <v>8935</v>
      </c>
      <c r="B8900" s="1" t="s">
        <v>53</v>
      </c>
      <c r="C8900" s="1" t="n">
        <v>176000</v>
      </c>
      <c r="D8900" s="1" t="n">
        <v>19531.5</v>
      </c>
      <c r="E8900" s="1" t="n">
        <v>0.0553</v>
      </c>
      <c r="F8900" s="1" t="n">
        <v>0.0518</v>
      </c>
    </row>
    <row r="8901" customFormat="false" ht="15" hidden="false" customHeight="false" outlineLevel="0" collapsed="false">
      <c r="A8901" s="1" t="s">
        <v>8936</v>
      </c>
      <c r="B8901" s="1" t="s">
        <v>41</v>
      </c>
      <c r="C8901" s="1" t="n">
        <v>186000</v>
      </c>
      <c r="D8901" s="1" t="n">
        <v>691.2</v>
      </c>
      <c r="F8901" s="1" t="n">
        <v>0.0644</v>
      </c>
    </row>
    <row r="8902" customFormat="false" ht="15" hidden="false" customHeight="false" outlineLevel="0" collapsed="false">
      <c r="A8902" s="1" t="s">
        <v>8937</v>
      </c>
      <c r="B8902" s="1" t="s">
        <v>88</v>
      </c>
      <c r="C8902" s="1" t="n">
        <v>212000</v>
      </c>
      <c r="D8902" s="1" t="n">
        <v>6875.5</v>
      </c>
      <c r="E8902" s="1" t="n">
        <v>0.02</v>
      </c>
      <c r="F8902" s="1" t="n">
        <v>0.1067</v>
      </c>
    </row>
    <row r="8903" customFormat="false" ht="15" hidden="false" customHeight="false" outlineLevel="0" collapsed="false">
      <c r="A8903" s="1" t="s">
        <v>8938</v>
      </c>
      <c r="B8903" s="1" t="s">
        <v>92</v>
      </c>
      <c r="C8903" s="1" t="n">
        <v>229000</v>
      </c>
      <c r="D8903" s="1" t="n">
        <v>25915.9</v>
      </c>
      <c r="E8903" s="1" t="n">
        <v>0.0018</v>
      </c>
      <c r="F8903" s="1" t="n">
        <v>0.0654</v>
      </c>
    </row>
    <row r="8904" customFormat="false" ht="15" hidden="false" customHeight="false" outlineLevel="0" collapsed="false">
      <c r="A8904" s="1" t="s">
        <v>8939</v>
      </c>
      <c r="B8904" s="1" t="s">
        <v>26</v>
      </c>
      <c r="C8904" s="1" t="n">
        <v>230000</v>
      </c>
      <c r="D8904" s="1" t="n">
        <v>7645.7</v>
      </c>
      <c r="E8904" s="1" t="n">
        <v>0.051</v>
      </c>
      <c r="F8904" s="1" t="n">
        <v>0.0759</v>
      </c>
    </row>
    <row r="8905" customFormat="false" ht="15" hidden="false" customHeight="false" outlineLevel="0" collapsed="false">
      <c r="A8905" s="1" t="s">
        <v>8940</v>
      </c>
      <c r="B8905" s="1" t="s">
        <v>26</v>
      </c>
      <c r="C8905" s="1" t="n">
        <v>217000</v>
      </c>
      <c r="D8905" s="1" t="n">
        <v>3768.6</v>
      </c>
      <c r="E8905" s="1" t="n">
        <v>0.0174</v>
      </c>
      <c r="F8905" s="1" t="n">
        <v>0.0726</v>
      </c>
    </row>
    <row r="8906" customFormat="false" ht="15" hidden="false" customHeight="false" outlineLevel="0" collapsed="false">
      <c r="A8906" s="1" t="s">
        <v>8941</v>
      </c>
      <c r="B8906" s="1" t="s">
        <v>88</v>
      </c>
      <c r="C8906" s="1" t="n">
        <v>200000</v>
      </c>
      <c r="D8906" s="1" t="n">
        <v>1763.5</v>
      </c>
      <c r="E8906" s="1" t="n">
        <v>0.0346</v>
      </c>
      <c r="F8906" s="1" t="n">
        <v>0.0938</v>
      </c>
    </row>
    <row r="8907" customFormat="false" ht="15" hidden="false" customHeight="false" outlineLevel="0" collapsed="false">
      <c r="A8907" s="1" t="s">
        <v>8942</v>
      </c>
      <c r="B8907" s="1" t="s">
        <v>41</v>
      </c>
      <c r="C8907" s="1" t="n">
        <v>313000</v>
      </c>
      <c r="D8907" s="1" t="n">
        <v>6361.2</v>
      </c>
      <c r="E8907" s="1" t="n">
        <v>0.019</v>
      </c>
      <c r="F8907" s="1" t="n">
        <v>0.1262</v>
      </c>
    </row>
    <row r="8908" customFormat="false" ht="15" hidden="false" customHeight="false" outlineLevel="0" collapsed="false">
      <c r="A8908" s="1" t="s">
        <v>8943</v>
      </c>
      <c r="B8908" s="1" t="s">
        <v>53</v>
      </c>
      <c r="C8908" s="1" t="n">
        <v>179000</v>
      </c>
      <c r="D8908" s="1" t="n">
        <v>21633.1</v>
      </c>
      <c r="E8908" s="1" t="n">
        <v>0.1025</v>
      </c>
      <c r="F8908" s="1" t="n">
        <v>0.0951</v>
      </c>
    </row>
    <row r="8909" customFormat="false" ht="15" hidden="false" customHeight="false" outlineLevel="0" collapsed="false">
      <c r="A8909" s="1" t="s">
        <v>8944</v>
      </c>
      <c r="B8909" s="1" t="s">
        <v>71</v>
      </c>
      <c r="C8909" s="1" t="n">
        <v>191000</v>
      </c>
      <c r="D8909" s="1" t="n">
        <v>3990.2</v>
      </c>
      <c r="E8909" s="1" t="n">
        <v>0.0175</v>
      </c>
      <c r="F8909" s="1" t="n">
        <v>0.1067</v>
      </c>
    </row>
    <row r="8910" customFormat="false" ht="15" hidden="false" customHeight="false" outlineLevel="0" collapsed="false">
      <c r="A8910" s="1" t="s">
        <v>8945</v>
      </c>
      <c r="B8910" s="1" t="s">
        <v>28</v>
      </c>
      <c r="C8910" s="1" t="n">
        <v>348000</v>
      </c>
      <c r="D8910" s="1" t="n">
        <v>122663.8</v>
      </c>
      <c r="E8910" s="1" t="n">
        <v>0.0051</v>
      </c>
      <c r="F8910" s="1" t="n">
        <v>0.0822</v>
      </c>
    </row>
    <row r="8911" customFormat="false" ht="15" hidden="false" customHeight="false" outlineLevel="0" collapsed="false">
      <c r="A8911" s="1" t="s">
        <v>8946</v>
      </c>
      <c r="B8911" s="1" t="s">
        <v>88</v>
      </c>
      <c r="C8911" s="1" t="n">
        <v>233000</v>
      </c>
      <c r="D8911" s="1" t="n">
        <v>243.4</v>
      </c>
      <c r="E8911" s="1" t="n">
        <v>0.0112</v>
      </c>
      <c r="F8911" s="1" t="n">
        <v>0.1006</v>
      </c>
    </row>
    <row r="8912" customFormat="false" ht="15" hidden="false" customHeight="false" outlineLevel="0" collapsed="false">
      <c r="A8912" s="1" t="s">
        <v>8947</v>
      </c>
      <c r="B8912" s="1" t="s">
        <v>24</v>
      </c>
      <c r="C8912" s="1" t="n">
        <v>233000</v>
      </c>
      <c r="D8912" s="1" t="n">
        <v>1827.9</v>
      </c>
      <c r="E8912" s="1" t="n">
        <v>0.0468</v>
      </c>
      <c r="F8912" s="1" t="n">
        <v>0.1241</v>
      </c>
    </row>
    <row r="8913" customFormat="false" ht="15" hidden="false" customHeight="false" outlineLevel="0" collapsed="false">
      <c r="A8913" s="1" t="s">
        <v>8948</v>
      </c>
      <c r="B8913" s="1" t="s">
        <v>92</v>
      </c>
      <c r="C8913" s="1" t="n">
        <v>227000</v>
      </c>
      <c r="D8913" s="1" t="n">
        <v>12393</v>
      </c>
      <c r="E8913" s="1" t="n">
        <v>0.0202</v>
      </c>
      <c r="F8913" s="1" t="n">
        <v>0.0608</v>
      </c>
    </row>
    <row r="8914" customFormat="false" ht="15" hidden="false" customHeight="false" outlineLevel="0" collapsed="false">
      <c r="A8914" s="1" t="s">
        <v>8949</v>
      </c>
      <c r="B8914" s="1" t="s">
        <v>53</v>
      </c>
      <c r="C8914" s="1" t="n">
        <v>491000</v>
      </c>
      <c r="D8914" s="1" t="n">
        <v>32899.9</v>
      </c>
      <c r="E8914" s="1" t="n">
        <v>0.0434</v>
      </c>
      <c r="F8914" s="1" t="n">
        <v>0.0759</v>
      </c>
    </row>
    <row r="8915" customFormat="false" ht="15" hidden="false" customHeight="false" outlineLevel="0" collapsed="false">
      <c r="A8915" s="1" t="s">
        <v>8950</v>
      </c>
      <c r="B8915" s="1" t="s">
        <v>21</v>
      </c>
      <c r="C8915" s="1" t="n">
        <v>367000</v>
      </c>
      <c r="D8915" s="1" t="n">
        <v>126186.2</v>
      </c>
      <c r="E8915" s="1" t="n">
        <v>0.0212</v>
      </c>
      <c r="F8915" s="1" t="n">
        <v>0.0759</v>
      </c>
    </row>
    <row r="8916" customFormat="false" ht="15" hidden="false" customHeight="false" outlineLevel="0" collapsed="false">
      <c r="A8916" s="1" t="s">
        <v>8951</v>
      </c>
      <c r="B8916" s="1" t="s">
        <v>88</v>
      </c>
      <c r="C8916" s="1" t="n">
        <v>223000</v>
      </c>
      <c r="D8916" s="1" t="n">
        <v>106</v>
      </c>
      <c r="E8916" s="1" t="n">
        <v>0.0423</v>
      </c>
      <c r="F8916" s="1" t="n">
        <v>0.0759</v>
      </c>
    </row>
    <row r="8917" customFormat="false" ht="15" hidden="false" customHeight="false" outlineLevel="0" collapsed="false">
      <c r="A8917" s="1" t="s">
        <v>8952</v>
      </c>
      <c r="B8917" s="1" t="s">
        <v>32</v>
      </c>
      <c r="C8917" s="1" t="n">
        <v>274000</v>
      </c>
      <c r="D8917" s="1" t="n">
        <v>2038.5</v>
      </c>
      <c r="E8917" s="1" t="n">
        <v>0.0276</v>
      </c>
      <c r="F8917" s="1" t="n">
        <v>0.0938</v>
      </c>
    </row>
    <row r="8918" customFormat="false" ht="15" hidden="false" customHeight="false" outlineLevel="0" collapsed="false">
      <c r="A8918" s="1" t="s">
        <v>8953</v>
      </c>
      <c r="B8918" s="1" t="s">
        <v>88</v>
      </c>
      <c r="C8918" s="1" t="n">
        <v>193000</v>
      </c>
      <c r="D8918" s="1" t="n">
        <v>22273.1</v>
      </c>
      <c r="E8918" s="1" t="n">
        <v>0.043</v>
      </c>
      <c r="F8918" s="1" t="n">
        <v>0.0951</v>
      </c>
    </row>
    <row r="8919" customFormat="false" ht="15" hidden="false" customHeight="false" outlineLevel="0" collapsed="false">
      <c r="A8919" s="1" t="s">
        <v>8954</v>
      </c>
      <c r="B8919" s="1" t="s">
        <v>26</v>
      </c>
      <c r="C8919" s="1" t="n">
        <v>253000</v>
      </c>
      <c r="D8919" s="1" t="n">
        <v>4361.2</v>
      </c>
      <c r="E8919" s="1" t="n">
        <v>0.02</v>
      </c>
      <c r="F8919" s="1" t="n">
        <v>0.1053</v>
      </c>
    </row>
    <row r="8920" customFormat="false" ht="15" hidden="false" customHeight="false" outlineLevel="0" collapsed="false">
      <c r="A8920" s="1" t="s">
        <v>8955</v>
      </c>
      <c r="B8920" s="1" t="s">
        <v>32</v>
      </c>
      <c r="C8920" s="1" t="n">
        <v>339000</v>
      </c>
      <c r="D8920" s="1" t="n">
        <v>3826411.8</v>
      </c>
      <c r="E8920" s="1" t="n">
        <v>0.0219</v>
      </c>
      <c r="F8920" s="1" t="n">
        <v>0.0518</v>
      </c>
    </row>
    <row r="8921" customFormat="false" ht="15" hidden="false" customHeight="false" outlineLevel="0" collapsed="false">
      <c r="A8921" s="1" t="s">
        <v>8956</v>
      </c>
      <c r="B8921" s="1" t="s">
        <v>62</v>
      </c>
      <c r="C8921" s="1" t="n">
        <v>300000</v>
      </c>
      <c r="D8921" s="1" t="n">
        <v>4122.5</v>
      </c>
      <c r="F8921" s="1" t="n">
        <v>0.0938</v>
      </c>
    </row>
    <row r="8922" customFormat="false" ht="15" hidden="false" customHeight="false" outlineLevel="0" collapsed="false">
      <c r="A8922" s="1" t="s">
        <v>8957</v>
      </c>
      <c r="B8922" s="1" t="s">
        <v>26</v>
      </c>
      <c r="C8922" s="1" t="n">
        <v>186000</v>
      </c>
      <c r="D8922" s="1" t="n">
        <v>2217.1</v>
      </c>
      <c r="E8922" s="1" t="n">
        <v>0.0335</v>
      </c>
      <c r="F8922" s="1" t="n">
        <v>0.0951</v>
      </c>
    </row>
    <row r="8923" customFormat="false" ht="15" hidden="false" customHeight="false" outlineLevel="0" collapsed="false">
      <c r="A8923" s="1" t="s">
        <v>8958</v>
      </c>
      <c r="B8923" s="1" t="s">
        <v>26</v>
      </c>
      <c r="C8923" s="1" t="n">
        <v>226000</v>
      </c>
      <c r="D8923" s="1" t="n">
        <v>1787.7</v>
      </c>
      <c r="E8923" s="1" t="n">
        <v>0.0195</v>
      </c>
      <c r="F8923" s="1" t="n">
        <v>0.0854</v>
      </c>
    </row>
    <row r="8924" customFormat="false" ht="15" hidden="false" customHeight="false" outlineLevel="0" collapsed="false">
      <c r="A8924" s="1" t="s">
        <v>8959</v>
      </c>
      <c r="B8924" s="1" t="s">
        <v>26</v>
      </c>
      <c r="C8924" s="1" t="n">
        <v>293000</v>
      </c>
      <c r="D8924" s="1" t="n">
        <v>23073.2</v>
      </c>
      <c r="E8924" s="1" t="n">
        <v>0.0495</v>
      </c>
      <c r="F8924" s="1" t="n">
        <v>0.0951</v>
      </c>
    </row>
    <row r="8925" customFormat="false" ht="15" hidden="false" customHeight="false" outlineLevel="0" collapsed="false">
      <c r="A8925" s="1" t="s">
        <v>8960</v>
      </c>
      <c r="B8925" s="1" t="s">
        <v>88</v>
      </c>
      <c r="C8925" s="1" t="n">
        <v>279000</v>
      </c>
      <c r="D8925" s="1" t="n">
        <v>1686.1</v>
      </c>
      <c r="E8925" s="1" t="n">
        <v>0.031</v>
      </c>
      <c r="F8925" s="1" t="n">
        <v>0.0759</v>
      </c>
    </row>
    <row r="8926" customFormat="false" ht="15" hidden="false" customHeight="false" outlineLevel="0" collapsed="false">
      <c r="A8926" s="1" t="s">
        <v>8961</v>
      </c>
      <c r="B8926" s="1" t="s">
        <v>92</v>
      </c>
      <c r="C8926" s="1" t="n">
        <v>195000</v>
      </c>
      <c r="D8926" s="1" t="n">
        <v>420.8</v>
      </c>
      <c r="E8926" s="1" t="n">
        <v>0.0139</v>
      </c>
      <c r="F8926" s="1" t="n">
        <v>0.1886</v>
      </c>
    </row>
    <row r="8927" customFormat="false" ht="15" hidden="false" customHeight="false" outlineLevel="0" collapsed="false">
      <c r="A8927" s="1" t="s">
        <v>8962</v>
      </c>
      <c r="B8927" s="1" t="s">
        <v>26</v>
      </c>
      <c r="C8927" s="1" t="n">
        <v>180000</v>
      </c>
      <c r="D8927" s="1" t="n">
        <v>10725.5</v>
      </c>
      <c r="E8927" s="1" t="n">
        <v>0.0201</v>
      </c>
      <c r="F8927" s="1" t="n">
        <v>0.139</v>
      </c>
    </row>
    <row r="8928" customFormat="false" ht="15" hidden="false" customHeight="false" outlineLevel="0" collapsed="false">
      <c r="A8928" s="1" t="s">
        <v>8963</v>
      </c>
      <c r="B8928" s="1" t="s">
        <v>50</v>
      </c>
      <c r="C8928" s="1" t="n">
        <v>224000</v>
      </c>
      <c r="D8928" s="1" t="n">
        <v>689.6</v>
      </c>
      <c r="E8928" s="1" t="n">
        <v>0.0087</v>
      </c>
      <c r="F8928" s="1" t="n">
        <v>0.0822</v>
      </c>
    </row>
    <row r="8929" customFormat="false" ht="15" hidden="false" customHeight="false" outlineLevel="0" collapsed="false">
      <c r="A8929" s="1" t="s">
        <v>8964</v>
      </c>
      <c r="B8929" s="1" t="s">
        <v>21</v>
      </c>
      <c r="C8929" s="1" t="n">
        <v>282000</v>
      </c>
      <c r="D8929" s="1" t="n">
        <v>14043.6</v>
      </c>
      <c r="E8929" s="1" t="n">
        <v>0.0138</v>
      </c>
      <c r="F8929" s="1" t="n">
        <v>0.0814</v>
      </c>
    </row>
    <row r="8930" customFormat="false" ht="15" hidden="false" customHeight="false" outlineLevel="0" collapsed="false">
      <c r="A8930" s="1" t="s">
        <v>8965</v>
      </c>
      <c r="B8930" s="1" t="s">
        <v>26</v>
      </c>
      <c r="C8930" s="1" t="n">
        <v>186000</v>
      </c>
      <c r="D8930" s="1" t="n">
        <v>412670.2</v>
      </c>
      <c r="E8930" s="1" t="n">
        <v>0.0931</v>
      </c>
      <c r="F8930" s="1" t="n">
        <v>0.0546</v>
      </c>
    </row>
    <row r="8931" customFormat="false" ht="15" hidden="false" customHeight="false" outlineLevel="0" collapsed="false">
      <c r="A8931" s="1" t="s">
        <v>8966</v>
      </c>
      <c r="B8931" s="1" t="s">
        <v>74</v>
      </c>
      <c r="C8931" s="1" t="n">
        <v>248000</v>
      </c>
      <c r="D8931" s="1" t="n">
        <v>1168.4</v>
      </c>
      <c r="E8931" s="1" t="n">
        <v>0.0545</v>
      </c>
      <c r="F8931" s="1" t="n">
        <v>0.0938</v>
      </c>
    </row>
    <row r="8932" customFormat="false" ht="15" hidden="false" customHeight="false" outlineLevel="0" collapsed="false">
      <c r="A8932" s="1" t="s">
        <v>8967</v>
      </c>
      <c r="B8932" s="1" t="s">
        <v>41</v>
      </c>
      <c r="C8932" s="1" t="n">
        <v>392000</v>
      </c>
      <c r="D8932" s="1" t="n">
        <v>45313</v>
      </c>
      <c r="E8932" s="1" t="n">
        <v>0.0506</v>
      </c>
      <c r="F8932" s="1" t="n">
        <v>0.0759</v>
      </c>
    </row>
    <row r="8933" customFormat="false" ht="15" hidden="false" customHeight="false" outlineLevel="0" collapsed="false">
      <c r="A8933" s="1" t="s">
        <v>8968</v>
      </c>
      <c r="B8933" s="1" t="s">
        <v>26</v>
      </c>
      <c r="C8933" s="1" t="n">
        <v>180000</v>
      </c>
      <c r="D8933" s="1" t="n">
        <v>4089.4</v>
      </c>
      <c r="E8933" s="1" t="n">
        <v>0.063</v>
      </c>
      <c r="F8933" s="1" t="n">
        <v>0.0951</v>
      </c>
    </row>
    <row r="8934" customFormat="false" ht="15" hidden="false" customHeight="false" outlineLevel="0" collapsed="false">
      <c r="A8934" s="1" t="s">
        <v>8969</v>
      </c>
      <c r="B8934" s="1" t="s">
        <v>287</v>
      </c>
      <c r="C8934" s="1" t="n">
        <v>314000</v>
      </c>
      <c r="D8934" s="1" t="n">
        <v>424254.3</v>
      </c>
      <c r="F8934" s="1" t="n">
        <v>0.0951</v>
      </c>
    </row>
    <row r="8935" customFormat="false" ht="15" hidden="false" customHeight="false" outlineLevel="0" collapsed="false">
      <c r="A8935" s="1" t="s">
        <v>8970</v>
      </c>
      <c r="B8935" s="1" t="s">
        <v>81</v>
      </c>
      <c r="C8935" s="1" t="n">
        <v>186000</v>
      </c>
      <c r="D8935" s="1" t="n">
        <v>14038.5</v>
      </c>
      <c r="E8935" s="1" t="n">
        <v>0.0571</v>
      </c>
      <c r="F8935" s="1" t="n">
        <v>0.0951</v>
      </c>
    </row>
    <row r="8936" customFormat="false" ht="15" hidden="false" customHeight="false" outlineLevel="0" collapsed="false">
      <c r="A8936" s="1" t="s">
        <v>8971</v>
      </c>
      <c r="B8936" s="1" t="s">
        <v>195</v>
      </c>
      <c r="C8936" s="1" t="n">
        <v>231000</v>
      </c>
      <c r="D8936" s="1" t="n">
        <v>406.3</v>
      </c>
      <c r="E8936" s="1" t="n">
        <v>0.0312</v>
      </c>
      <c r="F8936" s="1" t="n">
        <v>0.1168</v>
      </c>
    </row>
    <row r="8937" customFormat="false" ht="15" hidden="false" customHeight="false" outlineLevel="0" collapsed="false">
      <c r="A8937" s="1" t="s">
        <v>8972</v>
      </c>
      <c r="B8937" s="1" t="s">
        <v>62</v>
      </c>
      <c r="C8937" s="1" t="n">
        <v>191000</v>
      </c>
      <c r="D8937" s="1" t="n">
        <v>27158</v>
      </c>
      <c r="E8937" s="1" t="n">
        <v>0.038</v>
      </c>
      <c r="F8937" s="1" t="n">
        <v>0.0518</v>
      </c>
    </row>
    <row r="8938" customFormat="false" ht="15" hidden="false" customHeight="false" outlineLevel="0" collapsed="false">
      <c r="A8938" s="1" t="s">
        <v>8973</v>
      </c>
      <c r="B8938" s="1" t="s">
        <v>26</v>
      </c>
      <c r="C8938" s="1" t="n">
        <v>196000</v>
      </c>
      <c r="D8938" s="1" t="n">
        <v>12344.1</v>
      </c>
      <c r="E8938" s="1" t="n">
        <v>0.0473</v>
      </c>
      <c r="F8938" s="1" t="n">
        <v>0.0845</v>
      </c>
    </row>
    <row r="8939" customFormat="false" ht="15" hidden="false" customHeight="false" outlineLevel="0" collapsed="false">
      <c r="A8939" s="1" t="s">
        <v>8974</v>
      </c>
      <c r="B8939" s="1" t="s">
        <v>41</v>
      </c>
      <c r="C8939" s="1" t="n">
        <v>387000</v>
      </c>
      <c r="D8939" s="1" t="n">
        <v>641.6</v>
      </c>
      <c r="E8939" s="1" t="n">
        <v>0.0119</v>
      </c>
      <c r="F8939" s="1" t="n">
        <v>0.2267</v>
      </c>
    </row>
    <row r="8940" customFormat="false" ht="15" hidden="false" customHeight="false" outlineLevel="0" collapsed="false">
      <c r="A8940" s="1" t="s">
        <v>8975</v>
      </c>
      <c r="B8940" s="1" t="s">
        <v>24</v>
      </c>
      <c r="C8940" s="1" t="n">
        <v>250000</v>
      </c>
      <c r="D8940" s="1" t="n">
        <v>427.3</v>
      </c>
      <c r="E8940" s="1" t="n">
        <v>0.0153</v>
      </c>
      <c r="F8940" s="1" t="n">
        <v>0.0616</v>
      </c>
    </row>
    <row r="8941" customFormat="false" ht="15" hidden="false" customHeight="false" outlineLevel="0" collapsed="false">
      <c r="A8941" s="1" t="s">
        <v>8976</v>
      </c>
      <c r="B8941" s="1" t="s">
        <v>214</v>
      </c>
      <c r="C8941" s="1" t="n">
        <v>254000</v>
      </c>
      <c r="D8941" s="1" t="n">
        <v>1537.7</v>
      </c>
      <c r="E8941" s="1" t="n">
        <v>0.0609</v>
      </c>
      <c r="F8941" s="1" t="n">
        <v>0.0759</v>
      </c>
    </row>
    <row r="8942" customFormat="false" ht="15" hidden="false" customHeight="false" outlineLevel="0" collapsed="false">
      <c r="A8942" s="1" t="s">
        <v>8977</v>
      </c>
      <c r="B8942" s="1" t="s">
        <v>50</v>
      </c>
      <c r="C8942" s="1" t="n">
        <v>198000</v>
      </c>
      <c r="D8942" s="1" t="n">
        <v>2742.7</v>
      </c>
      <c r="E8942" s="1" t="n">
        <v>0.0385</v>
      </c>
      <c r="F8942" s="1" t="n">
        <v>0.1226</v>
      </c>
    </row>
    <row r="8943" customFormat="false" ht="15" hidden="false" customHeight="false" outlineLevel="0" collapsed="false">
      <c r="A8943" s="1" t="s">
        <v>8978</v>
      </c>
      <c r="B8943" s="1" t="s">
        <v>62</v>
      </c>
      <c r="C8943" s="1" t="n">
        <v>863000</v>
      </c>
      <c r="D8943" s="1" t="n">
        <v>1123.7</v>
      </c>
      <c r="F8943" s="1" t="n">
        <v>0.0938</v>
      </c>
    </row>
    <row r="8944" customFormat="false" ht="15" hidden="false" customHeight="false" outlineLevel="0" collapsed="false">
      <c r="A8944" s="1" t="s">
        <v>8979</v>
      </c>
      <c r="B8944" s="1" t="s">
        <v>50</v>
      </c>
      <c r="C8944" s="1" t="n">
        <v>348000</v>
      </c>
      <c r="D8944" s="1" t="n">
        <v>1637</v>
      </c>
      <c r="E8944" s="1" t="n">
        <v>0.0065</v>
      </c>
      <c r="F8944" s="1" t="n">
        <v>0.0811</v>
      </c>
    </row>
    <row r="8945" customFormat="false" ht="15" hidden="false" customHeight="false" outlineLevel="0" collapsed="false">
      <c r="A8945" s="1" t="s">
        <v>8980</v>
      </c>
      <c r="B8945" s="1" t="s">
        <v>26</v>
      </c>
      <c r="C8945" s="1" t="n">
        <v>196000</v>
      </c>
      <c r="D8945" s="1" t="n">
        <v>8169.7</v>
      </c>
      <c r="E8945" s="1" t="n">
        <v>0.0214</v>
      </c>
      <c r="F8945" s="1" t="n">
        <v>0.0409</v>
      </c>
    </row>
    <row r="8946" customFormat="false" ht="15" hidden="false" customHeight="false" outlineLevel="0" collapsed="false">
      <c r="A8946" s="1" t="s">
        <v>8981</v>
      </c>
      <c r="B8946" s="1" t="s">
        <v>81</v>
      </c>
      <c r="C8946" s="1" t="n">
        <v>233000</v>
      </c>
      <c r="D8946" s="1" t="n">
        <v>18907.5</v>
      </c>
      <c r="E8946" s="1" t="n">
        <v>0.059</v>
      </c>
      <c r="F8946" s="1" t="n">
        <v>0.0759</v>
      </c>
    </row>
    <row r="8947" customFormat="false" ht="15" hidden="false" customHeight="false" outlineLevel="0" collapsed="false">
      <c r="A8947" s="1" t="s">
        <v>8982</v>
      </c>
      <c r="B8947" s="1" t="s">
        <v>26</v>
      </c>
      <c r="C8947" s="1" t="n">
        <v>220000</v>
      </c>
      <c r="D8947" s="1" t="n">
        <v>41091.1</v>
      </c>
      <c r="E8947" s="1" t="n">
        <v>0.0296</v>
      </c>
      <c r="F8947" s="1" t="n">
        <v>0.0951</v>
      </c>
    </row>
    <row r="8948" customFormat="false" ht="15" hidden="false" customHeight="false" outlineLevel="0" collapsed="false">
      <c r="A8948" s="1" t="s">
        <v>8983</v>
      </c>
      <c r="B8948" s="1" t="s">
        <v>88</v>
      </c>
      <c r="C8948" s="1" t="n">
        <v>280000</v>
      </c>
      <c r="D8948" s="1" t="n">
        <v>1160</v>
      </c>
      <c r="E8948" s="1" t="n">
        <v>0.0871</v>
      </c>
      <c r="F8948" s="1" t="n">
        <v>0.0759</v>
      </c>
    </row>
    <row r="8949" customFormat="false" ht="15" hidden="false" customHeight="false" outlineLevel="0" collapsed="false">
      <c r="A8949" s="1" t="s">
        <v>8984</v>
      </c>
      <c r="B8949" s="1" t="s">
        <v>21</v>
      </c>
      <c r="C8949" s="1" t="n">
        <v>191000</v>
      </c>
      <c r="D8949" s="1" t="n">
        <v>5244.6</v>
      </c>
      <c r="E8949" s="1" t="n">
        <v>0.0282</v>
      </c>
      <c r="F8949" s="1" t="n">
        <v>0.0951</v>
      </c>
    </row>
    <row r="8950" customFormat="false" ht="15" hidden="false" customHeight="false" outlineLevel="0" collapsed="false">
      <c r="A8950" s="1" t="s">
        <v>8985</v>
      </c>
      <c r="B8950" s="1" t="s">
        <v>24</v>
      </c>
      <c r="C8950" s="1" t="n">
        <v>244000</v>
      </c>
      <c r="D8950" s="1" t="n">
        <v>19672</v>
      </c>
      <c r="E8950" s="1" t="n">
        <v>0.0538</v>
      </c>
      <c r="F8950" s="1" t="n">
        <v>0.0759</v>
      </c>
    </row>
    <row r="8951" customFormat="false" ht="15" hidden="false" customHeight="false" outlineLevel="0" collapsed="false">
      <c r="A8951" s="1" t="s">
        <v>8986</v>
      </c>
      <c r="B8951" s="1" t="s">
        <v>53</v>
      </c>
      <c r="C8951" s="1" t="n">
        <v>398000</v>
      </c>
      <c r="D8951" s="1" t="n">
        <v>44767.5</v>
      </c>
      <c r="E8951" s="1" t="n">
        <v>0.0112</v>
      </c>
      <c r="F8951" s="1" t="n">
        <v>0.0584</v>
      </c>
    </row>
    <row r="8952" customFormat="false" ht="15" hidden="false" customHeight="false" outlineLevel="0" collapsed="false">
      <c r="A8952" s="1" t="s">
        <v>8987</v>
      </c>
      <c r="B8952" s="1" t="s">
        <v>53</v>
      </c>
      <c r="C8952" s="1" t="n">
        <v>179000</v>
      </c>
      <c r="D8952" s="1" t="n">
        <v>7693.7</v>
      </c>
      <c r="E8952" s="1" t="n">
        <v>0.0535</v>
      </c>
      <c r="F8952" s="1" t="n">
        <v>0.0951</v>
      </c>
    </row>
    <row r="8953" customFormat="false" ht="15" hidden="false" customHeight="false" outlineLevel="0" collapsed="false">
      <c r="A8953" s="1" t="s">
        <v>8988</v>
      </c>
      <c r="B8953" s="1" t="s">
        <v>24</v>
      </c>
      <c r="C8953" s="1" t="n">
        <v>213000</v>
      </c>
      <c r="D8953" s="1" t="n">
        <v>10709.1</v>
      </c>
      <c r="E8953" s="1" t="n">
        <v>0.031</v>
      </c>
      <c r="F8953" s="1" t="n">
        <v>0.0759</v>
      </c>
    </row>
    <row r="8954" customFormat="false" ht="15" hidden="false" customHeight="false" outlineLevel="0" collapsed="false">
      <c r="A8954" s="1" t="s">
        <v>8989</v>
      </c>
      <c r="B8954" s="1" t="s">
        <v>26</v>
      </c>
      <c r="C8954" s="1" t="n">
        <v>205000</v>
      </c>
      <c r="D8954" s="1" t="n">
        <v>2431.6</v>
      </c>
      <c r="E8954" s="1" t="n">
        <v>0.0231</v>
      </c>
      <c r="F8954" s="1" t="n">
        <v>0.2064</v>
      </c>
    </row>
    <row r="8955" customFormat="false" ht="15" hidden="false" customHeight="false" outlineLevel="0" collapsed="false">
      <c r="A8955" s="1" t="s">
        <v>8990</v>
      </c>
      <c r="B8955" s="1" t="s">
        <v>21</v>
      </c>
      <c r="C8955" s="1" t="n">
        <v>187000</v>
      </c>
      <c r="D8955" s="1" t="n">
        <v>2927.3</v>
      </c>
      <c r="E8955" s="1" t="n">
        <v>0.0108</v>
      </c>
      <c r="F8955" s="1" t="n">
        <v>0.0736</v>
      </c>
    </row>
    <row r="8956" customFormat="false" ht="15" hidden="false" customHeight="false" outlineLevel="0" collapsed="false">
      <c r="A8956" s="1" t="s">
        <v>8991</v>
      </c>
      <c r="B8956" s="1" t="s">
        <v>24</v>
      </c>
      <c r="C8956" s="1" t="n">
        <v>398000</v>
      </c>
      <c r="D8956" s="1" t="n">
        <v>70907.8</v>
      </c>
      <c r="E8956" s="1" t="n">
        <v>0.0366</v>
      </c>
      <c r="F8956" s="1" t="n">
        <v>0.0845</v>
      </c>
    </row>
    <row r="8957" customFormat="false" ht="15" hidden="false" customHeight="false" outlineLevel="0" collapsed="false">
      <c r="A8957" s="1" t="s">
        <v>8992</v>
      </c>
      <c r="B8957" s="1" t="s">
        <v>88</v>
      </c>
      <c r="C8957" s="1" t="n">
        <v>194000</v>
      </c>
      <c r="D8957" s="1" t="n">
        <v>354.1</v>
      </c>
      <c r="E8957" s="1" t="n">
        <v>0.0334</v>
      </c>
      <c r="F8957" s="1" t="n">
        <v>0.051</v>
      </c>
    </row>
    <row r="8958" customFormat="false" ht="15" hidden="false" customHeight="false" outlineLevel="0" collapsed="false">
      <c r="A8958" s="1" t="s">
        <v>8993</v>
      </c>
      <c r="B8958" s="1" t="s">
        <v>26</v>
      </c>
      <c r="C8958" s="1" t="n">
        <v>274000</v>
      </c>
      <c r="D8958" s="1" t="n">
        <v>3445.5</v>
      </c>
      <c r="E8958" s="1" t="n">
        <v>0.0491</v>
      </c>
      <c r="F8958" s="1" t="n">
        <v>0.0759</v>
      </c>
    </row>
    <row r="8959" customFormat="false" ht="15" hidden="false" customHeight="false" outlineLevel="0" collapsed="false">
      <c r="A8959" s="1" t="s">
        <v>8994</v>
      </c>
      <c r="B8959" s="1" t="s">
        <v>26</v>
      </c>
      <c r="C8959" s="1" t="n">
        <v>224000</v>
      </c>
      <c r="D8959" s="1" t="n">
        <v>15365.3</v>
      </c>
      <c r="E8959" s="1" t="n">
        <v>0.0245</v>
      </c>
      <c r="F8959" s="1" t="n">
        <v>0.0585</v>
      </c>
    </row>
    <row r="8960" customFormat="false" ht="15" hidden="false" customHeight="false" outlineLevel="0" collapsed="false">
      <c r="A8960" s="1" t="s">
        <v>8995</v>
      </c>
      <c r="B8960" s="1" t="s">
        <v>74</v>
      </c>
      <c r="C8960" s="1" t="n">
        <v>567000</v>
      </c>
      <c r="D8960" s="1" t="n">
        <v>3349.8</v>
      </c>
      <c r="E8960" s="1" t="n">
        <v>0.0464</v>
      </c>
      <c r="F8960" s="1" t="n">
        <v>0.0759</v>
      </c>
    </row>
    <row r="8961" customFormat="false" ht="15" hidden="false" customHeight="false" outlineLevel="0" collapsed="false">
      <c r="A8961" s="1" t="s">
        <v>8996</v>
      </c>
      <c r="B8961" s="1" t="s">
        <v>53</v>
      </c>
      <c r="C8961" s="1" t="n">
        <v>183000</v>
      </c>
      <c r="D8961" s="1" t="n">
        <v>479.1</v>
      </c>
      <c r="E8961" s="1" t="n">
        <v>0.011</v>
      </c>
      <c r="F8961" s="1" t="n">
        <v>0.0822</v>
      </c>
    </row>
    <row r="8962" customFormat="false" ht="15" hidden="false" customHeight="false" outlineLevel="0" collapsed="false">
      <c r="A8962" s="1" t="s">
        <v>8997</v>
      </c>
      <c r="B8962" s="1" t="s">
        <v>74</v>
      </c>
      <c r="C8962" s="1" t="n">
        <v>872000</v>
      </c>
      <c r="D8962" s="1" t="n">
        <v>32373.3</v>
      </c>
      <c r="E8962" s="1" t="n">
        <v>0.0547</v>
      </c>
      <c r="F8962" s="1" t="n">
        <v>0.0759</v>
      </c>
    </row>
    <row r="8963" customFormat="false" ht="15" hidden="false" customHeight="false" outlineLevel="0" collapsed="false">
      <c r="A8963" s="1" t="s">
        <v>8998</v>
      </c>
      <c r="B8963" s="1" t="s">
        <v>71</v>
      </c>
      <c r="C8963" s="1" t="n">
        <v>304000</v>
      </c>
      <c r="D8963" s="1" t="n">
        <v>79109.7</v>
      </c>
      <c r="E8963" s="1" t="n">
        <v>0.056</v>
      </c>
      <c r="F8963" s="1" t="n">
        <v>0.0759</v>
      </c>
    </row>
    <row r="8964" customFormat="false" ht="15" hidden="false" customHeight="false" outlineLevel="0" collapsed="false">
      <c r="A8964" s="1" t="s">
        <v>8999</v>
      </c>
      <c r="B8964" s="1" t="s">
        <v>50</v>
      </c>
      <c r="C8964" s="1" t="n">
        <v>265000</v>
      </c>
      <c r="D8964" s="1" t="n">
        <v>51440.6</v>
      </c>
      <c r="E8964" s="1" t="n">
        <v>0.041</v>
      </c>
      <c r="F8964" s="1" t="n">
        <v>0.0759</v>
      </c>
    </row>
    <row r="8965" customFormat="false" ht="15" hidden="false" customHeight="false" outlineLevel="0" collapsed="false">
      <c r="A8965" s="1" t="s">
        <v>9000</v>
      </c>
      <c r="B8965" s="1" t="s">
        <v>74</v>
      </c>
      <c r="C8965" s="1" t="n">
        <v>217000</v>
      </c>
      <c r="D8965" s="1" t="n">
        <v>1939.5</v>
      </c>
      <c r="E8965" s="1" t="n">
        <v>0.0191</v>
      </c>
      <c r="F8965" s="1" t="n">
        <v>0.0854</v>
      </c>
    </row>
    <row r="8966" customFormat="false" ht="15" hidden="false" customHeight="false" outlineLevel="0" collapsed="false">
      <c r="A8966" s="1" t="s">
        <v>9001</v>
      </c>
      <c r="B8966" s="1" t="s">
        <v>26</v>
      </c>
      <c r="C8966" s="1" t="n">
        <v>200000</v>
      </c>
      <c r="D8966" s="1" t="n">
        <v>223159.9</v>
      </c>
      <c r="E8966" s="1" t="n">
        <v>0.0237</v>
      </c>
      <c r="F8966" s="1" t="n">
        <v>0.0759</v>
      </c>
    </row>
    <row r="8967" customFormat="false" ht="15" hidden="false" customHeight="false" outlineLevel="0" collapsed="false">
      <c r="A8967" s="1" t="s">
        <v>9002</v>
      </c>
      <c r="B8967" s="1" t="s">
        <v>88</v>
      </c>
      <c r="C8967" s="1" t="n">
        <v>318000</v>
      </c>
      <c r="D8967" s="1" t="n">
        <v>36820.2</v>
      </c>
      <c r="E8967" s="1" t="n">
        <v>0.0197</v>
      </c>
      <c r="F8967" s="1" t="n">
        <v>0.1053</v>
      </c>
    </row>
    <row r="8968" customFormat="false" ht="15" hidden="false" customHeight="false" outlineLevel="0" collapsed="false">
      <c r="A8968" s="1" t="s">
        <v>9003</v>
      </c>
      <c r="B8968" s="1" t="s">
        <v>92</v>
      </c>
      <c r="C8968" s="1" t="n">
        <v>296000</v>
      </c>
      <c r="D8968" s="1" t="n">
        <v>51424.3</v>
      </c>
      <c r="E8968" s="1" t="n">
        <v>0.0069</v>
      </c>
      <c r="F8968" s="1" t="n">
        <v>0.0822</v>
      </c>
    </row>
    <row r="8969" customFormat="false" ht="15" hidden="false" customHeight="false" outlineLevel="0" collapsed="false">
      <c r="A8969" s="1" t="s">
        <v>9004</v>
      </c>
      <c r="B8969" s="1" t="s">
        <v>26</v>
      </c>
      <c r="C8969" s="1" t="n">
        <v>181000</v>
      </c>
      <c r="D8969" s="1" t="n">
        <v>1314.9</v>
      </c>
      <c r="E8969" s="1" t="n">
        <v>0.0236</v>
      </c>
      <c r="F8969" s="1" t="n">
        <v>0.1372</v>
      </c>
    </row>
    <row r="8970" customFormat="false" ht="15" hidden="false" customHeight="false" outlineLevel="0" collapsed="false">
      <c r="A8970" s="1" t="s">
        <v>9005</v>
      </c>
      <c r="B8970" s="1" t="s">
        <v>53</v>
      </c>
      <c r="C8970" s="1" t="n">
        <v>863000</v>
      </c>
      <c r="D8970" s="1" t="n">
        <v>257258.4</v>
      </c>
      <c r="E8970" s="1" t="n">
        <v>0.0583</v>
      </c>
      <c r="F8970" s="1" t="n">
        <v>0.0759</v>
      </c>
    </row>
    <row r="8971" customFormat="false" ht="15" hidden="false" customHeight="false" outlineLevel="0" collapsed="false">
      <c r="A8971" s="1" t="s">
        <v>9006</v>
      </c>
      <c r="B8971" s="1" t="s">
        <v>26</v>
      </c>
      <c r="C8971" s="1" t="n">
        <v>193000</v>
      </c>
      <c r="D8971" s="1" t="n">
        <v>1601</v>
      </c>
      <c r="E8971" s="1" t="n">
        <v>0.0342</v>
      </c>
      <c r="F8971" s="1" t="n">
        <v>0.0951</v>
      </c>
    </row>
    <row r="8972" customFormat="false" ht="15" hidden="false" customHeight="false" outlineLevel="0" collapsed="false">
      <c r="A8972" s="1" t="s">
        <v>9007</v>
      </c>
      <c r="B8972" s="1" t="s">
        <v>30</v>
      </c>
      <c r="C8972" s="1" t="n">
        <v>354000</v>
      </c>
      <c r="D8972" s="1" t="n">
        <v>24395</v>
      </c>
      <c r="E8972" s="1" t="n">
        <v>0.0381</v>
      </c>
      <c r="F8972" s="1" t="n">
        <v>0.0759</v>
      </c>
    </row>
    <row r="8973" customFormat="false" ht="15" hidden="false" customHeight="false" outlineLevel="0" collapsed="false">
      <c r="A8973" s="1" t="s">
        <v>9008</v>
      </c>
      <c r="B8973" s="1" t="s">
        <v>88</v>
      </c>
      <c r="C8973" s="1" t="n">
        <v>196000</v>
      </c>
      <c r="D8973" s="1" t="n">
        <v>8553</v>
      </c>
      <c r="F8973" s="1" t="n">
        <v>0.0759</v>
      </c>
    </row>
    <row r="8974" customFormat="false" ht="15" hidden="false" customHeight="false" outlineLevel="0" collapsed="false">
      <c r="A8974" s="1" t="s">
        <v>9009</v>
      </c>
      <c r="B8974" s="1" t="s">
        <v>21</v>
      </c>
      <c r="C8974" s="1" t="n">
        <v>384000</v>
      </c>
      <c r="D8974" s="1" t="n">
        <v>46016.7</v>
      </c>
      <c r="E8974" s="1" t="n">
        <v>0.0339</v>
      </c>
      <c r="F8974" s="1" t="n">
        <v>0.0833</v>
      </c>
    </row>
    <row r="8975" customFormat="false" ht="15" hidden="false" customHeight="false" outlineLevel="0" collapsed="false">
      <c r="A8975" s="1" t="s">
        <v>9010</v>
      </c>
      <c r="B8975" s="1" t="s">
        <v>214</v>
      </c>
      <c r="C8975" s="1" t="n">
        <v>448000</v>
      </c>
      <c r="D8975" s="1" t="n">
        <v>119667.6</v>
      </c>
      <c r="E8975" s="1" t="n">
        <v>0.0207</v>
      </c>
      <c r="F8975" s="1" t="n">
        <v>0.0759</v>
      </c>
    </row>
    <row r="8976" customFormat="false" ht="15" hidden="false" customHeight="false" outlineLevel="0" collapsed="false">
      <c r="A8976" s="1" t="s">
        <v>9011</v>
      </c>
      <c r="B8976" s="1" t="s">
        <v>214</v>
      </c>
      <c r="C8976" s="1" t="n">
        <v>316000</v>
      </c>
      <c r="D8976" s="1" t="n">
        <v>85823.6</v>
      </c>
      <c r="E8976" s="1" t="n">
        <v>0.0143</v>
      </c>
      <c r="F8976" s="1" t="n">
        <v>0.0949</v>
      </c>
    </row>
    <row r="8977" customFormat="false" ht="15" hidden="false" customHeight="false" outlineLevel="0" collapsed="false">
      <c r="A8977" s="1" t="s">
        <v>9012</v>
      </c>
      <c r="B8977" s="1" t="s">
        <v>24</v>
      </c>
      <c r="C8977" s="1" t="n">
        <v>177000</v>
      </c>
      <c r="D8977" s="1" t="n">
        <v>13345705</v>
      </c>
      <c r="E8977" s="1" t="n">
        <v>0.0086</v>
      </c>
      <c r="F8977" s="1" t="n">
        <v>0.0822</v>
      </c>
    </row>
    <row r="8978" customFormat="false" ht="15" hidden="false" customHeight="false" outlineLevel="0" collapsed="false">
      <c r="A8978" s="1" t="s">
        <v>9013</v>
      </c>
      <c r="B8978" s="1" t="s">
        <v>50</v>
      </c>
      <c r="C8978" s="1" t="n">
        <v>212000</v>
      </c>
      <c r="D8978" s="1" t="n">
        <v>1146251.4</v>
      </c>
      <c r="E8978" s="1" t="n">
        <v>0.0741</v>
      </c>
      <c r="F8978" s="1" t="n">
        <v>0.0518</v>
      </c>
    </row>
    <row r="8979" customFormat="false" ht="15" hidden="false" customHeight="false" outlineLevel="0" collapsed="false">
      <c r="A8979" s="1" t="s">
        <v>9014</v>
      </c>
      <c r="B8979" s="1" t="s">
        <v>24</v>
      </c>
      <c r="C8979" s="1" t="n">
        <v>295000</v>
      </c>
      <c r="D8979" s="1" t="n">
        <v>2777.8</v>
      </c>
      <c r="E8979" s="1" t="n">
        <v>0.0667</v>
      </c>
      <c r="F8979" s="1" t="n">
        <v>0.0938</v>
      </c>
    </row>
    <row r="8980" customFormat="false" ht="15" hidden="false" customHeight="false" outlineLevel="0" collapsed="false">
      <c r="A8980" s="1" t="s">
        <v>9015</v>
      </c>
      <c r="B8980" s="1" t="s">
        <v>81</v>
      </c>
      <c r="C8980" s="1" t="n">
        <v>194000</v>
      </c>
      <c r="D8980" s="1" t="n">
        <v>7499.5</v>
      </c>
      <c r="E8980" s="1" t="n">
        <v>0.0192</v>
      </c>
      <c r="F8980" s="1" t="n">
        <v>0.0462</v>
      </c>
    </row>
    <row r="8981" customFormat="false" ht="15" hidden="false" customHeight="false" outlineLevel="0" collapsed="false">
      <c r="A8981" s="1" t="s">
        <v>9016</v>
      </c>
      <c r="B8981" s="1" t="s">
        <v>88</v>
      </c>
      <c r="C8981" s="1" t="n">
        <v>196000</v>
      </c>
      <c r="D8981" s="1" t="n">
        <v>1361.3</v>
      </c>
      <c r="E8981" s="1" t="n">
        <v>0.033</v>
      </c>
      <c r="F8981" s="1" t="n">
        <v>0.171</v>
      </c>
    </row>
    <row r="8982" customFormat="false" ht="15" hidden="false" customHeight="false" outlineLevel="0" collapsed="false">
      <c r="A8982" s="1" t="s">
        <v>9017</v>
      </c>
      <c r="B8982" s="1" t="s">
        <v>41</v>
      </c>
      <c r="C8982" s="1" t="n">
        <v>215000</v>
      </c>
      <c r="D8982" s="1" t="n">
        <v>2258.6</v>
      </c>
      <c r="E8982" s="1" t="n">
        <v>0.0459</v>
      </c>
      <c r="F8982" s="1" t="n">
        <v>0.051</v>
      </c>
    </row>
    <row r="8983" customFormat="false" ht="15" hidden="false" customHeight="false" outlineLevel="0" collapsed="false">
      <c r="A8983" s="1" t="s">
        <v>9018</v>
      </c>
      <c r="B8983" s="1" t="s">
        <v>26</v>
      </c>
      <c r="C8983" s="1" t="n">
        <v>261000</v>
      </c>
      <c r="D8983" s="1" t="n">
        <v>21666.4</v>
      </c>
      <c r="E8983" s="1" t="n">
        <v>0.0152</v>
      </c>
      <c r="F8983" s="1" t="n">
        <v>0.0462</v>
      </c>
    </row>
    <row r="8984" customFormat="false" ht="15" hidden="false" customHeight="false" outlineLevel="0" collapsed="false">
      <c r="A8984" s="1" t="s">
        <v>9019</v>
      </c>
      <c r="B8984" s="1" t="s">
        <v>41</v>
      </c>
      <c r="C8984" s="1" t="n">
        <v>256000</v>
      </c>
      <c r="D8984" s="1" t="n">
        <v>12323.6</v>
      </c>
      <c r="E8984" s="1" t="n">
        <v>0.0717</v>
      </c>
      <c r="F8984" s="1" t="n">
        <v>0.0759</v>
      </c>
    </row>
    <row r="8985" customFormat="false" ht="15" hidden="false" customHeight="false" outlineLevel="0" collapsed="false">
      <c r="A8985" s="1" t="s">
        <v>9020</v>
      </c>
      <c r="B8985" s="1" t="s">
        <v>92</v>
      </c>
      <c r="C8985" s="1" t="n">
        <v>191000</v>
      </c>
      <c r="D8985" s="1" t="n">
        <v>232617.1</v>
      </c>
      <c r="E8985" s="1" t="n">
        <v>0.0221</v>
      </c>
      <c r="F8985" s="1" t="n">
        <v>0.0951</v>
      </c>
    </row>
    <row r="8986" customFormat="false" ht="15" hidden="false" customHeight="false" outlineLevel="0" collapsed="false">
      <c r="A8986" s="1" t="s">
        <v>9021</v>
      </c>
      <c r="B8986" s="1" t="s">
        <v>74</v>
      </c>
      <c r="C8986" s="1" t="n">
        <v>237000</v>
      </c>
      <c r="D8986" s="1" t="n">
        <v>1403</v>
      </c>
      <c r="E8986" s="1" t="n">
        <v>0.0405</v>
      </c>
      <c r="F8986" s="1" t="n">
        <v>0.0759</v>
      </c>
    </row>
    <row r="8987" customFormat="false" ht="15" hidden="false" customHeight="false" outlineLevel="0" collapsed="false">
      <c r="A8987" s="1" t="s">
        <v>9022</v>
      </c>
      <c r="B8987" s="1" t="s">
        <v>71</v>
      </c>
      <c r="C8987" s="1" t="n">
        <v>231000</v>
      </c>
      <c r="D8987" s="1" t="n">
        <v>4252.7</v>
      </c>
      <c r="E8987" s="1" t="n">
        <v>0.0282</v>
      </c>
      <c r="F8987" s="1" t="n">
        <v>0.0938</v>
      </c>
    </row>
    <row r="8988" customFormat="false" ht="15" hidden="false" customHeight="false" outlineLevel="0" collapsed="false">
      <c r="A8988" s="1" t="s">
        <v>9023</v>
      </c>
      <c r="B8988" s="1" t="s">
        <v>74</v>
      </c>
      <c r="C8988" s="1" t="n">
        <v>531000</v>
      </c>
      <c r="D8988" s="1" t="n">
        <v>6082.7</v>
      </c>
      <c r="E8988" s="1" t="n">
        <v>0.033</v>
      </c>
      <c r="F8988" s="1" t="n">
        <v>0.0938</v>
      </c>
    </row>
    <row r="8989" customFormat="false" ht="15" hidden="false" customHeight="false" outlineLevel="0" collapsed="false">
      <c r="A8989" s="1" t="s">
        <v>9024</v>
      </c>
      <c r="B8989" s="1" t="s">
        <v>50</v>
      </c>
      <c r="C8989" s="1" t="n">
        <v>242000</v>
      </c>
      <c r="D8989" s="1" t="n">
        <v>6021.1</v>
      </c>
      <c r="E8989" s="1" t="n">
        <v>0.0437</v>
      </c>
      <c r="F8989" s="1" t="n">
        <v>0.0759</v>
      </c>
    </row>
    <row r="8990" customFormat="false" ht="15" hidden="false" customHeight="false" outlineLevel="0" collapsed="false">
      <c r="A8990" s="1" t="s">
        <v>9025</v>
      </c>
      <c r="B8990" s="1" t="s">
        <v>21</v>
      </c>
      <c r="C8990" s="1" t="n">
        <v>179000</v>
      </c>
      <c r="D8990" s="1" t="n">
        <v>1983.9</v>
      </c>
      <c r="E8990" s="1" t="n">
        <v>0.0139</v>
      </c>
      <c r="F8990" s="1" t="n">
        <v>0.1067</v>
      </c>
    </row>
    <row r="8991" customFormat="false" ht="15" hidden="false" customHeight="false" outlineLevel="0" collapsed="false">
      <c r="A8991" s="1" t="s">
        <v>9026</v>
      </c>
      <c r="B8991" s="1" t="s">
        <v>26</v>
      </c>
      <c r="C8991" s="1" t="n">
        <v>313000</v>
      </c>
      <c r="D8991" s="1" t="n">
        <v>331711.4</v>
      </c>
      <c r="E8991" s="1" t="n">
        <v>0.0337</v>
      </c>
      <c r="F8991" s="1" t="n">
        <v>0.0759</v>
      </c>
    </row>
    <row r="8992" customFormat="false" ht="15" hidden="false" customHeight="false" outlineLevel="0" collapsed="false">
      <c r="A8992" s="1" t="s">
        <v>9027</v>
      </c>
      <c r="B8992" s="1" t="s">
        <v>88</v>
      </c>
      <c r="C8992" s="1" t="n">
        <v>252000</v>
      </c>
      <c r="D8992" s="1" t="n">
        <v>10374.5</v>
      </c>
      <c r="E8992" s="1" t="n">
        <v>0.0072</v>
      </c>
      <c r="F8992" s="1" t="n">
        <v>0.0822</v>
      </c>
    </row>
    <row r="8993" customFormat="false" ht="15" hidden="false" customHeight="false" outlineLevel="0" collapsed="false">
      <c r="A8993" s="1" t="s">
        <v>9028</v>
      </c>
      <c r="B8993" s="1" t="s">
        <v>74</v>
      </c>
      <c r="C8993" s="1" t="n">
        <v>185000</v>
      </c>
      <c r="D8993" s="1" t="n">
        <v>16912.9</v>
      </c>
      <c r="F8993" s="1" t="n">
        <v>0.0759</v>
      </c>
    </row>
    <row r="8994" customFormat="false" ht="15" hidden="false" customHeight="false" outlineLevel="0" collapsed="false">
      <c r="A8994" s="1" t="s">
        <v>9029</v>
      </c>
      <c r="B8994" s="1" t="s">
        <v>214</v>
      </c>
      <c r="C8994" s="1" t="n">
        <v>203000</v>
      </c>
      <c r="D8994" s="1" t="n">
        <v>33332.5</v>
      </c>
      <c r="E8994" s="1" t="n">
        <v>0.0187</v>
      </c>
      <c r="F8994" s="1" t="n">
        <v>0.1067</v>
      </c>
    </row>
    <row r="8995" customFormat="false" ht="15" hidden="false" customHeight="false" outlineLevel="0" collapsed="false">
      <c r="A8995" s="1" t="s">
        <v>9030</v>
      </c>
      <c r="B8995" s="1" t="s">
        <v>41</v>
      </c>
      <c r="C8995" s="1" t="n">
        <v>198000</v>
      </c>
      <c r="D8995" s="1" t="n">
        <v>1183.1</v>
      </c>
      <c r="E8995" s="1" t="n">
        <v>0.0248</v>
      </c>
      <c r="F8995" s="1" t="n">
        <v>0.0951</v>
      </c>
    </row>
    <row r="8996" customFormat="false" ht="15" hidden="false" customHeight="false" outlineLevel="0" collapsed="false">
      <c r="A8996" s="1" t="s">
        <v>9031</v>
      </c>
      <c r="B8996" s="1" t="s">
        <v>30</v>
      </c>
      <c r="C8996" s="1" t="n">
        <v>266000</v>
      </c>
      <c r="D8996" s="1" t="n">
        <v>611.7</v>
      </c>
      <c r="E8996" s="1" t="n">
        <v>0.0362</v>
      </c>
      <c r="F8996" s="1" t="n">
        <v>0.0951</v>
      </c>
    </row>
    <row r="8997" customFormat="false" ht="15" hidden="false" customHeight="false" outlineLevel="0" collapsed="false">
      <c r="A8997" s="1" t="s">
        <v>9032</v>
      </c>
      <c r="B8997" s="1" t="s">
        <v>26</v>
      </c>
      <c r="C8997" s="1" t="n">
        <v>195000</v>
      </c>
      <c r="D8997" s="1" t="n">
        <v>766.2</v>
      </c>
      <c r="E8997" s="1" t="n">
        <v>0.0143</v>
      </c>
      <c r="F8997" s="1" t="n">
        <v>0.0462</v>
      </c>
    </row>
    <row r="8998" customFormat="false" ht="15" hidden="false" customHeight="false" outlineLevel="0" collapsed="false">
      <c r="A8998" s="1" t="s">
        <v>9033</v>
      </c>
      <c r="B8998" s="1" t="s">
        <v>24</v>
      </c>
      <c r="C8998" s="1" t="n">
        <v>218000</v>
      </c>
      <c r="D8998" s="1" t="n">
        <v>737</v>
      </c>
      <c r="F8998" s="1" t="n">
        <v>0.0938</v>
      </c>
    </row>
    <row r="8999" customFormat="false" ht="15" hidden="false" customHeight="false" outlineLevel="0" collapsed="false">
      <c r="A8999" s="1" t="s">
        <v>9034</v>
      </c>
      <c r="B8999" s="1" t="s">
        <v>81</v>
      </c>
      <c r="C8999" s="1" t="n">
        <v>180000</v>
      </c>
      <c r="D8999" s="1" t="n">
        <v>6432.6</v>
      </c>
      <c r="E8999" s="1" t="n">
        <v>0.0397</v>
      </c>
      <c r="F8999" s="1" t="n">
        <v>0.0951</v>
      </c>
    </row>
    <row r="9000" customFormat="false" ht="15" hidden="false" customHeight="false" outlineLevel="0" collapsed="false">
      <c r="A9000" s="1" t="s">
        <v>9035</v>
      </c>
      <c r="B9000" s="1" t="s">
        <v>26</v>
      </c>
      <c r="C9000" s="1" t="n">
        <v>1330000</v>
      </c>
      <c r="D9000" s="1" t="n">
        <v>27612123.3</v>
      </c>
      <c r="E9000" s="1" t="n">
        <v>0.0168</v>
      </c>
      <c r="F9000" s="1" t="n">
        <v>0.0585</v>
      </c>
    </row>
    <row r="9001" customFormat="false" ht="15" hidden="false" customHeight="false" outlineLevel="0" collapsed="false">
      <c r="A9001" s="1" t="s">
        <v>9036</v>
      </c>
      <c r="B9001" s="1" t="s">
        <v>30</v>
      </c>
      <c r="C9001" s="1" t="n">
        <v>179000</v>
      </c>
      <c r="D9001" s="1" t="n">
        <v>753.2</v>
      </c>
      <c r="E9001" s="1" t="n">
        <v>0.0126</v>
      </c>
      <c r="F9001" s="1" t="n">
        <v>0.1067</v>
      </c>
    </row>
    <row r="9002" customFormat="false" ht="15" hidden="false" customHeight="false" outlineLevel="0" collapsed="false">
      <c r="A9002" s="1" t="s">
        <v>9037</v>
      </c>
      <c r="B9002" s="1" t="s">
        <v>195</v>
      </c>
      <c r="C9002" s="1" t="n">
        <v>208000</v>
      </c>
      <c r="D9002" s="1" t="n">
        <v>7763.2</v>
      </c>
      <c r="E9002" s="1" t="n">
        <v>0.0331</v>
      </c>
      <c r="F9002" s="1" t="n">
        <v>0.0759</v>
      </c>
    </row>
    <row r="9003" customFormat="false" ht="15" hidden="false" customHeight="false" outlineLevel="0" collapsed="false">
      <c r="A9003" s="1" t="s">
        <v>9038</v>
      </c>
      <c r="B9003" s="1" t="s">
        <v>32</v>
      </c>
      <c r="C9003" s="1" t="n">
        <v>244000</v>
      </c>
      <c r="D9003" s="1" t="n">
        <v>9173.6</v>
      </c>
      <c r="E9003" s="1" t="n">
        <v>0.0114</v>
      </c>
      <c r="F9003" s="1" t="n">
        <v>0.0584</v>
      </c>
    </row>
    <row r="9004" customFormat="false" ht="15" hidden="false" customHeight="false" outlineLevel="0" collapsed="false">
      <c r="A9004" s="1" t="s">
        <v>9039</v>
      </c>
      <c r="B9004" s="1" t="s">
        <v>30</v>
      </c>
      <c r="C9004" s="1" t="n">
        <v>286000</v>
      </c>
      <c r="D9004" s="1" t="n">
        <v>8077.7</v>
      </c>
      <c r="E9004" s="1" t="n">
        <v>0.0216</v>
      </c>
      <c r="F9004" s="1" t="n">
        <v>0.0951</v>
      </c>
    </row>
    <row r="9005" customFormat="false" ht="15" hidden="false" customHeight="false" outlineLevel="0" collapsed="false">
      <c r="A9005" s="1" t="s">
        <v>9040</v>
      </c>
      <c r="B9005" s="1" t="s">
        <v>88</v>
      </c>
      <c r="C9005" s="1" t="n">
        <v>220000</v>
      </c>
      <c r="D9005" s="1" t="n">
        <v>3049.4</v>
      </c>
      <c r="E9005" s="1" t="n">
        <v>0.0091</v>
      </c>
      <c r="F9005" s="1" t="n">
        <v>0.1015</v>
      </c>
    </row>
    <row r="9006" customFormat="false" ht="15" hidden="false" customHeight="false" outlineLevel="0" collapsed="false">
      <c r="A9006" s="1" t="s">
        <v>9041</v>
      </c>
      <c r="B9006" s="1" t="s">
        <v>71</v>
      </c>
      <c r="C9006" s="1" t="n">
        <v>320000</v>
      </c>
      <c r="D9006" s="1" t="n">
        <v>18613.6</v>
      </c>
      <c r="E9006" s="1" t="n">
        <v>0.0384</v>
      </c>
      <c r="F9006" s="1" t="n">
        <v>0.0759</v>
      </c>
    </row>
    <row r="9007" customFormat="false" ht="15" hidden="false" customHeight="false" outlineLevel="0" collapsed="false">
      <c r="A9007" s="1" t="s">
        <v>9042</v>
      </c>
      <c r="B9007" s="1" t="s">
        <v>32</v>
      </c>
      <c r="C9007" s="1" t="n">
        <v>321000</v>
      </c>
      <c r="D9007" s="1" t="n">
        <v>727720.3</v>
      </c>
      <c r="E9007" s="1" t="n">
        <v>0.0175</v>
      </c>
      <c r="F9007" s="1" t="n">
        <v>0.1953</v>
      </c>
    </row>
    <row r="9008" customFormat="false" ht="15" hidden="false" customHeight="false" outlineLevel="0" collapsed="false">
      <c r="A9008" s="1" t="s">
        <v>9043</v>
      </c>
      <c r="B9008" s="1" t="s">
        <v>92</v>
      </c>
      <c r="C9008" s="1" t="n">
        <v>178000</v>
      </c>
      <c r="D9008" s="1" t="n">
        <v>171.3</v>
      </c>
      <c r="E9008" s="1" t="n">
        <v>0.0124</v>
      </c>
      <c r="F9008" s="1" t="n">
        <v>0.0585</v>
      </c>
    </row>
    <row r="9009" customFormat="false" ht="15" hidden="false" customHeight="false" outlineLevel="0" collapsed="false">
      <c r="A9009" s="1" t="s">
        <v>9044</v>
      </c>
      <c r="B9009" s="1" t="s">
        <v>24</v>
      </c>
      <c r="C9009" s="1" t="n">
        <v>227000</v>
      </c>
      <c r="D9009" s="1" t="n">
        <v>1480.4</v>
      </c>
      <c r="E9009" s="1" t="n">
        <v>0.0191</v>
      </c>
      <c r="F9009" s="1" t="n">
        <v>0.5962</v>
      </c>
    </row>
    <row r="9010" customFormat="false" ht="15" hidden="false" customHeight="false" outlineLevel="0" collapsed="false">
      <c r="A9010" s="1" t="s">
        <v>9045</v>
      </c>
      <c r="B9010" s="1" t="s">
        <v>81</v>
      </c>
      <c r="C9010" s="1" t="n">
        <v>197000</v>
      </c>
      <c r="D9010" s="1" t="n">
        <v>375.4</v>
      </c>
      <c r="E9010" s="1" t="n">
        <v>0.015</v>
      </c>
      <c r="F9010" s="1" t="n">
        <v>0.0462</v>
      </c>
    </row>
    <row r="9011" customFormat="false" ht="15" hidden="false" customHeight="false" outlineLevel="0" collapsed="false">
      <c r="A9011" s="1" t="s">
        <v>9046</v>
      </c>
      <c r="B9011" s="1" t="s">
        <v>26</v>
      </c>
      <c r="C9011" s="1" t="n">
        <v>285000</v>
      </c>
      <c r="D9011" s="1" t="n">
        <v>29163.4</v>
      </c>
      <c r="F9011" s="1" t="n">
        <v>0.0409</v>
      </c>
    </row>
    <row r="9012" customFormat="false" ht="15" hidden="false" customHeight="false" outlineLevel="0" collapsed="false">
      <c r="A9012" s="1" t="s">
        <v>9047</v>
      </c>
      <c r="B9012" s="1" t="s">
        <v>62</v>
      </c>
      <c r="C9012" s="1" t="n">
        <v>303000</v>
      </c>
      <c r="D9012" s="1" t="n">
        <v>66333.6</v>
      </c>
      <c r="E9012" s="1" t="n">
        <v>0.0632</v>
      </c>
      <c r="F9012" s="1" t="n">
        <v>0.0409</v>
      </c>
    </row>
    <row r="9013" customFormat="false" ht="15" hidden="false" customHeight="false" outlineLevel="0" collapsed="false">
      <c r="A9013" s="1" t="s">
        <v>9048</v>
      </c>
      <c r="B9013" s="1" t="s">
        <v>26</v>
      </c>
      <c r="C9013" s="1" t="n">
        <v>178000</v>
      </c>
      <c r="D9013" s="1" t="n">
        <v>124316.3</v>
      </c>
      <c r="E9013" s="1" t="n">
        <v>0.0338</v>
      </c>
      <c r="F9013" s="1" t="n">
        <v>0.0951</v>
      </c>
    </row>
    <row r="9014" customFormat="false" ht="15" hidden="false" customHeight="false" outlineLevel="0" collapsed="false">
      <c r="A9014" s="1" t="s">
        <v>9049</v>
      </c>
      <c r="B9014" s="1" t="s">
        <v>88</v>
      </c>
      <c r="C9014" s="1" t="n">
        <v>193000</v>
      </c>
      <c r="D9014" s="1" t="n">
        <v>104.2</v>
      </c>
      <c r="E9014" s="1" t="n">
        <v>0.0327</v>
      </c>
      <c r="F9014" s="1" t="n">
        <v>0.0938</v>
      </c>
    </row>
    <row r="9015" customFormat="false" ht="15" hidden="false" customHeight="false" outlineLevel="0" collapsed="false">
      <c r="A9015" s="1" t="s">
        <v>9050</v>
      </c>
      <c r="B9015" s="1" t="s">
        <v>71</v>
      </c>
      <c r="C9015" s="1" t="n">
        <v>203000</v>
      </c>
      <c r="D9015" s="1" t="n">
        <v>221.7</v>
      </c>
      <c r="E9015" s="1" t="n">
        <v>0.024</v>
      </c>
      <c r="F9015" s="1" t="n">
        <v>0.1226</v>
      </c>
    </row>
    <row r="9016" customFormat="false" ht="15" hidden="false" customHeight="false" outlineLevel="0" collapsed="false">
      <c r="A9016" s="1" t="s">
        <v>9051</v>
      </c>
      <c r="B9016" s="1" t="s">
        <v>88</v>
      </c>
      <c r="C9016" s="1" t="n">
        <v>187000</v>
      </c>
      <c r="D9016" s="1" t="n">
        <v>493.4</v>
      </c>
      <c r="E9016" s="1" t="n">
        <v>0.0278</v>
      </c>
      <c r="F9016" s="1" t="n">
        <v>0.0759</v>
      </c>
    </row>
    <row r="9017" customFormat="false" ht="15" hidden="false" customHeight="false" outlineLevel="0" collapsed="false">
      <c r="A9017" s="1" t="s">
        <v>9052</v>
      </c>
      <c r="B9017" s="1" t="s">
        <v>26</v>
      </c>
      <c r="C9017" s="1" t="n">
        <v>194000</v>
      </c>
      <c r="D9017" s="1" t="n">
        <v>716.8</v>
      </c>
      <c r="E9017" s="1" t="n">
        <v>0.029</v>
      </c>
      <c r="F9017" s="1" t="n">
        <v>0.0759</v>
      </c>
    </row>
    <row r="9018" customFormat="false" ht="15" hidden="false" customHeight="false" outlineLevel="0" collapsed="false">
      <c r="A9018" s="1" t="s">
        <v>9053</v>
      </c>
      <c r="B9018" s="1" t="s">
        <v>53</v>
      </c>
      <c r="C9018" s="1" t="n">
        <v>201000</v>
      </c>
      <c r="D9018" s="1" t="n">
        <v>130772.9</v>
      </c>
      <c r="E9018" s="1" t="n">
        <v>0.036</v>
      </c>
      <c r="F9018" s="1" t="n">
        <v>0.0951</v>
      </c>
    </row>
    <row r="9019" customFormat="false" ht="15" hidden="false" customHeight="false" outlineLevel="0" collapsed="false">
      <c r="A9019" s="1" t="s">
        <v>9054</v>
      </c>
      <c r="B9019" s="1" t="s">
        <v>21</v>
      </c>
      <c r="C9019" s="1" t="n">
        <v>253000</v>
      </c>
      <c r="D9019" s="1" t="n">
        <v>5583.2</v>
      </c>
      <c r="E9019" s="1" t="n">
        <v>0.0696</v>
      </c>
      <c r="F9019" s="1" t="n">
        <v>0.0938</v>
      </c>
    </row>
    <row r="9020" customFormat="false" ht="15" hidden="false" customHeight="false" outlineLevel="0" collapsed="false">
      <c r="A9020" s="1" t="s">
        <v>9055</v>
      </c>
      <c r="B9020" s="1" t="s">
        <v>26</v>
      </c>
      <c r="C9020" s="1" t="n">
        <v>228000</v>
      </c>
      <c r="D9020" s="1" t="n">
        <v>61426.3</v>
      </c>
      <c r="E9020" s="1" t="n">
        <v>0.0232</v>
      </c>
      <c r="F9020" s="1" t="n">
        <v>0.0409</v>
      </c>
    </row>
    <row r="9021" customFormat="false" ht="15" hidden="false" customHeight="false" outlineLevel="0" collapsed="false">
      <c r="A9021" s="1" t="s">
        <v>9056</v>
      </c>
      <c r="B9021" s="1" t="s">
        <v>53</v>
      </c>
      <c r="C9021" s="1" t="n">
        <v>203000</v>
      </c>
      <c r="D9021" s="1" t="n">
        <v>11572.3</v>
      </c>
      <c r="E9021" s="1" t="n">
        <v>0.0206</v>
      </c>
      <c r="F9021" s="1" t="n">
        <v>0.1325</v>
      </c>
    </row>
    <row r="9022" customFormat="false" ht="15" hidden="false" customHeight="false" outlineLevel="0" collapsed="false">
      <c r="A9022" s="1" t="s">
        <v>9057</v>
      </c>
      <c r="B9022" s="1" t="s">
        <v>21</v>
      </c>
      <c r="C9022" s="1" t="n">
        <v>261000</v>
      </c>
      <c r="D9022" s="1" t="n">
        <v>70679.7</v>
      </c>
      <c r="E9022" s="1" t="n">
        <v>0.095</v>
      </c>
      <c r="F9022" s="1" t="n">
        <v>0.0759</v>
      </c>
    </row>
    <row r="9023" customFormat="false" ht="15" hidden="false" customHeight="false" outlineLevel="0" collapsed="false">
      <c r="A9023" s="1" t="s">
        <v>9058</v>
      </c>
      <c r="B9023" s="1" t="s">
        <v>26</v>
      </c>
      <c r="C9023" s="1" t="n">
        <v>187000</v>
      </c>
      <c r="D9023" s="1" t="n">
        <v>9371.1</v>
      </c>
      <c r="E9023" s="1" t="n">
        <v>0.0219</v>
      </c>
      <c r="F9023" s="1" t="n">
        <v>0.0951</v>
      </c>
    </row>
    <row r="9024" customFormat="false" ht="15" hidden="false" customHeight="false" outlineLevel="0" collapsed="false">
      <c r="A9024" s="1" t="s">
        <v>9059</v>
      </c>
      <c r="B9024" s="1" t="s">
        <v>195</v>
      </c>
      <c r="C9024" s="1" t="n">
        <v>197000</v>
      </c>
      <c r="D9024" s="1" t="n">
        <v>37707.1</v>
      </c>
      <c r="E9024" s="1" t="n">
        <v>0.0194</v>
      </c>
      <c r="F9024" s="1" t="n">
        <v>0.0951</v>
      </c>
    </row>
    <row r="9025" customFormat="false" ht="15" hidden="false" customHeight="false" outlineLevel="0" collapsed="false">
      <c r="A9025" s="1" t="s">
        <v>9060</v>
      </c>
      <c r="B9025" s="1" t="s">
        <v>26</v>
      </c>
      <c r="C9025" s="1" t="n">
        <v>218000</v>
      </c>
      <c r="D9025" s="1" t="n">
        <v>119879.7</v>
      </c>
      <c r="E9025" s="1" t="n">
        <v>0.0205</v>
      </c>
      <c r="F9025" s="1" t="n">
        <v>0.0546</v>
      </c>
    </row>
    <row r="9026" customFormat="false" ht="15" hidden="false" customHeight="false" outlineLevel="0" collapsed="false">
      <c r="A9026" s="1" t="s">
        <v>9061</v>
      </c>
      <c r="B9026" s="1" t="s">
        <v>92</v>
      </c>
      <c r="C9026" s="1" t="n">
        <v>182000</v>
      </c>
      <c r="D9026" s="1" t="n">
        <v>11704</v>
      </c>
      <c r="E9026" s="1" t="n">
        <v>0.0267</v>
      </c>
      <c r="F9026" s="1" t="n">
        <v>0.0951</v>
      </c>
    </row>
    <row r="9027" customFormat="false" ht="15" hidden="false" customHeight="false" outlineLevel="0" collapsed="false">
      <c r="A9027" s="1" t="s">
        <v>9062</v>
      </c>
      <c r="B9027" s="1" t="s">
        <v>26</v>
      </c>
      <c r="C9027" s="1" t="n">
        <v>306000</v>
      </c>
      <c r="D9027" s="1" t="n">
        <v>158.9</v>
      </c>
      <c r="E9027" s="1" t="n">
        <v>0.0273</v>
      </c>
      <c r="F9027" s="1" t="n">
        <v>0.0759</v>
      </c>
    </row>
    <row r="9028" customFormat="false" ht="15" hidden="false" customHeight="false" outlineLevel="0" collapsed="false">
      <c r="A9028" s="1" t="s">
        <v>9063</v>
      </c>
      <c r="B9028" s="1" t="s">
        <v>26</v>
      </c>
      <c r="C9028" s="1" t="n">
        <v>206000</v>
      </c>
      <c r="D9028" s="1" t="n">
        <v>15296.6</v>
      </c>
      <c r="E9028" s="1" t="n">
        <v>0.0299</v>
      </c>
      <c r="F9028" s="1" t="n">
        <v>0.0759</v>
      </c>
    </row>
    <row r="9029" customFormat="false" ht="15" hidden="false" customHeight="false" outlineLevel="0" collapsed="false">
      <c r="A9029" s="1" t="s">
        <v>9064</v>
      </c>
      <c r="B9029" s="1" t="s">
        <v>74</v>
      </c>
      <c r="C9029" s="1" t="n">
        <v>202000</v>
      </c>
      <c r="D9029" s="1" t="n">
        <v>927.3</v>
      </c>
      <c r="E9029" s="1" t="n">
        <v>0.0515</v>
      </c>
      <c r="F9029" s="1" t="n">
        <v>0.0759</v>
      </c>
    </row>
    <row r="9030" customFormat="false" ht="15" hidden="false" customHeight="false" outlineLevel="0" collapsed="false">
      <c r="A9030" s="1" t="s">
        <v>9065</v>
      </c>
      <c r="B9030" s="1" t="s">
        <v>26</v>
      </c>
      <c r="C9030" s="1" t="n">
        <v>208000</v>
      </c>
      <c r="D9030" s="1" t="n">
        <v>14414.4</v>
      </c>
      <c r="E9030" s="1" t="n">
        <v>0.0492</v>
      </c>
      <c r="F9030" s="1" t="n">
        <v>0.0833</v>
      </c>
    </row>
    <row r="9031" customFormat="false" ht="15" hidden="false" customHeight="false" outlineLevel="0" collapsed="false">
      <c r="A9031" s="1" t="s">
        <v>9066</v>
      </c>
      <c r="B9031" s="1" t="s">
        <v>88</v>
      </c>
      <c r="C9031" s="1" t="n">
        <v>198000</v>
      </c>
      <c r="D9031" s="1" t="n">
        <v>1956.1</v>
      </c>
      <c r="E9031" s="1" t="n">
        <v>0.092</v>
      </c>
      <c r="F9031" s="1" t="n">
        <v>0.0759</v>
      </c>
    </row>
    <row r="9032" customFormat="false" ht="15" hidden="false" customHeight="false" outlineLevel="0" collapsed="false">
      <c r="A9032" s="1" t="s">
        <v>9067</v>
      </c>
      <c r="B9032" s="1" t="s">
        <v>92</v>
      </c>
      <c r="C9032" s="1" t="n">
        <v>175000</v>
      </c>
      <c r="D9032" s="1" t="n">
        <v>336.6</v>
      </c>
      <c r="E9032" s="1" t="n">
        <v>0.0052</v>
      </c>
      <c r="F9032" s="1" t="n">
        <v>0.0822</v>
      </c>
    </row>
    <row r="9033" customFormat="false" ht="15" hidden="false" customHeight="false" outlineLevel="0" collapsed="false">
      <c r="A9033" s="1" t="s">
        <v>9068</v>
      </c>
      <c r="B9033" s="1" t="s">
        <v>195</v>
      </c>
      <c r="C9033" s="1" t="n">
        <v>190000</v>
      </c>
      <c r="D9033" s="1" t="n">
        <v>2546.7</v>
      </c>
      <c r="E9033" s="1" t="n">
        <v>0.0109</v>
      </c>
      <c r="F9033" s="1" t="n">
        <v>0.1058</v>
      </c>
    </row>
    <row r="9034" customFormat="false" ht="15" hidden="false" customHeight="false" outlineLevel="0" collapsed="false">
      <c r="A9034" s="1" t="s">
        <v>9069</v>
      </c>
      <c r="B9034" s="1" t="s">
        <v>81</v>
      </c>
      <c r="C9034" s="1" t="n">
        <v>485000</v>
      </c>
      <c r="D9034" s="1" t="n">
        <v>319673.7</v>
      </c>
      <c r="E9034" s="1" t="n">
        <v>0.0407</v>
      </c>
      <c r="F9034" s="1" t="n">
        <v>0.0759</v>
      </c>
    </row>
    <row r="9035" customFormat="false" ht="15" hidden="false" customHeight="false" outlineLevel="0" collapsed="false">
      <c r="A9035" s="1" t="s">
        <v>9070</v>
      </c>
      <c r="B9035" s="1" t="s">
        <v>26</v>
      </c>
      <c r="C9035" s="1" t="n">
        <v>284000</v>
      </c>
      <c r="D9035" s="1" t="n">
        <v>2727.9</v>
      </c>
      <c r="E9035" s="1" t="n">
        <v>0.0205</v>
      </c>
      <c r="F9035" s="1" t="n">
        <v>0.2064</v>
      </c>
    </row>
    <row r="9036" customFormat="false" ht="15" hidden="false" customHeight="false" outlineLevel="0" collapsed="false">
      <c r="A9036" s="1" t="s">
        <v>9071</v>
      </c>
      <c r="B9036" s="1" t="s">
        <v>32</v>
      </c>
      <c r="C9036" s="1" t="n">
        <v>201000</v>
      </c>
      <c r="D9036" s="1" t="n">
        <v>24380.6</v>
      </c>
      <c r="E9036" s="1" t="n">
        <v>0.0147</v>
      </c>
      <c r="F9036" s="1" t="n">
        <v>0.0585</v>
      </c>
    </row>
    <row r="9037" customFormat="false" ht="15" hidden="false" customHeight="false" outlineLevel="0" collapsed="false">
      <c r="A9037" s="1" t="s">
        <v>9072</v>
      </c>
      <c r="B9037" s="1" t="s">
        <v>24</v>
      </c>
      <c r="C9037" s="1" t="n">
        <v>179000</v>
      </c>
      <c r="D9037" s="1" t="n">
        <v>511.9</v>
      </c>
      <c r="E9037" s="1" t="n">
        <v>0.0553</v>
      </c>
      <c r="F9037" s="1" t="n">
        <v>0.0951</v>
      </c>
    </row>
    <row r="9038" customFormat="false" ht="15" hidden="false" customHeight="false" outlineLevel="0" collapsed="false">
      <c r="A9038" s="1" t="s">
        <v>9073</v>
      </c>
      <c r="B9038" s="1" t="s">
        <v>26</v>
      </c>
      <c r="C9038" s="1" t="n">
        <v>190000</v>
      </c>
      <c r="D9038" s="1" t="n">
        <v>742.9</v>
      </c>
      <c r="E9038" s="1" t="n">
        <v>0.047</v>
      </c>
      <c r="F9038" s="1" t="n">
        <v>0.0759</v>
      </c>
    </row>
    <row r="9039" customFormat="false" ht="15" hidden="false" customHeight="false" outlineLevel="0" collapsed="false">
      <c r="A9039" s="1" t="s">
        <v>9074</v>
      </c>
      <c r="B9039" s="1" t="s">
        <v>53</v>
      </c>
      <c r="C9039" s="1" t="n">
        <v>1140000</v>
      </c>
      <c r="D9039" s="1" t="n">
        <v>73488.2</v>
      </c>
      <c r="F9039" s="1" t="n">
        <v>0.0409</v>
      </c>
    </row>
    <row r="9040" customFormat="false" ht="15" hidden="false" customHeight="false" outlineLevel="0" collapsed="false">
      <c r="A9040" s="1" t="s">
        <v>9075</v>
      </c>
      <c r="B9040" s="1" t="s">
        <v>195</v>
      </c>
      <c r="C9040" s="1" t="n">
        <v>179000</v>
      </c>
      <c r="D9040" s="1" t="n">
        <v>4981.6</v>
      </c>
      <c r="E9040" s="1" t="n">
        <v>0.032</v>
      </c>
      <c r="F9040" s="1" t="n">
        <v>0.0518</v>
      </c>
    </row>
    <row r="9041" customFormat="false" ht="15" hidden="false" customHeight="false" outlineLevel="0" collapsed="false">
      <c r="A9041" s="1" t="s">
        <v>9076</v>
      </c>
      <c r="B9041" s="1" t="s">
        <v>88</v>
      </c>
      <c r="C9041" s="1" t="n">
        <v>221000</v>
      </c>
      <c r="D9041" s="1" t="n">
        <v>5012.4</v>
      </c>
      <c r="E9041" s="1" t="n">
        <v>0.0349</v>
      </c>
      <c r="F9041" s="1" t="n">
        <v>0.0938</v>
      </c>
    </row>
    <row r="9042" customFormat="false" ht="15" hidden="false" customHeight="false" outlineLevel="0" collapsed="false">
      <c r="A9042" s="1" t="s">
        <v>9077</v>
      </c>
      <c r="B9042" s="1" t="s">
        <v>26</v>
      </c>
      <c r="C9042" s="1" t="n">
        <v>215000</v>
      </c>
      <c r="D9042" s="1" t="n">
        <v>34080.8</v>
      </c>
      <c r="E9042" s="1" t="n">
        <v>0.0328</v>
      </c>
      <c r="F9042" s="1" t="n">
        <v>0.0672</v>
      </c>
    </row>
    <row r="9043" customFormat="false" ht="15" hidden="false" customHeight="false" outlineLevel="0" collapsed="false">
      <c r="A9043" s="1" t="s">
        <v>9078</v>
      </c>
      <c r="B9043" s="1" t="s">
        <v>53</v>
      </c>
      <c r="C9043" s="1" t="n">
        <v>213000</v>
      </c>
      <c r="D9043" s="1" t="n">
        <v>1602.7</v>
      </c>
      <c r="E9043" s="1" t="n">
        <v>0.1427</v>
      </c>
      <c r="F9043" s="1" t="n">
        <v>0.051</v>
      </c>
    </row>
    <row r="9044" customFormat="false" ht="15" hidden="false" customHeight="false" outlineLevel="0" collapsed="false">
      <c r="A9044" s="1" t="s">
        <v>9079</v>
      </c>
      <c r="B9044" s="1" t="s">
        <v>88</v>
      </c>
      <c r="C9044" s="1" t="n">
        <v>235000</v>
      </c>
      <c r="D9044" s="1" t="n">
        <v>6292.1</v>
      </c>
      <c r="E9044" s="1" t="n">
        <v>0.0183</v>
      </c>
      <c r="F9044" s="1" t="n">
        <v>0.131</v>
      </c>
    </row>
    <row r="9045" customFormat="false" ht="15" hidden="false" customHeight="false" outlineLevel="0" collapsed="false">
      <c r="A9045" s="1" t="s">
        <v>9080</v>
      </c>
      <c r="B9045" s="1" t="s">
        <v>214</v>
      </c>
      <c r="C9045" s="1" t="n">
        <v>196000</v>
      </c>
      <c r="D9045" s="1" t="n">
        <v>1150</v>
      </c>
      <c r="E9045" s="1" t="n">
        <v>0.0463</v>
      </c>
      <c r="F9045" s="1" t="n">
        <v>0.0951</v>
      </c>
    </row>
    <row r="9046" customFormat="false" ht="15" hidden="false" customHeight="false" outlineLevel="0" collapsed="false">
      <c r="A9046" s="1" t="s">
        <v>9081</v>
      </c>
      <c r="B9046" s="1" t="s">
        <v>214</v>
      </c>
      <c r="C9046" s="1" t="n">
        <v>356000</v>
      </c>
      <c r="D9046" s="1" t="n">
        <v>7618.7</v>
      </c>
      <c r="E9046" s="1" t="n">
        <v>0.0627</v>
      </c>
      <c r="F9046" s="1" t="n">
        <v>0.0759</v>
      </c>
    </row>
    <row r="9047" customFormat="false" ht="15" hidden="false" customHeight="false" outlineLevel="0" collapsed="false">
      <c r="A9047" s="1" t="s">
        <v>9082</v>
      </c>
      <c r="B9047" s="1" t="s">
        <v>74</v>
      </c>
      <c r="C9047" s="1" t="n">
        <v>203000</v>
      </c>
      <c r="D9047" s="1" t="n">
        <v>4333.9</v>
      </c>
      <c r="E9047" s="1" t="n">
        <v>0.0442</v>
      </c>
      <c r="F9047" s="1" t="n">
        <v>0.0951</v>
      </c>
    </row>
    <row r="9048" customFormat="false" ht="15" hidden="false" customHeight="false" outlineLevel="0" collapsed="false">
      <c r="A9048" s="1" t="s">
        <v>9083</v>
      </c>
      <c r="B9048" s="1" t="s">
        <v>62</v>
      </c>
      <c r="C9048" s="1" t="n">
        <v>378000</v>
      </c>
      <c r="D9048" s="1" t="n">
        <v>13413.2</v>
      </c>
      <c r="E9048" s="1" t="n">
        <v>0.0125</v>
      </c>
      <c r="F9048" s="1" t="n">
        <v>0.1327</v>
      </c>
    </row>
    <row r="9049" customFormat="false" ht="15" hidden="false" customHeight="false" outlineLevel="0" collapsed="false">
      <c r="A9049" s="1" t="s">
        <v>9084</v>
      </c>
      <c r="B9049" s="1" t="s">
        <v>30</v>
      </c>
      <c r="C9049" s="1" t="n">
        <v>221000</v>
      </c>
      <c r="D9049" s="1" t="n">
        <v>1818.5</v>
      </c>
      <c r="F9049" s="1" t="n">
        <v>0.0759</v>
      </c>
    </row>
    <row r="9050" customFormat="false" ht="15" hidden="false" customHeight="false" outlineLevel="0" collapsed="false">
      <c r="A9050" s="1" t="s">
        <v>9085</v>
      </c>
      <c r="B9050" s="1" t="s">
        <v>24</v>
      </c>
      <c r="C9050" s="1" t="n">
        <v>179000</v>
      </c>
      <c r="D9050" s="1" t="n">
        <v>230.9</v>
      </c>
      <c r="E9050" s="1" t="n">
        <v>0.0058</v>
      </c>
      <c r="F9050" s="1" t="n">
        <v>0.171</v>
      </c>
    </row>
    <row r="9051" customFormat="false" ht="15" hidden="false" customHeight="false" outlineLevel="0" collapsed="false">
      <c r="A9051" s="1" t="s">
        <v>9086</v>
      </c>
      <c r="B9051" s="1" t="s">
        <v>81</v>
      </c>
      <c r="C9051" s="1" t="n">
        <v>201000</v>
      </c>
      <c r="D9051" s="1" t="n">
        <v>2259.5</v>
      </c>
      <c r="E9051" s="1" t="n">
        <v>0.0069</v>
      </c>
      <c r="F9051" s="1" t="n">
        <v>0.1695</v>
      </c>
    </row>
    <row r="9052" customFormat="false" ht="15" hidden="false" customHeight="false" outlineLevel="0" collapsed="false">
      <c r="A9052" s="1" t="s">
        <v>9087</v>
      </c>
      <c r="B9052" s="1" t="s">
        <v>62</v>
      </c>
      <c r="C9052" s="1" t="n">
        <v>172000</v>
      </c>
      <c r="D9052" s="1" t="n">
        <v>2736</v>
      </c>
      <c r="E9052" s="1" t="n">
        <v>0.0221</v>
      </c>
      <c r="F9052" s="1" t="n">
        <v>0.0462</v>
      </c>
    </row>
    <row r="9053" customFormat="false" ht="15" hidden="false" customHeight="false" outlineLevel="0" collapsed="false">
      <c r="A9053" s="1" t="s">
        <v>9088</v>
      </c>
      <c r="B9053" s="1" t="s">
        <v>92</v>
      </c>
      <c r="C9053" s="1" t="n">
        <v>247000</v>
      </c>
      <c r="D9053" s="1" t="n">
        <v>14823.2</v>
      </c>
      <c r="E9053" s="1" t="n">
        <v>0.0298</v>
      </c>
      <c r="F9053" s="1" t="n">
        <v>0.0409</v>
      </c>
    </row>
    <row r="9054" customFormat="false" ht="15" hidden="false" customHeight="false" outlineLevel="0" collapsed="false">
      <c r="A9054" s="1" t="s">
        <v>9089</v>
      </c>
      <c r="B9054" s="1" t="s">
        <v>88</v>
      </c>
      <c r="C9054" s="1" t="n">
        <v>174000</v>
      </c>
      <c r="D9054" s="1" t="n">
        <v>582.5</v>
      </c>
      <c r="E9054" s="1" t="n">
        <v>0.026</v>
      </c>
      <c r="F9054" s="1" t="n">
        <v>0.117</v>
      </c>
    </row>
    <row r="9055" customFormat="false" ht="15" hidden="false" customHeight="false" outlineLevel="0" collapsed="false">
      <c r="A9055" s="1" t="s">
        <v>9090</v>
      </c>
      <c r="B9055" s="1" t="s">
        <v>88</v>
      </c>
      <c r="C9055" s="1" t="n">
        <v>267000</v>
      </c>
      <c r="D9055" s="1" t="n">
        <v>1377.8</v>
      </c>
      <c r="E9055" s="1" t="n">
        <v>0.0275</v>
      </c>
      <c r="F9055" s="1" t="n">
        <v>0.0759</v>
      </c>
    </row>
    <row r="9056" customFormat="false" ht="15" hidden="false" customHeight="false" outlineLevel="0" collapsed="false">
      <c r="A9056" s="1" t="s">
        <v>9091</v>
      </c>
      <c r="B9056" s="1" t="s">
        <v>26</v>
      </c>
      <c r="C9056" s="1" t="n">
        <v>200000</v>
      </c>
      <c r="D9056" s="1" t="n">
        <v>36733.1</v>
      </c>
      <c r="E9056" s="1" t="n">
        <v>0.03</v>
      </c>
      <c r="F9056" s="1" t="n">
        <v>0.0951</v>
      </c>
    </row>
    <row r="9057" customFormat="false" ht="15" hidden="false" customHeight="false" outlineLevel="0" collapsed="false">
      <c r="A9057" s="1" t="s">
        <v>9092</v>
      </c>
      <c r="B9057" s="1" t="s">
        <v>50</v>
      </c>
      <c r="C9057" s="1" t="n">
        <v>162000</v>
      </c>
      <c r="F9057" s="1" t="n">
        <v>0.0759</v>
      </c>
    </row>
    <row r="9058" customFormat="false" ht="15" hidden="false" customHeight="false" outlineLevel="0" collapsed="false">
      <c r="A9058" s="1" t="s">
        <v>9093</v>
      </c>
      <c r="B9058" s="1" t="s">
        <v>214</v>
      </c>
      <c r="C9058" s="1" t="n">
        <v>204000</v>
      </c>
      <c r="D9058" s="1" t="n">
        <v>3212.7</v>
      </c>
      <c r="E9058" s="1" t="n">
        <v>0.0167</v>
      </c>
      <c r="F9058" s="1" t="n">
        <v>0.0854</v>
      </c>
    </row>
    <row r="9059" customFormat="false" ht="15" hidden="false" customHeight="false" outlineLevel="0" collapsed="false">
      <c r="A9059" s="1" t="s">
        <v>9094</v>
      </c>
      <c r="B9059" s="1" t="s">
        <v>88</v>
      </c>
      <c r="C9059" s="1" t="n">
        <v>712000</v>
      </c>
      <c r="D9059" s="1" t="n">
        <v>8065.1</v>
      </c>
      <c r="E9059" s="1" t="n">
        <v>0.0462</v>
      </c>
      <c r="F9059" s="1" t="n">
        <v>0.0938</v>
      </c>
    </row>
    <row r="9060" customFormat="false" ht="15" hidden="false" customHeight="false" outlineLevel="0" collapsed="false">
      <c r="A9060" s="1" t="s">
        <v>9095</v>
      </c>
      <c r="B9060" s="1" t="s">
        <v>53</v>
      </c>
      <c r="C9060" s="1" t="n">
        <v>186000</v>
      </c>
      <c r="D9060" s="1" t="n">
        <v>32493.3</v>
      </c>
      <c r="E9060" s="1" t="n">
        <v>0.0165</v>
      </c>
      <c r="F9060" s="1" t="n">
        <v>0.0585</v>
      </c>
    </row>
    <row r="9061" customFormat="false" ht="15" hidden="false" customHeight="false" outlineLevel="0" collapsed="false">
      <c r="A9061" s="1" t="s">
        <v>9096</v>
      </c>
      <c r="B9061" s="1" t="s">
        <v>88</v>
      </c>
      <c r="C9061" s="1" t="n">
        <v>306000</v>
      </c>
      <c r="D9061" s="1" t="n">
        <v>237.7</v>
      </c>
      <c r="E9061" s="1" t="n">
        <v>0.0596</v>
      </c>
      <c r="F9061" s="1" t="n">
        <v>0.0938</v>
      </c>
    </row>
    <row r="9062" customFormat="false" ht="15" hidden="false" customHeight="false" outlineLevel="0" collapsed="false">
      <c r="A9062" s="1" t="s">
        <v>9097</v>
      </c>
      <c r="B9062" s="1" t="s">
        <v>26</v>
      </c>
      <c r="C9062" s="1" t="n">
        <v>177000</v>
      </c>
      <c r="D9062" s="1" t="n">
        <v>11560</v>
      </c>
      <c r="E9062" s="1" t="n">
        <v>0.0555</v>
      </c>
      <c r="F9062" s="1" t="n">
        <v>0.0951</v>
      </c>
    </row>
    <row r="9063" customFormat="false" ht="15" hidden="false" customHeight="false" outlineLevel="0" collapsed="false">
      <c r="A9063" s="1" t="s">
        <v>9098</v>
      </c>
      <c r="B9063" s="1" t="s">
        <v>24</v>
      </c>
      <c r="C9063" s="1" t="n">
        <v>246000</v>
      </c>
      <c r="D9063" s="1" t="n">
        <v>2697.3</v>
      </c>
      <c r="E9063" s="1" t="n">
        <v>0.0128</v>
      </c>
      <c r="F9063" s="1" t="n">
        <v>0.0903</v>
      </c>
    </row>
    <row r="9064" customFormat="false" ht="15" hidden="false" customHeight="false" outlineLevel="0" collapsed="false">
      <c r="A9064" s="1" t="s">
        <v>9099</v>
      </c>
      <c r="B9064" s="1" t="s">
        <v>53</v>
      </c>
      <c r="C9064" s="1" t="n">
        <v>177000</v>
      </c>
      <c r="D9064" s="1" t="n">
        <v>1699.9</v>
      </c>
      <c r="E9064" s="1" t="n">
        <v>0.1378</v>
      </c>
      <c r="F9064" s="1" t="n">
        <v>0.117</v>
      </c>
    </row>
    <row r="9065" customFormat="false" ht="15" hidden="false" customHeight="false" outlineLevel="0" collapsed="false">
      <c r="A9065" s="1" t="s">
        <v>9100</v>
      </c>
      <c r="B9065" s="1" t="s">
        <v>26</v>
      </c>
      <c r="C9065" s="1" t="n">
        <v>198000</v>
      </c>
      <c r="D9065" s="1" t="n">
        <v>2392.1</v>
      </c>
      <c r="E9065" s="1" t="n">
        <v>0.0341</v>
      </c>
      <c r="F9065" s="1" t="n">
        <v>0.0409</v>
      </c>
    </row>
    <row r="9066" customFormat="false" ht="15" hidden="false" customHeight="false" outlineLevel="0" collapsed="false">
      <c r="A9066" s="1" t="s">
        <v>9101</v>
      </c>
      <c r="B9066" s="1" t="s">
        <v>26</v>
      </c>
      <c r="C9066" s="1" t="n">
        <v>178000</v>
      </c>
      <c r="D9066" s="1" t="n">
        <v>1166.8</v>
      </c>
      <c r="F9066" s="1" t="n">
        <v>0.0518</v>
      </c>
    </row>
    <row r="9067" customFormat="false" ht="15" hidden="false" customHeight="false" outlineLevel="0" collapsed="false">
      <c r="A9067" s="1" t="s">
        <v>9102</v>
      </c>
      <c r="B9067" s="1" t="s">
        <v>26</v>
      </c>
      <c r="C9067" s="1" t="n">
        <v>180000</v>
      </c>
      <c r="D9067" s="1" t="n">
        <v>12174</v>
      </c>
      <c r="E9067" s="1" t="n">
        <v>0.0147</v>
      </c>
      <c r="F9067" s="1" t="n">
        <v>0.1067</v>
      </c>
    </row>
    <row r="9068" customFormat="false" ht="15" hidden="false" customHeight="false" outlineLevel="0" collapsed="false">
      <c r="A9068" s="1" t="s">
        <v>9103</v>
      </c>
      <c r="B9068" s="1" t="s">
        <v>88</v>
      </c>
      <c r="C9068" s="1" t="n">
        <v>201000</v>
      </c>
      <c r="D9068" s="1" t="n">
        <v>2452.8</v>
      </c>
      <c r="E9068" s="1" t="n">
        <v>0.0527</v>
      </c>
      <c r="F9068" s="1" t="n">
        <v>0.0938</v>
      </c>
    </row>
    <row r="9069" customFormat="false" ht="15" hidden="false" customHeight="false" outlineLevel="0" collapsed="false">
      <c r="A9069" s="1" t="s">
        <v>9104</v>
      </c>
      <c r="B9069" s="1" t="s">
        <v>41</v>
      </c>
      <c r="C9069" s="1" t="n">
        <v>153000</v>
      </c>
      <c r="D9069" s="1" t="n">
        <v>2585.9</v>
      </c>
      <c r="E9069" s="1" t="n">
        <v>0.009</v>
      </c>
      <c r="F9069" s="1" t="n">
        <v>0.1452</v>
      </c>
    </row>
    <row r="9070" customFormat="false" ht="15" hidden="false" customHeight="false" outlineLevel="0" collapsed="false">
      <c r="A9070" s="1" t="s">
        <v>9105</v>
      </c>
      <c r="B9070" s="1" t="s">
        <v>26</v>
      </c>
      <c r="C9070" s="1" t="n">
        <v>205000</v>
      </c>
      <c r="D9070" s="1" t="n">
        <v>2496.2</v>
      </c>
      <c r="E9070" s="1" t="n">
        <v>0.0116</v>
      </c>
      <c r="F9070" s="1" t="n">
        <v>0.0811</v>
      </c>
    </row>
    <row r="9071" customFormat="false" ht="15" hidden="false" customHeight="false" outlineLevel="0" collapsed="false">
      <c r="A9071" s="1" t="s">
        <v>9106</v>
      </c>
      <c r="B9071" s="1" t="s">
        <v>26</v>
      </c>
      <c r="C9071" s="1" t="n">
        <v>194000</v>
      </c>
      <c r="F9071" s="1" t="n">
        <v>0.0759</v>
      </c>
    </row>
    <row r="9072" customFormat="false" ht="15" hidden="false" customHeight="false" outlineLevel="0" collapsed="false">
      <c r="A9072" s="1" t="s">
        <v>9107</v>
      </c>
      <c r="B9072" s="1" t="s">
        <v>62</v>
      </c>
      <c r="C9072" s="1" t="n">
        <v>181000</v>
      </c>
      <c r="D9072" s="1" t="n">
        <v>3919.4</v>
      </c>
      <c r="E9072" s="1" t="n">
        <v>0.03</v>
      </c>
      <c r="F9072" s="1" t="n">
        <v>0.0951</v>
      </c>
    </row>
    <row r="9073" customFormat="false" ht="15" hidden="false" customHeight="false" outlineLevel="0" collapsed="false">
      <c r="A9073" s="1" t="s">
        <v>9108</v>
      </c>
      <c r="B9073" s="1" t="s">
        <v>26</v>
      </c>
      <c r="C9073" s="1" t="n">
        <v>381000</v>
      </c>
      <c r="D9073" s="1" t="n">
        <v>505581.2</v>
      </c>
      <c r="E9073" s="1" t="n">
        <v>0.0201</v>
      </c>
      <c r="F9073" s="1" t="n">
        <v>0.0462</v>
      </c>
    </row>
    <row r="9074" customFormat="false" ht="15" hidden="false" customHeight="false" outlineLevel="0" collapsed="false">
      <c r="A9074" s="1" t="s">
        <v>9109</v>
      </c>
      <c r="B9074" s="1" t="s">
        <v>24</v>
      </c>
      <c r="C9074" s="1" t="n">
        <v>193000</v>
      </c>
      <c r="D9074" s="1" t="n">
        <v>9653.9</v>
      </c>
      <c r="E9074" s="1" t="n">
        <v>0.0066</v>
      </c>
      <c r="F9074" s="1" t="n">
        <v>0.0822</v>
      </c>
    </row>
    <row r="9075" customFormat="false" ht="15" hidden="false" customHeight="false" outlineLevel="0" collapsed="false">
      <c r="A9075" s="1" t="s">
        <v>9110</v>
      </c>
      <c r="B9075" s="1" t="s">
        <v>74</v>
      </c>
      <c r="C9075" s="1" t="n">
        <v>171000</v>
      </c>
      <c r="D9075" s="1" t="n">
        <v>585</v>
      </c>
      <c r="E9075" s="1" t="n">
        <v>0.0938</v>
      </c>
      <c r="F9075" s="1" t="n">
        <v>0.117</v>
      </c>
    </row>
    <row r="9076" customFormat="false" ht="15" hidden="false" customHeight="false" outlineLevel="0" collapsed="false">
      <c r="A9076" s="1" t="s">
        <v>9111</v>
      </c>
      <c r="B9076" s="1" t="s">
        <v>81</v>
      </c>
      <c r="C9076" s="1" t="n">
        <v>173000</v>
      </c>
      <c r="D9076" s="1" t="n">
        <v>4815.5</v>
      </c>
      <c r="E9076" s="1" t="n">
        <v>0.0575</v>
      </c>
      <c r="F9076" s="1" t="n">
        <v>0.0951</v>
      </c>
    </row>
    <row r="9077" customFormat="false" ht="15" hidden="false" customHeight="false" outlineLevel="0" collapsed="false">
      <c r="A9077" s="1" t="s">
        <v>9112</v>
      </c>
      <c r="B9077" s="1" t="s">
        <v>74</v>
      </c>
      <c r="C9077" s="1" t="n">
        <v>312000</v>
      </c>
      <c r="D9077" s="1" t="n">
        <v>6685.4</v>
      </c>
      <c r="E9077" s="1" t="n">
        <v>0.0432</v>
      </c>
      <c r="F9077" s="1" t="n">
        <v>0.0759</v>
      </c>
    </row>
    <row r="9078" customFormat="false" ht="15" hidden="false" customHeight="false" outlineLevel="0" collapsed="false">
      <c r="A9078" s="1" t="s">
        <v>9113</v>
      </c>
      <c r="B9078" s="1" t="s">
        <v>30</v>
      </c>
      <c r="C9078" s="1" t="n">
        <v>177000</v>
      </c>
      <c r="D9078" s="1" t="n">
        <v>221068.6</v>
      </c>
      <c r="E9078" s="1" t="n">
        <v>0.0354</v>
      </c>
      <c r="F9078" s="1" t="n">
        <v>0.0951</v>
      </c>
    </row>
    <row r="9079" customFormat="false" ht="15" hidden="false" customHeight="false" outlineLevel="0" collapsed="false">
      <c r="A9079" s="1" t="s">
        <v>9114</v>
      </c>
      <c r="B9079" s="1" t="s">
        <v>32</v>
      </c>
      <c r="C9079" s="1" t="n">
        <v>197000</v>
      </c>
      <c r="D9079" s="1" t="n">
        <v>147.8</v>
      </c>
      <c r="E9079" s="1" t="n">
        <v>0.0087</v>
      </c>
      <c r="F9079" s="1" t="n">
        <v>0.2558</v>
      </c>
    </row>
    <row r="9080" customFormat="false" ht="15" hidden="false" customHeight="false" outlineLevel="0" collapsed="false">
      <c r="A9080" s="1" t="s">
        <v>9115</v>
      </c>
      <c r="B9080" s="1" t="s">
        <v>74</v>
      </c>
      <c r="C9080" s="1" t="n">
        <v>213000</v>
      </c>
      <c r="D9080" s="1" t="n">
        <v>190.5</v>
      </c>
      <c r="E9080" s="1" t="n">
        <v>0.0387</v>
      </c>
      <c r="F9080" s="1" t="n">
        <v>0.0938</v>
      </c>
    </row>
    <row r="9081" customFormat="false" ht="15" hidden="false" customHeight="false" outlineLevel="0" collapsed="false">
      <c r="A9081" s="1" t="s">
        <v>9116</v>
      </c>
      <c r="B9081" s="1" t="s">
        <v>92</v>
      </c>
      <c r="C9081" s="1" t="n">
        <v>208000</v>
      </c>
      <c r="D9081" s="1" t="n">
        <v>5007.6</v>
      </c>
      <c r="F9081" s="1" t="n">
        <v>0.0759</v>
      </c>
    </row>
    <row r="9082" customFormat="false" ht="15" hidden="false" customHeight="false" outlineLevel="0" collapsed="false">
      <c r="A9082" s="1" t="s">
        <v>9117</v>
      </c>
      <c r="B9082" s="1" t="s">
        <v>88</v>
      </c>
      <c r="C9082" s="1" t="n">
        <v>283000</v>
      </c>
      <c r="D9082" s="1" t="n">
        <v>2289</v>
      </c>
      <c r="E9082" s="1" t="n">
        <v>0.0425</v>
      </c>
      <c r="F9082" s="1" t="n">
        <v>0.0759</v>
      </c>
    </row>
    <row r="9083" customFormat="false" ht="15" hidden="false" customHeight="false" outlineLevel="0" collapsed="false">
      <c r="A9083" s="1" t="s">
        <v>9118</v>
      </c>
      <c r="B9083" s="1" t="s">
        <v>71</v>
      </c>
      <c r="C9083" s="1" t="n">
        <v>163000</v>
      </c>
      <c r="D9083" s="1" t="n">
        <v>3196.4</v>
      </c>
      <c r="E9083" s="1" t="n">
        <v>0.0118</v>
      </c>
      <c r="F9083" s="1" t="n">
        <v>0.1067</v>
      </c>
    </row>
    <row r="9084" customFormat="false" ht="15" hidden="false" customHeight="false" outlineLevel="0" collapsed="false">
      <c r="A9084" s="1" t="s">
        <v>9119</v>
      </c>
      <c r="B9084" s="1" t="s">
        <v>28</v>
      </c>
      <c r="C9084" s="1" t="n">
        <v>190000</v>
      </c>
      <c r="D9084" s="1" t="n">
        <v>4181.6</v>
      </c>
      <c r="E9084" s="1" t="n">
        <v>0.0049</v>
      </c>
      <c r="F9084" s="1" t="n">
        <v>0.0811</v>
      </c>
    </row>
    <row r="9085" customFormat="false" ht="15" hidden="false" customHeight="false" outlineLevel="0" collapsed="false">
      <c r="A9085" s="1" t="s">
        <v>9120</v>
      </c>
      <c r="B9085" s="1" t="s">
        <v>26</v>
      </c>
      <c r="C9085" s="1" t="n">
        <v>295000</v>
      </c>
      <c r="D9085" s="1" t="n">
        <v>18476.4</v>
      </c>
      <c r="E9085" s="1" t="n">
        <v>0.0618</v>
      </c>
      <c r="F9085" s="1" t="n">
        <v>0.0951</v>
      </c>
    </row>
    <row r="9086" customFormat="false" ht="15" hidden="false" customHeight="false" outlineLevel="0" collapsed="false">
      <c r="A9086" s="1" t="s">
        <v>9121</v>
      </c>
      <c r="B9086" s="1" t="s">
        <v>214</v>
      </c>
      <c r="C9086" s="1" t="n">
        <v>183000</v>
      </c>
      <c r="D9086" s="1" t="n">
        <v>3285</v>
      </c>
      <c r="E9086" s="1" t="n">
        <v>0.0363</v>
      </c>
      <c r="F9086" s="1" t="n">
        <v>0.0759</v>
      </c>
    </row>
    <row r="9087" customFormat="false" ht="15" hidden="false" customHeight="false" outlineLevel="0" collapsed="false">
      <c r="A9087" s="1" t="s">
        <v>9122</v>
      </c>
      <c r="B9087" s="1" t="s">
        <v>26</v>
      </c>
      <c r="C9087" s="1" t="n">
        <v>173000</v>
      </c>
      <c r="D9087" s="1" t="n">
        <v>1085.1</v>
      </c>
      <c r="E9087" s="1" t="n">
        <v>0.0234</v>
      </c>
      <c r="F9087" s="1" t="n">
        <v>0.0951</v>
      </c>
    </row>
    <row r="9088" customFormat="false" ht="15" hidden="false" customHeight="false" outlineLevel="0" collapsed="false">
      <c r="A9088" s="1" t="s">
        <v>9123</v>
      </c>
      <c r="B9088" s="1" t="s">
        <v>41</v>
      </c>
      <c r="C9088" s="1" t="n">
        <v>177000</v>
      </c>
      <c r="D9088" s="1" t="n">
        <v>474.5</v>
      </c>
      <c r="E9088" s="1" t="n">
        <v>0.0186</v>
      </c>
      <c r="F9088" s="1" t="n">
        <v>0.117</v>
      </c>
    </row>
    <row r="9089" customFormat="false" ht="15" hidden="false" customHeight="false" outlineLevel="0" collapsed="false">
      <c r="A9089" s="1" t="s">
        <v>9124</v>
      </c>
      <c r="B9089" s="1" t="s">
        <v>26</v>
      </c>
      <c r="C9089" s="1" t="n">
        <v>483000</v>
      </c>
      <c r="D9089" s="1" t="n">
        <v>255699.4</v>
      </c>
      <c r="E9089" s="1" t="n">
        <v>0.0449</v>
      </c>
      <c r="F9089" s="1" t="n">
        <v>0.0759</v>
      </c>
    </row>
    <row r="9090" customFormat="false" ht="15" hidden="false" customHeight="false" outlineLevel="0" collapsed="false">
      <c r="A9090" s="1" t="s">
        <v>9125</v>
      </c>
      <c r="B9090" s="1" t="s">
        <v>62</v>
      </c>
      <c r="C9090" s="1" t="n">
        <v>173000</v>
      </c>
      <c r="D9090" s="1" t="n">
        <v>1681.7</v>
      </c>
      <c r="E9090" s="1" t="n">
        <v>0.0316</v>
      </c>
      <c r="F9090" s="1" t="n">
        <v>0.0951</v>
      </c>
    </row>
    <row r="9091" customFormat="false" ht="15" hidden="false" customHeight="false" outlineLevel="0" collapsed="false">
      <c r="A9091" s="1" t="s">
        <v>9126</v>
      </c>
      <c r="B9091" s="1" t="s">
        <v>71</v>
      </c>
      <c r="C9091" s="1" t="n">
        <v>227000</v>
      </c>
      <c r="D9091" s="1" t="n">
        <v>3895.4</v>
      </c>
      <c r="E9091" s="1" t="n">
        <v>0.0128</v>
      </c>
      <c r="F9091" s="1" t="n">
        <v>0.0654</v>
      </c>
    </row>
    <row r="9092" customFormat="false" ht="15" hidden="false" customHeight="false" outlineLevel="0" collapsed="false">
      <c r="A9092" s="1" t="s">
        <v>9127</v>
      </c>
      <c r="B9092" s="1" t="s">
        <v>287</v>
      </c>
      <c r="C9092" s="1" t="n">
        <v>267000</v>
      </c>
      <c r="D9092" s="1" t="n">
        <v>732.3</v>
      </c>
      <c r="E9092" s="1" t="n">
        <v>0.0283</v>
      </c>
      <c r="F9092" s="1" t="n">
        <v>0.0517</v>
      </c>
    </row>
    <row r="9093" customFormat="false" ht="15" hidden="false" customHeight="false" outlineLevel="0" collapsed="false">
      <c r="A9093" s="1" t="s">
        <v>9128</v>
      </c>
      <c r="B9093" s="1" t="s">
        <v>88</v>
      </c>
      <c r="C9093" s="1" t="n">
        <v>177000</v>
      </c>
      <c r="D9093" s="1" t="n">
        <v>933.7</v>
      </c>
      <c r="E9093" s="1" t="n">
        <v>0.0339</v>
      </c>
      <c r="F9093" s="1" t="n">
        <v>0.0759</v>
      </c>
    </row>
    <row r="9094" customFormat="false" ht="15" hidden="false" customHeight="false" outlineLevel="0" collapsed="false">
      <c r="A9094" s="1" t="s">
        <v>9129</v>
      </c>
      <c r="B9094" s="1" t="s">
        <v>26</v>
      </c>
      <c r="C9094" s="1" t="n">
        <v>169000</v>
      </c>
      <c r="D9094" s="1" t="n">
        <v>852.7</v>
      </c>
      <c r="E9094" s="1" t="n">
        <v>0.0179</v>
      </c>
      <c r="F9094" s="1" t="n">
        <v>0.2294</v>
      </c>
    </row>
    <row r="9095" customFormat="false" ht="15" hidden="false" customHeight="false" outlineLevel="0" collapsed="false">
      <c r="A9095" s="1" t="s">
        <v>9130</v>
      </c>
      <c r="B9095" s="1" t="s">
        <v>41</v>
      </c>
      <c r="C9095" s="1" t="n">
        <v>176000</v>
      </c>
      <c r="D9095" s="1" t="n">
        <v>3130.8</v>
      </c>
      <c r="E9095" s="1" t="n">
        <v>0.0135</v>
      </c>
      <c r="F9095" s="1" t="n">
        <v>0.0657</v>
      </c>
    </row>
    <row r="9096" customFormat="false" ht="15" hidden="false" customHeight="false" outlineLevel="0" collapsed="false">
      <c r="A9096" s="1" t="s">
        <v>9131</v>
      </c>
      <c r="B9096" s="1" t="s">
        <v>74</v>
      </c>
      <c r="C9096" s="1" t="n">
        <v>290000</v>
      </c>
      <c r="D9096" s="1" t="n">
        <v>1922.1</v>
      </c>
      <c r="F9096" s="1" t="n">
        <v>0.0409</v>
      </c>
    </row>
    <row r="9097" customFormat="false" ht="15" hidden="false" customHeight="false" outlineLevel="0" collapsed="false">
      <c r="A9097" s="1" t="s">
        <v>9132</v>
      </c>
      <c r="B9097" s="1" t="s">
        <v>24</v>
      </c>
      <c r="C9097" s="1" t="n">
        <v>260000</v>
      </c>
      <c r="D9097" s="1" t="n">
        <v>34598.1</v>
      </c>
      <c r="E9097" s="1" t="n">
        <v>0.0175</v>
      </c>
      <c r="F9097" s="1" t="n">
        <v>0.1053</v>
      </c>
    </row>
    <row r="9098" customFormat="false" ht="15" hidden="false" customHeight="false" outlineLevel="0" collapsed="false">
      <c r="A9098" s="1" t="s">
        <v>9133</v>
      </c>
      <c r="B9098" s="1" t="s">
        <v>214</v>
      </c>
      <c r="C9098" s="1" t="n">
        <v>210000</v>
      </c>
      <c r="D9098" s="1" t="n">
        <v>511.8</v>
      </c>
      <c r="E9098" s="1" t="n">
        <v>0.0474</v>
      </c>
      <c r="F9098" s="1" t="n">
        <v>0.0759</v>
      </c>
    </row>
    <row r="9099" customFormat="false" ht="15" hidden="false" customHeight="false" outlineLevel="0" collapsed="false">
      <c r="A9099" s="1" t="s">
        <v>9134</v>
      </c>
      <c r="B9099" s="1" t="s">
        <v>195</v>
      </c>
      <c r="C9099" s="1" t="n">
        <v>401000</v>
      </c>
      <c r="D9099" s="1" t="n">
        <v>530.4</v>
      </c>
      <c r="E9099" s="1" t="n">
        <v>0.0399</v>
      </c>
      <c r="F9099" s="1" t="n">
        <v>0.0951</v>
      </c>
    </row>
    <row r="9100" customFormat="false" ht="15" hidden="false" customHeight="false" outlineLevel="0" collapsed="false">
      <c r="A9100" s="1" t="s">
        <v>9135</v>
      </c>
      <c r="B9100" s="1" t="s">
        <v>26</v>
      </c>
      <c r="C9100" s="1" t="n">
        <v>462000</v>
      </c>
      <c r="D9100" s="1" t="n">
        <v>211555.7</v>
      </c>
      <c r="E9100" s="1" t="n">
        <v>0.054</v>
      </c>
      <c r="F9100" s="1" t="n">
        <v>0.0759</v>
      </c>
    </row>
    <row r="9101" customFormat="false" ht="15" hidden="false" customHeight="false" outlineLevel="0" collapsed="false">
      <c r="A9101" s="1" t="s">
        <v>9136</v>
      </c>
      <c r="B9101" s="1" t="s">
        <v>81</v>
      </c>
      <c r="C9101" s="1" t="n">
        <v>184000</v>
      </c>
      <c r="D9101" s="1" t="n">
        <v>13802</v>
      </c>
      <c r="E9101" s="1" t="n">
        <v>0.0195</v>
      </c>
      <c r="F9101" s="1" t="n">
        <v>0.0585</v>
      </c>
    </row>
    <row r="9102" customFormat="false" ht="15" hidden="false" customHeight="false" outlineLevel="0" collapsed="false">
      <c r="A9102" s="1" t="s">
        <v>9137</v>
      </c>
      <c r="B9102" s="1" t="s">
        <v>92</v>
      </c>
      <c r="C9102" s="1" t="n">
        <v>251000</v>
      </c>
      <c r="D9102" s="1" t="n">
        <v>67694.6</v>
      </c>
      <c r="F9102" s="1" t="n">
        <v>0.0518</v>
      </c>
    </row>
    <row r="9103" customFormat="false" ht="15" hidden="false" customHeight="false" outlineLevel="0" collapsed="false">
      <c r="A9103" s="1" t="s">
        <v>9138</v>
      </c>
      <c r="B9103" s="1" t="s">
        <v>24</v>
      </c>
      <c r="C9103" s="1" t="n">
        <v>199000</v>
      </c>
      <c r="D9103" s="1" t="n">
        <v>35139.9</v>
      </c>
      <c r="E9103" s="1" t="n">
        <v>0.0147</v>
      </c>
      <c r="F9103" s="1" t="n">
        <v>0.1053</v>
      </c>
    </row>
    <row r="9104" customFormat="false" ht="15" hidden="false" customHeight="false" outlineLevel="0" collapsed="false">
      <c r="A9104" s="1" t="s">
        <v>9139</v>
      </c>
      <c r="B9104" s="1" t="s">
        <v>62</v>
      </c>
      <c r="C9104" s="1" t="n">
        <v>370000</v>
      </c>
      <c r="D9104" s="1" t="n">
        <v>6424.3</v>
      </c>
      <c r="E9104" s="1" t="n">
        <v>0.0176</v>
      </c>
      <c r="F9104" s="1" t="n">
        <v>0.0585</v>
      </c>
    </row>
    <row r="9105" customFormat="false" ht="15" hidden="false" customHeight="false" outlineLevel="0" collapsed="false">
      <c r="A9105" s="1" t="s">
        <v>9140</v>
      </c>
      <c r="B9105" s="1" t="s">
        <v>214</v>
      </c>
      <c r="C9105" s="1" t="n">
        <v>219000</v>
      </c>
      <c r="D9105" s="1" t="n">
        <v>1034.9</v>
      </c>
      <c r="E9105" s="1" t="n">
        <v>0.0081</v>
      </c>
      <c r="F9105" s="1" t="n">
        <v>0.1058</v>
      </c>
    </row>
    <row r="9106" customFormat="false" ht="15" hidden="false" customHeight="false" outlineLevel="0" collapsed="false">
      <c r="A9106" s="1" t="s">
        <v>9141</v>
      </c>
      <c r="B9106" s="1" t="s">
        <v>26</v>
      </c>
      <c r="C9106" s="1" t="n">
        <v>235000</v>
      </c>
      <c r="D9106" s="1" t="n">
        <v>21857.2</v>
      </c>
      <c r="F9106" s="1" t="n">
        <v>0.0759</v>
      </c>
    </row>
    <row r="9107" customFormat="false" ht="15" hidden="false" customHeight="false" outlineLevel="0" collapsed="false">
      <c r="A9107" s="1" t="s">
        <v>9142</v>
      </c>
      <c r="B9107" s="1" t="s">
        <v>81</v>
      </c>
      <c r="C9107" s="1" t="n">
        <v>306000</v>
      </c>
      <c r="D9107" s="1" t="n">
        <v>3069.2</v>
      </c>
      <c r="E9107" s="1" t="n">
        <v>0.0372</v>
      </c>
      <c r="F9107" s="1" t="n">
        <v>0.0759</v>
      </c>
    </row>
    <row r="9108" customFormat="false" ht="15" hidden="false" customHeight="false" outlineLevel="0" collapsed="false">
      <c r="A9108" s="1" t="s">
        <v>9143</v>
      </c>
      <c r="B9108" s="1" t="s">
        <v>26</v>
      </c>
      <c r="C9108" s="1" t="n">
        <v>218000</v>
      </c>
      <c r="D9108" s="1" t="n">
        <v>5175.5</v>
      </c>
      <c r="E9108" s="1" t="n">
        <v>0.0225</v>
      </c>
      <c r="F9108" s="1" t="n">
        <v>0.0759</v>
      </c>
    </row>
    <row r="9109" customFormat="false" ht="15" hidden="false" customHeight="false" outlineLevel="0" collapsed="false">
      <c r="A9109" s="1" t="s">
        <v>9144</v>
      </c>
      <c r="B9109" s="1" t="s">
        <v>92</v>
      </c>
      <c r="C9109" s="1" t="n">
        <v>344000</v>
      </c>
      <c r="D9109" s="1" t="n">
        <v>309875.8</v>
      </c>
      <c r="E9109" s="1" t="n">
        <v>0.0125</v>
      </c>
      <c r="F9109" s="1" t="n">
        <v>0.0462</v>
      </c>
    </row>
    <row r="9110" customFormat="false" ht="15" hidden="false" customHeight="false" outlineLevel="0" collapsed="false">
      <c r="A9110" s="1" t="s">
        <v>9145</v>
      </c>
      <c r="B9110" s="1" t="s">
        <v>62</v>
      </c>
      <c r="C9110" s="1" t="n">
        <v>492000</v>
      </c>
      <c r="D9110" s="1" t="n">
        <v>11238.4</v>
      </c>
      <c r="E9110" s="1" t="n">
        <v>0.0232</v>
      </c>
      <c r="F9110" s="1" t="n">
        <v>0.3832</v>
      </c>
    </row>
    <row r="9111" customFormat="false" ht="15" hidden="false" customHeight="false" outlineLevel="0" collapsed="false">
      <c r="A9111" s="1" t="s">
        <v>9146</v>
      </c>
      <c r="B9111" s="1" t="s">
        <v>81</v>
      </c>
      <c r="C9111" s="1" t="n">
        <v>303000</v>
      </c>
      <c r="D9111" s="1" t="n">
        <v>31620.4</v>
      </c>
      <c r="E9111" s="1" t="n">
        <v>0.0358</v>
      </c>
      <c r="F9111" s="1" t="n">
        <v>0.0409</v>
      </c>
    </row>
    <row r="9112" customFormat="false" ht="15" hidden="false" customHeight="false" outlineLevel="0" collapsed="false">
      <c r="A9112" s="1" t="s">
        <v>9147</v>
      </c>
      <c r="B9112" s="1" t="s">
        <v>24</v>
      </c>
      <c r="C9112" s="1" t="n">
        <v>206000</v>
      </c>
      <c r="D9112" s="1" t="n">
        <v>736.9</v>
      </c>
      <c r="E9112" s="1" t="n">
        <v>0.0389</v>
      </c>
      <c r="F9112" s="1" t="n">
        <v>0.051</v>
      </c>
    </row>
    <row r="9113" customFormat="false" ht="15" hidden="false" customHeight="false" outlineLevel="0" collapsed="false">
      <c r="A9113" s="1" t="s">
        <v>9148</v>
      </c>
      <c r="B9113" s="1" t="s">
        <v>41</v>
      </c>
      <c r="C9113" s="1" t="n">
        <v>379000</v>
      </c>
      <c r="D9113" s="1" t="n">
        <v>274.5</v>
      </c>
      <c r="E9113" s="1" t="n">
        <v>0.0196</v>
      </c>
      <c r="F9113" s="1" t="n">
        <v>0.2059</v>
      </c>
    </row>
    <row r="9114" customFormat="false" ht="15" hidden="false" customHeight="false" outlineLevel="0" collapsed="false">
      <c r="A9114" s="1" t="s">
        <v>9149</v>
      </c>
      <c r="B9114" s="1" t="s">
        <v>26</v>
      </c>
      <c r="C9114" s="1" t="n">
        <v>268000</v>
      </c>
      <c r="D9114" s="1" t="n">
        <v>1175.2</v>
      </c>
      <c r="E9114" s="1" t="n">
        <v>0.0402</v>
      </c>
      <c r="F9114" s="1" t="n">
        <v>0.0938</v>
      </c>
    </row>
    <row r="9115" customFormat="false" ht="15" hidden="false" customHeight="false" outlineLevel="0" collapsed="false">
      <c r="A9115" s="1" t="s">
        <v>9150</v>
      </c>
      <c r="B9115" s="1" t="s">
        <v>74</v>
      </c>
      <c r="C9115" s="1" t="n">
        <v>220000</v>
      </c>
      <c r="D9115" s="1" t="n">
        <v>2099.7</v>
      </c>
      <c r="E9115" s="1" t="n">
        <v>0.0418</v>
      </c>
      <c r="F9115" s="1" t="n">
        <v>0.0938</v>
      </c>
    </row>
    <row r="9116" customFormat="false" ht="15" hidden="false" customHeight="false" outlineLevel="0" collapsed="false">
      <c r="A9116" s="1" t="s">
        <v>9151</v>
      </c>
      <c r="B9116" s="1" t="s">
        <v>26</v>
      </c>
      <c r="C9116" s="1" t="n">
        <v>292000</v>
      </c>
      <c r="D9116" s="1" t="n">
        <v>921.8</v>
      </c>
      <c r="E9116" s="1" t="n">
        <v>0.0175</v>
      </c>
      <c r="F9116" s="1" t="n">
        <v>0.0576</v>
      </c>
    </row>
    <row r="9117" customFormat="false" ht="15" hidden="false" customHeight="false" outlineLevel="0" collapsed="false">
      <c r="A9117" s="1" t="s">
        <v>9152</v>
      </c>
      <c r="B9117" s="1" t="s">
        <v>490</v>
      </c>
      <c r="C9117" s="1" t="n">
        <v>176000</v>
      </c>
      <c r="D9117" s="1" t="n">
        <v>230.7</v>
      </c>
      <c r="E9117" s="1" t="n">
        <v>0.0261</v>
      </c>
      <c r="F9117" s="1" t="n">
        <v>0.0409</v>
      </c>
    </row>
    <row r="9118" customFormat="false" ht="15" hidden="false" customHeight="false" outlineLevel="0" collapsed="false">
      <c r="A9118" s="1" t="s">
        <v>9153</v>
      </c>
      <c r="B9118" s="1" t="s">
        <v>74</v>
      </c>
      <c r="C9118" s="1" t="n">
        <v>436000</v>
      </c>
      <c r="D9118" s="1" t="n">
        <v>1770.2</v>
      </c>
      <c r="E9118" s="1" t="n">
        <v>0.0242</v>
      </c>
      <c r="F9118" s="1" t="n">
        <v>0.0854</v>
      </c>
    </row>
    <row r="9119" customFormat="false" ht="15" hidden="false" customHeight="false" outlineLevel="0" collapsed="false">
      <c r="A9119" s="1" t="s">
        <v>9154</v>
      </c>
      <c r="B9119" s="1" t="s">
        <v>62</v>
      </c>
      <c r="C9119" s="1" t="n">
        <v>201000</v>
      </c>
      <c r="D9119" s="1" t="n">
        <v>7157.9</v>
      </c>
      <c r="E9119" s="1" t="n">
        <v>0.0231</v>
      </c>
      <c r="F9119" s="1" t="n">
        <v>0.0759</v>
      </c>
    </row>
    <row r="9120" customFormat="false" ht="15" hidden="false" customHeight="false" outlineLevel="0" collapsed="false">
      <c r="A9120" s="1" t="s">
        <v>9155</v>
      </c>
      <c r="B9120" s="1" t="s">
        <v>24</v>
      </c>
      <c r="C9120" s="1" t="n">
        <v>259000</v>
      </c>
      <c r="D9120" s="1" t="n">
        <v>13227.7</v>
      </c>
      <c r="E9120" s="1" t="n">
        <v>0.0031</v>
      </c>
      <c r="F9120" s="1" t="n">
        <v>0.073</v>
      </c>
    </row>
    <row r="9121" customFormat="false" ht="15" hidden="false" customHeight="false" outlineLevel="0" collapsed="false">
      <c r="A9121" s="1" t="s">
        <v>9156</v>
      </c>
      <c r="B9121" s="1" t="s">
        <v>26</v>
      </c>
      <c r="C9121" s="1" t="n">
        <v>178000</v>
      </c>
      <c r="D9121" s="1" t="n">
        <v>483.4</v>
      </c>
      <c r="E9121" s="1" t="n">
        <v>0.0101</v>
      </c>
      <c r="F9121" s="1" t="n">
        <v>0.131</v>
      </c>
    </row>
    <row r="9122" customFormat="false" ht="15" hidden="false" customHeight="false" outlineLevel="0" collapsed="false">
      <c r="A9122" s="1" t="s">
        <v>9157</v>
      </c>
      <c r="B9122" s="1" t="s">
        <v>41</v>
      </c>
      <c r="C9122" s="1" t="n">
        <v>209000</v>
      </c>
      <c r="D9122" s="1" t="n">
        <v>806422.6</v>
      </c>
      <c r="E9122" s="1" t="n">
        <v>0.0209</v>
      </c>
      <c r="F9122" s="1" t="n">
        <v>0.2089</v>
      </c>
    </row>
    <row r="9123" customFormat="false" ht="15" hidden="false" customHeight="false" outlineLevel="0" collapsed="false">
      <c r="A9123" s="1" t="s">
        <v>9158</v>
      </c>
      <c r="B9123" s="1" t="s">
        <v>24</v>
      </c>
      <c r="C9123" s="1" t="n">
        <v>373000</v>
      </c>
      <c r="D9123" s="1" t="n">
        <v>38735.3</v>
      </c>
      <c r="E9123" s="1" t="n">
        <v>0.0334</v>
      </c>
      <c r="F9123" s="1" t="n">
        <v>0.0672</v>
      </c>
    </row>
    <row r="9124" customFormat="false" ht="15" hidden="false" customHeight="false" outlineLevel="0" collapsed="false">
      <c r="A9124" s="1" t="s">
        <v>9159</v>
      </c>
      <c r="B9124" s="1" t="s">
        <v>26</v>
      </c>
      <c r="C9124" s="1" t="n">
        <v>176000</v>
      </c>
      <c r="D9124" s="1" t="n">
        <v>32716</v>
      </c>
      <c r="E9124" s="1" t="n">
        <v>0.0358</v>
      </c>
      <c r="F9124" s="1" t="n">
        <v>0.0951</v>
      </c>
    </row>
    <row r="9125" customFormat="false" ht="15" hidden="false" customHeight="false" outlineLevel="0" collapsed="false">
      <c r="A9125" s="1" t="s">
        <v>9160</v>
      </c>
      <c r="B9125" s="1" t="s">
        <v>24</v>
      </c>
      <c r="C9125" s="1" t="n">
        <v>181000</v>
      </c>
      <c r="D9125" s="1" t="n">
        <v>51441.8</v>
      </c>
      <c r="E9125" s="1" t="n">
        <v>0.0447</v>
      </c>
      <c r="F9125" s="1" t="n">
        <v>0.0951</v>
      </c>
    </row>
    <row r="9126" customFormat="false" ht="15" hidden="false" customHeight="false" outlineLevel="0" collapsed="false">
      <c r="A9126" s="1" t="s">
        <v>9161</v>
      </c>
      <c r="B9126" s="1" t="s">
        <v>53</v>
      </c>
      <c r="C9126" s="1" t="n">
        <v>173000</v>
      </c>
      <c r="D9126" s="1" t="n">
        <v>24962.3</v>
      </c>
      <c r="E9126" s="1" t="n">
        <v>0.075</v>
      </c>
      <c r="F9126" s="1" t="n">
        <v>0.0951</v>
      </c>
    </row>
    <row r="9127" customFormat="false" ht="15" hidden="false" customHeight="false" outlineLevel="0" collapsed="false">
      <c r="A9127" s="1" t="s">
        <v>9162</v>
      </c>
      <c r="B9127" s="1" t="s">
        <v>74</v>
      </c>
      <c r="C9127" s="1" t="n">
        <v>240000</v>
      </c>
      <c r="D9127" s="1" t="n">
        <v>750.5</v>
      </c>
      <c r="E9127" s="1" t="n">
        <v>0.0219</v>
      </c>
      <c r="F9127" s="1" t="n">
        <v>0.0757</v>
      </c>
    </row>
    <row r="9128" customFormat="false" ht="15" hidden="false" customHeight="false" outlineLevel="0" collapsed="false">
      <c r="A9128" s="1" t="s">
        <v>9163</v>
      </c>
      <c r="B9128" s="1" t="s">
        <v>81</v>
      </c>
      <c r="C9128" s="1" t="n">
        <v>173000</v>
      </c>
      <c r="D9128" s="1" t="n">
        <v>5118.7</v>
      </c>
      <c r="E9128" s="1" t="n">
        <v>0.0098</v>
      </c>
      <c r="F9128" s="1" t="n">
        <v>0.1471</v>
      </c>
    </row>
    <row r="9129" customFormat="false" ht="15" hidden="false" customHeight="false" outlineLevel="0" collapsed="false">
      <c r="A9129" s="1" t="s">
        <v>9164</v>
      </c>
      <c r="B9129" s="1" t="s">
        <v>74</v>
      </c>
      <c r="C9129" s="1" t="n">
        <v>168000</v>
      </c>
      <c r="D9129" s="1" t="n">
        <v>852</v>
      </c>
      <c r="E9129" s="1" t="n">
        <v>0.0563</v>
      </c>
      <c r="F9129" s="1" t="n">
        <v>0.0951</v>
      </c>
    </row>
    <row r="9130" customFormat="false" ht="15" hidden="false" customHeight="false" outlineLevel="0" collapsed="false">
      <c r="A9130" s="1" t="s">
        <v>9165</v>
      </c>
      <c r="B9130" s="1" t="s">
        <v>41</v>
      </c>
      <c r="C9130" s="1" t="n">
        <v>173000</v>
      </c>
      <c r="D9130" s="1" t="n">
        <v>85.8</v>
      </c>
      <c r="E9130" s="1" t="n">
        <v>0.0044</v>
      </c>
      <c r="F9130" s="1" t="n">
        <v>0.417</v>
      </c>
    </row>
    <row r="9131" customFormat="false" ht="15" hidden="false" customHeight="false" outlineLevel="0" collapsed="false">
      <c r="A9131" s="1" t="s">
        <v>9166</v>
      </c>
      <c r="B9131" s="1" t="s">
        <v>26</v>
      </c>
      <c r="C9131" s="1" t="n">
        <v>179000</v>
      </c>
      <c r="D9131" s="1" t="n">
        <v>23645</v>
      </c>
      <c r="E9131" s="1" t="n">
        <v>0.0253</v>
      </c>
      <c r="F9131" s="1" t="n">
        <v>0.0951</v>
      </c>
    </row>
    <row r="9132" customFormat="false" ht="15" hidden="false" customHeight="false" outlineLevel="0" collapsed="false">
      <c r="A9132" s="1" t="s">
        <v>9167</v>
      </c>
      <c r="B9132" s="1" t="s">
        <v>53</v>
      </c>
      <c r="C9132" s="1" t="n">
        <v>181000</v>
      </c>
      <c r="D9132" s="1" t="n">
        <v>5194.1</v>
      </c>
      <c r="E9132" s="1" t="n">
        <v>0.0557</v>
      </c>
      <c r="F9132" s="1" t="n">
        <v>0.0759</v>
      </c>
    </row>
    <row r="9133" customFormat="false" ht="15" hidden="false" customHeight="false" outlineLevel="0" collapsed="false">
      <c r="A9133" s="1" t="s">
        <v>9168</v>
      </c>
      <c r="B9133" s="1" t="s">
        <v>71</v>
      </c>
      <c r="C9133" s="1" t="n">
        <v>172000</v>
      </c>
      <c r="D9133" s="1" t="n">
        <v>831.2</v>
      </c>
      <c r="E9133" s="1" t="n">
        <v>0.0208</v>
      </c>
      <c r="F9133" s="1" t="n">
        <v>0.1067</v>
      </c>
    </row>
    <row r="9134" customFormat="false" ht="15" hidden="false" customHeight="false" outlineLevel="0" collapsed="false">
      <c r="A9134" s="1" t="s">
        <v>9169</v>
      </c>
      <c r="B9134" s="1" t="s">
        <v>287</v>
      </c>
      <c r="C9134" s="1" t="n">
        <v>176000</v>
      </c>
      <c r="D9134" s="1" t="n">
        <v>1023.6</v>
      </c>
      <c r="E9134" s="1" t="n">
        <v>0.0129</v>
      </c>
      <c r="F9134" s="1" t="n">
        <v>0.0736</v>
      </c>
    </row>
    <row r="9135" customFormat="false" ht="15" hidden="false" customHeight="false" outlineLevel="0" collapsed="false">
      <c r="A9135" s="1" t="s">
        <v>9170</v>
      </c>
      <c r="B9135" s="1" t="s">
        <v>26</v>
      </c>
      <c r="C9135" s="1" t="n">
        <v>286000</v>
      </c>
      <c r="D9135" s="1" t="n">
        <v>6223.8</v>
      </c>
      <c r="E9135" s="1" t="n">
        <v>0.0214</v>
      </c>
      <c r="F9135" s="1" t="n">
        <v>0.0854</v>
      </c>
    </row>
    <row r="9136" customFormat="false" ht="15" hidden="false" customHeight="false" outlineLevel="0" collapsed="false">
      <c r="A9136" s="1" t="s">
        <v>9171</v>
      </c>
      <c r="B9136" s="1" t="s">
        <v>62</v>
      </c>
      <c r="C9136" s="1" t="n">
        <v>242000</v>
      </c>
      <c r="D9136" s="1" t="n">
        <v>21931</v>
      </c>
      <c r="E9136" s="1" t="n">
        <v>0.0505</v>
      </c>
      <c r="F9136" s="1" t="n">
        <v>0.0672</v>
      </c>
    </row>
    <row r="9137" customFormat="false" ht="15" hidden="false" customHeight="false" outlineLevel="0" collapsed="false">
      <c r="A9137" s="1" t="s">
        <v>9172</v>
      </c>
      <c r="B9137" s="1" t="s">
        <v>62</v>
      </c>
      <c r="C9137" s="1" t="n">
        <v>179000</v>
      </c>
      <c r="D9137" s="1" t="n">
        <v>2937.2</v>
      </c>
      <c r="E9137" s="1" t="n">
        <v>0.0267</v>
      </c>
      <c r="F9137" s="1" t="n">
        <v>0.0951</v>
      </c>
    </row>
    <row r="9138" customFormat="false" ht="15" hidden="false" customHeight="false" outlineLevel="0" collapsed="false">
      <c r="A9138" s="1" t="s">
        <v>9173</v>
      </c>
      <c r="B9138" s="1" t="s">
        <v>71</v>
      </c>
      <c r="C9138" s="1" t="n">
        <v>182000</v>
      </c>
      <c r="D9138" s="1" t="n">
        <v>6401.1</v>
      </c>
      <c r="E9138" s="1" t="n">
        <v>0.0192</v>
      </c>
      <c r="F9138" s="1" t="n">
        <v>0.0854</v>
      </c>
    </row>
    <row r="9139" customFormat="false" ht="15" hidden="false" customHeight="false" outlineLevel="0" collapsed="false">
      <c r="A9139" s="1" t="s">
        <v>9174</v>
      </c>
      <c r="B9139" s="1" t="s">
        <v>26</v>
      </c>
      <c r="C9139" s="1" t="n">
        <v>272000</v>
      </c>
      <c r="D9139" s="1" t="n">
        <v>106744.3</v>
      </c>
      <c r="E9139" s="1" t="n">
        <v>0.0193</v>
      </c>
      <c r="F9139" s="1" t="n">
        <v>0.1067</v>
      </c>
    </row>
    <row r="9140" customFormat="false" ht="15" hidden="false" customHeight="false" outlineLevel="0" collapsed="false">
      <c r="A9140" s="1" t="s">
        <v>9175</v>
      </c>
      <c r="B9140" s="1" t="s">
        <v>30</v>
      </c>
      <c r="C9140" s="1" t="n">
        <v>652000</v>
      </c>
      <c r="D9140" s="1" t="n">
        <v>1464197.3</v>
      </c>
      <c r="E9140" s="1" t="n">
        <v>0.0111</v>
      </c>
      <c r="F9140" s="1" t="n">
        <v>0.0736</v>
      </c>
    </row>
    <row r="9141" customFormat="false" ht="15" hidden="false" customHeight="false" outlineLevel="0" collapsed="false">
      <c r="A9141" s="1" t="s">
        <v>9176</v>
      </c>
      <c r="B9141" s="1" t="s">
        <v>214</v>
      </c>
      <c r="C9141" s="1" t="n">
        <v>185000</v>
      </c>
      <c r="D9141" s="1" t="n">
        <v>2619.1</v>
      </c>
      <c r="E9141" s="1" t="n">
        <v>0.091</v>
      </c>
      <c r="F9141" s="1" t="n">
        <v>0.6292</v>
      </c>
    </row>
    <row r="9142" customFormat="false" ht="15" hidden="false" customHeight="false" outlineLevel="0" collapsed="false">
      <c r="A9142" s="1" t="s">
        <v>9177</v>
      </c>
      <c r="B9142" s="1" t="s">
        <v>24</v>
      </c>
      <c r="C9142" s="1" t="n">
        <v>207000</v>
      </c>
      <c r="D9142" s="1" t="n">
        <v>781.5</v>
      </c>
      <c r="E9142" s="1" t="n">
        <v>0.0317</v>
      </c>
      <c r="F9142" s="1" t="n">
        <v>0.0998</v>
      </c>
    </row>
    <row r="9143" customFormat="false" ht="15" hidden="false" customHeight="false" outlineLevel="0" collapsed="false">
      <c r="A9143" s="1" t="s">
        <v>9178</v>
      </c>
      <c r="B9143" s="1" t="s">
        <v>32</v>
      </c>
      <c r="C9143" s="1" t="n">
        <v>176000</v>
      </c>
      <c r="D9143" s="1" t="n">
        <v>759905.8</v>
      </c>
      <c r="E9143" s="1" t="n">
        <v>0.0149</v>
      </c>
      <c r="F9143" s="1" t="n">
        <v>0.0585</v>
      </c>
    </row>
    <row r="9144" customFormat="false" ht="15" hidden="false" customHeight="false" outlineLevel="0" collapsed="false">
      <c r="A9144" s="1" t="s">
        <v>9179</v>
      </c>
      <c r="B9144" s="1" t="s">
        <v>26</v>
      </c>
      <c r="C9144" s="1" t="n">
        <v>225000</v>
      </c>
      <c r="D9144" s="1" t="n">
        <v>21181</v>
      </c>
      <c r="E9144" s="1" t="n">
        <v>0.0227</v>
      </c>
      <c r="F9144" s="1" t="n">
        <v>0.1387</v>
      </c>
    </row>
    <row r="9145" customFormat="false" ht="15" hidden="false" customHeight="false" outlineLevel="0" collapsed="false">
      <c r="A9145" s="1" t="s">
        <v>9180</v>
      </c>
      <c r="B9145" s="1" t="s">
        <v>88</v>
      </c>
      <c r="C9145" s="1" t="n">
        <v>251000</v>
      </c>
      <c r="D9145" s="1" t="n">
        <v>18300.9</v>
      </c>
      <c r="E9145" s="1" t="n">
        <v>0.0269</v>
      </c>
      <c r="F9145" s="1" t="n">
        <v>0.0518</v>
      </c>
    </row>
    <row r="9146" customFormat="false" ht="15" hidden="false" customHeight="false" outlineLevel="0" collapsed="false">
      <c r="A9146" s="1" t="s">
        <v>9181</v>
      </c>
      <c r="B9146" s="1" t="s">
        <v>53</v>
      </c>
      <c r="C9146" s="1" t="n">
        <v>241000</v>
      </c>
      <c r="D9146" s="1" t="n">
        <v>173622.1</v>
      </c>
      <c r="E9146" s="1" t="n">
        <v>0.0439</v>
      </c>
      <c r="F9146" s="1" t="n">
        <v>0.0518</v>
      </c>
    </row>
    <row r="9147" customFormat="false" ht="15" hidden="false" customHeight="false" outlineLevel="0" collapsed="false">
      <c r="A9147" s="1" t="s">
        <v>9182</v>
      </c>
      <c r="B9147" s="1" t="s">
        <v>88</v>
      </c>
      <c r="C9147" s="1" t="n">
        <v>184000</v>
      </c>
      <c r="D9147" s="1" t="n">
        <v>269</v>
      </c>
      <c r="E9147" s="1" t="n">
        <v>0.1086</v>
      </c>
      <c r="F9147" s="1" t="n">
        <v>0.5061</v>
      </c>
    </row>
    <row r="9148" customFormat="false" ht="15" hidden="false" customHeight="false" outlineLevel="0" collapsed="false">
      <c r="A9148" s="1" t="s">
        <v>9183</v>
      </c>
      <c r="B9148" s="1" t="s">
        <v>92</v>
      </c>
      <c r="C9148" s="1" t="n">
        <v>279000</v>
      </c>
      <c r="D9148" s="1" t="n">
        <v>8232.3</v>
      </c>
      <c r="E9148" s="1" t="n">
        <v>0.032</v>
      </c>
      <c r="F9148" s="1" t="n">
        <v>0.051</v>
      </c>
    </row>
    <row r="9149" customFormat="false" ht="15" hidden="false" customHeight="false" outlineLevel="0" collapsed="false">
      <c r="A9149" s="1" t="s">
        <v>9184</v>
      </c>
      <c r="B9149" s="1" t="s">
        <v>50</v>
      </c>
      <c r="C9149" s="1" t="n">
        <v>190000</v>
      </c>
      <c r="D9149" s="1" t="n">
        <v>2058.9</v>
      </c>
      <c r="E9149" s="1" t="n">
        <v>0.0256</v>
      </c>
      <c r="F9149" s="1" t="n">
        <v>0.0951</v>
      </c>
    </row>
    <row r="9150" customFormat="false" ht="15" hidden="false" customHeight="false" outlineLevel="0" collapsed="false">
      <c r="A9150" s="1" t="s">
        <v>9185</v>
      </c>
      <c r="B9150" s="1" t="s">
        <v>88</v>
      </c>
      <c r="C9150" s="1" t="n">
        <v>269000</v>
      </c>
      <c r="D9150" s="1" t="n">
        <v>2583.7</v>
      </c>
      <c r="E9150" s="1" t="n">
        <v>0.0321</v>
      </c>
      <c r="F9150" s="1" t="n">
        <v>0.0951</v>
      </c>
    </row>
    <row r="9151" customFormat="false" ht="15" hidden="false" customHeight="false" outlineLevel="0" collapsed="false">
      <c r="A9151" s="1" t="s">
        <v>9186</v>
      </c>
      <c r="B9151" s="1" t="s">
        <v>26</v>
      </c>
      <c r="C9151" s="1" t="n">
        <v>193000</v>
      </c>
      <c r="D9151" s="1" t="n">
        <v>42782.4</v>
      </c>
      <c r="E9151" s="1" t="n">
        <v>0.0095</v>
      </c>
      <c r="F9151" s="1" t="n">
        <v>0.0822</v>
      </c>
    </row>
    <row r="9152" customFormat="false" ht="15" hidden="false" customHeight="false" outlineLevel="0" collapsed="false">
      <c r="A9152" s="1" t="s">
        <v>9187</v>
      </c>
      <c r="B9152" s="1" t="s">
        <v>24</v>
      </c>
      <c r="C9152" s="1" t="n">
        <v>250000</v>
      </c>
      <c r="D9152" s="1" t="n">
        <v>3624.8</v>
      </c>
      <c r="E9152" s="1" t="n">
        <v>0.0171</v>
      </c>
      <c r="F9152" s="1" t="n">
        <v>0.131</v>
      </c>
    </row>
    <row r="9153" customFormat="false" ht="15" hidden="false" customHeight="false" outlineLevel="0" collapsed="false">
      <c r="A9153" s="1" t="s">
        <v>9188</v>
      </c>
      <c r="B9153" s="1" t="s">
        <v>41</v>
      </c>
      <c r="C9153" s="1" t="n">
        <v>275000</v>
      </c>
      <c r="D9153" s="1" t="n">
        <v>1746.7</v>
      </c>
      <c r="E9153" s="1" t="n">
        <v>0.0294</v>
      </c>
      <c r="F9153" s="1" t="n">
        <v>0.0759</v>
      </c>
    </row>
    <row r="9154" customFormat="false" ht="15" hidden="false" customHeight="false" outlineLevel="0" collapsed="false">
      <c r="A9154" s="1" t="s">
        <v>9189</v>
      </c>
      <c r="B9154" s="1" t="s">
        <v>24</v>
      </c>
      <c r="C9154" s="1" t="n">
        <v>239000</v>
      </c>
      <c r="D9154" s="1" t="n">
        <v>87308.7</v>
      </c>
      <c r="F9154" s="1" t="n">
        <v>0.0759</v>
      </c>
    </row>
    <row r="9155" customFormat="false" ht="15" hidden="false" customHeight="false" outlineLevel="0" collapsed="false">
      <c r="A9155" s="1" t="s">
        <v>9190</v>
      </c>
      <c r="B9155" s="1" t="s">
        <v>26</v>
      </c>
      <c r="C9155" s="1" t="n">
        <v>327000</v>
      </c>
      <c r="D9155" s="1" t="n">
        <v>263</v>
      </c>
      <c r="E9155" s="1" t="n">
        <v>0.0388</v>
      </c>
      <c r="F9155" s="1" t="n">
        <v>0.0998</v>
      </c>
    </row>
    <row r="9156" customFormat="false" ht="15" hidden="false" customHeight="false" outlineLevel="0" collapsed="false">
      <c r="A9156" s="1" t="s">
        <v>9191</v>
      </c>
      <c r="B9156" s="1" t="s">
        <v>26</v>
      </c>
      <c r="C9156" s="1" t="n">
        <v>220000</v>
      </c>
      <c r="D9156" s="1" t="n">
        <v>1367</v>
      </c>
      <c r="E9156" s="1" t="n">
        <v>0.0141</v>
      </c>
      <c r="F9156" s="1" t="n">
        <v>0.095</v>
      </c>
    </row>
    <row r="9157" customFormat="false" ht="15" hidden="false" customHeight="false" outlineLevel="0" collapsed="false">
      <c r="A9157" s="1" t="s">
        <v>9192</v>
      </c>
      <c r="B9157" s="1" t="s">
        <v>26</v>
      </c>
      <c r="C9157" s="1" t="n">
        <v>261000</v>
      </c>
      <c r="D9157" s="1" t="n">
        <v>373131.5</v>
      </c>
      <c r="E9157" s="1" t="n">
        <v>0.0239</v>
      </c>
      <c r="F9157" s="1" t="n">
        <v>0.0759</v>
      </c>
    </row>
    <row r="9158" customFormat="false" ht="15" hidden="false" customHeight="false" outlineLevel="0" collapsed="false">
      <c r="A9158" s="1" t="s">
        <v>9193</v>
      </c>
      <c r="B9158" s="1" t="s">
        <v>74</v>
      </c>
      <c r="C9158" s="1" t="n">
        <v>291000</v>
      </c>
      <c r="D9158" s="1" t="n">
        <v>42783.8</v>
      </c>
      <c r="E9158" s="1" t="n">
        <v>0.0431</v>
      </c>
      <c r="F9158" s="1" t="n">
        <v>0.0759</v>
      </c>
    </row>
    <row r="9159" customFormat="false" ht="15" hidden="false" customHeight="false" outlineLevel="0" collapsed="false">
      <c r="A9159" s="1" t="s">
        <v>9194</v>
      </c>
      <c r="B9159" s="1" t="s">
        <v>88</v>
      </c>
      <c r="C9159" s="1" t="n">
        <v>173000</v>
      </c>
      <c r="D9159" s="1" t="n">
        <v>2042.4</v>
      </c>
      <c r="E9159" s="1" t="n">
        <v>0.0273</v>
      </c>
      <c r="F9159" s="1" t="n">
        <v>0.0679</v>
      </c>
    </row>
    <row r="9160" customFormat="false" ht="15" hidden="false" customHeight="false" outlineLevel="0" collapsed="false">
      <c r="A9160" s="1" t="s">
        <v>9195</v>
      </c>
      <c r="B9160" s="1" t="s">
        <v>26</v>
      </c>
      <c r="C9160" s="1" t="n">
        <v>213000</v>
      </c>
      <c r="D9160" s="1" t="n">
        <v>9904.6</v>
      </c>
      <c r="E9160" s="1" t="n">
        <v>0.0183</v>
      </c>
      <c r="F9160" s="1" t="n">
        <v>0.0585</v>
      </c>
    </row>
    <row r="9161" customFormat="false" ht="15" hidden="false" customHeight="false" outlineLevel="0" collapsed="false">
      <c r="A9161" s="1" t="s">
        <v>9196</v>
      </c>
      <c r="B9161" s="1" t="s">
        <v>88</v>
      </c>
      <c r="C9161" s="1" t="n">
        <v>170000</v>
      </c>
      <c r="D9161" s="1" t="n">
        <v>253.6</v>
      </c>
      <c r="F9161" s="1" t="n">
        <v>0.0518</v>
      </c>
    </row>
    <row r="9162" customFormat="false" ht="15" hidden="false" customHeight="false" outlineLevel="0" collapsed="false">
      <c r="A9162" s="1" t="s">
        <v>9197</v>
      </c>
      <c r="B9162" s="1" t="s">
        <v>74</v>
      </c>
      <c r="C9162" s="1" t="n">
        <v>187000</v>
      </c>
      <c r="D9162" s="1" t="n">
        <v>1312.1</v>
      </c>
      <c r="E9162" s="1" t="n">
        <v>0.0296</v>
      </c>
      <c r="F9162" s="1" t="n">
        <v>0.0938</v>
      </c>
    </row>
    <row r="9163" customFormat="false" ht="15" hidden="false" customHeight="false" outlineLevel="0" collapsed="false">
      <c r="A9163" s="1" t="s">
        <v>9198</v>
      </c>
      <c r="B9163" s="1" t="s">
        <v>92</v>
      </c>
      <c r="C9163" s="1" t="n">
        <v>2690000</v>
      </c>
      <c r="D9163" s="1" t="n">
        <v>73868.2</v>
      </c>
      <c r="E9163" s="1" t="n">
        <v>0.0202</v>
      </c>
      <c r="F9163" s="1" t="n">
        <v>0.051</v>
      </c>
    </row>
    <row r="9164" customFormat="false" ht="15" hidden="false" customHeight="false" outlineLevel="0" collapsed="false">
      <c r="A9164" s="1" t="s">
        <v>9199</v>
      </c>
      <c r="B9164" s="1" t="s">
        <v>88</v>
      </c>
      <c r="C9164" s="1" t="n">
        <v>193000</v>
      </c>
      <c r="D9164" s="1" t="n">
        <v>2620.8</v>
      </c>
      <c r="E9164" s="1" t="n">
        <v>0.0385</v>
      </c>
      <c r="F9164" s="1" t="n">
        <v>0.0938</v>
      </c>
    </row>
    <row r="9165" customFormat="false" ht="15" hidden="false" customHeight="false" outlineLevel="0" collapsed="false">
      <c r="A9165" s="1" t="s">
        <v>9200</v>
      </c>
      <c r="B9165" s="1" t="s">
        <v>74</v>
      </c>
      <c r="C9165" s="1" t="n">
        <v>170000</v>
      </c>
      <c r="D9165" s="1" t="n">
        <v>917.8</v>
      </c>
      <c r="E9165" s="1" t="n">
        <v>0.0209</v>
      </c>
      <c r="F9165" s="1" t="n">
        <v>0.1066</v>
      </c>
    </row>
    <row r="9166" customFormat="false" ht="15" hidden="false" customHeight="false" outlineLevel="0" collapsed="false">
      <c r="A9166" s="1" t="s">
        <v>9201</v>
      </c>
      <c r="B9166" s="1" t="s">
        <v>26</v>
      </c>
      <c r="C9166" s="1" t="n">
        <v>174000</v>
      </c>
      <c r="D9166" s="1" t="n">
        <v>12151.7</v>
      </c>
      <c r="E9166" s="1" t="n">
        <v>0.0302</v>
      </c>
      <c r="F9166" s="1" t="n">
        <v>0.0518</v>
      </c>
    </row>
    <row r="9167" customFormat="false" ht="15" hidden="false" customHeight="false" outlineLevel="0" collapsed="false">
      <c r="A9167" s="1" t="s">
        <v>9202</v>
      </c>
      <c r="B9167" s="1" t="s">
        <v>490</v>
      </c>
      <c r="C9167" s="1" t="n">
        <v>191000</v>
      </c>
      <c r="D9167" s="1" t="n">
        <v>468.5</v>
      </c>
      <c r="E9167" s="1" t="n">
        <v>0.0514</v>
      </c>
      <c r="F9167" s="1" t="n">
        <v>0.0998</v>
      </c>
    </row>
    <row r="9168" customFormat="false" ht="15" hidden="false" customHeight="false" outlineLevel="0" collapsed="false">
      <c r="A9168" s="1" t="s">
        <v>9203</v>
      </c>
      <c r="B9168" s="1" t="s">
        <v>26</v>
      </c>
      <c r="C9168" s="1" t="n">
        <v>172000</v>
      </c>
      <c r="D9168" s="1" t="n">
        <v>476.7</v>
      </c>
      <c r="E9168" s="1" t="n">
        <v>0.032</v>
      </c>
      <c r="F9168" s="1" t="n">
        <v>0.0518</v>
      </c>
    </row>
    <row r="9169" customFormat="false" ht="15" hidden="false" customHeight="false" outlineLevel="0" collapsed="false">
      <c r="A9169" s="1" t="s">
        <v>9204</v>
      </c>
      <c r="B9169" s="1" t="s">
        <v>81</v>
      </c>
      <c r="C9169" s="1" t="n">
        <v>214000</v>
      </c>
      <c r="D9169" s="1" t="n">
        <v>21953.3</v>
      </c>
      <c r="E9169" s="1" t="n">
        <v>0.0219</v>
      </c>
      <c r="F9169" s="1" t="n">
        <v>0.0951</v>
      </c>
    </row>
    <row r="9170" customFormat="false" ht="15" hidden="false" customHeight="false" outlineLevel="0" collapsed="false">
      <c r="A9170" s="1" t="s">
        <v>9205</v>
      </c>
      <c r="B9170" s="1" t="s">
        <v>81</v>
      </c>
      <c r="C9170" s="1" t="n">
        <v>249000</v>
      </c>
      <c r="D9170" s="1" t="n">
        <v>4491.8</v>
      </c>
      <c r="E9170" s="1" t="n">
        <v>0.036</v>
      </c>
      <c r="F9170" s="1" t="n">
        <v>0.0938</v>
      </c>
    </row>
    <row r="9171" customFormat="false" ht="15" hidden="false" customHeight="false" outlineLevel="0" collapsed="false">
      <c r="A9171" s="1" t="s">
        <v>9206</v>
      </c>
      <c r="B9171" s="1" t="s">
        <v>26</v>
      </c>
      <c r="C9171" s="1" t="n">
        <v>208000</v>
      </c>
      <c r="D9171" s="1" t="n">
        <v>1202.9</v>
      </c>
      <c r="E9171" s="1" t="n">
        <v>0.0478</v>
      </c>
      <c r="F9171" s="1" t="n">
        <v>0.0759</v>
      </c>
    </row>
    <row r="9172" customFormat="false" ht="15" hidden="false" customHeight="false" outlineLevel="0" collapsed="false">
      <c r="A9172" s="1" t="s">
        <v>9207</v>
      </c>
      <c r="B9172" s="1" t="s">
        <v>26</v>
      </c>
      <c r="C9172" s="1" t="n">
        <v>204000</v>
      </c>
      <c r="D9172" s="1" t="n">
        <v>1665.3</v>
      </c>
      <c r="F9172" s="1" t="n">
        <v>0.0759</v>
      </c>
    </row>
    <row r="9173" customFormat="false" ht="15" hidden="false" customHeight="false" outlineLevel="0" collapsed="false">
      <c r="A9173" s="1" t="s">
        <v>9208</v>
      </c>
      <c r="B9173" s="1" t="s">
        <v>53</v>
      </c>
      <c r="C9173" s="1" t="n">
        <v>260000</v>
      </c>
      <c r="D9173" s="1" t="n">
        <v>3342.2</v>
      </c>
      <c r="E9173" s="1" t="n">
        <v>0.1148</v>
      </c>
      <c r="F9173" s="1" t="n">
        <v>0.0938</v>
      </c>
    </row>
    <row r="9174" customFormat="false" ht="15" hidden="false" customHeight="false" outlineLevel="0" collapsed="false">
      <c r="A9174" s="1" t="s">
        <v>9209</v>
      </c>
      <c r="B9174" s="1" t="s">
        <v>71</v>
      </c>
      <c r="C9174" s="1" t="n">
        <v>189000</v>
      </c>
      <c r="D9174" s="1" t="n">
        <v>13869.9</v>
      </c>
      <c r="E9174" s="1" t="n">
        <v>0.0383</v>
      </c>
      <c r="F9174" s="1" t="n">
        <v>0.0938</v>
      </c>
    </row>
    <row r="9175" customFormat="false" ht="15" hidden="false" customHeight="false" outlineLevel="0" collapsed="false">
      <c r="A9175" s="1" t="s">
        <v>9210</v>
      </c>
      <c r="B9175" s="1" t="s">
        <v>41</v>
      </c>
      <c r="C9175" s="1" t="n">
        <v>171000</v>
      </c>
      <c r="D9175" s="1" t="n">
        <v>1241.1</v>
      </c>
      <c r="E9175" s="1" t="n">
        <v>0.0197</v>
      </c>
      <c r="F9175" s="1" t="n">
        <v>0.0726</v>
      </c>
    </row>
    <row r="9176" customFormat="false" ht="15" hidden="false" customHeight="false" outlineLevel="0" collapsed="false">
      <c r="A9176" s="1" t="s">
        <v>9211</v>
      </c>
      <c r="B9176" s="1" t="s">
        <v>24</v>
      </c>
      <c r="C9176" s="1" t="n">
        <v>221000</v>
      </c>
      <c r="D9176" s="1" t="n">
        <v>1508.4</v>
      </c>
      <c r="E9176" s="1" t="n">
        <v>0.0008</v>
      </c>
      <c r="F9176" s="1" t="n">
        <v>0.168</v>
      </c>
    </row>
    <row r="9177" customFormat="false" ht="15" hidden="false" customHeight="false" outlineLevel="0" collapsed="false">
      <c r="A9177" s="1" t="s">
        <v>9212</v>
      </c>
      <c r="B9177" s="1" t="s">
        <v>26</v>
      </c>
      <c r="C9177" s="1" t="n">
        <v>172000</v>
      </c>
      <c r="D9177" s="1" t="n">
        <v>3549.1</v>
      </c>
      <c r="E9177" s="1" t="n">
        <v>0.0186</v>
      </c>
      <c r="F9177" s="1" t="n">
        <v>0.0585</v>
      </c>
    </row>
    <row r="9178" customFormat="false" ht="15" hidden="false" customHeight="false" outlineLevel="0" collapsed="false">
      <c r="A9178" s="1" t="s">
        <v>9213</v>
      </c>
      <c r="B9178" s="1" t="s">
        <v>53</v>
      </c>
      <c r="C9178" s="1" t="n">
        <v>188000</v>
      </c>
      <c r="D9178" s="1" t="n">
        <v>12093.7</v>
      </c>
      <c r="E9178" s="1" t="n">
        <v>0.0821</v>
      </c>
      <c r="F9178" s="1" t="n">
        <v>0.0938</v>
      </c>
    </row>
    <row r="9179" customFormat="false" ht="15" hidden="false" customHeight="false" outlineLevel="0" collapsed="false">
      <c r="A9179" s="1" t="s">
        <v>9214</v>
      </c>
      <c r="B9179" s="1" t="s">
        <v>26</v>
      </c>
      <c r="C9179" s="1" t="n">
        <v>220000</v>
      </c>
      <c r="D9179" s="1" t="n">
        <v>13174.7</v>
      </c>
      <c r="E9179" s="1" t="n">
        <v>0.006</v>
      </c>
      <c r="F9179" s="1" t="n">
        <v>0.1015</v>
      </c>
    </row>
    <row r="9180" customFormat="false" ht="15" hidden="false" customHeight="false" outlineLevel="0" collapsed="false">
      <c r="A9180" s="1" t="s">
        <v>9215</v>
      </c>
      <c r="B9180" s="1" t="s">
        <v>50</v>
      </c>
      <c r="C9180" s="1" t="n">
        <v>277000</v>
      </c>
      <c r="D9180" s="1" t="n">
        <v>62688.1</v>
      </c>
      <c r="E9180" s="1" t="n">
        <v>0.0328</v>
      </c>
      <c r="F9180" s="1" t="n">
        <v>0.0938</v>
      </c>
    </row>
    <row r="9181" customFormat="false" ht="15" hidden="false" customHeight="false" outlineLevel="0" collapsed="false">
      <c r="A9181" s="1" t="s">
        <v>9216</v>
      </c>
      <c r="B9181" s="1" t="s">
        <v>53</v>
      </c>
      <c r="C9181" s="1" t="n">
        <v>880000</v>
      </c>
      <c r="D9181" s="1" t="n">
        <v>432</v>
      </c>
      <c r="E9181" s="1" t="n">
        <v>0.0215</v>
      </c>
      <c r="F9181" s="1" t="n">
        <v>0.1053</v>
      </c>
    </row>
    <row r="9182" customFormat="false" ht="15" hidden="false" customHeight="false" outlineLevel="0" collapsed="false">
      <c r="A9182" s="1" t="s">
        <v>9217</v>
      </c>
      <c r="B9182" s="1" t="s">
        <v>24</v>
      </c>
      <c r="C9182" s="1" t="n">
        <v>177000</v>
      </c>
      <c r="D9182" s="1" t="n">
        <v>1851.9</v>
      </c>
      <c r="E9182" s="1" t="n">
        <v>0.018</v>
      </c>
      <c r="F9182" s="1" t="n">
        <v>0.0585</v>
      </c>
    </row>
    <row r="9183" customFormat="false" ht="15" hidden="false" customHeight="false" outlineLevel="0" collapsed="false">
      <c r="A9183" s="1" t="s">
        <v>9218</v>
      </c>
      <c r="B9183" s="1" t="s">
        <v>74</v>
      </c>
      <c r="C9183" s="1" t="n">
        <v>3180000</v>
      </c>
      <c r="D9183" s="1" t="n">
        <v>340166.2</v>
      </c>
      <c r="F9183" s="1" t="n">
        <v>0.0409</v>
      </c>
    </row>
    <row r="9184" customFormat="false" ht="15" hidden="false" customHeight="false" outlineLevel="0" collapsed="false">
      <c r="A9184" s="1" t="s">
        <v>9219</v>
      </c>
      <c r="B9184" s="1" t="s">
        <v>88</v>
      </c>
      <c r="C9184" s="1" t="n">
        <v>170000</v>
      </c>
      <c r="D9184" s="1" t="n">
        <v>667.1</v>
      </c>
      <c r="E9184" s="1" t="n">
        <v>0.0075</v>
      </c>
      <c r="F9184" s="1" t="n">
        <v>0.1015</v>
      </c>
    </row>
    <row r="9185" customFormat="false" ht="15" hidden="false" customHeight="false" outlineLevel="0" collapsed="false">
      <c r="A9185" s="1" t="s">
        <v>9220</v>
      </c>
      <c r="B9185" s="1" t="s">
        <v>490</v>
      </c>
      <c r="C9185" s="1" t="n">
        <v>235000</v>
      </c>
      <c r="D9185" s="1" t="n">
        <v>1208.1</v>
      </c>
      <c r="E9185" s="1" t="n">
        <v>0.0187</v>
      </c>
      <c r="F9185" s="1" t="n">
        <v>0.0576</v>
      </c>
    </row>
    <row r="9186" customFormat="false" ht="15" hidden="false" customHeight="false" outlineLevel="0" collapsed="false">
      <c r="A9186" s="1" t="s">
        <v>9221</v>
      </c>
      <c r="B9186" s="1" t="s">
        <v>32</v>
      </c>
      <c r="C9186" s="1" t="n">
        <v>212000</v>
      </c>
      <c r="D9186" s="1" t="n">
        <v>544.6</v>
      </c>
      <c r="E9186" s="1" t="n">
        <v>0.037</v>
      </c>
      <c r="F9186" s="1" t="n">
        <v>0.0759</v>
      </c>
    </row>
    <row r="9187" customFormat="false" ht="15" hidden="false" customHeight="false" outlineLevel="0" collapsed="false">
      <c r="A9187" s="1" t="s">
        <v>9222</v>
      </c>
      <c r="B9187" s="1" t="s">
        <v>92</v>
      </c>
      <c r="C9187" s="1" t="n">
        <v>182000</v>
      </c>
      <c r="D9187" s="1" t="n">
        <v>17064.7</v>
      </c>
      <c r="E9187" s="1" t="n">
        <v>0.0288</v>
      </c>
      <c r="F9187" s="1" t="n">
        <v>0.0951</v>
      </c>
    </row>
    <row r="9188" customFormat="false" ht="15" hidden="false" customHeight="false" outlineLevel="0" collapsed="false">
      <c r="A9188" s="1" t="s">
        <v>9223</v>
      </c>
      <c r="B9188" s="1" t="s">
        <v>214</v>
      </c>
      <c r="C9188" s="1" t="n">
        <v>206000</v>
      </c>
      <c r="D9188" s="1" t="n">
        <v>1460</v>
      </c>
      <c r="E9188" s="1" t="n">
        <v>0.0403</v>
      </c>
      <c r="F9188" s="1" t="n">
        <v>0.2545</v>
      </c>
    </row>
    <row r="9189" customFormat="false" ht="15" hidden="false" customHeight="false" outlineLevel="0" collapsed="false">
      <c r="A9189" s="1" t="s">
        <v>9224</v>
      </c>
      <c r="B9189" s="1" t="s">
        <v>26</v>
      </c>
      <c r="C9189" s="1" t="n">
        <v>170000</v>
      </c>
      <c r="F9189" s="1" t="n">
        <v>0.0759</v>
      </c>
    </row>
    <row r="9190" customFormat="false" ht="15" hidden="false" customHeight="false" outlineLevel="0" collapsed="false">
      <c r="A9190" s="1" t="s">
        <v>9225</v>
      </c>
      <c r="B9190" s="1" t="s">
        <v>41</v>
      </c>
      <c r="C9190" s="1" t="n">
        <v>212000</v>
      </c>
      <c r="D9190" s="1" t="n">
        <v>2777.7</v>
      </c>
      <c r="E9190" s="1" t="n">
        <v>0.0432</v>
      </c>
      <c r="F9190" s="1" t="n">
        <v>0.051</v>
      </c>
    </row>
    <row r="9191" customFormat="false" ht="15" hidden="false" customHeight="false" outlineLevel="0" collapsed="false">
      <c r="A9191" s="1" t="s">
        <v>9226</v>
      </c>
      <c r="B9191" s="1" t="s">
        <v>53</v>
      </c>
      <c r="C9191" s="1" t="n">
        <v>192000</v>
      </c>
      <c r="D9191" s="1" t="n">
        <v>956.9</v>
      </c>
      <c r="F9191" s="1" t="n">
        <v>0.0672</v>
      </c>
    </row>
    <row r="9192" customFormat="false" ht="15" hidden="false" customHeight="false" outlineLevel="0" collapsed="false">
      <c r="A9192" s="1" t="s">
        <v>9227</v>
      </c>
      <c r="B9192" s="1" t="s">
        <v>74</v>
      </c>
      <c r="C9192" s="1" t="n">
        <v>218000</v>
      </c>
      <c r="D9192" s="1" t="n">
        <v>2291.9</v>
      </c>
      <c r="E9192" s="1" t="n">
        <v>0.0337</v>
      </c>
      <c r="F9192" s="1" t="n">
        <v>0.0938</v>
      </c>
    </row>
    <row r="9193" customFormat="false" ht="15" hidden="false" customHeight="false" outlineLevel="0" collapsed="false">
      <c r="A9193" s="1" t="s">
        <v>9228</v>
      </c>
      <c r="B9193" s="1" t="s">
        <v>88</v>
      </c>
      <c r="C9193" s="1" t="n">
        <v>259000</v>
      </c>
      <c r="D9193" s="1" t="n">
        <v>55293.3</v>
      </c>
      <c r="E9193" s="1" t="n">
        <v>0.0476</v>
      </c>
      <c r="F9193" s="1" t="n">
        <v>0.0759</v>
      </c>
    </row>
    <row r="9194" customFormat="false" ht="15" hidden="false" customHeight="false" outlineLevel="0" collapsed="false">
      <c r="A9194" s="1" t="s">
        <v>9229</v>
      </c>
      <c r="B9194" s="1" t="s">
        <v>24</v>
      </c>
      <c r="C9194" s="1" t="n">
        <v>219000</v>
      </c>
      <c r="D9194" s="1" t="n">
        <v>1504.7</v>
      </c>
      <c r="E9194" s="1" t="n">
        <v>0.0751</v>
      </c>
      <c r="F9194" s="1" t="n">
        <v>0.0998</v>
      </c>
    </row>
    <row r="9195" customFormat="false" ht="15" hidden="false" customHeight="false" outlineLevel="0" collapsed="false">
      <c r="A9195" s="1" t="s">
        <v>9230</v>
      </c>
      <c r="B9195" s="1" t="s">
        <v>26</v>
      </c>
      <c r="C9195" s="1" t="n">
        <v>192000</v>
      </c>
      <c r="D9195" s="1" t="n">
        <v>357655.8</v>
      </c>
      <c r="E9195" s="1" t="n">
        <v>0.0145</v>
      </c>
      <c r="F9195" s="1" t="n">
        <v>0.0462</v>
      </c>
    </row>
    <row r="9196" customFormat="false" ht="15" hidden="false" customHeight="false" outlineLevel="0" collapsed="false">
      <c r="A9196" s="1" t="s">
        <v>9231</v>
      </c>
      <c r="B9196" s="1" t="s">
        <v>287</v>
      </c>
      <c r="C9196" s="1" t="n">
        <v>171000</v>
      </c>
      <c r="D9196" s="1" t="n">
        <v>1903.5</v>
      </c>
      <c r="E9196" s="1" t="n">
        <v>0.0049</v>
      </c>
      <c r="F9196" s="1" t="n">
        <v>0.0654</v>
      </c>
    </row>
    <row r="9197" customFormat="false" ht="15" hidden="false" customHeight="false" outlineLevel="0" collapsed="false">
      <c r="A9197" s="1" t="s">
        <v>9232</v>
      </c>
      <c r="B9197" s="1" t="s">
        <v>71</v>
      </c>
      <c r="C9197" s="1" t="n">
        <v>180000</v>
      </c>
      <c r="D9197" s="1" t="n">
        <v>510.8</v>
      </c>
      <c r="E9197" s="1" t="n">
        <v>0.016</v>
      </c>
      <c r="F9197" s="1" t="n">
        <v>0.0726</v>
      </c>
    </row>
    <row r="9198" customFormat="false" ht="15" hidden="false" customHeight="false" outlineLevel="0" collapsed="false">
      <c r="A9198" s="1" t="s">
        <v>9233</v>
      </c>
      <c r="B9198" s="1" t="s">
        <v>88</v>
      </c>
      <c r="C9198" s="1" t="n">
        <v>169000</v>
      </c>
      <c r="F9198" s="1" t="n">
        <v>0.0759</v>
      </c>
    </row>
    <row r="9199" customFormat="false" ht="15" hidden="false" customHeight="false" outlineLevel="0" collapsed="false">
      <c r="A9199" s="1" t="s">
        <v>9234</v>
      </c>
      <c r="B9199" s="1" t="s">
        <v>26</v>
      </c>
      <c r="C9199" s="1" t="n">
        <v>170000</v>
      </c>
      <c r="D9199" s="1" t="n">
        <v>67090.7</v>
      </c>
      <c r="E9199" s="1" t="n">
        <v>0.0169</v>
      </c>
      <c r="F9199" s="1" t="n">
        <v>0.1067</v>
      </c>
    </row>
    <row r="9200" customFormat="false" ht="15" hidden="false" customHeight="false" outlineLevel="0" collapsed="false">
      <c r="A9200" s="1" t="s">
        <v>9235</v>
      </c>
      <c r="B9200" s="1" t="s">
        <v>26</v>
      </c>
      <c r="C9200" s="1" t="n">
        <v>185000</v>
      </c>
      <c r="D9200" s="1" t="n">
        <v>6178</v>
      </c>
      <c r="E9200" s="1" t="n">
        <v>0.0656</v>
      </c>
      <c r="F9200" s="1" t="n">
        <v>0.0412</v>
      </c>
    </row>
    <row r="9201" customFormat="false" ht="15" hidden="false" customHeight="false" outlineLevel="0" collapsed="false">
      <c r="A9201" s="1" t="s">
        <v>9236</v>
      </c>
      <c r="B9201" s="1" t="s">
        <v>32</v>
      </c>
      <c r="C9201" s="1" t="n">
        <v>208000</v>
      </c>
      <c r="D9201" s="1" t="n">
        <v>523.4</v>
      </c>
      <c r="E9201" s="1" t="n">
        <v>0.0094</v>
      </c>
      <c r="F9201" s="1" t="n">
        <v>0.1315</v>
      </c>
    </row>
    <row r="9202" customFormat="false" ht="15" hidden="false" customHeight="false" outlineLevel="0" collapsed="false">
      <c r="A9202" s="1" t="s">
        <v>9237</v>
      </c>
      <c r="B9202" s="1" t="s">
        <v>71</v>
      </c>
      <c r="C9202" s="1" t="n">
        <v>174000</v>
      </c>
      <c r="D9202" s="1" t="n">
        <v>20339.9</v>
      </c>
      <c r="E9202" s="1" t="n">
        <v>0.0278</v>
      </c>
      <c r="F9202" s="1" t="n">
        <v>0.171</v>
      </c>
    </row>
    <row r="9203" customFormat="false" ht="15" hidden="false" customHeight="false" outlineLevel="0" collapsed="false">
      <c r="A9203" s="1" t="s">
        <v>9238</v>
      </c>
      <c r="B9203" s="1" t="s">
        <v>88</v>
      </c>
      <c r="C9203" s="1" t="n">
        <v>410000</v>
      </c>
      <c r="D9203" s="1" t="n">
        <v>101336.9</v>
      </c>
      <c r="E9203" s="1" t="n">
        <v>0.0248</v>
      </c>
      <c r="F9203" s="1" t="n">
        <v>0.0951</v>
      </c>
    </row>
    <row r="9204" customFormat="false" ht="15" hidden="false" customHeight="false" outlineLevel="0" collapsed="false">
      <c r="A9204" s="1" t="s">
        <v>9239</v>
      </c>
      <c r="B9204" s="1" t="s">
        <v>71</v>
      </c>
      <c r="C9204" s="1" t="n">
        <v>202000</v>
      </c>
      <c r="D9204" s="1" t="n">
        <v>967.1</v>
      </c>
      <c r="E9204" s="1" t="n">
        <v>0.0333</v>
      </c>
      <c r="F9204" s="1" t="n">
        <v>0.0938</v>
      </c>
    </row>
    <row r="9205" customFormat="false" ht="15" hidden="false" customHeight="false" outlineLevel="0" collapsed="false">
      <c r="A9205" s="1" t="s">
        <v>9240</v>
      </c>
      <c r="B9205" s="1" t="s">
        <v>26</v>
      </c>
      <c r="C9205" s="1" t="n">
        <v>212000</v>
      </c>
      <c r="D9205" s="1" t="n">
        <v>36900.8</v>
      </c>
      <c r="E9205" s="1" t="n">
        <v>0.0298</v>
      </c>
      <c r="F9205" s="1" t="n">
        <v>0.0951</v>
      </c>
    </row>
    <row r="9206" customFormat="false" ht="15" hidden="false" customHeight="false" outlineLevel="0" collapsed="false">
      <c r="A9206" s="1" t="s">
        <v>9241</v>
      </c>
      <c r="B9206" s="1" t="s">
        <v>26</v>
      </c>
      <c r="C9206" s="1" t="n">
        <v>330000</v>
      </c>
      <c r="D9206" s="1" t="n">
        <v>8528.1</v>
      </c>
      <c r="E9206" s="1" t="n">
        <v>0.0064</v>
      </c>
      <c r="F9206" s="1" t="n">
        <v>0.0822</v>
      </c>
    </row>
    <row r="9207" customFormat="false" ht="15" hidden="false" customHeight="false" outlineLevel="0" collapsed="false">
      <c r="A9207" s="1" t="s">
        <v>9242</v>
      </c>
      <c r="B9207" s="1" t="s">
        <v>41</v>
      </c>
      <c r="C9207" s="1" t="n">
        <v>202000</v>
      </c>
      <c r="D9207" s="1" t="n">
        <v>356.9</v>
      </c>
      <c r="E9207" s="1" t="n">
        <v>0.0294</v>
      </c>
      <c r="F9207" s="1" t="n">
        <v>0.0735</v>
      </c>
    </row>
    <row r="9208" customFormat="false" ht="15" hidden="false" customHeight="false" outlineLevel="0" collapsed="false">
      <c r="A9208" s="1" t="s">
        <v>9243</v>
      </c>
      <c r="B9208" s="1" t="s">
        <v>50</v>
      </c>
      <c r="C9208" s="1" t="n">
        <v>204000</v>
      </c>
      <c r="D9208" s="1" t="n">
        <v>177.1</v>
      </c>
      <c r="E9208" s="1" t="n">
        <v>0.0617</v>
      </c>
      <c r="F9208" s="1" t="n">
        <v>0.0759</v>
      </c>
    </row>
    <row r="9209" customFormat="false" ht="15" hidden="false" customHeight="false" outlineLevel="0" collapsed="false">
      <c r="A9209" s="1" t="s">
        <v>9244</v>
      </c>
      <c r="B9209" s="1" t="s">
        <v>53</v>
      </c>
      <c r="C9209" s="1" t="n">
        <v>303000</v>
      </c>
      <c r="D9209" s="1" t="n">
        <v>54557.2</v>
      </c>
      <c r="E9209" s="1" t="n">
        <v>0.0277</v>
      </c>
      <c r="F9209" s="1" t="n">
        <v>0.0951</v>
      </c>
    </row>
    <row r="9210" customFormat="false" ht="15" hidden="false" customHeight="false" outlineLevel="0" collapsed="false">
      <c r="A9210" s="1" t="s">
        <v>9245</v>
      </c>
      <c r="B9210" s="1" t="s">
        <v>32</v>
      </c>
      <c r="C9210" s="1" t="n">
        <v>230000</v>
      </c>
      <c r="D9210" s="1" t="n">
        <v>167354</v>
      </c>
      <c r="E9210" s="1" t="n">
        <v>0.0237</v>
      </c>
      <c r="F9210" s="1" t="n">
        <v>0.0462</v>
      </c>
    </row>
    <row r="9211" customFormat="false" ht="15" hidden="false" customHeight="false" outlineLevel="0" collapsed="false">
      <c r="A9211" s="1" t="s">
        <v>9246</v>
      </c>
      <c r="B9211" s="1" t="s">
        <v>26</v>
      </c>
      <c r="C9211" s="1" t="n">
        <v>458000</v>
      </c>
      <c r="D9211" s="1" t="n">
        <v>1455443.2</v>
      </c>
      <c r="E9211" s="1" t="n">
        <v>0.0067</v>
      </c>
      <c r="F9211" s="1" t="n">
        <v>0.0822</v>
      </c>
    </row>
    <row r="9212" customFormat="false" ht="15" hidden="false" customHeight="false" outlineLevel="0" collapsed="false">
      <c r="A9212" s="1" t="s">
        <v>9247</v>
      </c>
      <c r="B9212" s="1" t="s">
        <v>26</v>
      </c>
      <c r="C9212" s="1" t="n">
        <v>166000</v>
      </c>
      <c r="D9212" s="1" t="n">
        <v>374.5</v>
      </c>
      <c r="F9212" s="1" t="n">
        <v>0.0951</v>
      </c>
    </row>
    <row r="9213" customFormat="false" ht="15" hidden="false" customHeight="false" outlineLevel="0" collapsed="false">
      <c r="A9213" s="1" t="s">
        <v>9248</v>
      </c>
      <c r="B9213" s="1" t="s">
        <v>214</v>
      </c>
      <c r="C9213" s="1" t="n">
        <v>191000</v>
      </c>
      <c r="D9213" s="1" t="n">
        <v>4041.5</v>
      </c>
      <c r="E9213" s="1" t="n">
        <v>0.0374</v>
      </c>
      <c r="F9213" s="1" t="n">
        <v>0.0759</v>
      </c>
    </row>
    <row r="9214" customFormat="false" ht="15" hidden="false" customHeight="false" outlineLevel="0" collapsed="false">
      <c r="A9214" s="1" t="s">
        <v>9249</v>
      </c>
      <c r="B9214" s="1" t="s">
        <v>26</v>
      </c>
      <c r="C9214" s="1" t="n">
        <v>447000</v>
      </c>
      <c r="D9214" s="1" t="n">
        <v>244109.2</v>
      </c>
      <c r="E9214" s="1" t="n">
        <v>0.0466</v>
      </c>
      <c r="F9214" s="1" t="n">
        <v>0.0432</v>
      </c>
    </row>
    <row r="9215" customFormat="false" ht="15" hidden="false" customHeight="false" outlineLevel="0" collapsed="false">
      <c r="A9215" s="1" t="s">
        <v>9250</v>
      </c>
      <c r="B9215" s="1" t="s">
        <v>195</v>
      </c>
      <c r="C9215" s="1" t="n">
        <v>206000</v>
      </c>
      <c r="D9215" s="1" t="n">
        <v>5428</v>
      </c>
      <c r="E9215" s="1" t="n">
        <v>0.0132</v>
      </c>
      <c r="F9215" s="1" t="n">
        <v>0.0462</v>
      </c>
    </row>
    <row r="9216" customFormat="false" ht="15" hidden="false" customHeight="false" outlineLevel="0" collapsed="false">
      <c r="A9216" s="1" t="s">
        <v>9251</v>
      </c>
      <c r="B9216" s="1" t="s">
        <v>26</v>
      </c>
      <c r="C9216" s="1" t="n">
        <v>703000</v>
      </c>
      <c r="D9216" s="1" t="n">
        <v>70845.8</v>
      </c>
      <c r="E9216" s="1" t="n">
        <v>0.0575</v>
      </c>
      <c r="F9216" s="1" t="n">
        <v>0.0759</v>
      </c>
    </row>
    <row r="9217" customFormat="false" ht="15" hidden="false" customHeight="false" outlineLevel="0" collapsed="false">
      <c r="A9217" s="1" t="s">
        <v>9252</v>
      </c>
      <c r="B9217" s="1" t="s">
        <v>26</v>
      </c>
      <c r="C9217" s="1" t="n">
        <v>292000</v>
      </c>
      <c r="D9217" s="1" t="n">
        <v>29366.7</v>
      </c>
      <c r="E9217" s="1" t="n">
        <v>0.041</v>
      </c>
      <c r="F9217" s="1" t="n">
        <v>0.0759</v>
      </c>
    </row>
    <row r="9218" customFormat="false" ht="15" hidden="false" customHeight="false" outlineLevel="0" collapsed="false">
      <c r="A9218" s="1" t="s">
        <v>9253</v>
      </c>
      <c r="B9218" s="1" t="s">
        <v>26</v>
      </c>
      <c r="C9218" s="1" t="n">
        <v>164000</v>
      </c>
      <c r="D9218" s="1" t="n">
        <v>11613.5</v>
      </c>
      <c r="E9218" s="1" t="n">
        <v>0.0364</v>
      </c>
      <c r="F9218" s="1" t="n">
        <v>0.0951</v>
      </c>
    </row>
    <row r="9219" customFormat="false" ht="15" hidden="false" customHeight="false" outlineLevel="0" collapsed="false">
      <c r="A9219" s="1" t="s">
        <v>9254</v>
      </c>
      <c r="B9219" s="1" t="s">
        <v>214</v>
      </c>
      <c r="C9219" s="1" t="n">
        <v>179000</v>
      </c>
      <c r="D9219" s="1" t="n">
        <v>87937.6</v>
      </c>
      <c r="E9219" s="1" t="n">
        <v>0.0189</v>
      </c>
      <c r="F9219" s="1" t="n">
        <v>0.0585</v>
      </c>
    </row>
    <row r="9220" customFormat="false" ht="15" hidden="false" customHeight="false" outlineLevel="0" collapsed="false">
      <c r="A9220" s="1" t="s">
        <v>9255</v>
      </c>
      <c r="B9220" s="1" t="s">
        <v>53</v>
      </c>
      <c r="C9220" s="1" t="n">
        <v>169000</v>
      </c>
      <c r="D9220" s="1" t="n">
        <v>1351</v>
      </c>
      <c r="E9220" s="1" t="n">
        <v>0.0797</v>
      </c>
      <c r="F9220" s="1" t="n">
        <v>0.0938</v>
      </c>
    </row>
    <row r="9221" customFormat="false" ht="15" hidden="false" customHeight="false" outlineLevel="0" collapsed="false">
      <c r="A9221" s="1" t="s">
        <v>9256</v>
      </c>
      <c r="B9221" s="1" t="s">
        <v>71</v>
      </c>
      <c r="C9221" s="1" t="n">
        <v>168000</v>
      </c>
      <c r="D9221" s="1" t="n">
        <v>1018.6</v>
      </c>
      <c r="E9221" s="1" t="n">
        <v>0.0372</v>
      </c>
      <c r="F9221" s="1" t="n">
        <v>0.0951</v>
      </c>
    </row>
    <row r="9222" customFormat="false" ht="15" hidden="false" customHeight="false" outlineLevel="0" collapsed="false">
      <c r="A9222" s="1" t="s">
        <v>9257</v>
      </c>
      <c r="B9222" s="1" t="s">
        <v>26</v>
      </c>
      <c r="C9222" s="1" t="n">
        <v>171000</v>
      </c>
      <c r="D9222" s="1" t="n">
        <v>704.6</v>
      </c>
      <c r="E9222" s="1" t="n">
        <v>0.0482</v>
      </c>
      <c r="F9222" s="1" t="n">
        <v>0.144</v>
      </c>
    </row>
    <row r="9223" customFormat="false" ht="15" hidden="false" customHeight="false" outlineLevel="0" collapsed="false">
      <c r="A9223" s="1" t="s">
        <v>9258</v>
      </c>
      <c r="B9223" s="1" t="s">
        <v>26</v>
      </c>
      <c r="C9223" s="1" t="n">
        <v>173000</v>
      </c>
      <c r="D9223" s="1" t="n">
        <v>408178.1</v>
      </c>
      <c r="E9223" s="1" t="n">
        <v>0.0263</v>
      </c>
      <c r="F9223" s="1" t="n">
        <v>0.0518</v>
      </c>
    </row>
    <row r="9224" customFormat="false" ht="15" hidden="false" customHeight="false" outlineLevel="0" collapsed="false">
      <c r="A9224" s="1" t="s">
        <v>9259</v>
      </c>
      <c r="B9224" s="1" t="s">
        <v>26</v>
      </c>
      <c r="C9224" s="1" t="n">
        <v>203000</v>
      </c>
      <c r="D9224" s="1" t="n">
        <v>10948.4</v>
      </c>
      <c r="E9224" s="1" t="n">
        <v>0.0078</v>
      </c>
      <c r="F9224" s="1" t="n">
        <v>0.0811</v>
      </c>
    </row>
    <row r="9225" customFormat="false" ht="15" hidden="false" customHeight="false" outlineLevel="0" collapsed="false">
      <c r="A9225" s="1" t="s">
        <v>9260</v>
      </c>
      <c r="B9225" s="1" t="s">
        <v>24</v>
      </c>
      <c r="C9225" s="1" t="n">
        <v>335000</v>
      </c>
      <c r="D9225" s="1" t="n">
        <v>51843</v>
      </c>
      <c r="E9225" s="1" t="n">
        <v>0.0381</v>
      </c>
      <c r="F9225" s="1" t="n">
        <v>0.0759</v>
      </c>
    </row>
    <row r="9226" customFormat="false" ht="15" hidden="false" customHeight="false" outlineLevel="0" collapsed="false">
      <c r="A9226" s="1" t="s">
        <v>9261</v>
      </c>
      <c r="B9226" s="1" t="s">
        <v>88</v>
      </c>
      <c r="C9226" s="1" t="n">
        <v>230000</v>
      </c>
      <c r="D9226" s="1" t="n">
        <v>9610.4</v>
      </c>
      <c r="E9226" s="1" t="n">
        <v>0.0292</v>
      </c>
      <c r="F9226" s="1" t="n">
        <v>0.0951</v>
      </c>
    </row>
    <row r="9227" customFormat="false" ht="15" hidden="false" customHeight="false" outlineLevel="0" collapsed="false">
      <c r="A9227" s="1" t="s">
        <v>9262</v>
      </c>
      <c r="B9227" s="1" t="s">
        <v>26</v>
      </c>
      <c r="C9227" s="1" t="n">
        <v>432000</v>
      </c>
      <c r="D9227" s="1" t="n">
        <v>2535</v>
      </c>
      <c r="E9227" s="1" t="n">
        <v>0.0103</v>
      </c>
      <c r="F9227" s="1" t="n">
        <v>0.0654</v>
      </c>
    </row>
    <row r="9228" customFormat="false" ht="15" hidden="false" customHeight="false" outlineLevel="0" collapsed="false">
      <c r="A9228" s="1" t="s">
        <v>9263</v>
      </c>
      <c r="B9228" s="1" t="s">
        <v>92</v>
      </c>
      <c r="C9228" s="1" t="n">
        <v>173000</v>
      </c>
      <c r="D9228" s="1" t="n">
        <v>965.6</v>
      </c>
      <c r="E9228" s="1" t="n">
        <v>0.0182</v>
      </c>
      <c r="F9228" s="1" t="n">
        <v>0.1594</v>
      </c>
    </row>
    <row r="9229" customFormat="false" ht="15" hidden="false" customHeight="false" outlineLevel="0" collapsed="false">
      <c r="A9229" s="1" t="s">
        <v>9264</v>
      </c>
      <c r="B9229" s="1" t="s">
        <v>26</v>
      </c>
      <c r="C9229" s="1" t="n">
        <v>175000</v>
      </c>
      <c r="D9229" s="1" t="n">
        <v>22</v>
      </c>
      <c r="F9229" s="1" t="n">
        <v>0.0938</v>
      </c>
    </row>
    <row r="9230" customFormat="false" ht="15" hidden="false" customHeight="false" outlineLevel="0" collapsed="false">
      <c r="A9230" s="1" t="s">
        <v>9265</v>
      </c>
      <c r="B9230" s="1" t="s">
        <v>88</v>
      </c>
      <c r="C9230" s="1" t="n">
        <v>167000</v>
      </c>
      <c r="D9230" s="1" t="n">
        <v>392.6</v>
      </c>
      <c r="E9230" s="1" t="n">
        <v>0.0429</v>
      </c>
      <c r="F9230" s="1" t="n">
        <v>0.1535</v>
      </c>
    </row>
    <row r="9231" customFormat="false" ht="15" hidden="false" customHeight="false" outlineLevel="0" collapsed="false">
      <c r="A9231" s="1" t="s">
        <v>9266</v>
      </c>
      <c r="B9231" s="1" t="s">
        <v>214</v>
      </c>
      <c r="C9231" s="1" t="n">
        <v>803000</v>
      </c>
      <c r="D9231" s="1" t="n">
        <v>49934.5</v>
      </c>
      <c r="E9231" s="1" t="n">
        <v>0.0485</v>
      </c>
      <c r="F9231" s="1" t="n">
        <v>0.0938</v>
      </c>
    </row>
    <row r="9232" customFormat="false" ht="15" hidden="false" customHeight="false" outlineLevel="0" collapsed="false">
      <c r="A9232" s="1" t="s">
        <v>9267</v>
      </c>
      <c r="B9232" s="1" t="s">
        <v>26</v>
      </c>
      <c r="C9232" s="1" t="n">
        <v>189000</v>
      </c>
      <c r="D9232" s="1" t="n">
        <v>731.2</v>
      </c>
      <c r="E9232" s="1" t="n">
        <v>0.0174</v>
      </c>
      <c r="F9232" s="1" t="n">
        <v>0.1176</v>
      </c>
    </row>
    <row r="9233" customFormat="false" ht="15" hidden="false" customHeight="false" outlineLevel="0" collapsed="false">
      <c r="A9233" s="1" t="s">
        <v>9268</v>
      </c>
      <c r="B9233" s="1" t="s">
        <v>26</v>
      </c>
      <c r="C9233" s="1" t="n">
        <v>226000</v>
      </c>
      <c r="D9233" s="1" t="n">
        <v>601495</v>
      </c>
      <c r="E9233" s="1" t="n">
        <v>0.0291</v>
      </c>
      <c r="F9233" s="1" t="n">
        <v>0.0409</v>
      </c>
    </row>
    <row r="9234" customFormat="false" ht="15" hidden="false" customHeight="false" outlineLevel="0" collapsed="false">
      <c r="A9234" s="1" t="s">
        <v>9269</v>
      </c>
      <c r="B9234" s="1" t="s">
        <v>195</v>
      </c>
      <c r="C9234" s="1" t="n">
        <v>177000</v>
      </c>
      <c r="D9234" s="1" t="n">
        <v>3760.9</v>
      </c>
      <c r="E9234" s="1" t="n">
        <v>0.0103</v>
      </c>
      <c r="F9234" s="1" t="n">
        <v>0.1315</v>
      </c>
    </row>
    <row r="9235" customFormat="false" ht="15" hidden="false" customHeight="false" outlineLevel="0" collapsed="false">
      <c r="A9235" s="1" t="s">
        <v>9270</v>
      </c>
      <c r="B9235" s="1" t="s">
        <v>30</v>
      </c>
      <c r="C9235" s="1" t="n">
        <v>202000</v>
      </c>
      <c r="D9235" s="1" t="n">
        <v>23417.4</v>
      </c>
      <c r="E9235" s="1" t="n">
        <v>0.0222</v>
      </c>
      <c r="F9235" s="1" t="n">
        <v>0.0409</v>
      </c>
    </row>
    <row r="9236" customFormat="false" ht="15" hidden="false" customHeight="false" outlineLevel="0" collapsed="false">
      <c r="A9236" s="1" t="s">
        <v>9271</v>
      </c>
      <c r="B9236" s="1" t="s">
        <v>287</v>
      </c>
      <c r="C9236" s="1" t="n">
        <v>187000</v>
      </c>
      <c r="D9236" s="1" t="n">
        <v>170.3</v>
      </c>
      <c r="E9236" s="1" t="n">
        <v>0.1699</v>
      </c>
      <c r="F9236" s="1" t="n">
        <v>0.0759</v>
      </c>
    </row>
    <row r="9237" customFormat="false" ht="15" hidden="false" customHeight="false" outlineLevel="0" collapsed="false">
      <c r="A9237" s="1" t="s">
        <v>9272</v>
      </c>
      <c r="B9237" s="1" t="s">
        <v>41</v>
      </c>
      <c r="C9237" s="1" t="n">
        <v>2340000</v>
      </c>
      <c r="D9237" s="1" t="n">
        <v>5666.9</v>
      </c>
      <c r="E9237" s="1" t="n">
        <v>0.018</v>
      </c>
      <c r="F9237" s="1" t="n">
        <v>0.1053</v>
      </c>
    </row>
    <row r="9238" customFormat="false" ht="15" hidden="false" customHeight="false" outlineLevel="0" collapsed="false">
      <c r="A9238" s="1" t="s">
        <v>9273</v>
      </c>
      <c r="B9238" s="1" t="s">
        <v>41</v>
      </c>
      <c r="C9238" s="1" t="n">
        <v>308000</v>
      </c>
      <c r="D9238" s="1" t="n">
        <v>3462.7</v>
      </c>
      <c r="E9238" s="1" t="n">
        <v>0.0197</v>
      </c>
      <c r="F9238" s="1" t="n">
        <v>0.0854</v>
      </c>
    </row>
    <row r="9239" customFormat="false" ht="15" hidden="false" customHeight="false" outlineLevel="0" collapsed="false">
      <c r="A9239" s="1" t="s">
        <v>9274</v>
      </c>
      <c r="B9239" s="1" t="s">
        <v>26</v>
      </c>
      <c r="C9239" s="1" t="n">
        <v>180000</v>
      </c>
      <c r="D9239" s="1" t="n">
        <v>105329.4</v>
      </c>
      <c r="E9239" s="1" t="n">
        <v>0.0485</v>
      </c>
      <c r="F9239" s="1" t="n">
        <v>0.0518</v>
      </c>
    </row>
    <row r="9240" customFormat="false" ht="15" hidden="false" customHeight="false" outlineLevel="0" collapsed="false">
      <c r="A9240" s="1" t="s">
        <v>9275</v>
      </c>
      <c r="B9240" s="1" t="s">
        <v>24</v>
      </c>
      <c r="C9240" s="1" t="n">
        <v>167000</v>
      </c>
      <c r="D9240" s="1" t="n">
        <v>158.7</v>
      </c>
      <c r="E9240" s="1" t="n">
        <v>0.0238</v>
      </c>
      <c r="F9240" s="1" t="n">
        <v>0.1241</v>
      </c>
    </row>
    <row r="9241" customFormat="false" ht="15" hidden="false" customHeight="false" outlineLevel="0" collapsed="false">
      <c r="A9241" s="1" t="s">
        <v>9276</v>
      </c>
      <c r="B9241" s="1" t="s">
        <v>26</v>
      </c>
      <c r="C9241" s="1" t="n">
        <v>206000</v>
      </c>
      <c r="D9241" s="1" t="n">
        <v>1157.3</v>
      </c>
      <c r="E9241" s="1" t="n">
        <v>0.0153</v>
      </c>
      <c r="F9241" s="1" t="n">
        <v>0.0956</v>
      </c>
    </row>
    <row r="9242" customFormat="false" ht="15" hidden="false" customHeight="false" outlineLevel="0" collapsed="false">
      <c r="A9242" s="1" t="s">
        <v>9277</v>
      </c>
      <c r="B9242" s="1" t="s">
        <v>74</v>
      </c>
      <c r="C9242" s="1" t="n">
        <v>209000</v>
      </c>
      <c r="D9242" s="1" t="n">
        <v>868.9</v>
      </c>
      <c r="E9242" s="1" t="n">
        <v>0.0398</v>
      </c>
      <c r="F9242" s="1" t="n">
        <v>0.0759</v>
      </c>
    </row>
    <row r="9243" customFormat="false" ht="15" hidden="false" customHeight="false" outlineLevel="0" collapsed="false">
      <c r="A9243" s="1" t="s">
        <v>9278</v>
      </c>
      <c r="B9243" s="1" t="s">
        <v>62</v>
      </c>
      <c r="C9243" s="1" t="n">
        <v>223000</v>
      </c>
      <c r="D9243" s="1" t="n">
        <v>55455.8</v>
      </c>
      <c r="E9243" s="1" t="n">
        <v>0.061</v>
      </c>
      <c r="F9243" s="1" t="n">
        <v>0.0759</v>
      </c>
    </row>
    <row r="9244" customFormat="false" ht="15" hidden="false" customHeight="false" outlineLevel="0" collapsed="false">
      <c r="A9244" s="1" t="s">
        <v>9279</v>
      </c>
      <c r="B9244" s="1" t="s">
        <v>53</v>
      </c>
      <c r="C9244" s="1" t="n">
        <v>166000</v>
      </c>
      <c r="D9244" s="1" t="n">
        <v>11792.5</v>
      </c>
      <c r="F9244" s="1" t="n">
        <v>0.0644</v>
      </c>
    </row>
    <row r="9245" customFormat="false" ht="15" hidden="false" customHeight="false" outlineLevel="0" collapsed="false">
      <c r="A9245" s="1" t="s">
        <v>9280</v>
      </c>
      <c r="B9245" s="1" t="s">
        <v>214</v>
      </c>
      <c r="C9245" s="1" t="n">
        <v>281000</v>
      </c>
      <c r="D9245" s="1" t="n">
        <v>1902.2</v>
      </c>
      <c r="E9245" s="1" t="n">
        <v>0.0093</v>
      </c>
      <c r="F9245" s="1" t="n">
        <v>0.1298</v>
      </c>
    </row>
    <row r="9246" customFormat="false" ht="15" hidden="false" customHeight="false" outlineLevel="0" collapsed="false">
      <c r="A9246" s="1" t="s">
        <v>9281</v>
      </c>
      <c r="B9246" s="1" t="s">
        <v>24</v>
      </c>
      <c r="C9246" s="1" t="n">
        <v>178000</v>
      </c>
      <c r="D9246" s="1" t="n">
        <v>2533.1</v>
      </c>
      <c r="E9246" s="1" t="n">
        <v>0.0153</v>
      </c>
      <c r="F9246" s="1" t="n">
        <v>0.0585</v>
      </c>
    </row>
    <row r="9247" customFormat="false" ht="15" hidden="false" customHeight="false" outlineLevel="0" collapsed="false">
      <c r="A9247" s="1" t="s">
        <v>9282</v>
      </c>
      <c r="B9247" s="1" t="s">
        <v>62</v>
      </c>
      <c r="C9247" s="1" t="n">
        <v>219000</v>
      </c>
      <c r="D9247" s="1" t="n">
        <v>4306.7</v>
      </c>
      <c r="E9247" s="1" t="n">
        <v>0.0081</v>
      </c>
      <c r="F9247" s="1" t="n">
        <v>0.0654</v>
      </c>
    </row>
    <row r="9248" customFormat="false" ht="15" hidden="false" customHeight="false" outlineLevel="0" collapsed="false">
      <c r="A9248" s="1" t="s">
        <v>9283</v>
      </c>
      <c r="B9248" s="1" t="s">
        <v>88</v>
      </c>
      <c r="C9248" s="1" t="n">
        <v>204000</v>
      </c>
      <c r="D9248" s="1" t="n">
        <v>2648.7</v>
      </c>
      <c r="E9248" s="1" t="n">
        <v>0.0247</v>
      </c>
      <c r="F9248" s="1" t="n">
        <v>0.0518</v>
      </c>
    </row>
    <row r="9249" customFormat="false" ht="15" hidden="false" customHeight="false" outlineLevel="0" collapsed="false">
      <c r="A9249" s="1" t="s">
        <v>9284</v>
      </c>
      <c r="B9249" s="1" t="s">
        <v>26</v>
      </c>
      <c r="C9249" s="1" t="n">
        <v>281000</v>
      </c>
      <c r="D9249" s="1" t="n">
        <v>87160.2</v>
      </c>
      <c r="E9249" s="1" t="n">
        <v>0.0165</v>
      </c>
      <c r="F9249" s="1" t="n">
        <v>0.1067</v>
      </c>
    </row>
    <row r="9250" customFormat="false" ht="15" hidden="false" customHeight="false" outlineLevel="0" collapsed="false">
      <c r="A9250" s="1" t="s">
        <v>9285</v>
      </c>
      <c r="B9250" s="1" t="s">
        <v>41</v>
      </c>
      <c r="C9250" s="1" t="n">
        <v>298000</v>
      </c>
      <c r="D9250" s="1" t="n">
        <v>3521.5</v>
      </c>
      <c r="E9250" s="1" t="n">
        <v>0.0155</v>
      </c>
      <c r="F9250" s="1" t="n">
        <v>0.1262</v>
      </c>
    </row>
    <row r="9251" customFormat="false" ht="15" hidden="false" customHeight="false" outlineLevel="0" collapsed="false">
      <c r="A9251" s="1" t="s">
        <v>9286</v>
      </c>
      <c r="B9251" s="1" t="s">
        <v>71</v>
      </c>
      <c r="C9251" s="1" t="n">
        <v>257000</v>
      </c>
      <c r="D9251" s="1" t="n">
        <v>6719</v>
      </c>
      <c r="E9251" s="1" t="n">
        <v>0.034</v>
      </c>
      <c r="F9251" s="1" t="n">
        <v>0.0759</v>
      </c>
    </row>
    <row r="9252" customFormat="false" ht="15" hidden="false" customHeight="false" outlineLevel="0" collapsed="false">
      <c r="A9252" s="1" t="s">
        <v>9287</v>
      </c>
      <c r="B9252" s="1" t="s">
        <v>92</v>
      </c>
      <c r="C9252" s="1" t="n">
        <v>168000</v>
      </c>
      <c r="D9252" s="1" t="n">
        <v>1435.1</v>
      </c>
      <c r="E9252" s="1" t="n">
        <v>0.0236</v>
      </c>
      <c r="F9252" s="1" t="n">
        <v>0.0854</v>
      </c>
    </row>
    <row r="9253" customFormat="false" ht="15" hidden="false" customHeight="false" outlineLevel="0" collapsed="false">
      <c r="A9253" s="1" t="s">
        <v>9288</v>
      </c>
      <c r="B9253" s="1" t="s">
        <v>88</v>
      </c>
      <c r="C9253" s="1" t="n">
        <v>170000</v>
      </c>
      <c r="D9253" s="1" t="n">
        <v>442.2</v>
      </c>
      <c r="E9253" s="1" t="n">
        <v>0.0233</v>
      </c>
      <c r="F9253" s="1" t="n">
        <v>0.0462</v>
      </c>
    </row>
    <row r="9254" customFormat="false" ht="15" hidden="false" customHeight="false" outlineLevel="0" collapsed="false">
      <c r="A9254" s="1" t="s">
        <v>9289</v>
      </c>
      <c r="B9254" s="1" t="s">
        <v>26</v>
      </c>
      <c r="C9254" s="1" t="n">
        <v>172000</v>
      </c>
      <c r="D9254" s="1" t="n">
        <v>2660.2</v>
      </c>
      <c r="E9254" s="1" t="n">
        <v>0.0145</v>
      </c>
      <c r="F9254" s="1" t="n">
        <v>0.0585</v>
      </c>
    </row>
    <row r="9255" customFormat="false" ht="15" hidden="false" customHeight="false" outlineLevel="0" collapsed="false">
      <c r="A9255" s="1" t="s">
        <v>9290</v>
      </c>
      <c r="B9255" s="1" t="s">
        <v>214</v>
      </c>
      <c r="C9255" s="1" t="n">
        <v>179000</v>
      </c>
      <c r="D9255" s="1" t="n">
        <v>8661.2</v>
      </c>
      <c r="E9255" s="1" t="n">
        <v>0.0404</v>
      </c>
      <c r="F9255" s="1" t="n">
        <v>0.0951</v>
      </c>
    </row>
    <row r="9256" customFormat="false" ht="15" hidden="false" customHeight="false" outlineLevel="0" collapsed="false">
      <c r="A9256" s="1" t="s">
        <v>9291</v>
      </c>
      <c r="B9256" s="1" t="s">
        <v>26</v>
      </c>
      <c r="C9256" s="1" t="n">
        <v>290000</v>
      </c>
      <c r="D9256" s="1" t="n">
        <v>27815.9</v>
      </c>
      <c r="E9256" s="1" t="n">
        <v>0.0821</v>
      </c>
      <c r="F9256" s="1" t="n">
        <v>0.0759</v>
      </c>
    </row>
    <row r="9257" customFormat="false" ht="15" hidden="false" customHeight="false" outlineLevel="0" collapsed="false">
      <c r="A9257" s="1" t="s">
        <v>9292</v>
      </c>
      <c r="B9257" s="1" t="s">
        <v>88</v>
      </c>
      <c r="C9257" s="1" t="n">
        <v>196000</v>
      </c>
      <c r="D9257" s="1" t="n">
        <v>1582.7</v>
      </c>
      <c r="E9257" s="1" t="n">
        <v>0.0041</v>
      </c>
      <c r="F9257" s="1" t="n">
        <v>0.0811</v>
      </c>
    </row>
    <row r="9258" customFormat="false" ht="15" hidden="false" customHeight="false" outlineLevel="0" collapsed="false">
      <c r="A9258" s="1" t="s">
        <v>9293</v>
      </c>
      <c r="B9258" s="1" t="s">
        <v>50</v>
      </c>
      <c r="C9258" s="1" t="n">
        <v>194000</v>
      </c>
      <c r="D9258" s="1" t="n">
        <v>22969.2</v>
      </c>
      <c r="E9258" s="1" t="n">
        <v>0.0376</v>
      </c>
      <c r="F9258" s="1" t="n">
        <v>0.0951</v>
      </c>
    </row>
    <row r="9259" customFormat="false" ht="15" hidden="false" customHeight="false" outlineLevel="0" collapsed="false">
      <c r="A9259" s="1" t="s">
        <v>9294</v>
      </c>
      <c r="B9259" s="1" t="s">
        <v>24</v>
      </c>
      <c r="C9259" s="1" t="n">
        <v>305000</v>
      </c>
      <c r="D9259" s="1" t="n">
        <v>18562.7</v>
      </c>
      <c r="E9259" s="1" t="n">
        <v>0.0127</v>
      </c>
      <c r="F9259" s="1" t="n">
        <v>0.0726</v>
      </c>
    </row>
    <row r="9260" customFormat="false" ht="15" hidden="false" customHeight="false" outlineLevel="0" collapsed="false">
      <c r="A9260" s="1" t="s">
        <v>9295</v>
      </c>
      <c r="B9260" s="1" t="s">
        <v>490</v>
      </c>
      <c r="C9260" s="1" t="n">
        <v>220000</v>
      </c>
      <c r="D9260" s="1" t="n">
        <v>920.4</v>
      </c>
      <c r="E9260" s="1" t="n">
        <v>0.0372</v>
      </c>
      <c r="F9260" s="1" t="n">
        <v>0.0938</v>
      </c>
    </row>
    <row r="9261" customFormat="false" ht="15" hidden="false" customHeight="false" outlineLevel="0" collapsed="false">
      <c r="A9261" s="1" t="s">
        <v>9296</v>
      </c>
      <c r="B9261" s="1" t="s">
        <v>41</v>
      </c>
      <c r="C9261" s="1" t="n">
        <v>656000</v>
      </c>
      <c r="D9261" s="1" t="n">
        <v>33793.7</v>
      </c>
      <c r="E9261" s="1" t="n">
        <v>0.1004</v>
      </c>
      <c r="F9261" s="1" t="n">
        <v>0.0938</v>
      </c>
    </row>
    <row r="9262" customFormat="false" ht="15" hidden="false" customHeight="false" outlineLevel="0" collapsed="false">
      <c r="A9262" s="1" t="s">
        <v>9297</v>
      </c>
      <c r="B9262" s="1" t="s">
        <v>214</v>
      </c>
      <c r="C9262" s="1" t="n">
        <v>228000</v>
      </c>
      <c r="D9262" s="1" t="n">
        <v>1529.2</v>
      </c>
      <c r="E9262" s="1" t="n">
        <v>0.0131</v>
      </c>
      <c r="F9262" s="1" t="n">
        <v>0.1067</v>
      </c>
    </row>
    <row r="9263" customFormat="false" ht="15" hidden="false" customHeight="false" outlineLevel="0" collapsed="false">
      <c r="A9263" s="1" t="s">
        <v>9298</v>
      </c>
      <c r="B9263" s="1" t="s">
        <v>50</v>
      </c>
      <c r="C9263" s="1" t="n">
        <v>221000</v>
      </c>
      <c r="D9263" s="1" t="n">
        <v>32326.3</v>
      </c>
      <c r="E9263" s="1" t="n">
        <v>0.0397</v>
      </c>
      <c r="F9263" s="1" t="n">
        <v>0.0951</v>
      </c>
    </row>
    <row r="9264" customFormat="false" ht="15" hidden="false" customHeight="false" outlineLevel="0" collapsed="false">
      <c r="A9264" s="1" t="s">
        <v>9299</v>
      </c>
      <c r="B9264" s="1" t="s">
        <v>88</v>
      </c>
      <c r="C9264" s="1" t="n">
        <v>170000</v>
      </c>
      <c r="D9264" s="1" t="n">
        <v>131.3</v>
      </c>
      <c r="E9264" s="1" t="n">
        <v>0.0296</v>
      </c>
      <c r="F9264" s="1" t="n">
        <v>0.0679</v>
      </c>
    </row>
    <row r="9265" customFormat="false" ht="15" hidden="false" customHeight="false" outlineLevel="0" collapsed="false">
      <c r="A9265" s="1" t="s">
        <v>9300</v>
      </c>
      <c r="B9265" s="1" t="s">
        <v>214</v>
      </c>
      <c r="C9265" s="1" t="n">
        <v>171000</v>
      </c>
      <c r="D9265" s="1" t="n">
        <v>324.9</v>
      </c>
      <c r="E9265" s="1" t="n">
        <v>0.019</v>
      </c>
      <c r="F9265" s="1" t="n">
        <v>0.0585</v>
      </c>
    </row>
    <row r="9266" customFormat="false" ht="15" hidden="false" customHeight="false" outlineLevel="0" collapsed="false">
      <c r="A9266" s="1" t="s">
        <v>9301</v>
      </c>
      <c r="B9266" s="1" t="s">
        <v>26</v>
      </c>
      <c r="C9266" s="1" t="n">
        <v>187000</v>
      </c>
      <c r="D9266" s="1" t="n">
        <v>43363</v>
      </c>
      <c r="E9266" s="1" t="n">
        <v>0.021</v>
      </c>
      <c r="F9266" s="1" t="n">
        <v>0.117</v>
      </c>
    </row>
    <row r="9267" customFormat="false" ht="15" hidden="false" customHeight="false" outlineLevel="0" collapsed="false">
      <c r="A9267" s="1" t="s">
        <v>9302</v>
      </c>
      <c r="B9267" s="1" t="s">
        <v>26</v>
      </c>
      <c r="C9267" s="1" t="n">
        <v>207000</v>
      </c>
      <c r="D9267" s="1" t="n">
        <v>3014.7</v>
      </c>
      <c r="E9267" s="1" t="n">
        <v>0.0562</v>
      </c>
      <c r="F9267" s="1" t="n">
        <v>0.4803</v>
      </c>
    </row>
    <row r="9268" customFormat="false" ht="15" hidden="false" customHeight="false" outlineLevel="0" collapsed="false">
      <c r="A9268" s="1" t="s">
        <v>9303</v>
      </c>
      <c r="B9268" s="1" t="s">
        <v>88</v>
      </c>
      <c r="C9268" s="1" t="n">
        <v>226000</v>
      </c>
      <c r="D9268" s="1" t="n">
        <v>1748.4</v>
      </c>
      <c r="E9268" s="1" t="n">
        <v>0.0032</v>
      </c>
      <c r="F9268" s="1" t="n">
        <v>0.0811</v>
      </c>
    </row>
    <row r="9269" customFormat="false" ht="15" hidden="false" customHeight="false" outlineLevel="0" collapsed="false">
      <c r="A9269" s="1" t="s">
        <v>9304</v>
      </c>
      <c r="B9269" s="1" t="s">
        <v>88</v>
      </c>
      <c r="C9269" s="1" t="n">
        <v>225000</v>
      </c>
      <c r="D9269" s="1" t="n">
        <v>92027.8</v>
      </c>
      <c r="E9269" s="1" t="n">
        <v>0.0203</v>
      </c>
      <c r="F9269" s="1" t="n">
        <v>0.1067</v>
      </c>
    </row>
    <row r="9270" customFormat="false" ht="15" hidden="false" customHeight="false" outlineLevel="0" collapsed="false">
      <c r="A9270" s="1" t="s">
        <v>9305</v>
      </c>
      <c r="B9270" s="1" t="s">
        <v>24</v>
      </c>
      <c r="C9270" s="1" t="n">
        <v>205000</v>
      </c>
      <c r="D9270" s="1" t="n">
        <v>4095.9</v>
      </c>
      <c r="E9270" s="1" t="n">
        <v>0.0171</v>
      </c>
      <c r="F9270" s="1" t="n">
        <v>0.0576</v>
      </c>
    </row>
    <row r="9271" customFormat="false" ht="15" hidden="false" customHeight="false" outlineLevel="0" collapsed="false">
      <c r="A9271" s="1" t="s">
        <v>9306</v>
      </c>
      <c r="B9271" s="1" t="s">
        <v>88</v>
      </c>
      <c r="C9271" s="1" t="n">
        <v>167000</v>
      </c>
      <c r="D9271" s="1" t="n">
        <v>2811.1</v>
      </c>
      <c r="E9271" s="1" t="n">
        <v>0.0241</v>
      </c>
      <c r="F9271" s="1" t="n">
        <v>0.0951</v>
      </c>
    </row>
    <row r="9272" customFormat="false" ht="15" hidden="false" customHeight="false" outlineLevel="0" collapsed="false">
      <c r="A9272" s="1" t="s">
        <v>9307</v>
      </c>
      <c r="B9272" s="1" t="s">
        <v>88</v>
      </c>
      <c r="C9272" s="1" t="n">
        <v>175000</v>
      </c>
      <c r="D9272" s="1" t="n">
        <v>1238.7</v>
      </c>
      <c r="E9272" s="1" t="n">
        <v>0.0209</v>
      </c>
      <c r="F9272" s="1" t="n">
        <v>0.0854</v>
      </c>
    </row>
    <row r="9273" customFormat="false" ht="15" hidden="false" customHeight="false" outlineLevel="0" collapsed="false">
      <c r="A9273" s="1" t="s">
        <v>9308</v>
      </c>
      <c r="B9273" s="1" t="s">
        <v>26</v>
      </c>
      <c r="C9273" s="1" t="n">
        <v>206000</v>
      </c>
      <c r="D9273" s="1" t="n">
        <v>6627.4</v>
      </c>
      <c r="E9273" s="1" t="n">
        <v>0.0454</v>
      </c>
      <c r="F9273" s="1" t="n">
        <v>0.0759</v>
      </c>
    </row>
    <row r="9274" customFormat="false" ht="15" hidden="false" customHeight="false" outlineLevel="0" collapsed="false">
      <c r="A9274" s="1" t="s">
        <v>9309</v>
      </c>
      <c r="B9274" s="1" t="s">
        <v>26</v>
      </c>
      <c r="C9274" s="1" t="n">
        <v>166000</v>
      </c>
      <c r="D9274" s="1" t="n">
        <v>7427.7</v>
      </c>
      <c r="E9274" s="1" t="n">
        <v>0.0252</v>
      </c>
      <c r="F9274" s="1" t="n">
        <v>0.0951</v>
      </c>
    </row>
    <row r="9275" customFormat="false" ht="15" hidden="false" customHeight="false" outlineLevel="0" collapsed="false">
      <c r="A9275" s="1" t="s">
        <v>9310</v>
      </c>
      <c r="B9275" s="1" t="s">
        <v>26</v>
      </c>
      <c r="C9275" s="1" t="n">
        <v>283000</v>
      </c>
      <c r="D9275" s="1" t="n">
        <v>190126.2</v>
      </c>
      <c r="E9275" s="1" t="n">
        <v>0.0278</v>
      </c>
      <c r="F9275" s="1" t="n">
        <v>0.0951</v>
      </c>
    </row>
    <row r="9276" customFormat="false" ht="15" hidden="false" customHeight="false" outlineLevel="0" collapsed="false">
      <c r="A9276" s="1" t="s">
        <v>9311</v>
      </c>
      <c r="B9276" s="1" t="s">
        <v>71</v>
      </c>
      <c r="C9276" s="1" t="n">
        <v>244000</v>
      </c>
      <c r="D9276" s="1" t="n">
        <v>206890.9</v>
      </c>
      <c r="E9276" s="1" t="n">
        <v>0.0277</v>
      </c>
      <c r="F9276" s="1" t="n">
        <v>0.0409</v>
      </c>
    </row>
    <row r="9277" customFormat="false" ht="15" hidden="false" customHeight="false" outlineLevel="0" collapsed="false">
      <c r="A9277" s="1" t="s">
        <v>9312</v>
      </c>
      <c r="B9277" s="1" t="s">
        <v>26</v>
      </c>
      <c r="C9277" s="1" t="n">
        <v>208000</v>
      </c>
      <c r="D9277" s="1" t="n">
        <v>5815.4</v>
      </c>
      <c r="E9277" s="1" t="n">
        <v>0.0873</v>
      </c>
      <c r="F9277" s="1" t="n">
        <v>0.0938</v>
      </c>
    </row>
    <row r="9278" customFormat="false" ht="15" hidden="false" customHeight="false" outlineLevel="0" collapsed="false">
      <c r="A9278" s="1" t="s">
        <v>9313</v>
      </c>
      <c r="B9278" s="1" t="s">
        <v>30</v>
      </c>
      <c r="C9278" s="1" t="n">
        <v>693000</v>
      </c>
      <c r="D9278" s="1" t="n">
        <v>11795137.6</v>
      </c>
      <c r="E9278" s="1" t="n">
        <v>0.0015</v>
      </c>
      <c r="F9278" s="1" t="n">
        <v>0.0822</v>
      </c>
    </row>
    <row r="9279" customFormat="false" ht="15" hidden="false" customHeight="false" outlineLevel="0" collapsed="false">
      <c r="A9279" s="1" t="s">
        <v>9314</v>
      </c>
      <c r="B9279" s="1" t="s">
        <v>195</v>
      </c>
      <c r="C9279" s="1" t="n">
        <v>166000</v>
      </c>
      <c r="D9279" s="1" t="n">
        <v>17802.4</v>
      </c>
      <c r="E9279" s="1" t="n">
        <v>0.024</v>
      </c>
      <c r="F9279" s="1" t="n">
        <v>0.0845</v>
      </c>
    </row>
    <row r="9280" customFormat="false" ht="15" hidden="false" customHeight="false" outlineLevel="0" collapsed="false">
      <c r="A9280" s="1" t="s">
        <v>9315</v>
      </c>
      <c r="B9280" s="1" t="s">
        <v>30</v>
      </c>
      <c r="C9280" s="1" t="n">
        <v>172000</v>
      </c>
      <c r="D9280" s="1" t="n">
        <v>340.8</v>
      </c>
      <c r="E9280" s="1" t="n">
        <v>0.003</v>
      </c>
      <c r="F9280" s="1" t="n">
        <v>0.2815</v>
      </c>
    </row>
    <row r="9281" customFormat="false" ht="15" hidden="false" customHeight="false" outlineLevel="0" collapsed="false">
      <c r="A9281" s="1" t="s">
        <v>9316</v>
      </c>
      <c r="B9281" s="1" t="s">
        <v>26</v>
      </c>
      <c r="C9281" s="1" t="n">
        <v>170000</v>
      </c>
      <c r="D9281" s="1" t="n">
        <v>695.5</v>
      </c>
      <c r="E9281" s="1" t="n">
        <v>0.0622</v>
      </c>
      <c r="F9281" s="1" t="n">
        <v>0.0951</v>
      </c>
    </row>
    <row r="9282" customFormat="false" ht="15" hidden="false" customHeight="false" outlineLevel="0" collapsed="false">
      <c r="A9282" s="1" t="s">
        <v>9317</v>
      </c>
      <c r="B9282" s="1" t="s">
        <v>88</v>
      </c>
      <c r="C9282" s="1" t="n">
        <v>167000</v>
      </c>
      <c r="D9282" s="1" t="n">
        <v>111.5</v>
      </c>
      <c r="E9282" s="1" t="n">
        <v>0.017</v>
      </c>
      <c r="F9282" s="1" t="n">
        <v>0.139</v>
      </c>
    </row>
    <row r="9283" customFormat="false" ht="15" hidden="false" customHeight="false" outlineLevel="0" collapsed="false">
      <c r="A9283" s="1" t="s">
        <v>9318</v>
      </c>
      <c r="B9283" s="1" t="s">
        <v>81</v>
      </c>
      <c r="C9283" s="1" t="n">
        <v>310000</v>
      </c>
      <c r="D9283" s="1" t="n">
        <v>4109.9</v>
      </c>
      <c r="E9283" s="1" t="n">
        <v>0.0335</v>
      </c>
      <c r="F9283" s="1" t="n">
        <v>0.0759</v>
      </c>
    </row>
    <row r="9284" customFormat="false" ht="15" hidden="false" customHeight="false" outlineLevel="0" collapsed="false">
      <c r="A9284" s="1" t="s">
        <v>9319</v>
      </c>
      <c r="B9284" s="1" t="s">
        <v>26</v>
      </c>
      <c r="C9284" s="1" t="n">
        <v>243000</v>
      </c>
      <c r="D9284" s="1" t="n">
        <v>11106.2</v>
      </c>
      <c r="E9284" s="1" t="n">
        <v>0.0208</v>
      </c>
      <c r="F9284" s="1" t="n">
        <v>0.0951</v>
      </c>
    </row>
    <row r="9285" customFormat="false" ht="15" hidden="false" customHeight="false" outlineLevel="0" collapsed="false">
      <c r="A9285" s="1" t="s">
        <v>9320</v>
      </c>
      <c r="B9285" s="1" t="s">
        <v>41</v>
      </c>
      <c r="C9285" s="1" t="n">
        <v>318000</v>
      </c>
      <c r="D9285" s="1" t="n">
        <v>19897.3</v>
      </c>
      <c r="F9285" s="1" t="n">
        <v>0.0951</v>
      </c>
    </row>
    <row r="9286" customFormat="false" ht="15" hidden="false" customHeight="false" outlineLevel="0" collapsed="false">
      <c r="A9286" s="1" t="s">
        <v>9321</v>
      </c>
      <c r="B9286" s="1" t="s">
        <v>214</v>
      </c>
      <c r="C9286" s="1" t="n">
        <v>176000</v>
      </c>
      <c r="D9286" s="1" t="n">
        <v>1576.8</v>
      </c>
      <c r="E9286" s="1" t="n">
        <v>0.0341</v>
      </c>
      <c r="F9286" s="1" t="n">
        <v>0.0759</v>
      </c>
    </row>
    <row r="9287" customFormat="false" ht="15" hidden="false" customHeight="false" outlineLevel="0" collapsed="false">
      <c r="A9287" s="1" t="s">
        <v>9322</v>
      </c>
      <c r="B9287" s="1" t="s">
        <v>26</v>
      </c>
      <c r="C9287" s="1" t="n">
        <v>188000</v>
      </c>
      <c r="D9287" s="1" t="n">
        <v>1837.7</v>
      </c>
      <c r="E9287" s="1" t="n">
        <v>0.0064</v>
      </c>
      <c r="F9287" s="1" t="n">
        <v>0.0822</v>
      </c>
    </row>
    <row r="9288" customFormat="false" ht="15" hidden="false" customHeight="false" outlineLevel="0" collapsed="false">
      <c r="A9288" s="1" t="s">
        <v>9323</v>
      </c>
      <c r="B9288" s="1" t="s">
        <v>88</v>
      </c>
      <c r="C9288" s="1" t="n">
        <v>168000</v>
      </c>
      <c r="D9288" s="1" t="n">
        <v>2104.9</v>
      </c>
      <c r="F9288" s="1" t="n">
        <v>0.0759</v>
      </c>
    </row>
    <row r="9289" customFormat="false" ht="15" hidden="false" customHeight="false" outlineLevel="0" collapsed="false">
      <c r="A9289" s="1" t="s">
        <v>9324</v>
      </c>
      <c r="B9289" s="1" t="s">
        <v>53</v>
      </c>
      <c r="C9289" s="1" t="n">
        <v>214000</v>
      </c>
      <c r="D9289" s="1" t="n">
        <v>1511.5</v>
      </c>
      <c r="E9289" s="1" t="n">
        <v>0.0578</v>
      </c>
      <c r="F9289" s="1" t="n">
        <v>0.0759</v>
      </c>
    </row>
    <row r="9290" customFormat="false" ht="15" hidden="false" customHeight="false" outlineLevel="0" collapsed="false">
      <c r="A9290" s="1" t="s">
        <v>9325</v>
      </c>
      <c r="B9290" s="1" t="s">
        <v>88</v>
      </c>
      <c r="C9290" s="1" t="n">
        <v>320000</v>
      </c>
      <c r="D9290" s="1" t="n">
        <v>19479.3</v>
      </c>
      <c r="E9290" s="1" t="n">
        <v>0.0243</v>
      </c>
      <c r="F9290" s="1" t="n">
        <v>0.0759</v>
      </c>
    </row>
    <row r="9291" customFormat="false" ht="15" hidden="false" customHeight="false" outlineLevel="0" collapsed="false">
      <c r="A9291" s="1" t="s">
        <v>9326</v>
      </c>
      <c r="B9291" s="1" t="s">
        <v>50</v>
      </c>
      <c r="C9291" s="1" t="n">
        <v>227000</v>
      </c>
      <c r="D9291" s="1" t="n">
        <v>39274.8</v>
      </c>
      <c r="E9291" s="1" t="n">
        <v>0.0297</v>
      </c>
      <c r="F9291" s="1" t="n">
        <v>0.0409</v>
      </c>
    </row>
    <row r="9292" customFormat="false" ht="15" hidden="false" customHeight="false" outlineLevel="0" collapsed="false">
      <c r="A9292" s="1" t="s">
        <v>9327</v>
      </c>
      <c r="B9292" s="1" t="s">
        <v>62</v>
      </c>
      <c r="C9292" s="1" t="n">
        <v>167000</v>
      </c>
      <c r="D9292" s="1" t="n">
        <v>9762.4</v>
      </c>
      <c r="E9292" s="1" t="n">
        <v>0.0228</v>
      </c>
      <c r="F9292" s="1" t="n">
        <v>0.0951</v>
      </c>
    </row>
    <row r="9293" customFormat="false" ht="15" hidden="false" customHeight="false" outlineLevel="0" collapsed="false">
      <c r="A9293" s="1" t="s">
        <v>9328</v>
      </c>
      <c r="B9293" s="1" t="s">
        <v>490</v>
      </c>
      <c r="C9293" s="1" t="n">
        <v>184000</v>
      </c>
      <c r="D9293" s="1" t="n">
        <v>1198</v>
      </c>
      <c r="E9293" s="1" t="n">
        <v>0.0072</v>
      </c>
      <c r="F9293" s="1" t="n">
        <v>0.0654</v>
      </c>
    </row>
    <row r="9294" customFormat="false" ht="15" hidden="false" customHeight="false" outlineLevel="0" collapsed="false">
      <c r="A9294" s="1" t="s">
        <v>9329</v>
      </c>
      <c r="B9294" s="1" t="s">
        <v>28</v>
      </c>
      <c r="C9294" s="1" t="n">
        <v>173000</v>
      </c>
      <c r="D9294" s="1" t="n">
        <v>466.6</v>
      </c>
      <c r="E9294" s="1" t="n">
        <v>0.0307</v>
      </c>
      <c r="F9294" s="1" t="n">
        <v>0.0951</v>
      </c>
    </row>
    <row r="9295" customFormat="false" ht="15" hidden="false" customHeight="false" outlineLevel="0" collapsed="false">
      <c r="A9295" s="1" t="s">
        <v>9330</v>
      </c>
      <c r="B9295" s="1" t="s">
        <v>88</v>
      </c>
      <c r="C9295" s="1" t="n">
        <v>181000</v>
      </c>
      <c r="D9295" s="1" t="n">
        <v>98493.1</v>
      </c>
      <c r="E9295" s="1" t="n">
        <v>0.0388</v>
      </c>
      <c r="F9295" s="1" t="n">
        <v>0.0951</v>
      </c>
    </row>
    <row r="9296" customFormat="false" ht="15" hidden="false" customHeight="false" outlineLevel="0" collapsed="false">
      <c r="A9296" s="1" t="s">
        <v>9331</v>
      </c>
      <c r="B9296" s="1" t="s">
        <v>26</v>
      </c>
      <c r="C9296" s="1" t="n">
        <v>169000</v>
      </c>
      <c r="D9296" s="1" t="n">
        <v>704.3</v>
      </c>
      <c r="E9296" s="1" t="n">
        <v>0.0111</v>
      </c>
      <c r="F9296" s="1" t="n">
        <v>0.0822</v>
      </c>
    </row>
    <row r="9297" customFormat="false" ht="15" hidden="false" customHeight="false" outlineLevel="0" collapsed="false">
      <c r="A9297" s="1" t="s">
        <v>9332</v>
      </c>
      <c r="B9297" s="1" t="s">
        <v>287</v>
      </c>
      <c r="C9297" s="1" t="n">
        <v>171000</v>
      </c>
      <c r="D9297" s="1" t="n">
        <v>1736.6</v>
      </c>
      <c r="E9297" s="1" t="n">
        <v>0.0144</v>
      </c>
      <c r="F9297" s="1" t="n">
        <v>0.0854</v>
      </c>
    </row>
    <row r="9298" customFormat="false" ht="15" hidden="false" customHeight="false" outlineLevel="0" collapsed="false">
      <c r="A9298" s="1" t="s">
        <v>9333</v>
      </c>
      <c r="B9298" s="1" t="s">
        <v>71</v>
      </c>
      <c r="C9298" s="1" t="n">
        <v>229000</v>
      </c>
      <c r="D9298" s="1" t="n">
        <v>6966.7</v>
      </c>
      <c r="E9298" s="1" t="n">
        <v>0.0339</v>
      </c>
      <c r="F9298" s="1" t="n">
        <v>0.0759</v>
      </c>
    </row>
    <row r="9299" customFormat="false" ht="15" hidden="false" customHeight="false" outlineLevel="0" collapsed="false">
      <c r="A9299" s="1" t="s">
        <v>9334</v>
      </c>
      <c r="B9299" s="1" t="s">
        <v>92</v>
      </c>
      <c r="C9299" s="1" t="n">
        <v>173000</v>
      </c>
      <c r="D9299" s="1" t="n">
        <v>1365.7</v>
      </c>
      <c r="E9299" s="1" t="n">
        <v>0.0173</v>
      </c>
      <c r="F9299" s="1" t="n">
        <v>0.0757</v>
      </c>
    </row>
    <row r="9300" customFormat="false" ht="15" hidden="false" customHeight="false" outlineLevel="0" collapsed="false">
      <c r="A9300" s="1" t="s">
        <v>9335</v>
      </c>
      <c r="B9300" s="1" t="s">
        <v>26</v>
      </c>
      <c r="C9300" s="1" t="n">
        <v>174000</v>
      </c>
      <c r="D9300" s="1" t="n">
        <v>14078.2</v>
      </c>
      <c r="E9300" s="1" t="n">
        <v>0.0167</v>
      </c>
      <c r="F9300" s="1" t="n">
        <v>0.0854</v>
      </c>
    </row>
    <row r="9301" customFormat="false" ht="15" hidden="false" customHeight="false" outlineLevel="0" collapsed="false">
      <c r="A9301" s="1" t="s">
        <v>9336</v>
      </c>
      <c r="B9301" s="1" t="s">
        <v>41</v>
      </c>
      <c r="C9301" s="1" t="n">
        <v>7060000</v>
      </c>
      <c r="D9301" s="1" t="n">
        <v>647319.4</v>
      </c>
      <c r="E9301" s="1" t="n">
        <v>0.0075</v>
      </c>
      <c r="F9301" s="1" t="n">
        <v>0.0811</v>
      </c>
    </row>
    <row r="9302" customFormat="false" ht="15" hidden="false" customHeight="false" outlineLevel="0" collapsed="false">
      <c r="A9302" s="1" t="s">
        <v>9337</v>
      </c>
      <c r="B9302" s="1" t="s">
        <v>88</v>
      </c>
      <c r="C9302" s="1" t="n">
        <v>201000</v>
      </c>
      <c r="D9302" s="1" t="n">
        <v>4098.8</v>
      </c>
      <c r="E9302" s="1" t="n">
        <v>0.0236</v>
      </c>
      <c r="F9302" s="1" t="n">
        <v>0.0759</v>
      </c>
    </row>
    <row r="9303" customFormat="false" ht="15" hidden="false" customHeight="false" outlineLevel="0" collapsed="false">
      <c r="A9303" s="1" t="s">
        <v>9338</v>
      </c>
      <c r="B9303" s="1" t="s">
        <v>62</v>
      </c>
      <c r="C9303" s="1" t="n">
        <v>412000</v>
      </c>
      <c r="D9303" s="1" t="n">
        <v>12829.4</v>
      </c>
      <c r="E9303" s="1" t="n">
        <v>0.0338</v>
      </c>
      <c r="F9303" s="1" t="n">
        <v>0.0759</v>
      </c>
    </row>
    <row r="9304" customFormat="false" ht="15" hidden="false" customHeight="false" outlineLevel="0" collapsed="false">
      <c r="A9304" s="1" t="s">
        <v>9339</v>
      </c>
      <c r="B9304" s="1" t="s">
        <v>26</v>
      </c>
      <c r="C9304" s="1" t="n">
        <v>165000</v>
      </c>
      <c r="D9304" s="1" t="n">
        <v>15248.9</v>
      </c>
      <c r="E9304" s="1" t="n">
        <v>0.0562</v>
      </c>
      <c r="F9304" s="1" t="n">
        <v>0.0951</v>
      </c>
    </row>
    <row r="9305" customFormat="false" ht="15" hidden="false" customHeight="false" outlineLevel="0" collapsed="false">
      <c r="A9305" s="1" t="s">
        <v>9340</v>
      </c>
      <c r="B9305" s="1" t="s">
        <v>71</v>
      </c>
      <c r="C9305" s="1" t="n">
        <v>162000</v>
      </c>
      <c r="D9305" s="1" t="n">
        <v>409.8</v>
      </c>
      <c r="E9305" s="1" t="n">
        <v>0.0228</v>
      </c>
      <c r="F9305" s="1" t="n">
        <v>0.3391</v>
      </c>
    </row>
    <row r="9306" customFormat="false" ht="15" hidden="false" customHeight="false" outlineLevel="0" collapsed="false">
      <c r="A9306" s="1" t="s">
        <v>9341</v>
      </c>
      <c r="B9306" s="1" t="s">
        <v>81</v>
      </c>
      <c r="C9306" s="1" t="n">
        <v>179000</v>
      </c>
      <c r="D9306" s="1" t="n">
        <v>1089.1</v>
      </c>
      <c r="E9306" s="1" t="n">
        <v>0.0135</v>
      </c>
      <c r="F9306" s="1" t="n">
        <v>0.0462</v>
      </c>
    </row>
    <row r="9307" customFormat="false" ht="15" hidden="false" customHeight="false" outlineLevel="0" collapsed="false">
      <c r="A9307" s="1" t="s">
        <v>9342</v>
      </c>
      <c r="B9307" s="1" t="s">
        <v>88</v>
      </c>
      <c r="C9307" s="1" t="n">
        <v>192000</v>
      </c>
      <c r="D9307" s="1" t="n">
        <v>3900.3</v>
      </c>
      <c r="E9307" s="1" t="n">
        <v>0.0119</v>
      </c>
      <c r="F9307" s="1" t="n">
        <v>0.0585</v>
      </c>
    </row>
    <row r="9308" customFormat="false" ht="15" hidden="false" customHeight="false" outlineLevel="0" collapsed="false">
      <c r="A9308" s="1" t="s">
        <v>9343</v>
      </c>
      <c r="B9308" s="1" t="s">
        <v>50</v>
      </c>
      <c r="C9308" s="1" t="n">
        <v>517000</v>
      </c>
      <c r="D9308" s="1" t="n">
        <v>1435919.7</v>
      </c>
      <c r="E9308" s="1" t="n">
        <v>0.0241</v>
      </c>
      <c r="F9308" s="1" t="n">
        <v>0.0518</v>
      </c>
    </row>
    <row r="9309" customFormat="false" ht="15" hidden="false" customHeight="false" outlineLevel="0" collapsed="false">
      <c r="A9309" s="1" t="s">
        <v>9344</v>
      </c>
      <c r="B9309" s="1" t="s">
        <v>195</v>
      </c>
      <c r="C9309" s="1" t="n">
        <v>226000</v>
      </c>
      <c r="D9309" s="1" t="n">
        <v>1643.4</v>
      </c>
      <c r="E9309" s="1" t="n">
        <v>0.0234</v>
      </c>
      <c r="F9309" s="1" t="n">
        <v>0.3301</v>
      </c>
    </row>
    <row r="9310" customFormat="false" ht="15" hidden="false" customHeight="false" outlineLevel="0" collapsed="false">
      <c r="A9310" s="1" t="s">
        <v>9345</v>
      </c>
      <c r="B9310" s="1" t="s">
        <v>26</v>
      </c>
      <c r="C9310" s="1" t="n">
        <v>200000</v>
      </c>
      <c r="D9310" s="1" t="n">
        <v>42336</v>
      </c>
      <c r="F9310" s="1" t="n">
        <v>0.0518</v>
      </c>
    </row>
    <row r="9311" customFormat="false" ht="15" hidden="false" customHeight="false" outlineLevel="0" collapsed="false">
      <c r="A9311" s="1" t="s">
        <v>9346</v>
      </c>
      <c r="B9311" s="1" t="s">
        <v>24</v>
      </c>
      <c r="C9311" s="1" t="n">
        <v>195000</v>
      </c>
      <c r="D9311" s="1" t="n">
        <v>279</v>
      </c>
      <c r="E9311" s="1" t="n">
        <v>0.0185</v>
      </c>
      <c r="F9311" s="1" t="n">
        <v>0.1053</v>
      </c>
    </row>
    <row r="9312" customFormat="false" ht="15" hidden="false" customHeight="false" outlineLevel="0" collapsed="false">
      <c r="A9312" s="1" t="s">
        <v>9347</v>
      </c>
      <c r="B9312" s="1" t="s">
        <v>195</v>
      </c>
      <c r="C9312" s="1" t="n">
        <v>169000</v>
      </c>
      <c r="D9312" s="1" t="n">
        <v>5063.3</v>
      </c>
      <c r="E9312" s="1" t="n">
        <v>0.0327</v>
      </c>
      <c r="F9312" s="1" t="n">
        <v>0.0951</v>
      </c>
    </row>
    <row r="9313" customFormat="false" ht="15" hidden="false" customHeight="false" outlineLevel="0" collapsed="false">
      <c r="A9313" s="1" t="s">
        <v>9348</v>
      </c>
      <c r="B9313" s="1" t="s">
        <v>26</v>
      </c>
      <c r="C9313" s="1" t="n">
        <v>175000</v>
      </c>
      <c r="D9313" s="1" t="n">
        <v>2512.8</v>
      </c>
      <c r="E9313" s="1" t="n">
        <v>0.019</v>
      </c>
      <c r="F9313" s="1" t="n">
        <v>0.1053</v>
      </c>
    </row>
    <row r="9314" customFormat="false" ht="15" hidden="false" customHeight="false" outlineLevel="0" collapsed="false">
      <c r="A9314" s="1" t="s">
        <v>9349</v>
      </c>
      <c r="B9314" s="1" t="s">
        <v>26</v>
      </c>
      <c r="C9314" s="1" t="n">
        <v>185000</v>
      </c>
      <c r="D9314" s="1" t="n">
        <v>6233.4</v>
      </c>
      <c r="E9314" s="1" t="n">
        <v>0.0165</v>
      </c>
      <c r="F9314" s="1" t="n">
        <v>0.0585</v>
      </c>
    </row>
    <row r="9315" customFormat="false" ht="15" hidden="false" customHeight="false" outlineLevel="0" collapsed="false">
      <c r="A9315" s="1" t="s">
        <v>9350</v>
      </c>
      <c r="B9315" s="1" t="s">
        <v>214</v>
      </c>
      <c r="C9315" s="1" t="n">
        <v>180000</v>
      </c>
      <c r="D9315" s="1" t="n">
        <v>1603.6</v>
      </c>
      <c r="E9315" s="1" t="n">
        <v>0.0464</v>
      </c>
      <c r="F9315" s="1" t="n">
        <v>0.0759</v>
      </c>
    </row>
    <row r="9316" customFormat="false" ht="15" hidden="false" customHeight="false" outlineLevel="0" collapsed="false">
      <c r="A9316" s="1" t="s">
        <v>9351</v>
      </c>
      <c r="B9316" s="1" t="s">
        <v>26</v>
      </c>
      <c r="C9316" s="1" t="n">
        <v>183000</v>
      </c>
      <c r="D9316" s="1" t="n">
        <v>13249.9</v>
      </c>
      <c r="E9316" s="1" t="n">
        <v>0.0087</v>
      </c>
      <c r="F9316" s="1" t="n">
        <v>0.1027</v>
      </c>
    </row>
    <row r="9317" customFormat="false" ht="15" hidden="false" customHeight="false" outlineLevel="0" collapsed="false">
      <c r="A9317" s="1" t="s">
        <v>9352</v>
      </c>
      <c r="B9317" s="1" t="s">
        <v>287</v>
      </c>
      <c r="C9317" s="1" t="n">
        <v>391000</v>
      </c>
      <c r="D9317" s="1" t="n">
        <v>241666.1</v>
      </c>
      <c r="E9317" s="1" t="n">
        <v>0.0225</v>
      </c>
      <c r="F9317" s="1" t="n">
        <v>0.0409</v>
      </c>
    </row>
    <row r="9318" customFormat="false" ht="15" hidden="false" customHeight="false" outlineLevel="0" collapsed="false">
      <c r="A9318" s="1" t="s">
        <v>9353</v>
      </c>
      <c r="B9318" s="1" t="s">
        <v>26</v>
      </c>
      <c r="C9318" s="1" t="n">
        <v>215000</v>
      </c>
      <c r="D9318" s="1" t="n">
        <v>61033.3</v>
      </c>
      <c r="E9318" s="1" t="n">
        <v>0.0657</v>
      </c>
      <c r="F9318" s="1" t="n">
        <v>0.1241</v>
      </c>
    </row>
    <row r="9319" customFormat="false" ht="15" hidden="false" customHeight="false" outlineLevel="0" collapsed="false">
      <c r="A9319" s="1" t="s">
        <v>9354</v>
      </c>
      <c r="B9319" s="1" t="s">
        <v>50</v>
      </c>
      <c r="C9319" s="1" t="n">
        <v>171000</v>
      </c>
      <c r="D9319" s="1" t="n">
        <v>106.8</v>
      </c>
      <c r="E9319" s="1" t="n">
        <v>0.0664</v>
      </c>
      <c r="F9319" s="1" t="n">
        <v>0.0518</v>
      </c>
    </row>
    <row r="9320" customFormat="false" ht="15" hidden="false" customHeight="false" outlineLevel="0" collapsed="false">
      <c r="A9320" s="1" t="s">
        <v>9355</v>
      </c>
      <c r="B9320" s="1" t="s">
        <v>490</v>
      </c>
      <c r="C9320" s="1" t="n">
        <v>212000</v>
      </c>
      <c r="D9320" s="1" t="n">
        <v>4520.5</v>
      </c>
      <c r="E9320" s="1" t="n">
        <v>0.0414</v>
      </c>
      <c r="F9320" s="1" t="n">
        <v>0.0759</v>
      </c>
    </row>
    <row r="9321" customFormat="false" ht="15" hidden="false" customHeight="false" outlineLevel="0" collapsed="false">
      <c r="A9321" s="1" t="s">
        <v>9356</v>
      </c>
      <c r="B9321" s="1" t="s">
        <v>41</v>
      </c>
      <c r="C9321" s="1" t="n">
        <v>172000</v>
      </c>
      <c r="D9321" s="1" t="n">
        <v>1449.7</v>
      </c>
      <c r="E9321" s="1" t="n">
        <v>0.0127</v>
      </c>
      <c r="F9321" s="1" t="n">
        <v>0.0811</v>
      </c>
    </row>
    <row r="9322" customFormat="false" ht="15" hidden="false" customHeight="false" outlineLevel="0" collapsed="false">
      <c r="A9322" s="1" t="s">
        <v>9357</v>
      </c>
      <c r="B9322" s="1" t="s">
        <v>88</v>
      </c>
      <c r="C9322" s="1" t="n">
        <v>189000</v>
      </c>
      <c r="D9322" s="1" t="n">
        <v>305.5</v>
      </c>
      <c r="E9322" s="1" t="n">
        <v>0.0377</v>
      </c>
      <c r="F9322" s="1" t="n">
        <v>0.0759</v>
      </c>
    </row>
    <row r="9323" customFormat="false" ht="15" hidden="false" customHeight="false" outlineLevel="0" collapsed="false">
      <c r="A9323" s="1" t="s">
        <v>9358</v>
      </c>
      <c r="B9323" s="1" t="s">
        <v>88</v>
      </c>
      <c r="C9323" s="1" t="n">
        <v>184000</v>
      </c>
      <c r="D9323" s="1" t="n">
        <v>2557.3</v>
      </c>
      <c r="E9323" s="1" t="n">
        <v>0.023</v>
      </c>
      <c r="F9323" s="1" t="n">
        <v>0.1053</v>
      </c>
    </row>
    <row r="9324" customFormat="false" ht="15" hidden="false" customHeight="false" outlineLevel="0" collapsed="false">
      <c r="A9324" s="1" t="s">
        <v>9359</v>
      </c>
      <c r="B9324" s="1" t="s">
        <v>71</v>
      </c>
      <c r="C9324" s="1" t="n">
        <v>164000</v>
      </c>
      <c r="D9324" s="1" t="n">
        <v>9466.2</v>
      </c>
      <c r="E9324" s="1" t="n">
        <v>0.0204</v>
      </c>
      <c r="F9324" s="1" t="n">
        <v>0.131</v>
      </c>
    </row>
    <row r="9325" customFormat="false" ht="15" hidden="false" customHeight="false" outlineLevel="0" collapsed="false">
      <c r="A9325" s="1" t="s">
        <v>9360</v>
      </c>
      <c r="B9325" s="1" t="s">
        <v>41</v>
      </c>
      <c r="C9325" s="1" t="n">
        <v>237000</v>
      </c>
      <c r="D9325" s="1" t="n">
        <v>4867.5</v>
      </c>
      <c r="E9325" s="1" t="n">
        <v>0.0095</v>
      </c>
      <c r="F9325" s="1" t="n">
        <v>0.0822</v>
      </c>
    </row>
    <row r="9326" customFormat="false" ht="15" hidden="false" customHeight="false" outlineLevel="0" collapsed="false">
      <c r="A9326" s="1" t="s">
        <v>9361</v>
      </c>
      <c r="B9326" s="1" t="s">
        <v>26</v>
      </c>
      <c r="C9326" s="1" t="n">
        <v>170000</v>
      </c>
      <c r="D9326" s="1" t="n">
        <v>651.5</v>
      </c>
      <c r="E9326" s="1" t="n">
        <v>0.036</v>
      </c>
      <c r="F9326" s="1" t="n">
        <v>0.0951</v>
      </c>
    </row>
    <row r="9327" customFormat="false" ht="15" hidden="false" customHeight="false" outlineLevel="0" collapsed="false">
      <c r="A9327" s="1" t="s">
        <v>9362</v>
      </c>
      <c r="B9327" s="1" t="s">
        <v>88</v>
      </c>
      <c r="C9327" s="1" t="n">
        <v>236000</v>
      </c>
      <c r="D9327" s="1" t="n">
        <v>6139.4</v>
      </c>
      <c r="E9327" s="1" t="n">
        <v>0.0446</v>
      </c>
      <c r="F9327" s="1" t="n">
        <v>0.0759</v>
      </c>
    </row>
    <row r="9328" customFormat="false" ht="15" hidden="false" customHeight="false" outlineLevel="0" collapsed="false">
      <c r="A9328" s="1" t="s">
        <v>9363</v>
      </c>
      <c r="B9328" s="1" t="s">
        <v>81</v>
      </c>
      <c r="C9328" s="1" t="n">
        <v>268000</v>
      </c>
      <c r="D9328" s="1" t="n">
        <v>4114.3</v>
      </c>
      <c r="E9328" s="1" t="n">
        <v>0.0183</v>
      </c>
      <c r="F9328" s="1" t="n">
        <v>0.0854</v>
      </c>
    </row>
    <row r="9329" customFormat="false" ht="15" hidden="false" customHeight="false" outlineLevel="0" collapsed="false">
      <c r="A9329" s="1" t="s">
        <v>9364</v>
      </c>
      <c r="B9329" s="1" t="s">
        <v>214</v>
      </c>
      <c r="C9329" s="1" t="n">
        <v>195000</v>
      </c>
      <c r="D9329" s="1" t="n">
        <v>1451</v>
      </c>
      <c r="E9329" s="1" t="n">
        <v>0.011</v>
      </c>
      <c r="F9329" s="1" t="n">
        <v>0.0654</v>
      </c>
    </row>
    <row r="9330" customFormat="false" ht="15" hidden="false" customHeight="false" outlineLevel="0" collapsed="false">
      <c r="A9330" s="1" t="s">
        <v>9365</v>
      </c>
      <c r="B9330" s="1" t="s">
        <v>92</v>
      </c>
      <c r="C9330" s="1" t="n">
        <v>201000</v>
      </c>
      <c r="D9330" s="1" t="n">
        <v>4656.2</v>
      </c>
      <c r="E9330" s="1" t="n">
        <v>0.0268</v>
      </c>
      <c r="F9330" s="1" t="n">
        <v>0.0538</v>
      </c>
    </row>
    <row r="9331" customFormat="false" ht="15" hidden="false" customHeight="false" outlineLevel="0" collapsed="false">
      <c r="A9331" s="1" t="s">
        <v>9366</v>
      </c>
      <c r="B9331" s="1" t="s">
        <v>81</v>
      </c>
      <c r="C9331" s="1" t="n">
        <v>190000</v>
      </c>
      <c r="D9331" s="1" t="n">
        <v>809.7</v>
      </c>
      <c r="E9331" s="1" t="n">
        <v>0.03</v>
      </c>
      <c r="F9331" s="1" t="n">
        <v>0.1387</v>
      </c>
    </row>
    <row r="9332" customFormat="false" ht="15" hidden="false" customHeight="false" outlineLevel="0" collapsed="false">
      <c r="A9332" s="1" t="s">
        <v>9367</v>
      </c>
      <c r="B9332" s="1" t="s">
        <v>26</v>
      </c>
      <c r="C9332" s="1" t="n">
        <v>233000</v>
      </c>
      <c r="D9332" s="1" t="n">
        <v>59696.2</v>
      </c>
      <c r="E9332" s="1" t="n">
        <v>0.0236</v>
      </c>
      <c r="F9332" s="1" t="n">
        <v>0.0759</v>
      </c>
    </row>
    <row r="9333" customFormat="false" ht="15" hidden="false" customHeight="false" outlineLevel="0" collapsed="false">
      <c r="A9333" s="1" t="s">
        <v>9368</v>
      </c>
      <c r="B9333" s="1" t="s">
        <v>88</v>
      </c>
      <c r="C9333" s="1" t="n">
        <v>168000</v>
      </c>
      <c r="D9333" s="1" t="n">
        <v>1746.8</v>
      </c>
      <c r="E9333" s="1" t="n">
        <v>0.0732</v>
      </c>
      <c r="F9333" s="1" t="n">
        <v>0.0951</v>
      </c>
    </row>
    <row r="9334" customFormat="false" ht="15" hidden="false" customHeight="false" outlineLevel="0" collapsed="false">
      <c r="A9334" s="1" t="s">
        <v>9369</v>
      </c>
      <c r="B9334" s="1" t="s">
        <v>74</v>
      </c>
      <c r="C9334" s="1" t="n">
        <v>212000</v>
      </c>
      <c r="D9334" s="1" t="n">
        <v>1852.8</v>
      </c>
      <c r="E9334" s="1" t="n">
        <v>0.0359</v>
      </c>
      <c r="F9334" s="1" t="n">
        <v>0.0759</v>
      </c>
    </row>
    <row r="9335" customFormat="false" ht="15" hidden="false" customHeight="false" outlineLevel="0" collapsed="false">
      <c r="A9335" s="1" t="s">
        <v>9370</v>
      </c>
      <c r="B9335" s="1" t="s">
        <v>490</v>
      </c>
      <c r="C9335" s="1" t="n">
        <v>275000</v>
      </c>
      <c r="D9335" s="1" t="n">
        <v>12116.8</v>
      </c>
      <c r="E9335" s="1" t="n">
        <v>0.0208</v>
      </c>
      <c r="F9335" s="1" t="n">
        <v>0.0409</v>
      </c>
    </row>
    <row r="9336" customFormat="false" ht="15" hidden="false" customHeight="false" outlineLevel="0" collapsed="false">
      <c r="A9336" s="1" t="s">
        <v>9371</v>
      </c>
      <c r="B9336" s="1" t="s">
        <v>88</v>
      </c>
      <c r="C9336" s="1" t="n">
        <v>178000</v>
      </c>
      <c r="D9336" s="1" t="n">
        <v>2968.3</v>
      </c>
      <c r="E9336" s="1" t="n">
        <v>0.0208</v>
      </c>
      <c r="F9336" s="1" t="n">
        <v>0.1387</v>
      </c>
    </row>
    <row r="9337" customFormat="false" ht="15" hidden="false" customHeight="false" outlineLevel="0" collapsed="false">
      <c r="A9337" s="1" t="s">
        <v>9372</v>
      </c>
      <c r="B9337" s="1" t="s">
        <v>53</v>
      </c>
      <c r="C9337" s="1" t="n">
        <v>159000</v>
      </c>
      <c r="D9337" s="1" t="n">
        <v>5311</v>
      </c>
      <c r="E9337" s="1" t="n">
        <v>0.0583</v>
      </c>
      <c r="F9337" s="1" t="n">
        <v>0.0951</v>
      </c>
    </row>
    <row r="9338" customFormat="false" ht="15" hidden="false" customHeight="false" outlineLevel="0" collapsed="false">
      <c r="A9338" s="1" t="s">
        <v>9373</v>
      </c>
      <c r="B9338" s="1" t="s">
        <v>287</v>
      </c>
      <c r="C9338" s="1" t="n">
        <v>186000</v>
      </c>
      <c r="D9338" s="1" t="n">
        <v>1997.9</v>
      </c>
      <c r="E9338" s="1" t="n">
        <v>0.0086</v>
      </c>
      <c r="F9338" s="1" t="n">
        <v>0.0654</v>
      </c>
    </row>
    <row r="9339" customFormat="false" ht="15" hidden="false" customHeight="false" outlineLevel="0" collapsed="false">
      <c r="A9339" s="1" t="s">
        <v>9374</v>
      </c>
      <c r="B9339" s="1" t="s">
        <v>88</v>
      </c>
      <c r="C9339" s="1" t="n">
        <v>185000</v>
      </c>
      <c r="D9339" s="1" t="n">
        <v>731.6</v>
      </c>
      <c r="E9339" s="1" t="n">
        <v>0.0906</v>
      </c>
      <c r="F9339" s="1" t="n">
        <v>0.1516</v>
      </c>
    </row>
    <row r="9340" customFormat="false" ht="15" hidden="false" customHeight="false" outlineLevel="0" collapsed="false">
      <c r="A9340" s="1" t="s">
        <v>9375</v>
      </c>
      <c r="B9340" s="1" t="s">
        <v>88</v>
      </c>
      <c r="C9340" s="1" t="n">
        <v>308000</v>
      </c>
      <c r="D9340" s="1" t="n">
        <v>3730.5</v>
      </c>
      <c r="E9340" s="1" t="n">
        <v>0.038</v>
      </c>
      <c r="F9340" s="1" t="n">
        <v>0.0938</v>
      </c>
    </row>
    <row r="9341" customFormat="false" ht="15" hidden="false" customHeight="false" outlineLevel="0" collapsed="false">
      <c r="A9341" s="1" t="s">
        <v>9376</v>
      </c>
      <c r="B9341" s="1" t="s">
        <v>26</v>
      </c>
      <c r="C9341" s="1" t="n">
        <v>162000</v>
      </c>
      <c r="D9341" s="1" t="n">
        <v>50701.9</v>
      </c>
      <c r="E9341" s="1" t="n">
        <v>0.0416</v>
      </c>
      <c r="F9341" s="1" t="n">
        <v>0.0759</v>
      </c>
    </row>
    <row r="9342" customFormat="false" ht="15" hidden="false" customHeight="false" outlineLevel="0" collapsed="false">
      <c r="A9342" s="1" t="s">
        <v>9377</v>
      </c>
      <c r="B9342" s="1" t="s">
        <v>88</v>
      </c>
      <c r="C9342" s="1" t="n">
        <v>174000</v>
      </c>
      <c r="D9342" s="1" t="n">
        <v>71.7</v>
      </c>
      <c r="E9342" s="1" t="n">
        <v>0.0242</v>
      </c>
      <c r="F9342" s="1" t="n">
        <v>0.051</v>
      </c>
    </row>
    <row r="9343" customFormat="false" ht="15" hidden="false" customHeight="false" outlineLevel="0" collapsed="false">
      <c r="A9343" s="1" t="s">
        <v>9378</v>
      </c>
      <c r="B9343" s="1" t="s">
        <v>81</v>
      </c>
      <c r="C9343" s="1" t="n">
        <v>263000</v>
      </c>
      <c r="D9343" s="1" t="n">
        <v>8134.4</v>
      </c>
      <c r="E9343" s="1" t="n">
        <v>0.0152</v>
      </c>
      <c r="F9343" s="1" t="n">
        <v>0.0585</v>
      </c>
    </row>
    <row r="9344" customFormat="false" ht="15" hidden="false" customHeight="false" outlineLevel="0" collapsed="false">
      <c r="A9344" s="1" t="s">
        <v>9379</v>
      </c>
      <c r="B9344" s="1" t="s">
        <v>74</v>
      </c>
      <c r="C9344" s="1" t="n">
        <v>220000</v>
      </c>
      <c r="D9344" s="1" t="n">
        <v>1378410.8</v>
      </c>
      <c r="E9344" s="1" t="n">
        <v>0.009</v>
      </c>
      <c r="F9344" s="1" t="n">
        <v>0.1452</v>
      </c>
    </row>
    <row r="9345" customFormat="false" ht="15" hidden="false" customHeight="false" outlineLevel="0" collapsed="false">
      <c r="A9345" s="1" t="s">
        <v>9380</v>
      </c>
      <c r="B9345" s="1" t="s">
        <v>88</v>
      </c>
      <c r="C9345" s="1" t="n">
        <v>354000</v>
      </c>
      <c r="D9345" s="1" t="n">
        <v>286</v>
      </c>
      <c r="E9345" s="1" t="n">
        <v>0.0912</v>
      </c>
      <c r="F9345" s="1" t="n">
        <v>0.0938</v>
      </c>
    </row>
    <row r="9346" customFormat="false" ht="15" hidden="false" customHeight="false" outlineLevel="0" collapsed="false">
      <c r="A9346" s="1" t="s">
        <v>9381</v>
      </c>
      <c r="B9346" s="1" t="s">
        <v>41</v>
      </c>
      <c r="C9346" s="1" t="n">
        <v>618000</v>
      </c>
      <c r="D9346" s="1" t="n">
        <v>413.7</v>
      </c>
      <c r="E9346" s="1" t="n">
        <v>0.0113</v>
      </c>
      <c r="F9346" s="1" t="n">
        <v>0.0811</v>
      </c>
    </row>
    <row r="9347" customFormat="false" ht="15" hidden="false" customHeight="false" outlineLevel="0" collapsed="false">
      <c r="A9347" s="1" t="s">
        <v>9382</v>
      </c>
      <c r="B9347" s="1" t="s">
        <v>88</v>
      </c>
      <c r="C9347" s="1" t="n">
        <v>515000</v>
      </c>
      <c r="D9347" s="1" t="n">
        <v>14945.1</v>
      </c>
      <c r="E9347" s="1" t="n">
        <v>0.0344</v>
      </c>
      <c r="F9347" s="1" t="n">
        <v>0.0938</v>
      </c>
    </row>
    <row r="9348" customFormat="false" ht="15" hidden="false" customHeight="false" outlineLevel="0" collapsed="false">
      <c r="A9348" s="1" t="s">
        <v>9383</v>
      </c>
      <c r="B9348" s="1" t="s">
        <v>30</v>
      </c>
      <c r="C9348" s="1" t="n">
        <v>170000</v>
      </c>
      <c r="D9348" s="1" t="n">
        <v>25557.1</v>
      </c>
      <c r="E9348" s="1" t="n">
        <v>0.0502</v>
      </c>
      <c r="F9348" s="1" t="n">
        <v>0.0951</v>
      </c>
    </row>
    <row r="9349" customFormat="false" ht="15" hidden="false" customHeight="false" outlineLevel="0" collapsed="false">
      <c r="A9349" s="1" t="s">
        <v>9384</v>
      </c>
      <c r="B9349" s="1" t="s">
        <v>24</v>
      </c>
      <c r="C9349" s="1" t="n">
        <v>246000</v>
      </c>
      <c r="D9349" s="1" t="n">
        <v>2619.6</v>
      </c>
      <c r="F9349" s="1" t="n">
        <v>0.0938</v>
      </c>
    </row>
    <row r="9350" customFormat="false" ht="15" hidden="false" customHeight="false" outlineLevel="0" collapsed="false">
      <c r="A9350" s="1" t="s">
        <v>9385</v>
      </c>
      <c r="B9350" s="1" t="s">
        <v>88</v>
      </c>
      <c r="C9350" s="1" t="n">
        <v>535000</v>
      </c>
      <c r="D9350" s="1" t="n">
        <v>3472.8</v>
      </c>
      <c r="E9350" s="1" t="n">
        <v>0.0671</v>
      </c>
      <c r="F9350" s="1" t="n">
        <v>0.0938</v>
      </c>
    </row>
    <row r="9351" customFormat="false" ht="15" hidden="false" customHeight="false" outlineLevel="0" collapsed="false">
      <c r="A9351" s="1" t="s">
        <v>9386</v>
      </c>
      <c r="B9351" s="1" t="s">
        <v>53</v>
      </c>
      <c r="C9351" s="1" t="n">
        <v>207000</v>
      </c>
      <c r="D9351" s="1" t="n">
        <v>452.1</v>
      </c>
      <c r="F9351" s="1" t="n">
        <v>0.0409</v>
      </c>
    </row>
    <row r="9352" customFormat="false" ht="15" hidden="false" customHeight="false" outlineLevel="0" collapsed="false">
      <c r="A9352" s="1" t="s">
        <v>9387</v>
      </c>
      <c r="B9352" s="1" t="s">
        <v>88</v>
      </c>
      <c r="C9352" s="1" t="n">
        <v>187000</v>
      </c>
      <c r="D9352" s="1" t="n">
        <v>720.8</v>
      </c>
      <c r="E9352" s="1" t="n">
        <v>0.0463</v>
      </c>
      <c r="F9352" s="1" t="n">
        <v>0.0759</v>
      </c>
    </row>
    <row r="9353" customFormat="false" ht="15" hidden="false" customHeight="false" outlineLevel="0" collapsed="false">
      <c r="A9353" s="1" t="s">
        <v>9388</v>
      </c>
      <c r="B9353" s="1" t="s">
        <v>88</v>
      </c>
      <c r="C9353" s="1" t="n">
        <v>244000</v>
      </c>
      <c r="D9353" s="1" t="n">
        <v>223.9</v>
      </c>
      <c r="E9353" s="1" t="n">
        <v>0.0335</v>
      </c>
      <c r="F9353" s="1" t="n">
        <v>0.1226</v>
      </c>
    </row>
    <row r="9354" customFormat="false" ht="15" hidden="false" customHeight="false" outlineLevel="0" collapsed="false">
      <c r="A9354" s="1" t="s">
        <v>9389</v>
      </c>
      <c r="B9354" s="1" t="s">
        <v>35</v>
      </c>
      <c r="C9354" s="1" t="n">
        <v>164000</v>
      </c>
      <c r="D9354" s="1" t="n">
        <v>3671.8</v>
      </c>
      <c r="F9354" s="1" t="n">
        <v>0.0518</v>
      </c>
    </row>
    <row r="9355" customFormat="false" ht="15" hidden="false" customHeight="false" outlineLevel="0" collapsed="false">
      <c r="A9355" s="1" t="s">
        <v>9390</v>
      </c>
      <c r="B9355" s="1" t="s">
        <v>26</v>
      </c>
      <c r="C9355" s="1" t="n">
        <v>228000</v>
      </c>
      <c r="D9355" s="1" t="n">
        <v>4158.9</v>
      </c>
      <c r="E9355" s="1" t="n">
        <v>0.0071</v>
      </c>
      <c r="F9355" s="1" t="n">
        <v>0.0822</v>
      </c>
    </row>
    <row r="9356" customFormat="false" ht="15" hidden="false" customHeight="false" outlineLevel="0" collapsed="false">
      <c r="A9356" s="1" t="s">
        <v>9391</v>
      </c>
      <c r="B9356" s="1" t="s">
        <v>53</v>
      </c>
      <c r="C9356" s="1" t="n">
        <v>182000</v>
      </c>
      <c r="D9356" s="1" t="n">
        <v>8833.2</v>
      </c>
      <c r="E9356" s="1" t="n">
        <v>0.0304</v>
      </c>
      <c r="F9356" s="1" t="n">
        <v>0.0951</v>
      </c>
    </row>
    <row r="9357" customFormat="false" ht="15" hidden="false" customHeight="false" outlineLevel="0" collapsed="false">
      <c r="A9357" s="1" t="s">
        <v>9392</v>
      </c>
      <c r="B9357" s="1" t="s">
        <v>53</v>
      </c>
      <c r="C9357" s="1" t="n">
        <v>890000</v>
      </c>
      <c r="D9357" s="1" t="n">
        <v>27691.3</v>
      </c>
      <c r="E9357" s="1" t="n">
        <v>0.0034</v>
      </c>
      <c r="F9357" s="1" t="n">
        <v>0.0811</v>
      </c>
    </row>
    <row r="9358" customFormat="false" ht="15" hidden="false" customHeight="false" outlineLevel="0" collapsed="false">
      <c r="A9358" s="1" t="s">
        <v>9393</v>
      </c>
      <c r="B9358" s="1" t="s">
        <v>71</v>
      </c>
      <c r="C9358" s="1" t="n">
        <v>180000</v>
      </c>
      <c r="D9358" s="1" t="n">
        <v>499.9</v>
      </c>
      <c r="E9358" s="1" t="n">
        <v>0.0353</v>
      </c>
      <c r="F9358" s="1" t="n">
        <v>0.0938</v>
      </c>
    </row>
    <row r="9359" customFormat="false" ht="15" hidden="false" customHeight="false" outlineLevel="0" collapsed="false">
      <c r="A9359" s="1" t="s">
        <v>9394</v>
      </c>
      <c r="B9359" s="1" t="s">
        <v>24</v>
      </c>
      <c r="C9359" s="1" t="n">
        <v>231000</v>
      </c>
      <c r="D9359" s="1" t="n">
        <v>1338</v>
      </c>
      <c r="F9359" s="1" t="n">
        <v>0.0938</v>
      </c>
    </row>
    <row r="9360" customFormat="false" ht="15" hidden="false" customHeight="false" outlineLevel="0" collapsed="false">
      <c r="A9360" s="1" t="s">
        <v>9395</v>
      </c>
      <c r="B9360" s="1" t="s">
        <v>88</v>
      </c>
      <c r="C9360" s="1" t="n">
        <v>160000</v>
      </c>
      <c r="D9360" s="1" t="n">
        <v>881.4</v>
      </c>
      <c r="E9360" s="1" t="n">
        <v>0.0238</v>
      </c>
      <c r="F9360" s="1" t="n">
        <v>0.0951</v>
      </c>
    </row>
    <row r="9361" customFormat="false" ht="15" hidden="false" customHeight="false" outlineLevel="0" collapsed="false">
      <c r="A9361" s="1" t="s">
        <v>9396</v>
      </c>
      <c r="B9361" s="1" t="s">
        <v>24</v>
      </c>
      <c r="C9361" s="1" t="n">
        <v>323000</v>
      </c>
      <c r="D9361" s="1" t="n">
        <v>318135.4</v>
      </c>
      <c r="E9361" s="1" t="n">
        <v>0.0163</v>
      </c>
      <c r="F9361" s="1" t="n">
        <v>0.1067</v>
      </c>
    </row>
    <row r="9362" customFormat="false" ht="15" hidden="false" customHeight="false" outlineLevel="0" collapsed="false">
      <c r="A9362" s="1" t="s">
        <v>9397</v>
      </c>
      <c r="B9362" s="1" t="s">
        <v>28</v>
      </c>
      <c r="C9362" s="1" t="n">
        <v>167000</v>
      </c>
      <c r="D9362" s="1" t="n">
        <v>412</v>
      </c>
      <c r="E9362" s="1" t="n">
        <v>0.0058</v>
      </c>
      <c r="F9362" s="1" t="n">
        <v>0.0822</v>
      </c>
    </row>
    <row r="9363" customFormat="false" ht="15" hidden="false" customHeight="false" outlineLevel="0" collapsed="false">
      <c r="A9363" s="1" t="s">
        <v>9398</v>
      </c>
      <c r="B9363" s="1" t="s">
        <v>26</v>
      </c>
      <c r="C9363" s="1" t="n">
        <v>174000</v>
      </c>
      <c r="D9363" s="1" t="n">
        <v>4136.8</v>
      </c>
      <c r="E9363" s="1" t="n">
        <v>0.0321</v>
      </c>
      <c r="F9363" s="1" t="n">
        <v>0.0518</v>
      </c>
    </row>
    <row r="9364" customFormat="false" ht="15" hidden="false" customHeight="false" outlineLevel="0" collapsed="false">
      <c r="A9364" s="1" t="s">
        <v>9399</v>
      </c>
      <c r="B9364" s="1" t="s">
        <v>92</v>
      </c>
      <c r="C9364" s="1" t="n">
        <v>174000</v>
      </c>
      <c r="D9364" s="1" t="n">
        <v>764</v>
      </c>
      <c r="E9364" s="1" t="n">
        <v>0.0103</v>
      </c>
      <c r="F9364" s="1" t="n">
        <v>0.1866</v>
      </c>
    </row>
    <row r="9365" customFormat="false" ht="15" hidden="false" customHeight="false" outlineLevel="0" collapsed="false">
      <c r="A9365" s="1" t="s">
        <v>9400</v>
      </c>
      <c r="B9365" s="1" t="s">
        <v>74</v>
      </c>
      <c r="C9365" s="1" t="n">
        <v>182000</v>
      </c>
      <c r="D9365" s="1" t="n">
        <v>11850.2</v>
      </c>
      <c r="E9365" s="1" t="n">
        <v>0.0997</v>
      </c>
      <c r="F9365" s="1" t="n">
        <v>0.0759</v>
      </c>
    </row>
    <row r="9366" customFormat="false" ht="15" hidden="false" customHeight="false" outlineLevel="0" collapsed="false">
      <c r="A9366" s="1" t="s">
        <v>9401</v>
      </c>
      <c r="B9366" s="1" t="s">
        <v>62</v>
      </c>
      <c r="C9366" s="1" t="n">
        <v>193000</v>
      </c>
      <c r="D9366" s="1" t="n">
        <v>1489.7</v>
      </c>
      <c r="F9366" s="1" t="n">
        <v>0.0951</v>
      </c>
    </row>
    <row r="9367" customFormat="false" ht="15" hidden="false" customHeight="false" outlineLevel="0" collapsed="false">
      <c r="A9367" s="1" t="s">
        <v>9402</v>
      </c>
      <c r="B9367" s="1" t="s">
        <v>214</v>
      </c>
      <c r="C9367" s="1" t="n">
        <v>183000</v>
      </c>
      <c r="D9367" s="1" t="n">
        <v>111.2</v>
      </c>
      <c r="E9367" s="1" t="n">
        <v>0.0627</v>
      </c>
      <c r="F9367" s="1" t="n">
        <v>0.0951</v>
      </c>
    </row>
    <row r="9368" customFormat="false" ht="15" hidden="false" customHeight="false" outlineLevel="0" collapsed="false">
      <c r="A9368" s="1" t="s">
        <v>9403</v>
      </c>
      <c r="B9368" s="1" t="s">
        <v>81</v>
      </c>
      <c r="C9368" s="1" t="n">
        <v>209000</v>
      </c>
      <c r="D9368" s="1" t="n">
        <v>5337</v>
      </c>
      <c r="E9368" s="1" t="n">
        <v>0.0241</v>
      </c>
      <c r="F9368" s="1" t="n">
        <v>0.051</v>
      </c>
    </row>
    <row r="9369" customFormat="false" ht="15" hidden="false" customHeight="false" outlineLevel="0" collapsed="false">
      <c r="A9369" s="1" t="s">
        <v>9404</v>
      </c>
      <c r="B9369" s="1" t="s">
        <v>81</v>
      </c>
      <c r="C9369" s="1" t="n">
        <v>323000</v>
      </c>
      <c r="D9369" s="1" t="n">
        <v>6982.3</v>
      </c>
      <c r="E9369" s="1" t="n">
        <v>0.0267</v>
      </c>
      <c r="F9369" s="1" t="n">
        <v>0.1053</v>
      </c>
    </row>
    <row r="9370" customFormat="false" ht="15" hidden="false" customHeight="false" outlineLevel="0" collapsed="false">
      <c r="A9370" s="1" t="s">
        <v>9405</v>
      </c>
      <c r="B9370" s="1" t="s">
        <v>88</v>
      </c>
      <c r="C9370" s="1" t="n">
        <v>176000</v>
      </c>
      <c r="D9370" s="1" t="n">
        <v>1969.8</v>
      </c>
      <c r="E9370" s="1" t="n">
        <v>0.0584</v>
      </c>
      <c r="F9370" s="1" t="n">
        <v>0.0938</v>
      </c>
    </row>
    <row r="9371" customFormat="false" ht="15" hidden="false" customHeight="false" outlineLevel="0" collapsed="false">
      <c r="A9371" s="1" t="s">
        <v>9406</v>
      </c>
      <c r="B9371" s="1" t="s">
        <v>26</v>
      </c>
      <c r="C9371" s="1" t="n">
        <v>215000</v>
      </c>
      <c r="D9371" s="1" t="n">
        <v>658.3</v>
      </c>
      <c r="E9371" s="1" t="n">
        <v>0.0262</v>
      </c>
      <c r="F9371" s="1" t="n">
        <v>0.0409</v>
      </c>
    </row>
    <row r="9372" customFormat="false" ht="15" hidden="false" customHeight="false" outlineLevel="0" collapsed="false">
      <c r="A9372" s="1" t="s">
        <v>9407</v>
      </c>
      <c r="B9372" s="1" t="s">
        <v>62</v>
      </c>
      <c r="C9372" s="1" t="n">
        <v>329000</v>
      </c>
      <c r="D9372" s="1" t="n">
        <v>244066.8</v>
      </c>
      <c r="E9372" s="1" t="n">
        <v>0.0398</v>
      </c>
      <c r="F9372" s="1" t="n">
        <v>0.0759</v>
      </c>
    </row>
    <row r="9373" customFormat="false" ht="15" hidden="false" customHeight="false" outlineLevel="0" collapsed="false">
      <c r="A9373" s="1" t="s">
        <v>9408</v>
      </c>
      <c r="B9373" s="1" t="s">
        <v>88</v>
      </c>
      <c r="C9373" s="1" t="n">
        <v>186000</v>
      </c>
      <c r="D9373" s="1" t="n">
        <v>13183.2</v>
      </c>
      <c r="E9373" s="1" t="n">
        <v>0.0317</v>
      </c>
      <c r="F9373" s="1" t="n">
        <v>0.0951</v>
      </c>
    </row>
    <row r="9374" customFormat="false" ht="15" hidden="false" customHeight="false" outlineLevel="0" collapsed="false">
      <c r="A9374" s="1" t="s">
        <v>9409</v>
      </c>
      <c r="B9374" s="1" t="s">
        <v>92</v>
      </c>
      <c r="C9374" s="1" t="n">
        <v>317000</v>
      </c>
      <c r="D9374" s="1" t="n">
        <v>1891.8</v>
      </c>
      <c r="E9374" s="1" t="n">
        <v>0.0264</v>
      </c>
      <c r="F9374" s="1" t="n">
        <v>0.051</v>
      </c>
    </row>
    <row r="9375" customFormat="false" ht="15" hidden="false" customHeight="false" outlineLevel="0" collapsed="false">
      <c r="A9375" s="1" t="s">
        <v>9410</v>
      </c>
      <c r="B9375" s="1" t="s">
        <v>26</v>
      </c>
      <c r="C9375" s="1" t="n">
        <v>174000</v>
      </c>
      <c r="D9375" s="1" t="n">
        <v>5236.3</v>
      </c>
      <c r="E9375" s="1" t="n">
        <v>0.067</v>
      </c>
      <c r="F9375" s="1" t="n">
        <v>0.0951</v>
      </c>
    </row>
    <row r="9376" customFormat="false" ht="15" hidden="false" customHeight="false" outlineLevel="0" collapsed="false">
      <c r="A9376" s="1" t="s">
        <v>9411</v>
      </c>
      <c r="B9376" s="1" t="s">
        <v>74</v>
      </c>
      <c r="C9376" s="1" t="n">
        <v>621000</v>
      </c>
      <c r="D9376" s="1" t="n">
        <v>99752.9</v>
      </c>
      <c r="E9376" s="1" t="n">
        <v>0.0456</v>
      </c>
      <c r="F9376" s="1" t="n">
        <v>0.0951</v>
      </c>
    </row>
    <row r="9377" customFormat="false" ht="15" hidden="false" customHeight="false" outlineLevel="0" collapsed="false">
      <c r="A9377" s="1" t="s">
        <v>9412</v>
      </c>
      <c r="B9377" s="1" t="s">
        <v>88</v>
      </c>
      <c r="C9377" s="1" t="n">
        <v>243000</v>
      </c>
      <c r="D9377" s="1" t="n">
        <v>114.6</v>
      </c>
      <c r="E9377" s="1" t="n">
        <v>0.033</v>
      </c>
      <c r="F9377" s="1" t="n">
        <v>0.0938</v>
      </c>
    </row>
    <row r="9378" customFormat="false" ht="15" hidden="false" customHeight="false" outlineLevel="0" collapsed="false">
      <c r="A9378" s="1" t="s">
        <v>9413</v>
      </c>
      <c r="B9378" s="1" t="s">
        <v>88</v>
      </c>
      <c r="C9378" s="1" t="n">
        <v>184000</v>
      </c>
      <c r="D9378" s="1" t="n">
        <v>11559.3</v>
      </c>
      <c r="E9378" s="1" t="n">
        <v>0.039</v>
      </c>
      <c r="F9378" s="1" t="n">
        <v>0.0759</v>
      </c>
    </row>
    <row r="9379" customFormat="false" ht="15" hidden="false" customHeight="false" outlineLevel="0" collapsed="false">
      <c r="A9379" s="1" t="s">
        <v>9414</v>
      </c>
      <c r="B9379" s="1" t="s">
        <v>62</v>
      </c>
      <c r="C9379" s="1" t="n">
        <v>207000</v>
      </c>
      <c r="D9379" s="1" t="n">
        <v>4082.3</v>
      </c>
      <c r="E9379" s="1" t="n">
        <v>0.0235</v>
      </c>
      <c r="F9379" s="1" t="n">
        <v>0.0759</v>
      </c>
    </row>
    <row r="9380" customFormat="false" ht="15" hidden="false" customHeight="false" outlineLevel="0" collapsed="false">
      <c r="A9380" s="1" t="s">
        <v>9415</v>
      </c>
      <c r="B9380" s="1" t="s">
        <v>92</v>
      </c>
      <c r="C9380" s="1" t="n">
        <v>166000</v>
      </c>
      <c r="D9380" s="1" t="n">
        <v>1222.7</v>
      </c>
      <c r="E9380" s="1" t="n">
        <v>0.0166</v>
      </c>
      <c r="F9380" s="1" t="n">
        <v>0.0585</v>
      </c>
    </row>
    <row r="9381" customFormat="false" ht="15" hidden="false" customHeight="false" outlineLevel="0" collapsed="false">
      <c r="A9381" s="1" t="s">
        <v>9416</v>
      </c>
      <c r="B9381" s="1" t="s">
        <v>24</v>
      </c>
      <c r="C9381" s="1" t="n">
        <v>243000</v>
      </c>
      <c r="D9381" s="1" t="n">
        <v>16103.3</v>
      </c>
      <c r="E9381" s="1" t="n">
        <v>0.0144</v>
      </c>
      <c r="F9381" s="1" t="n">
        <v>0.1327</v>
      </c>
    </row>
    <row r="9382" customFormat="false" ht="15" hidden="false" customHeight="false" outlineLevel="0" collapsed="false">
      <c r="A9382" s="1" t="s">
        <v>9417</v>
      </c>
      <c r="B9382" s="1" t="s">
        <v>88</v>
      </c>
      <c r="C9382" s="1" t="n">
        <v>224000</v>
      </c>
      <c r="D9382" s="1" t="n">
        <v>6324.5</v>
      </c>
      <c r="E9382" s="1" t="n">
        <v>0.0511</v>
      </c>
      <c r="F9382" s="1" t="n">
        <v>0.0759</v>
      </c>
    </row>
    <row r="9383" customFormat="false" ht="15" hidden="false" customHeight="false" outlineLevel="0" collapsed="false">
      <c r="A9383" s="1" t="s">
        <v>9418</v>
      </c>
      <c r="B9383" s="1" t="s">
        <v>88</v>
      </c>
      <c r="C9383" s="1" t="n">
        <v>187000</v>
      </c>
      <c r="D9383" s="1" t="n">
        <v>1724.2</v>
      </c>
      <c r="E9383" s="1" t="n">
        <v>0.0281</v>
      </c>
      <c r="F9383" s="1" t="n">
        <v>0.051</v>
      </c>
    </row>
    <row r="9384" customFormat="false" ht="15" hidden="false" customHeight="false" outlineLevel="0" collapsed="false">
      <c r="A9384" s="1" t="s">
        <v>9419</v>
      </c>
      <c r="B9384" s="1" t="s">
        <v>26</v>
      </c>
      <c r="C9384" s="1" t="n">
        <v>181000</v>
      </c>
      <c r="D9384" s="1" t="n">
        <v>75394.9</v>
      </c>
      <c r="E9384" s="1" t="n">
        <v>0.0298</v>
      </c>
      <c r="F9384" s="1" t="n">
        <v>0.0951</v>
      </c>
    </row>
    <row r="9385" customFormat="false" ht="15" hidden="false" customHeight="false" outlineLevel="0" collapsed="false">
      <c r="A9385" s="1" t="s">
        <v>9420</v>
      </c>
      <c r="B9385" s="1" t="s">
        <v>88</v>
      </c>
      <c r="C9385" s="1" t="n">
        <v>216000</v>
      </c>
      <c r="D9385" s="1" t="n">
        <v>2752.5</v>
      </c>
      <c r="F9385" s="1" t="n">
        <v>0.0951</v>
      </c>
    </row>
    <row r="9386" customFormat="false" ht="15" hidden="false" customHeight="false" outlineLevel="0" collapsed="false">
      <c r="A9386" s="1" t="s">
        <v>9421</v>
      </c>
      <c r="B9386" s="1" t="s">
        <v>214</v>
      </c>
      <c r="C9386" s="1" t="n">
        <v>190000</v>
      </c>
      <c r="D9386" s="1" t="n">
        <v>2034.6</v>
      </c>
      <c r="E9386" s="1" t="n">
        <v>0.0142</v>
      </c>
      <c r="F9386" s="1" t="n">
        <v>0.0736</v>
      </c>
    </row>
    <row r="9387" customFormat="false" ht="15" hidden="false" customHeight="false" outlineLevel="0" collapsed="false">
      <c r="A9387" s="1" t="s">
        <v>9422</v>
      </c>
      <c r="B9387" s="1" t="s">
        <v>26</v>
      </c>
      <c r="C9387" s="1" t="n">
        <v>181000</v>
      </c>
      <c r="D9387" s="1" t="n">
        <v>2750.5</v>
      </c>
      <c r="E9387" s="1" t="n">
        <v>0.0058</v>
      </c>
      <c r="F9387" s="1" t="n">
        <v>0.0822</v>
      </c>
    </row>
    <row r="9388" customFormat="false" ht="15" hidden="false" customHeight="false" outlineLevel="0" collapsed="false">
      <c r="A9388" s="1" t="s">
        <v>9423</v>
      </c>
      <c r="B9388" s="1" t="s">
        <v>81</v>
      </c>
      <c r="C9388" s="1" t="n">
        <v>207000</v>
      </c>
      <c r="D9388" s="1" t="n">
        <v>4876.7</v>
      </c>
      <c r="E9388" s="1" t="n">
        <v>0.0236</v>
      </c>
      <c r="F9388" s="1" t="n">
        <v>0.0854</v>
      </c>
    </row>
    <row r="9389" customFormat="false" ht="15" hidden="false" customHeight="false" outlineLevel="0" collapsed="false">
      <c r="A9389" s="1" t="s">
        <v>9424</v>
      </c>
      <c r="B9389" s="1" t="s">
        <v>74</v>
      </c>
      <c r="C9389" s="1" t="n">
        <v>198000</v>
      </c>
      <c r="D9389" s="1" t="n">
        <v>1731.4</v>
      </c>
      <c r="E9389" s="1" t="n">
        <v>0.0725</v>
      </c>
      <c r="F9389" s="1" t="n">
        <v>0.0759</v>
      </c>
    </row>
    <row r="9390" customFormat="false" ht="15" hidden="false" customHeight="false" outlineLevel="0" collapsed="false">
      <c r="A9390" s="1" t="s">
        <v>9425</v>
      </c>
      <c r="B9390" s="1" t="s">
        <v>62</v>
      </c>
      <c r="C9390" s="1" t="n">
        <v>170000</v>
      </c>
      <c r="D9390" s="1" t="n">
        <v>25167.6</v>
      </c>
      <c r="E9390" s="1" t="n">
        <v>0.0204</v>
      </c>
      <c r="F9390" s="1" t="n">
        <v>0.0585</v>
      </c>
    </row>
    <row r="9391" customFormat="false" ht="15" hidden="false" customHeight="false" outlineLevel="0" collapsed="false">
      <c r="A9391" s="1" t="s">
        <v>9426</v>
      </c>
      <c r="B9391" s="1" t="s">
        <v>32</v>
      </c>
      <c r="C9391" s="1" t="n">
        <v>197000</v>
      </c>
      <c r="D9391" s="1" t="n">
        <v>23751.7</v>
      </c>
      <c r="E9391" s="1" t="n">
        <v>0.01</v>
      </c>
      <c r="F9391" s="1" t="n">
        <v>0.2294</v>
      </c>
    </row>
    <row r="9392" customFormat="false" ht="15" hidden="false" customHeight="false" outlineLevel="0" collapsed="false">
      <c r="A9392" s="1" t="s">
        <v>9427</v>
      </c>
      <c r="B9392" s="1" t="s">
        <v>81</v>
      </c>
      <c r="C9392" s="1" t="n">
        <v>339000</v>
      </c>
      <c r="D9392" s="1" t="n">
        <v>4481.8</v>
      </c>
      <c r="E9392" s="1" t="n">
        <v>0.0403</v>
      </c>
      <c r="F9392" s="1" t="n">
        <v>0.0759</v>
      </c>
    </row>
    <row r="9393" customFormat="false" ht="15" hidden="false" customHeight="false" outlineLevel="0" collapsed="false">
      <c r="A9393" s="1" t="s">
        <v>9428</v>
      </c>
      <c r="B9393" s="1" t="s">
        <v>26</v>
      </c>
      <c r="C9393" s="1" t="n">
        <v>167000</v>
      </c>
      <c r="D9393" s="1" t="n">
        <v>8227.7</v>
      </c>
      <c r="E9393" s="1" t="n">
        <v>0.0194</v>
      </c>
      <c r="F9393" s="1" t="n">
        <v>0.0585</v>
      </c>
    </row>
    <row r="9394" customFormat="false" ht="15" hidden="false" customHeight="false" outlineLevel="0" collapsed="false">
      <c r="A9394" s="1" t="s">
        <v>9429</v>
      </c>
      <c r="B9394" s="1" t="s">
        <v>88</v>
      </c>
      <c r="C9394" s="1" t="n">
        <v>170000</v>
      </c>
      <c r="D9394" s="1" t="n">
        <v>123083.8</v>
      </c>
      <c r="E9394" s="1" t="n">
        <v>0.0101</v>
      </c>
      <c r="F9394" s="1" t="n">
        <v>0.1327</v>
      </c>
    </row>
    <row r="9395" customFormat="false" ht="15" hidden="false" customHeight="false" outlineLevel="0" collapsed="false">
      <c r="A9395" s="1" t="s">
        <v>9430</v>
      </c>
      <c r="B9395" s="1" t="s">
        <v>92</v>
      </c>
      <c r="C9395" s="1" t="n">
        <v>189000</v>
      </c>
      <c r="D9395" s="1" t="n">
        <v>20310.2</v>
      </c>
      <c r="E9395" s="1" t="n">
        <v>0.0284</v>
      </c>
      <c r="F9395" s="1" t="n">
        <v>0.0951</v>
      </c>
    </row>
    <row r="9396" customFormat="false" ht="15" hidden="false" customHeight="false" outlineLevel="0" collapsed="false">
      <c r="A9396" s="1" t="s">
        <v>9431</v>
      </c>
      <c r="B9396" s="1" t="s">
        <v>74</v>
      </c>
      <c r="C9396" s="1" t="n">
        <v>210000</v>
      </c>
      <c r="D9396" s="1" t="n">
        <v>4017.2</v>
      </c>
      <c r="E9396" s="1" t="n">
        <v>0.0106</v>
      </c>
      <c r="F9396" s="1" t="n">
        <v>0.1309</v>
      </c>
    </row>
    <row r="9397" customFormat="false" ht="15" hidden="false" customHeight="false" outlineLevel="0" collapsed="false">
      <c r="A9397" s="1" t="s">
        <v>9432</v>
      </c>
      <c r="B9397" s="1" t="s">
        <v>26</v>
      </c>
      <c r="C9397" s="1" t="n">
        <v>179000</v>
      </c>
      <c r="D9397" s="1" t="n">
        <v>1766</v>
      </c>
      <c r="E9397" s="1" t="n">
        <v>0.0025</v>
      </c>
      <c r="F9397" s="1" t="n">
        <v>0.0811</v>
      </c>
    </row>
    <row r="9398" customFormat="false" ht="15" hidden="false" customHeight="false" outlineLevel="0" collapsed="false">
      <c r="A9398" s="1" t="s">
        <v>9433</v>
      </c>
      <c r="B9398" s="1" t="s">
        <v>41</v>
      </c>
      <c r="C9398" s="1" t="n">
        <v>240000</v>
      </c>
      <c r="D9398" s="1" t="n">
        <v>17784.4</v>
      </c>
      <c r="F9398" s="1" t="n">
        <v>0.0409</v>
      </c>
    </row>
    <row r="9399" customFormat="false" ht="15" hidden="false" customHeight="false" outlineLevel="0" collapsed="false">
      <c r="A9399" s="1" t="s">
        <v>9434</v>
      </c>
      <c r="B9399" s="1" t="s">
        <v>26</v>
      </c>
      <c r="C9399" s="1" t="n">
        <v>158000</v>
      </c>
      <c r="D9399" s="1" t="n">
        <v>67997.1</v>
      </c>
      <c r="E9399" s="1" t="n">
        <v>0.0411</v>
      </c>
      <c r="F9399" s="1" t="n">
        <v>0.1243</v>
      </c>
    </row>
    <row r="9400" customFormat="false" ht="15" hidden="false" customHeight="false" outlineLevel="0" collapsed="false">
      <c r="A9400" s="1" t="s">
        <v>9435</v>
      </c>
      <c r="B9400" s="1" t="s">
        <v>26</v>
      </c>
      <c r="C9400" s="1" t="n">
        <v>189000</v>
      </c>
      <c r="D9400" s="1" t="n">
        <v>11075.9</v>
      </c>
      <c r="E9400" s="1" t="n">
        <v>0.0387</v>
      </c>
      <c r="F9400" s="1" t="n">
        <v>0.0759</v>
      </c>
    </row>
    <row r="9401" customFormat="false" ht="15" hidden="false" customHeight="false" outlineLevel="0" collapsed="false">
      <c r="A9401" s="1" t="s">
        <v>9436</v>
      </c>
      <c r="B9401" s="1" t="s">
        <v>88</v>
      </c>
      <c r="C9401" s="1" t="n">
        <v>221000</v>
      </c>
      <c r="D9401" s="1" t="n">
        <v>3704.5</v>
      </c>
      <c r="E9401" s="1" t="n">
        <v>0.0562</v>
      </c>
      <c r="F9401" s="1" t="n">
        <v>0.0938</v>
      </c>
    </row>
    <row r="9402" customFormat="false" ht="15" hidden="false" customHeight="false" outlineLevel="0" collapsed="false">
      <c r="A9402" s="1" t="s">
        <v>9437</v>
      </c>
      <c r="B9402" s="1" t="s">
        <v>26</v>
      </c>
      <c r="C9402" s="1" t="n">
        <v>488000</v>
      </c>
      <c r="D9402" s="1" t="n">
        <v>7772.9</v>
      </c>
      <c r="E9402" s="1" t="n">
        <v>0.0303</v>
      </c>
      <c r="F9402" s="1" t="n">
        <v>0.0759</v>
      </c>
    </row>
    <row r="9403" customFormat="false" ht="15" hidden="false" customHeight="false" outlineLevel="0" collapsed="false">
      <c r="A9403" s="1" t="s">
        <v>9438</v>
      </c>
      <c r="B9403" s="1" t="s">
        <v>88</v>
      </c>
      <c r="C9403" s="1" t="n">
        <v>214000</v>
      </c>
      <c r="D9403" s="1" t="n">
        <v>983.3</v>
      </c>
      <c r="E9403" s="1" t="n">
        <v>0.054</v>
      </c>
      <c r="F9403" s="1" t="n">
        <v>0.0759</v>
      </c>
    </row>
    <row r="9404" customFormat="false" ht="15" hidden="false" customHeight="false" outlineLevel="0" collapsed="false">
      <c r="A9404" s="1" t="s">
        <v>9439</v>
      </c>
      <c r="B9404" s="1" t="s">
        <v>26</v>
      </c>
      <c r="C9404" s="1" t="n">
        <v>162000</v>
      </c>
      <c r="D9404" s="1" t="n">
        <v>455.2</v>
      </c>
      <c r="E9404" s="1" t="n">
        <v>0.0552</v>
      </c>
      <c r="F9404" s="1" t="n">
        <v>0.0951</v>
      </c>
    </row>
    <row r="9405" customFormat="false" ht="15" hidden="false" customHeight="false" outlineLevel="0" collapsed="false">
      <c r="A9405" s="1" t="s">
        <v>9440</v>
      </c>
      <c r="B9405" s="1" t="s">
        <v>26</v>
      </c>
      <c r="C9405" s="1" t="n">
        <v>229000</v>
      </c>
      <c r="D9405" s="1" t="n">
        <v>94812.2</v>
      </c>
      <c r="E9405" s="1" t="n">
        <v>0.0279</v>
      </c>
      <c r="F9405" s="1" t="n">
        <v>0.0951</v>
      </c>
    </row>
    <row r="9406" customFormat="false" ht="15" hidden="false" customHeight="false" outlineLevel="0" collapsed="false">
      <c r="A9406" s="1" t="s">
        <v>9441</v>
      </c>
      <c r="B9406" s="1" t="s">
        <v>50</v>
      </c>
      <c r="C9406" s="1" t="n">
        <v>159000</v>
      </c>
      <c r="D9406" s="1" t="n">
        <v>22206.7</v>
      </c>
      <c r="E9406" s="1" t="n">
        <v>0.0629</v>
      </c>
      <c r="F9406" s="1" t="n">
        <v>0.0951</v>
      </c>
    </row>
    <row r="9407" customFormat="false" ht="15" hidden="false" customHeight="false" outlineLevel="0" collapsed="false">
      <c r="A9407" s="1" t="s">
        <v>9442</v>
      </c>
      <c r="B9407" s="1" t="s">
        <v>214</v>
      </c>
      <c r="C9407" s="1" t="n">
        <v>224000</v>
      </c>
      <c r="D9407" s="1" t="n">
        <v>2366.9</v>
      </c>
      <c r="E9407" s="1" t="n">
        <v>0.0539</v>
      </c>
      <c r="F9407" s="1" t="n">
        <v>0.0759</v>
      </c>
    </row>
    <row r="9408" customFormat="false" ht="15" hidden="false" customHeight="false" outlineLevel="0" collapsed="false">
      <c r="A9408" s="1" t="s">
        <v>9443</v>
      </c>
      <c r="B9408" s="1" t="s">
        <v>92</v>
      </c>
      <c r="C9408" s="1" t="n">
        <v>185000</v>
      </c>
      <c r="D9408" s="1" t="n">
        <v>1497</v>
      </c>
      <c r="E9408" s="1" t="n">
        <v>0.0155</v>
      </c>
      <c r="F9408" s="1" t="n">
        <v>0.0462</v>
      </c>
    </row>
    <row r="9409" customFormat="false" ht="15" hidden="false" customHeight="false" outlineLevel="0" collapsed="false">
      <c r="A9409" s="1" t="s">
        <v>9444</v>
      </c>
      <c r="B9409" s="1" t="s">
        <v>53</v>
      </c>
      <c r="C9409" s="1" t="n">
        <v>174000</v>
      </c>
      <c r="D9409" s="1" t="n">
        <v>218.1</v>
      </c>
      <c r="E9409" s="1" t="n">
        <v>0.0065</v>
      </c>
      <c r="F9409" s="1" t="n">
        <v>0.0822</v>
      </c>
    </row>
    <row r="9410" customFormat="false" ht="15" hidden="false" customHeight="false" outlineLevel="0" collapsed="false">
      <c r="A9410" s="1" t="s">
        <v>9445</v>
      </c>
      <c r="B9410" s="1" t="s">
        <v>26</v>
      </c>
      <c r="C9410" s="1" t="n">
        <v>305000</v>
      </c>
      <c r="D9410" s="1" t="n">
        <v>12395.6</v>
      </c>
      <c r="E9410" s="1" t="n">
        <v>0.0119</v>
      </c>
      <c r="F9410" s="1" t="n">
        <v>0.0811</v>
      </c>
    </row>
    <row r="9411" customFormat="false" ht="15" hidden="false" customHeight="false" outlineLevel="0" collapsed="false">
      <c r="A9411" s="1" t="s">
        <v>9446</v>
      </c>
      <c r="B9411" s="1" t="s">
        <v>26</v>
      </c>
      <c r="C9411" s="1" t="n">
        <v>250000</v>
      </c>
      <c r="D9411" s="1" t="n">
        <v>7869.2</v>
      </c>
      <c r="E9411" s="1" t="n">
        <v>0.0082</v>
      </c>
      <c r="F9411" s="1" t="n">
        <v>0.0654</v>
      </c>
    </row>
    <row r="9412" customFormat="false" ht="15" hidden="false" customHeight="false" outlineLevel="0" collapsed="false">
      <c r="A9412" s="1" t="s">
        <v>9447</v>
      </c>
      <c r="B9412" s="1" t="s">
        <v>50</v>
      </c>
      <c r="C9412" s="1" t="n">
        <v>249000</v>
      </c>
      <c r="D9412" s="1" t="n">
        <v>529.6</v>
      </c>
      <c r="E9412" s="1" t="n">
        <v>0.0378</v>
      </c>
      <c r="F9412" s="1" t="n">
        <v>0.0938</v>
      </c>
    </row>
    <row r="9413" customFormat="false" ht="15" hidden="false" customHeight="false" outlineLevel="0" collapsed="false">
      <c r="A9413" s="1" t="s">
        <v>9448</v>
      </c>
      <c r="B9413" s="1" t="s">
        <v>88</v>
      </c>
      <c r="C9413" s="1" t="n">
        <v>189000</v>
      </c>
      <c r="D9413" s="1" t="n">
        <v>4947.3</v>
      </c>
      <c r="E9413" s="1" t="n">
        <v>0.0363</v>
      </c>
      <c r="F9413" s="1" t="n">
        <v>0.0951</v>
      </c>
    </row>
    <row r="9414" customFormat="false" ht="15" hidden="false" customHeight="false" outlineLevel="0" collapsed="false">
      <c r="A9414" s="1" t="s">
        <v>9449</v>
      </c>
      <c r="B9414" s="1" t="s">
        <v>74</v>
      </c>
      <c r="C9414" s="1" t="n">
        <v>161000</v>
      </c>
      <c r="D9414" s="1" t="n">
        <v>4880.5</v>
      </c>
      <c r="E9414" s="1" t="n">
        <v>0.0504</v>
      </c>
      <c r="F9414" s="1" t="n">
        <v>0.0951</v>
      </c>
    </row>
    <row r="9415" customFormat="false" ht="15" hidden="false" customHeight="false" outlineLevel="0" collapsed="false">
      <c r="A9415" s="1" t="s">
        <v>9450</v>
      </c>
      <c r="B9415" s="1" t="s">
        <v>92</v>
      </c>
      <c r="C9415" s="1" t="n">
        <v>198000</v>
      </c>
      <c r="D9415" s="1" t="n">
        <v>1650</v>
      </c>
      <c r="E9415" s="1" t="n">
        <v>0.0238</v>
      </c>
      <c r="F9415" s="1" t="n">
        <v>0.0951</v>
      </c>
    </row>
    <row r="9416" customFormat="false" ht="15" hidden="false" customHeight="false" outlineLevel="0" collapsed="false">
      <c r="A9416" s="1" t="s">
        <v>9451</v>
      </c>
      <c r="B9416" s="1" t="s">
        <v>81</v>
      </c>
      <c r="C9416" s="1" t="n">
        <v>178000</v>
      </c>
      <c r="D9416" s="1" t="n">
        <v>340082.4</v>
      </c>
      <c r="E9416" s="1" t="n">
        <v>0.0087</v>
      </c>
      <c r="F9416" s="1" t="n">
        <v>0.0822</v>
      </c>
    </row>
    <row r="9417" customFormat="false" ht="15" hidden="false" customHeight="false" outlineLevel="0" collapsed="false">
      <c r="A9417" s="1" t="s">
        <v>9452</v>
      </c>
      <c r="B9417" s="1" t="s">
        <v>71</v>
      </c>
      <c r="C9417" s="1" t="n">
        <v>192000</v>
      </c>
      <c r="D9417" s="1" t="n">
        <v>2041.3</v>
      </c>
      <c r="E9417" s="1" t="n">
        <v>0.0226</v>
      </c>
      <c r="F9417" s="1" t="n">
        <v>0.0854</v>
      </c>
    </row>
    <row r="9418" customFormat="false" ht="15" hidden="false" customHeight="false" outlineLevel="0" collapsed="false">
      <c r="A9418" s="1" t="s">
        <v>9453</v>
      </c>
      <c r="B9418" s="1" t="s">
        <v>53</v>
      </c>
      <c r="C9418" s="1" t="n">
        <v>162000</v>
      </c>
      <c r="D9418" s="1" t="n">
        <v>8291.2</v>
      </c>
      <c r="E9418" s="1" t="n">
        <v>0.0662</v>
      </c>
      <c r="F9418" s="1" t="n">
        <v>0.0951</v>
      </c>
    </row>
    <row r="9419" customFormat="false" ht="15" hidden="false" customHeight="false" outlineLevel="0" collapsed="false">
      <c r="A9419" s="1" t="s">
        <v>9454</v>
      </c>
      <c r="B9419" s="1" t="s">
        <v>24</v>
      </c>
      <c r="C9419" s="1" t="n">
        <v>187000</v>
      </c>
      <c r="D9419" s="1" t="n">
        <v>1781.2</v>
      </c>
      <c r="E9419" s="1" t="n">
        <v>0.0278</v>
      </c>
      <c r="F9419" s="1" t="n">
        <v>0.0938</v>
      </c>
    </row>
    <row r="9420" customFormat="false" ht="15" hidden="false" customHeight="false" outlineLevel="0" collapsed="false">
      <c r="A9420" s="1" t="s">
        <v>9455</v>
      </c>
      <c r="B9420" s="1" t="s">
        <v>92</v>
      </c>
      <c r="C9420" s="1" t="n">
        <v>173000</v>
      </c>
      <c r="D9420" s="1" t="n">
        <v>776.5</v>
      </c>
      <c r="E9420" s="1" t="n">
        <v>0.0374</v>
      </c>
      <c r="F9420" s="1" t="n">
        <v>0.1243</v>
      </c>
    </row>
    <row r="9421" customFormat="false" ht="15" hidden="false" customHeight="false" outlineLevel="0" collapsed="false">
      <c r="A9421" s="1" t="s">
        <v>9456</v>
      </c>
      <c r="B9421" s="1" t="s">
        <v>26</v>
      </c>
      <c r="C9421" s="1" t="n">
        <v>188000</v>
      </c>
      <c r="D9421" s="1" t="n">
        <v>1481.4</v>
      </c>
      <c r="F9421" s="1" t="n">
        <v>0.0518</v>
      </c>
    </row>
    <row r="9422" customFormat="false" ht="15" hidden="false" customHeight="false" outlineLevel="0" collapsed="false">
      <c r="A9422" s="1" t="s">
        <v>9457</v>
      </c>
      <c r="B9422" s="1" t="s">
        <v>26</v>
      </c>
      <c r="C9422" s="1" t="n">
        <v>212000</v>
      </c>
      <c r="D9422" s="1" t="n">
        <v>132158.3</v>
      </c>
      <c r="E9422" s="1" t="n">
        <v>0.0316</v>
      </c>
      <c r="F9422" s="1" t="n">
        <v>0.0409</v>
      </c>
    </row>
    <row r="9423" customFormat="false" ht="15" hidden="false" customHeight="false" outlineLevel="0" collapsed="false">
      <c r="A9423" s="1" t="s">
        <v>9458</v>
      </c>
      <c r="B9423" s="1" t="s">
        <v>41</v>
      </c>
      <c r="C9423" s="1" t="n">
        <v>427000</v>
      </c>
      <c r="D9423" s="1" t="n">
        <v>61082.1</v>
      </c>
      <c r="E9423" s="1" t="n">
        <v>0.0618</v>
      </c>
      <c r="F9423" s="1" t="n">
        <v>0.0938</v>
      </c>
    </row>
    <row r="9424" customFormat="false" ht="15" hidden="false" customHeight="false" outlineLevel="0" collapsed="false">
      <c r="A9424" s="1" t="s">
        <v>9459</v>
      </c>
      <c r="B9424" s="1" t="s">
        <v>26</v>
      </c>
      <c r="C9424" s="1" t="n">
        <v>222000</v>
      </c>
      <c r="D9424" s="1" t="n">
        <v>5103.8</v>
      </c>
      <c r="E9424" s="1" t="n">
        <v>0.0226</v>
      </c>
      <c r="F9424" s="1" t="n">
        <v>0.0672</v>
      </c>
    </row>
    <row r="9425" customFormat="false" ht="15" hidden="false" customHeight="false" outlineLevel="0" collapsed="false">
      <c r="A9425" s="1" t="s">
        <v>9460</v>
      </c>
      <c r="B9425" s="1" t="s">
        <v>71</v>
      </c>
      <c r="C9425" s="1" t="n">
        <v>172000</v>
      </c>
      <c r="D9425" s="1" t="n">
        <v>844.7</v>
      </c>
      <c r="E9425" s="1" t="n">
        <v>0.0122</v>
      </c>
      <c r="F9425" s="1" t="n">
        <v>0.1315</v>
      </c>
    </row>
    <row r="9426" customFormat="false" ht="15" hidden="false" customHeight="false" outlineLevel="0" collapsed="false">
      <c r="A9426" s="1" t="s">
        <v>9461</v>
      </c>
      <c r="B9426" s="1" t="s">
        <v>81</v>
      </c>
      <c r="C9426" s="1" t="n">
        <v>166000</v>
      </c>
      <c r="D9426" s="1" t="n">
        <v>6296.9</v>
      </c>
      <c r="E9426" s="1" t="n">
        <v>0.0317</v>
      </c>
      <c r="F9426" s="1" t="n">
        <v>0.0951</v>
      </c>
    </row>
    <row r="9427" customFormat="false" ht="15" hidden="false" customHeight="false" outlineLevel="0" collapsed="false">
      <c r="A9427" s="1" t="s">
        <v>9462</v>
      </c>
      <c r="B9427" s="1" t="s">
        <v>88</v>
      </c>
      <c r="C9427" s="1" t="n">
        <v>227000</v>
      </c>
      <c r="D9427" s="1" t="n">
        <v>1855.8</v>
      </c>
      <c r="E9427" s="1" t="n">
        <v>0.0484</v>
      </c>
      <c r="F9427" s="1" t="n">
        <v>0.0938</v>
      </c>
    </row>
    <row r="9428" customFormat="false" ht="15" hidden="false" customHeight="false" outlineLevel="0" collapsed="false">
      <c r="A9428" s="1" t="s">
        <v>9463</v>
      </c>
      <c r="B9428" s="1" t="s">
        <v>214</v>
      </c>
      <c r="C9428" s="1" t="n">
        <v>162000</v>
      </c>
      <c r="D9428" s="1" t="n">
        <v>1575.4</v>
      </c>
      <c r="E9428" s="1" t="n">
        <v>0.0122</v>
      </c>
      <c r="F9428" s="1" t="n">
        <v>0.0585</v>
      </c>
    </row>
    <row r="9429" customFormat="false" ht="15" hidden="false" customHeight="false" outlineLevel="0" collapsed="false">
      <c r="A9429" s="1" t="s">
        <v>9464</v>
      </c>
      <c r="B9429" s="1" t="s">
        <v>287</v>
      </c>
      <c r="C9429" s="1" t="n">
        <v>192000</v>
      </c>
      <c r="D9429" s="1" t="n">
        <v>17045.9</v>
      </c>
      <c r="E9429" s="1" t="n">
        <v>0.0171</v>
      </c>
      <c r="F9429" s="1" t="n">
        <v>0.0854</v>
      </c>
    </row>
    <row r="9430" customFormat="false" ht="15" hidden="false" customHeight="false" outlineLevel="0" collapsed="false">
      <c r="A9430" s="1" t="s">
        <v>9465</v>
      </c>
      <c r="B9430" s="1" t="s">
        <v>88</v>
      </c>
      <c r="C9430" s="1" t="n">
        <v>230000</v>
      </c>
      <c r="D9430" s="1" t="n">
        <v>3004.2</v>
      </c>
      <c r="E9430" s="1" t="n">
        <v>0.0527</v>
      </c>
      <c r="F9430" s="1" t="n">
        <v>0.0938</v>
      </c>
    </row>
    <row r="9431" customFormat="false" ht="15" hidden="false" customHeight="false" outlineLevel="0" collapsed="false">
      <c r="A9431" s="1" t="s">
        <v>9466</v>
      </c>
      <c r="B9431" s="1" t="s">
        <v>26</v>
      </c>
      <c r="C9431" s="1" t="n">
        <v>219000</v>
      </c>
      <c r="D9431" s="1" t="n">
        <v>42562.6</v>
      </c>
      <c r="E9431" s="1" t="n">
        <v>0.0714</v>
      </c>
      <c r="F9431" s="1" t="n">
        <v>0.0759</v>
      </c>
    </row>
    <row r="9432" customFormat="false" ht="15" hidden="false" customHeight="false" outlineLevel="0" collapsed="false">
      <c r="A9432" s="1" t="s">
        <v>9467</v>
      </c>
      <c r="B9432" s="1" t="s">
        <v>287</v>
      </c>
      <c r="C9432" s="1" t="n">
        <v>193000</v>
      </c>
      <c r="D9432" s="1" t="n">
        <v>1629</v>
      </c>
      <c r="E9432" s="1" t="n">
        <v>0.041</v>
      </c>
      <c r="F9432" s="1" t="n">
        <v>0.0759</v>
      </c>
    </row>
    <row r="9433" customFormat="false" ht="15" hidden="false" customHeight="false" outlineLevel="0" collapsed="false">
      <c r="A9433" s="1" t="s">
        <v>9468</v>
      </c>
      <c r="B9433" s="1" t="s">
        <v>62</v>
      </c>
      <c r="C9433" s="1" t="n">
        <v>216000</v>
      </c>
      <c r="D9433" s="1" t="n">
        <v>5501.2</v>
      </c>
      <c r="E9433" s="1" t="n">
        <v>0.0481</v>
      </c>
      <c r="F9433" s="1" t="n">
        <v>0.0759</v>
      </c>
    </row>
    <row r="9434" customFormat="false" ht="15" hidden="false" customHeight="false" outlineLevel="0" collapsed="false">
      <c r="A9434" s="1" t="s">
        <v>9469</v>
      </c>
      <c r="B9434" s="1" t="s">
        <v>214</v>
      </c>
      <c r="C9434" s="1" t="n">
        <v>365000</v>
      </c>
      <c r="D9434" s="1" t="n">
        <v>82720.5</v>
      </c>
      <c r="E9434" s="1" t="n">
        <v>0.0269</v>
      </c>
      <c r="F9434" s="1" t="n">
        <v>0.0759</v>
      </c>
    </row>
    <row r="9435" customFormat="false" ht="15" hidden="false" customHeight="false" outlineLevel="0" collapsed="false">
      <c r="A9435" s="1" t="s">
        <v>9470</v>
      </c>
      <c r="B9435" s="1" t="s">
        <v>21</v>
      </c>
      <c r="C9435" s="1" t="n">
        <v>237000</v>
      </c>
      <c r="D9435" s="1" t="n">
        <v>68327.6</v>
      </c>
      <c r="E9435" s="1" t="n">
        <v>0.0195</v>
      </c>
      <c r="F9435" s="1" t="n">
        <v>0.1067</v>
      </c>
    </row>
    <row r="9436" customFormat="false" ht="15" hidden="false" customHeight="false" outlineLevel="0" collapsed="false">
      <c r="A9436" s="1" t="s">
        <v>9471</v>
      </c>
      <c r="B9436" s="1" t="s">
        <v>490</v>
      </c>
      <c r="C9436" s="1" t="n">
        <v>159000</v>
      </c>
      <c r="D9436" s="1" t="n">
        <v>10748</v>
      </c>
      <c r="E9436" s="1" t="n">
        <v>0.0235</v>
      </c>
      <c r="F9436" s="1" t="n">
        <v>0.0518</v>
      </c>
    </row>
    <row r="9437" customFormat="false" ht="15" hidden="false" customHeight="false" outlineLevel="0" collapsed="false">
      <c r="A9437" s="1" t="s">
        <v>9472</v>
      </c>
      <c r="B9437" s="1" t="s">
        <v>26</v>
      </c>
      <c r="C9437" s="1" t="n">
        <v>210000</v>
      </c>
      <c r="D9437" s="1" t="n">
        <v>953.6</v>
      </c>
      <c r="E9437" s="1" t="n">
        <v>0.0078</v>
      </c>
      <c r="F9437" s="1" t="n">
        <v>0.0822</v>
      </c>
    </row>
    <row r="9438" customFormat="false" ht="15" hidden="false" customHeight="false" outlineLevel="0" collapsed="false">
      <c r="A9438" s="1" t="s">
        <v>9473</v>
      </c>
      <c r="B9438" s="1" t="s">
        <v>88</v>
      </c>
      <c r="C9438" s="1" t="n">
        <v>205000</v>
      </c>
      <c r="F9438" s="1" t="n">
        <v>0.0759</v>
      </c>
    </row>
    <row r="9439" customFormat="false" ht="15" hidden="false" customHeight="false" outlineLevel="0" collapsed="false">
      <c r="A9439" s="1" t="s">
        <v>9474</v>
      </c>
      <c r="B9439" s="1" t="s">
        <v>92</v>
      </c>
      <c r="C9439" s="1" t="n">
        <v>559000</v>
      </c>
      <c r="D9439" s="1" t="n">
        <v>2995.8</v>
      </c>
      <c r="F9439" s="1" t="n">
        <v>0.0938</v>
      </c>
    </row>
    <row r="9440" customFormat="false" ht="15" hidden="false" customHeight="false" outlineLevel="0" collapsed="false">
      <c r="A9440" s="1" t="s">
        <v>9475</v>
      </c>
      <c r="B9440" s="1" t="s">
        <v>88</v>
      </c>
      <c r="C9440" s="1" t="n">
        <v>162000</v>
      </c>
      <c r="D9440" s="1" t="n">
        <v>266.4</v>
      </c>
      <c r="E9440" s="1" t="n">
        <v>0.0197</v>
      </c>
      <c r="F9440" s="1" t="n">
        <v>0.117</v>
      </c>
    </row>
    <row r="9441" customFormat="false" ht="15" hidden="false" customHeight="false" outlineLevel="0" collapsed="false">
      <c r="A9441" s="1" t="s">
        <v>9476</v>
      </c>
      <c r="B9441" s="1" t="s">
        <v>26</v>
      </c>
      <c r="C9441" s="1" t="n">
        <v>169000</v>
      </c>
      <c r="D9441" s="1" t="n">
        <v>3898.8</v>
      </c>
      <c r="E9441" s="1" t="n">
        <v>0.0166</v>
      </c>
      <c r="F9441" s="1" t="n">
        <v>0.1067</v>
      </c>
    </row>
    <row r="9442" customFormat="false" ht="15" hidden="false" customHeight="false" outlineLevel="0" collapsed="false">
      <c r="A9442" s="1" t="s">
        <v>9477</v>
      </c>
      <c r="B9442" s="1" t="s">
        <v>74</v>
      </c>
      <c r="C9442" s="1" t="n">
        <v>156000</v>
      </c>
      <c r="D9442" s="1" t="n">
        <v>42.5</v>
      </c>
      <c r="F9442" s="1" t="n">
        <v>0.0518</v>
      </c>
    </row>
    <row r="9443" customFormat="false" ht="15" hidden="false" customHeight="false" outlineLevel="0" collapsed="false">
      <c r="A9443" s="1" t="s">
        <v>9478</v>
      </c>
      <c r="B9443" s="1" t="s">
        <v>21</v>
      </c>
      <c r="C9443" s="1" t="n">
        <v>178000</v>
      </c>
      <c r="D9443" s="1" t="n">
        <v>35763</v>
      </c>
      <c r="E9443" s="1" t="n">
        <v>0.0146</v>
      </c>
      <c r="F9443" s="1" t="n">
        <v>0.0585</v>
      </c>
    </row>
    <row r="9444" customFormat="false" ht="15" hidden="false" customHeight="false" outlineLevel="0" collapsed="false">
      <c r="A9444" s="1" t="s">
        <v>9479</v>
      </c>
      <c r="B9444" s="1" t="s">
        <v>53</v>
      </c>
      <c r="C9444" s="1" t="n">
        <v>227000</v>
      </c>
      <c r="D9444" s="1" t="n">
        <v>16997.2</v>
      </c>
      <c r="E9444" s="1" t="n">
        <v>0.049</v>
      </c>
      <c r="F9444" s="1" t="n">
        <v>0.0759</v>
      </c>
    </row>
    <row r="9445" customFormat="false" ht="15" hidden="false" customHeight="false" outlineLevel="0" collapsed="false">
      <c r="A9445" s="1" t="s">
        <v>9480</v>
      </c>
      <c r="B9445" s="1" t="s">
        <v>71</v>
      </c>
      <c r="C9445" s="1" t="n">
        <v>159000</v>
      </c>
      <c r="F9445" s="1" t="n">
        <v>0.0759</v>
      </c>
    </row>
    <row r="9446" customFormat="false" ht="15" hidden="false" customHeight="false" outlineLevel="0" collapsed="false">
      <c r="A9446" s="1" t="s">
        <v>9481</v>
      </c>
      <c r="B9446" s="1" t="s">
        <v>53</v>
      </c>
      <c r="C9446" s="1" t="n">
        <v>212000</v>
      </c>
      <c r="D9446" s="1" t="n">
        <v>7796.2</v>
      </c>
      <c r="E9446" s="1" t="n">
        <v>0.0544</v>
      </c>
      <c r="F9446" s="1" t="n">
        <v>0.0938</v>
      </c>
    </row>
    <row r="9447" customFormat="false" ht="15" hidden="false" customHeight="false" outlineLevel="0" collapsed="false">
      <c r="A9447" s="1" t="s">
        <v>9482</v>
      </c>
      <c r="B9447" s="1" t="s">
        <v>71</v>
      </c>
      <c r="C9447" s="1" t="n">
        <v>162000</v>
      </c>
      <c r="D9447" s="1" t="n">
        <v>41778.9</v>
      </c>
      <c r="E9447" s="1" t="n">
        <v>0.0348</v>
      </c>
      <c r="F9447" s="1" t="n">
        <v>0.117</v>
      </c>
    </row>
    <row r="9448" customFormat="false" ht="15" hidden="false" customHeight="false" outlineLevel="0" collapsed="false">
      <c r="A9448" s="1" t="s">
        <v>9483</v>
      </c>
      <c r="B9448" s="1" t="s">
        <v>74</v>
      </c>
      <c r="C9448" s="1" t="n">
        <v>270000</v>
      </c>
      <c r="D9448" s="1" t="n">
        <v>2669.7</v>
      </c>
      <c r="E9448" s="1" t="n">
        <v>0.0329</v>
      </c>
      <c r="F9448" s="1" t="n">
        <v>0.0409</v>
      </c>
    </row>
    <row r="9449" customFormat="false" ht="15" hidden="false" customHeight="false" outlineLevel="0" collapsed="false">
      <c r="A9449" s="1" t="s">
        <v>9484</v>
      </c>
      <c r="B9449" s="1" t="s">
        <v>74</v>
      </c>
      <c r="C9449" s="1" t="n">
        <v>201000</v>
      </c>
      <c r="D9449" s="1" t="n">
        <v>10580.3</v>
      </c>
      <c r="E9449" s="1" t="n">
        <v>0.0087</v>
      </c>
      <c r="F9449" s="1" t="n">
        <v>0.0822</v>
      </c>
    </row>
    <row r="9450" customFormat="false" ht="15" hidden="false" customHeight="false" outlineLevel="0" collapsed="false">
      <c r="A9450" s="1" t="s">
        <v>9485</v>
      </c>
      <c r="B9450" s="1" t="s">
        <v>24</v>
      </c>
      <c r="C9450" s="1" t="n">
        <v>183000</v>
      </c>
      <c r="D9450" s="1" t="n">
        <v>475.5</v>
      </c>
      <c r="E9450" s="1" t="n">
        <v>0.0077</v>
      </c>
      <c r="F9450" s="1" t="n">
        <v>0.0811</v>
      </c>
    </row>
    <row r="9451" customFormat="false" ht="15" hidden="false" customHeight="false" outlineLevel="0" collapsed="false">
      <c r="A9451" s="1" t="s">
        <v>9486</v>
      </c>
      <c r="B9451" s="1" t="s">
        <v>74</v>
      </c>
      <c r="C9451" s="1" t="n">
        <v>185000</v>
      </c>
      <c r="D9451" s="1" t="n">
        <v>5237.2</v>
      </c>
      <c r="E9451" s="1" t="n">
        <v>0.0415</v>
      </c>
      <c r="F9451" s="1" t="n">
        <v>0.0759</v>
      </c>
    </row>
    <row r="9452" customFormat="false" ht="15" hidden="false" customHeight="false" outlineLevel="0" collapsed="false">
      <c r="A9452" s="1" t="s">
        <v>9487</v>
      </c>
      <c r="B9452" s="1" t="s">
        <v>50</v>
      </c>
      <c r="C9452" s="1" t="n">
        <v>163000</v>
      </c>
      <c r="D9452" s="1" t="n">
        <v>1499.4</v>
      </c>
      <c r="E9452" s="1" t="n">
        <v>0.0415</v>
      </c>
      <c r="F9452" s="1" t="n">
        <v>0.0951</v>
      </c>
    </row>
    <row r="9453" customFormat="false" ht="15" hidden="false" customHeight="false" outlineLevel="0" collapsed="false">
      <c r="A9453" s="1" t="s">
        <v>9488</v>
      </c>
      <c r="B9453" s="1" t="s">
        <v>287</v>
      </c>
      <c r="C9453" s="1" t="n">
        <v>190000</v>
      </c>
      <c r="D9453" s="1" t="n">
        <v>8357.7</v>
      </c>
      <c r="E9453" s="1" t="n">
        <v>0.0179</v>
      </c>
      <c r="F9453" s="1" t="n">
        <v>0.0616</v>
      </c>
    </row>
    <row r="9454" customFormat="false" ht="15" hidden="false" customHeight="false" outlineLevel="0" collapsed="false">
      <c r="A9454" s="1" t="s">
        <v>9489</v>
      </c>
      <c r="B9454" s="1" t="s">
        <v>92</v>
      </c>
      <c r="C9454" s="1" t="n">
        <v>183000</v>
      </c>
      <c r="D9454" s="1" t="n">
        <v>1779.1</v>
      </c>
      <c r="E9454" s="1" t="n">
        <v>0.0189</v>
      </c>
      <c r="F9454" s="1" t="n">
        <v>0.1709</v>
      </c>
    </row>
    <row r="9455" customFormat="false" ht="15" hidden="false" customHeight="false" outlineLevel="0" collapsed="false">
      <c r="A9455" s="1" t="s">
        <v>9490</v>
      </c>
      <c r="B9455" s="1" t="s">
        <v>88</v>
      </c>
      <c r="C9455" s="1" t="n">
        <v>188000</v>
      </c>
      <c r="D9455" s="1" t="n">
        <v>1247.2</v>
      </c>
      <c r="E9455" s="1" t="n">
        <v>0.0513</v>
      </c>
      <c r="F9455" s="1" t="n">
        <v>0.0938</v>
      </c>
    </row>
    <row r="9456" customFormat="false" ht="15" hidden="false" customHeight="false" outlineLevel="0" collapsed="false">
      <c r="A9456" s="1" t="s">
        <v>9491</v>
      </c>
      <c r="B9456" s="1" t="s">
        <v>88</v>
      </c>
      <c r="C9456" s="1" t="n">
        <v>326000</v>
      </c>
      <c r="D9456" s="1" t="n">
        <v>4121.6</v>
      </c>
      <c r="E9456" s="1" t="n">
        <v>0.0562</v>
      </c>
      <c r="F9456" s="1" t="n">
        <v>0.0938</v>
      </c>
    </row>
    <row r="9457" customFormat="false" ht="15" hidden="false" customHeight="false" outlineLevel="0" collapsed="false">
      <c r="A9457" s="1" t="s">
        <v>9492</v>
      </c>
      <c r="B9457" s="1" t="s">
        <v>53</v>
      </c>
      <c r="C9457" s="1" t="n">
        <v>205000</v>
      </c>
      <c r="D9457" s="1" t="n">
        <v>1368.4</v>
      </c>
      <c r="E9457" s="1" t="n">
        <v>0.0127</v>
      </c>
      <c r="F9457" s="1" t="n">
        <v>0.1327</v>
      </c>
    </row>
    <row r="9458" customFormat="false" ht="15" hidden="false" customHeight="false" outlineLevel="0" collapsed="false">
      <c r="A9458" s="1" t="s">
        <v>9493</v>
      </c>
      <c r="B9458" s="1" t="s">
        <v>53</v>
      </c>
      <c r="C9458" s="1" t="n">
        <v>1660000</v>
      </c>
      <c r="D9458" s="1" t="n">
        <v>181918.1</v>
      </c>
      <c r="E9458" s="1" t="n">
        <v>0.0975</v>
      </c>
      <c r="F9458" s="1" t="n">
        <v>0.0759</v>
      </c>
    </row>
    <row r="9459" customFormat="false" ht="15" hidden="false" customHeight="false" outlineLevel="0" collapsed="false">
      <c r="A9459" s="1" t="s">
        <v>9494</v>
      </c>
      <c r="B9459" s="1" t="s">
        <v>81</v>
      </c>
      <c r="C9459" s="1" t="n">
        <v>157000</v>
      </c>
      <c r="D9459" s="1" t="n">
        <v>514.3</v>
      </c>
      <c r="E9459" s="1" t="n">
        <v>0.1349</v>
      </c>
      <c r="F9459" s="1" t="n">
        <v>0.0951</v>
      </c>
    </row>
    <row r="9460" customFormat="false" ht="15" hidden="false" customHeight="false" outlineLevel="0" collapsed="false">
      <c r="A9460" s="1" t="s">
        <v>9495</v>
      </c>
      <c r="B9460" s="1" t="s">
        <v>88</v>
      </c>
      <c r="C9460" s="1" t="n">
        <v>229000</v>
      </c>
      <c r="D9460" s="1" t="n">
        <v>18996.2</v>
      </c>
      <c r="E9460" s="1" t="n">
        <v>0.0283</v>
      </c>
      <c r="F9460" s="1" t="n">
        <v>0.117</v>
      </c>
    </row>
    <row r="9461" customFormat="false" ht="15" hidden="false" customHeight="false" outlineLevel="0" collapsed="false">
      <c r="A9461" s="1" t="s">
        <v>9496</v>
      </c>
      <c r="B9461" s="1" t="s">
        <v>92</v>
      </c>
      <c r="C9461" s="1" t="n">
        <v>214000</v>
      </c>
      <c r="D9461" s="1" t="n">
        <v>46216.4</v>
      </c>
      <c r="E9461" s="1" t="n">
        <v>0.0105</v>
      </c>
      <c r="F9461" s="1" t="n">
        <v>0.0822</v>
      </c>
    </row>
    <row r="9462" customFormat="false" ht="15" hidden="false" customHeight="false" outlineLevel="0" collapsed="false">
      <c r="A9462" s="1" t="s">
        <v>9497</v>
      </c>
      <c r="B9462" s="1" t="s">
        <v>26</v>
      </c>
      <c r="C9462" s="1" t="n">
        <v>231000</v>
      </c>
      <c r="D9462" s="1" t="n">
        <v>118271.3</v>
      </c>
      <c r="E9462" s="1" t="n">
        <v>0.0443</v>
      </c>
      <c r="F9462" s="1" t="n">
        <v>0.0409</v>
      </c>
    </row>
    <row r="9463" customFormat="false" ht="15" hidden="false" customHeight="false" outlineLevel="0" collapsed="false">
      <c r="A9463" s="1" t="s">
        <v>9498</v>
      </c>
      <c r="B9463" s="1" t="s">
        <v>71</v>
      </c>
      <c r="C9463" s="1" t="n">
        <v>195000</v>
      </c>
      <c r="D9463" s="1" t="n">
        <v>5034.9</v>
      </c>
      <c r="E9463" s="1" t="n">
        <v>0.047</v>
      </c>
      <c r="F9463" s="1" t="n">
        <v>0.0938</v>
      </c>
    </row>
    <row r="9464" customFormat="false" ht="15" hidden="false" customHeight="false" outlineLevel="0" collapsed="false">
      <c r="A9464" s="1" t="s">
        <v>9499</v>
      </c>
      <c r="B9464" s="1" t="s">
        <v>41</v>
      </c>
      <c r="C9464" s="1" t="n">
        <v>358000</v>
      </c>
      <c r="D9464" s="1" t="n">
        <v>168043</v>
      </c>
      <c r="E9464" s="1" t="n">
        <v>0.0297</v>
      </c>
      <c r="F9464" s="1" t="n">
        <v>0.0759</v>
      </c>
    </row>
    <row r="9465" customFormat="false" ht="15" hidden="false" customHeight="false" outlineLevel="0" collapsed="false">
      <c r="A9465" s="1" t="s">
        <v>9500</v>
      </c>
      <c r="B9465" s="1" t="s">
        <v>41</v>
      </c>
      <c r="C9465" s="1" t="n">
        <v>221000</v>
      </c>
      <c r="D9465" s="1" t="n">
        <v>391562.6</v>
      </c>
      <c r="E9465" s="1" t="n">
        <v>0.0185</v>
      </c>
      <c r="F9465" s="1" t="n">
        <v>0.0585</v>
      </c>
    </row>
    <row r="9466" customFormat="false" ht="15" hidden="false" customHeight="false" outlineLevel="0" collapsed="false">
      <c r="A9466" s="1" t="s">
        <v>9501</v>
      </c>
      <c r="B9466" s="1" t="s">
        <v>26</v>
      </c>
      <c r="C9466" s="1" t="n">
        <v>186000</v>
      </c>
      <c r="D9466" s="1" t="n">
        <v>1010391.2</v>
      </c>
      <c r="E9466" s="1" t="n">
        <v>0.0367</v>
      </c>
      <c r="F9466" s="1" t="n">
        <v>0.0546</v>
      </c>
    </row>
    <row r="9467" customFormat="false" ht="15" hidden="false" customHeight="false" outlineLevel="0" collapsed="false">
      <c r="A9467" s="1" t="s">
        <v>9502</v>
      </c>
      <c r="B9467" s="1" t="s">
        <v>41</v>
      </c>
      <c r="C9467" s="1" t="n">
        <v>165000</v>
      </c>
      <c r="D9467" s="1" t="n">
        <v>862</v>
      </c>
      <c r="E9467" s="1" t="n">
        <v>0.0253</v>
      </c>
      <c r="F9467" s="1" t="n">
        <v>0.0938</v>
      </c>
    </row>
    <row r="9468" customFormat="false" ht="15" hidden="false" customHeight="false" outlineLevel="0" collapsed="false">
      <c r="A9468" s="1" t="s">
        <v>9503</v>
      </c>
      <c r="B9468" s="1" t="s">
        <v>88</v>
      </c>
      <c r="C9468" s="1" t="n">
        <v>208000</v>
      </c>
      <c r="D9468" s="1" t="n">
        <v>7017.6</v>
      </c>
      <c r="E9468" s="1" t="n">
        <v>0.0509</v>
      </c>
      <c r="F9468" s="1" t="n">
        <v>0.0951</v>
      </c>
    </row>
    <row r="9469" customFormat="false" ht="15" hidden="false" customHeight="false" outlineLevel="0" collapsed="false">
      <c r="A9469" s="1" t="s">
        <v>9504</v>
      </c>
      <c r="B9469" s="1" t="s">
        <v>26</v>
      </c>
      <c r="C9469" s="1" t="n">
        <v>161000</v>
      </c>
      <c r="D9469" s="1" t="n">
        <v>11497</v>
      </c>
      <c r="E9469" s="1" t="n">
        <v>0.0295</v>
      </c>
      <c r="F9469" s="1" t="n">
        <v>0.0951</v>
      </c>
    </row>
    <row r="9470" customFormat="false" ht="15" hidden="false" customHeight="false" outlineLevel="0" collapsed="false">
      <c r="A9470" s="1" t="s">
        <v>9505</v>
      </c>
      <c r="B9470" s="1" t="s">
        <v>53</v>
      </c>
      <c r="C9470" s="1" t="n">
        <v>180000</v>
      </c>
      <c r="D9470" s="1" t="n">
        <v>28273.6</v>
      </c>
      <c r="E9470" s="1" t="n">
        <v>0.0751</v>
      </c>
      <c r="F9470" s="1" t="n">
        <v>0.0517</v>
      </c>
    </row>
    <row r="9471" customFormat="false" ht="15" hidden="false" customHeight="false" outlineLevel="0" collapsed="false">
      <c r="A9471" s="1" t="s">
        <v>9506</v>
      </c>
      <c r="B9471" s="1" t="s">
        <v>53</v>
      </c>
      <c r="C9471" s="1" t="n">
        <v>168000</v>
      </c>
      <c r="D9471" s="1" t="n">
        <v>2805.2</v>
      </c>
      <c r="E9471" s="1" t="n">
        <v>0.0561</v>
      </c>
      <c r="F9471" s="1" t="n">
        <v>0.0759</v>
      </c>
    </row>
    <row r="9472" customFormat="false" ht="15" hidden="false" customHeight="false" outlineLevel="0" collapsed="false">
      <c r="A9472" s="1" t="s">
        <v>9507</v>
      </c>
      <c r="B9472" s="1" t="s">
        <v>92</v>
      </c>
      <c r="C9472" s="1" t="n">
        <v>180000</v>
      </c>
      <c r="D9472" s="1" t="n">
        <v>2215.3</v>
      </c>
      <c r="E9472" s="1" t="n">
        <v>0.0075</v>
      </c>
      <c r="F9472" s="1" t="n">
        <v>0.0654</v>
      </c>
    </row>
    <row r="9473" customFormat="false" ht="15" hidden="false" customHeight="false" outlineLevel="0" collapsed="false">
      <c r="A9473" s="1" t="s">
        <v>9508</v>
      </c>
      <c r="B9473" s="1" t="s">
        <v>62</v>
      </c>
      <c r="C9473" s="1" t="n">
        <v>171000</v>
      </c>
      <c r="D9473" s="1" t="n">
        <v>1512.4</v>
      </c>
      <c r="E9473" s="1" t="n">
        <v>0.0233</v>
      </c>
      <c r="F9473" s="1" t="n">
        <v>0.0951</v>
      </c>
    </row>
    <row r="9474" customFormat="false" ht="15" hidden="false" customHeight="false" outlineLevel="0" collapsed="false">
      <c r="A9474" s="1" t="s">
        <v>9509</v>
      </c>
      <c r="B9474" s="1" t="s">
        <v>88</v>
      </c>
      <c r="C9474" s="1" t="n">
        <v>155000</v>
      </c>
      <c r="D9474" s="1" t="n">
        <v>1655.7</v>
      </c>
      <c r="E9474" s="1" t="n">
        <v>0.0284</v>
      </c>
      <c r="F9474" s="1" t="n">
        <v>0.0951</v>
      </c>
    </row>
    <row r="9475" customFormat="false" ht="15" hidden="false" customHeight="false" outlineLevel="0" collapsed="false">
      <c r="A9475" s="1" t="s">
        <v>9510</v>
      </c>
      <c r="B9475" s="1" t="s">
        <v>24</v>
      </c>
      <c r="C9475" s="1" t="n">
        <v>231000</v>
      </c>
      <c r="D9475" s="1" t="n">
        <v>47331.4</v>
      </c>
      <c r="E9475" s="1" t="n">
        <v>0.0774</v>
      </c>
      <c r="F9475" s="1" t="n">
        <v>0.0546</v>
      </c>
    </row>
    <row r="9476" customFormat="false" ht="15" hidden="false" customHeight="false" outlineLevel="0" collapsed="false">
      <c r="A9476" s="1" t="s">
        <v>9511</v>
      </c>
      <c r="B9476" s="1" t="s">
        <v>32</v>
      </c>
      <c r="C9476" s="1" t="n">
        <v>160000</v>
      </c>
      <c r="D9476" s="1" t="n">
        <v>84489.7</v>
      </c>
      <c r="E9476" s="1" t="n">
        <v>0.0403</v>
      </c>
      <c r="F9476" s="1" t="n">
        <v>0.0951</v>
      </c>
    </row>
    <row r="9477" customFormat="false" ht="15" hidden="false" customHeight="false" outlineLevel="0" collapsed="false">
      <c r="A9477" s="1" t="s">
        <v>9512</v>
      </c>
      <c r="B9477" s="1" t="s">
        <v>88</v>
      </c>
      <c r="C9477" s="1" t="n">
        <v>166000</v>
      </c>
      <c r="D9477" s="1" t="n">
        <v>6343.9</v>
      </c>
      <c r="E9477" s="1" t="n">
        <v>0.0281</v>
      </c>
      <c r="F9477" s="1" t="n">
        <v>0.0951</v>
      </c>
    </row>
    <row r="9478" customFormat="false" ht="15" hidden="false" customHeight="false" outlineLevel="0" collapsed="false">
      <c r="A9478" s="1" t="s">
        <v>9513</v>
      </c>
      <c r="B9478" s="1" t="s">
        <v>41</v>
      </c>
      <c r="C9478" s="1" t="n">
        <v>167000</v>
      </c>
      <c r="D9478" s="1" t="n">
        <v>36292.9</v>
      </c>
      <c r="E9478" s="1" t="n">
        <v>0.0088</v>
      </c>
      <c r="F9478" s="1" t="n">
        <v>0.1315</v>
      </c>
    </row>
    <row r="9479" customFormat="false" ht="15" hidden="false" customHeight="false" outlineLevel="0" collapsed="false">
      <c r="A9479" s="1" t="s">
        <v>9514</v>
      </c>
      <c r="B9479" s="1" t="s">
        <v>35</v>
      </c>
      <c r="C9479" s="1" t="n">
        <v>314000</v>
      </c>
      <c r="D9479" s="1" t="n">
        <v>10863.4</v>
      </c>
      <c r="E9479" s="1" t="n">
        <v>0.016</v>
      </c>
      <c r="F9479" s="1" t="n">
        <v>0.0462</v>
      </c>
    </row>
    <row r="9480" customFormat="false" ht="15" hidden="false" customHeight="false" outlineLevel="0" collapsed="false">
      <c r="A9480" s="1" t="s">
        <v>9515</v>
      </c>
      <c r="B9480" s="1" t="s">
        <v>26</v>
      </c>
      <c r="C9480" s="1" t="n">
        <v>233000</v>
      </c>
      <c r="D9480" s="1" t="n">
        <v>14664.5</v>
      </c>
      <c r="E9480" s="1" t="n">
        <v>0.06</v>
      </c>
      <c r="F9480" s="1" t="n">
        <v>0.0759</v>
      </c>
    </row>
    <row r="9481" customFormat="false" ht="15" hidden="false" customHeight="false" outlineLevel="0" collapsed="false">
      <c r="A9481" s="1" t="s">
        <v>9516</v>
      </c>
      <c r="B9481" s="1" t="s">
        <v>287</v>
      </c>
      <c r="C9481" s="1" t="n">
        <v>228000</v>
      </c>
      <c r="D9481" s="1" t="n">
        <v>1147694.8</v>
      </c>
      <c r="E9481" s="1" t="n">
        <v>0.0121</v>
      </c>
      <c r="F9481" s="1" t="n">
        <v>0.0736</v>
      </c>
    </row>
    <row r="9482" customFormat="false" ht="15" hidden="false" customHeight="false" outlineLevel="0" collapsed="false">
      <c r="A9482" s="1" t="s">
        <v>9517</v>
      </c>
      <c r="B9482" s="1" t="s">
        <v>74</v>
      </c>
      <c r="C9482" s="1" t="n">
        <v>166000</v>
      </c>
      <c r="D9482" s="1" t="n">
        <v>2102.2</v>
      </c>
      <c r="E9482" s="1" t="n">
        <v>0.0116</v>
      </c>
      <c r="F9482" s="1" t="n">
        <v>0.0654</v>
      </c>
    </row>
    <row r="9483" customFormat="false" ht="15" hidden="false" customHeight="false" outlineLevel="0" collapsed="false">
      <c r="A9483" s="1" t="s">
        <v>9518</v>
      </c>
      <c r="B9483" s="1" t="s">
        <v>214</v>
      </c>
      <c r="C9483" s="1" t="n">
        <v>335000</v>
      </c>
      <c r="D9483" s="1" t="n">
        <v>158410.6</v>
      </c>
      <c r="E9483" s="1" t="n">
        <v>0.0078</v>
      </c>
      <c r="F9483" s="1" t="n">
        <v>0.0822</v>
      </c>
    </row>
    <row r="9484" customFormat="false" ht="15" hidden="false" customHeight="false" outlineLevel="0" collapsed="false">
      <c r="A9484" s="1" t="s">
        <v>9519</v>
      </c>
      <c r="B9484" s="1" t="s">
        <v>26</v>
      </c>
      <c r="C9484" s="1" t="n">
        <v>300000</v>
      </c>
      <c r="D9484" s="1" t="n">
        <v>514.6</v>
      </c>
      <c r="E9484" s="1" t="n">
        <v>0.0171</v>
      </c>
      <c r="F9484" s="1" t="n">
        <v>0.0647</v>
      </c>
    </row>
    <row r="9485" customFormat="false" ht="15" hidden="false" customHeight="false" outlineLevel="0" collapsed="false">
      <c r="A9485" s="1" t="s">
        <v>9520</v>
      </c>
      <c r="B9485" s="1" t="s">
        <v>71</v>
      </c>
      <c r="C9485" s="1" t="n">
        <v>249000</v>
      </c>
      <c r="D9485" s="1" t="n">
        <v>13238.4</v>
      </c>
      <c r="E9485" s="1" t="n">
        <v>0.01</v>
      </c>
      <c r="F9485" s="1" t="n">
        <v>0.1013</v>
      </c>
    </row>
    <row r="9486" customFormat="false" ht="15" hidden="false" customHeight="false" outlineLevel="0" collapsed="false">
      <c r="A9486" s="1" t="s">
        <v>9521</v>
      </c>
      <c r="B9486" s="1" t="s">
        <v>88</v>
      </c>
      <c r="C9486" s="1" t="n">
        <v>295000</v>
      </c>
      <c r="D9486" s="1" t="n">
        <v>4152.3</v>
      </c>
      <c r="E9486" s="1" t="n">
        <v>0.0499</v>
      </c>
      <c r="F9486" s="1" t="n">
        <v>0.0938</v>
      </c>
    </row>
    <row r="9487" customFormat="false" ht="15" hidden="false" customHeight="false" outlineLevel="0" collapsed="false">
      <c r="A9487" s="1" t="s">
        <v>9522</v>
      </c>
      <c r="B9487" s="1" t="s">
        <v>195</v>
      </c>
      <c r="C9487" s="1" t="n">
        <v>176000</v>
      </c>
      <c r="D9487" s="1" t="n">
        <v>2932.3</v>
      </c>
      <c r="E9487" s="1" t="n">
        <v>0.0283</v>
      </c>
      <c r="F9487" s="1" t="n">
        <v>0.0951</v>
      </c>
    </row>
    <row r="9488" customFormat="false" ht="15" hidden="false" customHeight="false" outlineLevel="0" collapsed="false">
      <c r="A9488" s="1" t="s">
        <v>9523</v>
      </c>
      <c r="B9488" s="1" t="s">
        <v>50</v>
      </c>
      <c r="C9488" s="1" t="n">
        <v>171000</v>
      </c>
      <c r="D9488" s="1" t="n">
        <v>109473.7</v>
      </c>
      <c r="E9488" s="1" t="n">
        <v>0.0301</v>
      </c>
      <c r="F9488" s="1" t="n">
        <v>0.0951</v>
      </c>
    </row>
    <row r="9489" customFormat="false" ht="15" hidden="false" customHeight="false" outlineLevel="0" collapsed="false">
      <c r="A9489" s="1" t="s">
        <v>9524</v>
      </c>
      <c r="B9489" s="1" t="s">
        <v>26</v>
      </c>
      <c r="C9489" s="1" t="n">
        <v>181000</v>
      </c>
      <c r="D9489" s="1" t="n">
        <v>60792.5</v>
      </c>
      <c r="E9489" s="1" t="n">
        <v>0.0227</v>
      </c>
      <c r="F9489" s="1" t="n">
        <v>0.0938</v>
      </c>
    </row>
    <row r="9490" customFormat="false" ht="15" hidden="false" customHeight="false" outlineLevel="0" collapsed="false">
      <c r="A9490" s="1" t="s">
        <v>9525</v>
      </c>
      <c r="B9490" s="1" t="s">
        <v>62</v>
      </c>
      <c r="C9490" s="1" t="n">
        <v>173000</v>
      </c>
      <c r="D9490" s="1" t="n">
        <v>556.1</v>
      </c>
      <c r="E9490" s="1" t="n">
        <v>0.0307</v>
      </c>
      <c r="F9490" s="1" t="n">
        <v>0.0518</v>
      </c>
    </row>
    <row r="9491" customFormat="false" ht="15" hidden="false" customHeight="false" outlineLevel="0" collapsed="false">
      <c r="A9491" s="1" t="s">
        <v>9526</v>
      </c>
      <c r="B9491" s="1" t="s">
        <v>195</v>
      </c>
      <c r="C9491" s="1" t="n">
        <v>293000</v>
      </c>
      <c r="D9491" s="1" t="n">
        <v>11813.4</v>
      </c>
      <c r="E9491" s="1" t="n">
        <v>0.013</v>
      </c>
      <c r="F9491" s="1" t="n">
        <v>0.0616</v>
      </c>
    </row>
    <row r="9492" customFormat="false" ht="15" hidden="false" customHeight="false" outlineLevel="0" collapsed="false">
      <c r="A9492" s="1" t="s">
        <v>9527</v>
      </c>
      <c r="B9492" s="1" t="s">
        <v>214</v>
      </c>
      <c r="C9492" s="1" t="n">
        <v>158000</v>
      </c>
      <c r="D9492" s="1" t="n">
        <v>2994.3</v>
      </c>
      <c r="E9492" s="1" t="n">
        <v>0.0179</v>
      </c>
      <c r="F9492" s="1" t="n">
        <v>0.0854</v>
      </c>
    </row>
    <row r="9493" customFormat="false" ht="15" hidden="false" customHeight="false" outlineLevel="0" collapsed="false">
      <c r="A9493" s="1" t="s">
        <v>9528</v>
      </c>
      <c r="B9493" s="1" t="s">
        <v>71</v>
      </c>
      <c r="C9493" s="1" t="n">
        <v>161000</v>
      </c>
      <c r="D9493" s="1" t="n">
        <v>129.3</v>
      </c>
      <c r="E9493" s="1" t="n">
        <v>0.0142</v>
      </c>
      <c r="F9493" s="1" t="n">
        <v>0.0584</v>
      </c>
    </row>
    <row r="9494" customFormat="false" ht="15" hidden="false" customHeight="false" outlineLevel="0" collapsed="false">
      <c r="A9494" s="1" t="s">
        <v>9529</v>
      </c>
      <c r="B9494" s="1" t="s">
        <v>92</v>
      </c>
      <c r="C9494" s="1" t="n">
        <v>162000</v>
      </c>
      <c r="D9494" s="1" t="n">
        <v>45370.3</v>
      </c>
      <c r="E9494" s="1" t="n">
        <v>0.0114</v>
      </c>
      <c r="F9494" s="1" t="n">
        <v>0.0736</v>
      </c>
    </row>
    <row r="9495" customFormat="false" ht="15" hidden="false" customHeight="false" outlineLevel="0" collapsed="false">
      <c r="A9495" s="1" t="s">
        <v>9530</v>
      </c>
      <c r="B9495" s="1" t="s">
        <v>24</v>
      </c>
      <c r="C9495" s="1" t="n">
        <v>299000</v>
      </c>
      <c r="D9495" s="1" t="n">
        <v>1358.8</v>
      </c>
      <c r="E9495" s="1" t="n">
        <v>0.0215</v>
      </c>
      <c r="F9495" s="1" t="n">
        <v>0.0854</v>
      </c>
    </row>
    <row r="9496" customFormat="false" ht="15" hidden="false" customHeight="false" outlineLevel="0" collapsed="false">
      <c r="A9496" s="1" t="s">
        <v>9531</v>
      </c>
      <c r="B9496" s="1" t="s">
        <v>26</v>
      </c>
      <c r="C9496" s="1" t="n">
        <v>188000</v>
      </c>
      <c r="D9496" s="1" t="n">
        <v>6372.4</v>
      </c>
      <c r="E9496" s="1" t="n">
        <v>0.025</v>
      </c>
      <c r="F9496" s="1" t="n">
        <v>0.1119</v>
      </c>
    </row>
    <row r="9497" customFormat="false" ht="15" hidden="false" customHeight="false" outlineLevel="0" collapsed="false">
      <c r="A9497" s="1" t="s">
        <v>9532</v>
      </c>
      <c r="B9497" s="1" t="s">
        <v>26</v>
      </c>
      <c r="C9497" s="1" t="n">
        <v>529000</v>
      </c>
      <c r="D9497" s="1" t="n">
        <v>460449</v>
      </c>
      <c r="E9497" s="1" t="n">
        <v>0.0394</v>
      </c>
      <c r="F9497" s="1" t="n">
        <v>0.0412</v>
      </c>
    </row>
    <row r="9498" customFormat="false" ht="15" hidden="false" customHeight="false" outlineLevel="0" collapsed="false">
      <c r="A9498" s="1" t="s">
        <v>9533</v>
      </c>
      <c r="B9498" s="1" t="s">
        <v>74</v>
      </c>
      <c r="C9498" s="1" t="n">
        <v>173000</v>
      </c>
      <c r="D9498" s="1" t="n">
        <v>96.2</v>
      </c>
      <c r="E9498" s="1" t="n">
        <v>0.0536</v>
      </c>
      <c r="F9498" s="1" t="n">
        <v>0.0759</v>
      </c>
    </row>
    <row r="9499" customFormat="false" ht="15" hidden="false" customHeight="false" outlineLevel="0" collapsed="false">
      <c r="A9499" s="1" t="s">
        <v>9534</v>
      </c>
      <c r="B9499" s="1" t="s">
        <v>88</v>
      </c>
      <c r="C9499" s="1" t="n">
        <v>198000</v>
      </c>
      <c r="D9499" s="1" t="n">
        <v>706.7</v>
      </c>
      <c r="E9499" s="1" t="n">
        <v>0.0418</v>
      </c>
      <c r="F9499" s="1" t="n">
        <v>0.0759</v>
      </c>
    </row>
    <row r="9500" customFormat="false" ht="15" hidden="false" customHeight="false" outlineLevel="0" collapsed="false">
      <c r="A9500" s="1" t="s">
        <v>9535</v>
      </c>
      <c r="B9500" s="1" t="s">
        <v>26</v>
      </c>
      <c r="C9500" s="1" t="n">
        <v>203000</v>
      </c>
      <c r="D9500" s="1" t="n">
        <v>6408.1</v>
      </c>
      <c r="E9500" s="1" t="n">
        <v>0.0564</v>
      </c>
      <c r="F9500" s="1" t="n">
        <v>0.0759</v>
      </c>
    </row>
    <row r="9501" customFormat="false" ht="15" hidden="false" customHeight="false" outlineLevel="0" collapsed="false">
      <c r="A9501" s="1" t="s">
        <v>9536</v>
      </c>
      <c r="B9501" s="1" t="s">
        <v>92</v>
      </c>
      <c r="C9501" s="1" t="n">
        <v>182000</v>
      </c>
      <c r="D9501" s="1" t="n">
        <v>884.9</v>
      </c>
      <c r="E9501" s="1" t="n">
        <v>0.0341</v>
      </c>
      <c r="F9501" s="1" t="n">
        <v>0.0951</v>
      </c>
    </row>
    <row r="9502" customFormat="false" ht="15" hidden="false" customHeight="false" outlineLevel="0" collapsed="false">
      <c r="A9502" s="1" t="s">
        <v>9537</v>
      </c>
      <c r="B9502" s="1" t="s">
        <v>32</v>
      </c>
      <c r="C9502" s="1" t="n">
        <v>169000</v>
      </c>
      <c r="D9502" s="1" t="n">
        <v>121409.9</v>
      </c>
      <c r="E9502" s="1" t="n">
        <v>0.0115</v>
      </c>
      <c r="F9502" s="1" t="n">
        <v>0.0822</v>
      </c>
    </row>
    <row r="9503" customFormat="false" ht="15" hidden="false" customHeight="false" outlineLevel="0" collapsed="false">
      <c r="A9503" s="1" t="s">
        <v>9538</v>
      </c>
      <c r="B9503" s="1" t="s">
        <v>26</v>
      </c>
      <c r="C9503" s="1" t="n">
        <v>223000</v>
      </c>
      <c r="D9503" s="1" t="n">
        <v>42830</v>
      </c>
      <c r="E9503" s="1" t="n">
        <v>0.046</v>
      </c>
      <c r="F9503" s="1" t="n">
        <v>0.0951</v>
      </c>
    </row>
    <row r="9504" customFormat="false" ht="15" hidden="false" customHeight="false" outlineLevel="0" collapsed="false">
      <c r="A9504" s="1" t="s">
        <v>9539</v>
      </c>
      <c r="B9504" s="1" t="s">
        <v>81</v>
      </c>
      <c r="C9504" s="1" t="n">
        <v>191000</v>
      </c>
      <c r="D9504" s="1" t="n">
        <v>23293.3</v>
      </c>
      <c r="E9504" s="1" t="n">
        <v>0.0152</v>
      </c>
      <c r="F9504" s="1" t="n">
        <v>0.0462</v>
      </c>
    </row>
    <row r="9505" customFormat="false" ht="15" hidden="false" customHeight="false" outlineLevel="0" collapsed="false">
      <c r="A9505" s="1" t="s">
        <v>9540</v>
      </c>
      <c r="B9505" s="1" t="s">
        <v>41</v>
      </c>
      <c r="C9505" s="1" t="n">
        <v>155000</v>
      </c>
      <c r="D9505" s="1" t="n">
        <v>175.4</v>
      </c>
      <c r="E9505" s="1" t="n">
        <v>0.0184</v>
      </c>
      <c r="F9505" s="1" t="n">
        <v>0.1067</v>
      </c>
    </row>
    <row r="9506" customFormat="false" ht="15" hidden="false" customHeight="false" outlineLevel="0" collapsed="false">
      <c r="A9506" s="1" t="s">
        <v>9541</v>
      </c>
      <c r="B9506" s="1" t="s">
        <v>28</v>
      </c>
      <c r="C9506" s="1" t="n">
        <v>208000</v>
      </c>
      <c r="D9506" s="1" t="n">
        <v>6562</v>
      </c>
      <c r="E9506" s="1" t="n">
        <v>0.0175</v>
      </c>
      <c r="F9506" s="1" t="n">
        <v>0.0585</v>
      </c>
    </row>
    <row r="9507" customFormat="false" ht="15" hidden="false" customHeight="false" outlineLevel="0" collapsed="false">
      <c r="A9507" s="1" t="s">
        <v>9542</v>
      </c>
      <c r="B9507" s="1" t="s">
        <v>41</v>
      </c>
      <c r="C9507" s="1" t="n">
        <v>159000</v>
      </c>
      <c r="D9507" s="1" t="n">
        <v>578.2</v>
      </c>
      <c r="E9507" s="1" t="n">
        <v>0.1327</v>
      </c>
      <c r="F9507" s="1" t="n">
        <v>0.117</v>
      </c>
    </row>
    <row r="9508" customFormat="false" ht="15" hidden="false" customHeight="false" outlineLevel="0" collapsed="false">
      <c r="A9508" s="1" t="s">
        <v>9543</v>
      </c>
      <c r="B9508" s="1" t="s">
        <v>24</v>
      </c>
      <c r="C9508" s="1" t="n">
        <v>219000</v>
      </c>
      <c r="D9508" s="1" t="n">
        <v>192823.4</v>
      </c>
      <c r="E9508" s="1" t="n">
        <v>0.0225</v>
      </c>
      <c r="F9508" s="1" t="n">
        <v>0.0518</v>
      </c>
    </row>
    <row r="9509" customFormat="false" ht="15" hidden="false" customHeight="false" outlineLevel="0" collapsed="false">
      <c r="A9509" s="1" t="s">
        <v>9544</v>
      </c>
      <c r="B9509" s="1" t="s">
        <v>26</v>
      </c>
      <c r="C9509" s="1" t="n">
        <v>150000</v>
      </c>
      <c r="D9509" s="1" t="n">
        <v>1750.4</v>
      </c>
      <c r="E9509" s="1" t="n">
        <v>0.0224</v>
      </c>
      <c r="F9509" s="1" t="n">
        <v>0.0759</v>
      </c>
    </row>
    <row r="9510" customFormat="false" ht="15" hidden="false" customHeight="false" outlineLevel="0" collapsed="false">
      <c r="A9510" s="1" t="s">
        <v>9545</v>
      </c>
      <c r="B9510" s="1" t="s">
        <v>214</v>
      </c>
      <c r="C9510" s="1" t="n">
        <v>160000</v>
      </c>
      <c r="D9510" s="1" t="n">
        <v>35280</v>
      </c>
      <c r="E9510" s="1" t="n">
        <v>0.0381</v>
      </c>
      <c r="F9510" s="1" t="n">
        <v>0.0546</v>
      </c>
    </row>
    <row r="9511" customFormat="false" ht="15" hidden="false" customHeight="false" outlineLevel="0" collapsed="false">
      <c r="A9511" s="1" t="s">
        <v>9546</v>
      </c>
      <c r="B9511" s="1" t="s">
        <v>214</v>
      </c>
      <c r="C9511" s="1" t="n">
        <v>158000</v>
      </c>
      <c r="D9511" s="1" t="n">
        <v>1671.3</v>
      </c>
      <c r="E9511" s="1" t="n">
        <v>0.0283</v>
      </c>
      <c r="F9511" s="1" t="n">
        <v>0.0951</v>
      </c>
    </row>
    <row r="9512" customFormat="false" ht="15" hidden="false" customHeight="false" outlineLevel="0" collapsed="false">
      <c r="A9512" s="1" t="s">
        <v>9547</v>
      </c>
      <c r="B9512" s="1" t="s">
        <v>26</v>
      </c>
      <c r="C9512" s="1" t="n">
        <v>216000</v>
      </c>
      <c r="D9512" s="1" t="n">
        <v>9282.5</v>
      </c>
      <c r="E9512" s="1" t="n">
        <v>0.0555</v>
      </c>
      <c r="F9512" s="1" t="n">
        <v>0.0951</v>
      </c>
    </row>
    <row r="9513" customFormat="false" ht="15" hidden="false" customHeight="false" outlineLevel="0" collapsed="false">
      <c r="A9513" s="1" t="s">
        <v>9548</v>
      </c>
      <c r="B9513" s="1" t="s">
        <v>41</v>
      </c>
      <c r="C9513" s="1" t="n">
        <v>201000</v>
      </c>
      <c r="D9513" s="1" t="n">
        <v>5939.4</v>
      </c>
      <c r="E9513" s="1" t="n">
        <v>0.0521</v>
      </c>
      <c r="F9513" s="1" t="n">
        <v>0.0759</v>
      </c>
    </row>
    <row r="9514" customFormat="false" ht="15" hidden="false" customHeight="false" outlineLevel="0" collapsed="false">
      <c r="A9514" s="1" t="s">
        <v>9549</v>
      </c>
      <c r="B9514" s="1" t="s">
        <v>74</v>
      </c>
      <c r="C9514" s="1" t="n">
        <v>268000</v>
      </c>
      <c r="D9514" s="1" t="n">
        <v>5322.7</v>
      </c>
      <c r="E9514" s="1" t="n">
        <v>0.0301</v>
      </c>
      <c r="F9514" s="1" t="n">
        <v>0.0951</v>
      </c>
    </row>
    <row r="9515" customFormat="false" ht="15" hidden="false" customHeight="false" outlineLevel="0" collapsed="false">
      <c r="A9515" s="1" t="s">
        <v>9550</v>
      </c>
      <c r="B9515" s="1" t="s">
        <v>81</v>
      </c>
      <c r="C9515" s="1" t="n">
        <v>162000</v>
      </c>
      <c r="D9515" s="1" t="n">
        <v>1305.8</v>
      </c>
      <c r="E9515" s="1" t="n">
        <v>0.0175</v>
      </c>
      <c r="F9515" s="1" t="n">
        <v>0.0854</v>
      </c>
    </row>
    <row r="9516" customFormat="false" ht="15" hidden="false" customHeight="false" outlineLevel="0" collapsed="false">
      <c r="A9516" s="1" t="s">
        <v>9551</v>
      </c>
      <c r="B9516" s="1" t="s">
        <v>53</v>
      </c>
      <c r="C9516" s="1" t="n">
        <v>412000</v>
      </c>
      <c r="D9516" s="1" t="n">
        <v>118951.1</v>
      </c>
      <c r="E9516" s="1" t="n">
        <v>0.0952</v>
      </c>
      <c r="F9516" s="1" t="n">
        <v>0.0759</v>
      </c>
    </row>
    <row r="9517" customFormat="false" ht="15" hidden="false" customHeight="false" outlineLevel="0" collapsed="false">
      <c r="A9517" s="1" t="s">
        <v>9552</v>
      </c>
      <c r="B9517" s="1" t="s">
        <v>41</v>
      </c>
      <c r="C9517" s="1" t="n">
        <v>170000</v>
      </c>
      <c r="D9517" s="1" t="n">
        <v>521</v>
      </c>
      <c r="E9517" s="1" t="n">
        <v>0.0429</v>
      </c>
      <c r="F9517" s="1" t="n">
        <v>0.0409</v>
      </c>
    </row>
    <row r="9518" customFormat="false" ht="15" hidden="false" customHeight="false" outlineLevel="0" collapsed="false">
      <c r="A9518" s="1" t="s">
        <v>9553</v>
      </c>
      <c r="B9518" s="1" t="s">
        <v>41</v>
      </c>
      <c r="C9518" s="1" t="n">
        <v>230000</v>
      </c>
      <c r="D9518" s="1" t="n">
        <v>871.5</v>
      </c>
      <c r="E9518" s="1" t="n">
        <v>0.1032</v>
      </c>
      <c r="F9518" s="1" t="n">
        <v>0.0938</v>
      </c>
    </row>
    <row r="9519" customFormat="false" ht="15" hidden="false" customHeight="false" outlineLevel="0" collapsed="false">
      <c r="A9519" s="1" t="s">
        <v>9554</v>
      </c>
      <c r="B9519" s="1" t="s">
        <v>26</v>
      </c>
      <c r="C9519" s="1" t="n">
        <v>191000</v>
      </c>
      <c r="D9519" s="1" t="n">
        <v>583.1</v>
      </c>
      <c r="E9519" s="1" t="n">
        <v>0.0149</v>
      </c>
      <c r="F9519" s="1" t="n">
        <v>0.058</v>
      </c>
    </row>
    <row r="9520" customFormat="false" ht="15" hidden="false" customHeight="false" outlineLevel="0" collapsed="false">
      <c r="A9520" s="1" t="s">
        <v>9555</v>
      </c>
      <c r="B9520" s="1" t="s">
        <v>53</v>
      </c>
      <c r="C9520" s="1" t="n">
        <v>452000</v>
      </c>
      <c r="D9520" s="1" t="n">
        <v>35120.5</v>
      </c>
      <c r="E9520" s="1" t="n">
        <v>0.0523</v>
      </c>
      <c r="F9520" s="1" t="n">
        <v>0.0759</v>
      </c>
    </row>
    <row r="9521" customFormat="false" ht="15" hidden="false" customHeight="false" outlineLevel="0" collapsed="false">
      <c r="A9521" s="1" t="s">
        <v>9556</v>
      </c>
      <c r="B9521" s="1" t="s">
        <v>88</v>
      </c>
      <c r="C9521" s="1" t="n">
        <v>169000</v>
      </c>
      <c r="D9521" s="1" t="n">
        <v>212.8</v>
      </c>
      <c r="E9521" s="1" t="n">
        <v>0.0053</v>
      </c>
      <c r="F9521" s="1" t="n">
        <v>0.0811</v>
      </c>
    </row>
    <row r="9522" customFormat="false" ht="15" hidden="false" customHeight="false" outlineLevel="0" collapsed="false">
      <c r="A9522" s="1" t="s">
        <v>9557</v>
      </c>
      <c r="B9522" s="1" t="s">
        <v>26</v>
      </c>
      <c r="C9522" s="1" t="n">
        <v>165000</v>
      </c>
      <c r="D9522" s="1" t="n">
        <v>3165</v>
      </c>
      <c r="E9522" s="1" t="n">
        <v>0.0279</v>
      </c>
      <c r="F9522" s="1" t="n">
        <v>0.0759</v>
      </c>
    </row>
    <row r="9523" customFormat="false" ht="15" hidden="false" customHeight="false" outlineLevel="0" collapsed="false">
      <c r="A9523" s="1" t="s">
        <v>9558</v>
      </c>
      <c r="B9523" s="1" t="s">
        <v>92</v>
      </c>
      <c r="C9523" s="1" t="n">
        <v>193000</v>
      </c>
      <c r="D9523" s="1" t="n">
        <v>543.4</v>
      </c>
      <c r="E9523" s="1" t="n">
        <v>0.0379</v>
      </c>
      <c r="F9523" s="1" t="n">
        <v>0.0759</v>
      </c>
    </row>
    <row r="9524" customFormat="false" ht="15" hidden="false" customHeight="false" outlineLevel="0" collapsed="false">
      <c r="A9524" s="1" t="s">
        <v>9559</v>
      </c>
      <c r="B9524" s="1" t="s">
        <v>41</v>
      </c>
      <c r="C9524" s="1" t="n">
        <v>185000</v>
      </c>
      <c r="D9524" s="1" t="n">
        <v>2835.6</v>
      </c>
      <c r="E9524" s="1" t="n">
        <v>0.0353</v>
      </c>
      <c r="F9524" s="1" t="n">
        <v>0.0951</v>
      </c>
    </row>
    <row r="9525" customFormat="false" ht="15" hidden="false" customHeight="false" outlineLevel="0" collapsed="false">
      <c r="A9525" s="1" t="s">
        <v>9560</v>
      </c>
      <c r="B9525" s="1" t="s">
        <v>74</v>
      </c>
      <c r="C9525" s="1" t="n">
        <v>205000</v>
      </c>
      <c r="D9525" s="1" t="n">
        <v>1498.7</v>
      </c>
      <c r="E9525" s="1" t="n">
        <v>0.026</v>
      </c>
      <c r="F9525" s="1" t="n">
        <v>0.0759</v>
      </c>
    </row>
    <row r="9526" customFormat="false" ht="15" hidden="false" customHeight="false" outlineLevel="0" collapsed="false">
      <c r="A9526" s="1" t="s">
        <v>9561</v>
      </c>
      <c r="B9526" s="1" t="s">
        <v>62</v>
      </c>
      <c r="C9526" s="1" t="n">
        <v>205000</v>
      </c>
      <c r="D9526" s="1" t="n">
        <v>11746.8</v>
      </c>
      <c r="E9526" s="1" t="n">
        <v>0.015</v>
      </c>
      <c r="F9526" s="1" t="n">
        <v>0.0488</v>
      </c>
    </row>
    <row r="9527" customFormat="false" ht="15" hidden="false" customHeight="false" outlineLevel="0" collapsed="false">
      <c r="A9527" s="1" t="s">
        <v>9562</v>
      </c>
      <c r="B9527" s="1" t="s">
        <v>26</v>
      </c>
      <c r="C9527" s="1" t="n">
        <v>159000</v>
      </c>
      <c r="D9527" s="1" t="n">
        <v>713.6</v>
      </c>
      <c r="E9527" s="1" t="n">
        <v>0.0169</v>
      </c>
      <c r="F9527" s="1" t="n">
        <v>0.0616</v>
      </c>
    </row>
    <row r="9528" customFormat="false" ht="15" hidden="false" customHeight="false" outlineLevel="0" collapsed="false">
      <c r="A9528" s="1" t="s">
        <v>9563</v>
      </c>
      <c r="B9528" s="1" t="s">
        <v>81</v>
      </c>
      <c r="C9528" s="1" t="n">
        <v>167000</v>
      </c>
      <c r="D9528" s="1" t="n">
        <v>32530.6</v>
      </c>
      <c r="E9528" s="1" t="n">
        <v>0.0194</v>
      </c>
      <c r="F9528" s="1" t="n">
        <v>0.0854</v>
      </c>
    </row>
    <row r="9529" customFormat="false" ht="15" hidden="false" customHeight="false" outlineLevel="0" collapsed="false">
      <c r="A9529" s="1" t="s">
        <v>9564</v>
      </c>
      <c r="B9529" s="1" t="s">
        <v>195</v>
      </c>
      <c r="C9529" s="1" t="n">
        <v>170000</v>
      </c>
      <c r="D9529" s="1" t="n">
        <v>2230.2</v>
      </c>
      <c r="E9529" s="1" t="n">
        <v>0.0104</v>
      </c>
      <c r="F9529" s="1" t="n">
        <v>0.0736</v>
      </c>
    </row>
    <row r="9530" customFormat="false" ht="15" hidden="false" customHeight="false" outlineLevel="0" collapsed="false">
      <c r="A9530" s="1" t="s">
        <v>9565</v>
      </c>
      <c r="B9530" s="1" t="s">
        <v>71</v>
      </c>
      <c r="C9530" s="1" t="n">
        <v>233000</v>
      </c>
      <c r="D9530" s="1" t="n">
        <v>4069.7</v>
      </c>
      <c r="E9530" s="1" t="n">
        <v>0.0811</v>
      </c>
      <c r="F9530" s="1" t="n">
        <v>0.0938</v>
      </c>
    </row>
    <row r="9531" customFormat="false" ht="15" hidden="false" customHeight="false" outlineLevel="0" collapsed="false">
      <c r="A9531" s="1" t="s">
        <v>9566</v>
      </c>
      <c r="B9531" s="1" t="s">
        <v>32</v>
      </c>
      <c r="C9531" s="1" t="n">
        <v>170000</v>
      </c>
      <c r="D9531" s="1" t="n">
        <v>13352.8</v>
      </c>
      <c r="E9531" s="1" t="n">
        <v>0.0348</v>
      </c>
      <c r="F9531" s="1" t="n">
        <v>0.0938</v>
      </c>
    </row>
    <row r="9532" customFormat="false" ht="15" hidden="false" customHeight="false" outlineLevel="0" collapsed="false">
      <c r="A9532" s="1" t="s">
        <v>9567</v>
      </c>
      <c r="B9532" s="1" t="s">
        <v>30</v>
      </c>
      <c r="C9532" s="1" t="n">
        <v>180000</v>
      </c>
      <c r="D9532" s="1" t="n">
        <v>1994.9</v>
      </c>
      <c r="E9532" s="1" t="n">
        <v>0.0197</v>
      </c>
      <c r="F9532" s="1" t="n">
        <v>0.1594</v>
      </c>
    </row>
    <row r="9533" customFormat="false" ht="15" hidden="false" customHeight="false" outlineLevel="0" collapsed="false">
      <c r="A9533" s="1" t="s">
        <v>9568</v>
      </c>
      <c r="B9533" s="1" t="s">
        <v>26</v>
      </c>
      <c r="C9533" s="1" t="n">
        <v>575000</v>
      </c>
      <c r="D9533" s="1" t="n">
        <v>15253.6</v>
      </c>
      <c r="E9533" s="1" t="n">
        <v>0.0151</v>
      </c>
      <c r="F9533" s="1" t="n">
        <v>0.1053</v>
      </c>
    </row>
    <row r="9534" customFormat="false" ht="15" hidden="false" customHeight="false" outlineLevel="0" collapsed="false">
      <c r="A9534" s="1" t="s">
        <v>9569</v>
      </c>
      <c r="B9534" s="1" t="s">
        <v>74</v>
      </c>
      <c r="C9534" s="1" t="n">
        <v>267000</v>
      </c>
      <c r="D9534" s="1" t="n">
        <v>3569.8</v>
      </c>
      <c r="E9534" s="1" t="n">
        <v>0.0553</v>
      </c>
      <c r="F9534" s="1" t="n">
        <v>0.0938</v>
      </c>
    </row>
    <row r="9535" customFormat="false" ht="15" hidden="false" customHeight="false" outlineLevel="0" collapsed="false">
      <c r="A9535" s="1" t="s">
        <v>9570</v>
      </c>
      <c r="B9535" s="1" t="s">
        <v>92</v>
      </c>
      <c r="C9535" s="1" t="n">
        <v>163000</v>
      </c>
      <c r="D9535" s="1" t="n">
        <v>3821.4</v>
      </c>
      <c r="E9535" s="1" t="n">
        <v>0.0101</v>
      </c>
      <c r="F9535" s="1" t="n">
        <v>0.0822</v>
      </c>
    </row>
    <row r="9536" customFormat="false" ht="15" hidden="false" customHeight="false" outlineLevel="0" collapsed="false">
      <c r="A9536" s="1" t="s">
        <v>9571</v>
      </c>
      <c r="B9536" s="1" t="s">
        <v>74</v>
      </c>
      <c r="C9536" s="1" t="n">
        <v>227000</v>
      </c>
      <c r="D9536" s="1" t="n">
        <v>677.7</v>
      </c>
      <c r="E9536" s="1" t="n">
        <v>0.0193</v>
      </c>
      <c r="F9536" s="1" t="n">
        <v>0.6271</v>
      </c>
    </row>
    <row r="9537" customFormat="false" ht="15" hidden="false" customHeight="false" outlineLevel="0" collapsed="false">
      <c r="A9537" s="1" t="s">
        <v>9572</v>
      </c>
      <c r="B9537" s="1" t="s">
        <v>88</v>
      </c>
      <c r="C9537" s="1" t="n">
        <v>216000</v>
      </c>
      <c r="D9537" s="1" t="n">
        <v>801.2</v>
      </c>
      <c r="E9537" s="1" t="n">
        <v>0.0422</v>
      </c>
      <c r="F9537" s="1" t="n">
        <v>0.0938</v>
      </c>
    </row>
    <row r="9538" customFormat="false" ht="15" hidden="false" customHeight="false" outlineLevel="0" collapsed="false">
      <c r="A9538" s="1" t="s">
        <v>9573</v>
      </c>
      <c r="B9538" s="1" t="s">
        <v>50</v>
      </c>
      <c r="C9538" s="1" t="n">
        <v>234000</v>
      </c>
      <c r="D9538" s="1" t="n">
        <v>85554.6</v>
      </c>
      <c r="E9538" s="1" t="n">
        <v>0.0213</v>
      </c>
      <c r="F9538" s="1" t="n">
        <v>0.0951</v>
      </c>
    </row>
    <row r="9539" customFormat="false" ht="15" hidden="false" customHeight="false" outlineLevel="0" collapsed="false">
      <c r="A9539" s="1" t="s">
        <v>9574</v>
      </c>
      <c r="B9539" s="1" t="s">
        <v>214</v>
      </c>
      <c r="C9539" s="1" t="n">
        <v>173000</v>
      </c>
      <c r="D9539" s="1" t="n">
        <v>4455.9</v>
      </c>
      <c r="E9539" s="1" t="n">
        <v>0.0973</v>
      </c>
      <c r="F9539" s="1" t="n">
        <v>0.1535</v>
      </c>
    </row>
    <row r="9540" customFormat="false" ht="15" hidden="false" customHeight="false" outlineLevel="0" collapsed="false">
      <c r="A9540" s="1" t="s">
        <v>9575</v>
      </c>
      <c r="B9540" s="1" t="s">
        <v>88</v>
      </c>
      <c r="C9540" s="1" t="n">
        <v>175000</v>
      </c>
      <c r="D9540" s="1" t="n">
        <v>6604.7</v>
      </c>
      <c r="E9540" s="1" t="n">
        <v>0.0621</v>
      </c>
      <c r="F9540" s="1" t="n">
        <v>0.0951</v>
      </c>
    </row>
    <row r="9541" customFormat="false" ht="15" hidden="false" customHeight="false" outlineLevel="0" collapsed="false">
      <c r="A9541" s="1" t="s">
        <v>9576</v>
      </c>
      <c r="B9541" s="1" t="s">
        <v>53</v>
      </c>
      <c r="C9541" s="1" t="n">
        <v>213000</v>
      </c>
      <c r="D9541" s="1" t="n">
        <v>1891.2</v>
      </c>
      <c r="E9541" s="1" t="n">
        <v>0.0243</v>
      </c>
      <c r="F9541" s="1" t="n">
        <v>0.0759</v>
      </c>
    </row>
    <row r="9542" customFormat="false" ht="15" hidden="false" customHeight="false" outlineLevel="0" collapsed="false">
      <c r="A9542" s="1" t="s">
        <v>9577</v>
      </c>
      <c r="B9542" s="1" t="s">
        <v>26</v>
      </c>
      <c r="C9542" s="1" t="n">
        <v>171000</v>
      </c>
      <c r="D9542" s="1" t="n">
        <v>2150.9</v>
      </c>
      <c r="E9542" s="1" t="n">
        <v>0.0349</v>
      </c>
      <c r="F9542" s="1" t="n">
        <v>0.0951</v>
      </c>
    </row>
    <row r="9543" customFormat="false" ht="15" hidden="false" customHeight="false" outlineLevel="0" collapsed="false">
      <c r="A9543" s="1" t="s">
        <v>9578</v>
      </c>
      <c r="B9543" s="1" t="s">
        <v>88</v>
      </c>
      <c r="C9543" s="1" t="n">
        <v>150000</v>
      </c>
      <c r="D9543" s="1" t="n">
        <v>1648.2</v>
      </c>
      <c r="F9543" s="1" t="n">
        <v>0.0951</v>
      </c>
    </row>
    <row r="9544" customFormat="false" ht="15" hidden="false" customHeight="false" outlineLevel="0" collapsed="false">
      <c r="A9544" s="1" t="s">
        <v>9579</v>
      </c>
      <c r="B9544" s="1" t="s">
        <v>214</v>
      </c>
      <c r="C9544" s="1" t="n">
        <v>329000</v>
      </c>
      <c r="D9544" s="1" t="n">
        <v>9477.4</v>
      </c>
      <c r="E9544" s="1" t="n">
        <v>0.0376</v>
      </c>
      <c r="F9544" s="1" t="n">
        <v>0.0759</v>
      </c>
    </row>
    <row r="9545" customFormat="false" ht="15" hidden="false" customHeight="false" outlineLevel="0" collapsed="false">
      <c r="A9545" s="1" t="s">
        <v>9580</v>
      </c>
      <c r="B9545" s="1" t="s">
        <v>92</v>
      </c>
      <c r="C9545" s="1" t="n">
        <v>223000</v>
      </c>
      <c r="D9545" s="1" t="n">
        <v>151105</v>
      </c>
      <c r="E9545" s="1" t="n">
        <v>0.045</v>
      </c>
      <c r="F9545" s="1" t="n">
        <v>0.0409</v>
      </c>
    </row>
    <row r="9546" customFormat="false" ht="15" hidden="false" customHeight="false" outlineLevel="0" collapsed="false">
      <c r="A9546" s="1" t="s">
        <v>9581</v>
      </c>
      <c r="B9546" s="1" t="s">
        <v>26</v>
      </c>
      <c r="C9546" s="1" t="n">
        <v>270000</v>
      </c>
      <c r="D9546" s="1" t="n">
        <v>5772.1</v>
      </c>
      <c r="E9546" s="1" t="n">
        <v>0.0318</v>
      </c>
      <c r="F9546" s="1" t="n">
        <v>0.171</v>
      </c>
    </row>
    <row r="9547" customFormat="false" ht="15" hidden="false" customHeight="false" outlineLevel="0" collapsed="false">
      <c r="A9547" s="1" t="s">
        <v>9582</v>
      </c>
      <c r="B9547" s="1" t="s">
        <v>53</v>
      </c>
      <c r="C9547" s="1" t="n">
        <v>341000</v>
      </c>
      <c r="D9547" s="1" t="n">
        <v>14083.3</v>
      </c>
      <c r="E9547" s="1" t="n">
        <v>0.0479</v>
      </c>
      <c r="F9547" s="1" t="n">
        <v>0.0759</v>
      </c>
    </row>
    <row r="9548" customFormat="false" ht="15" hidden="false" customHeight="false" outlineLevel="0" collapsed="false">
      <c r="A9548" s="1" t="s">
        <v>9583</v>
      </c>
      <c r="B9548" s="1" t="s">
        <v>88</v>
      </c>
      <c r="C9548" s="1" t="n">
        <v>187000</v>
      </c>
      <c r="D9548" s="1" t="n">
        <v>4953.8</v>
      </c>
      <c r="E9548" s="1" t="n">
        <v>0.0329</v>
      </c>
      <c r="F9548" s="1" t="n">
        <v>0.0938</v>
      </c>
    </row>
    <row r="9549" customFormat="false" ht="15" hidden="false" customHeight="false" outlineLevel="0" collapsed="false">
      <c r="A9549" s="1" t="s">
        <v>9584</v>
      </c>
      <c r="B9549" s="1" t="s">
        <v>88</v>
      </c>
      <c r="C9549" s="1" t="n">
        <v>174000</v>
      </c>
      <c r="D9549" s="1" t="n">
        <v>5210.2</v>
      </c>
      <c r="E9549" s="1" t="n">
        <v>0.0209</v>
      </c>
      <c r="F9549" s="1" t="n">
        <v>0.0938</v>
      </c>
    </row>
    <row r="9550" customFormat="false" ht="15" hidden="false" customHeight="false" outlineLevel="0" collapsed="false">
      <c r="A9550" s="1" t="s">
        <v>9585</v>
      </c>
      <c r="B9550" s="1" t="s">
        <v>74</v>
      </c>
      <c r="C9550" s="1" t="n">
        <v>161000</v>
      </c>
      <c r="D9550" s="1" t="n">
        <v>6684.8</v>
      </c>
      <c r="E9550" s="1" t="n">
        <v>0.0351</v>
      </c>
      <c r="F9550" s="1" t="n">
        <v>0.0951</v>
      </c>
    </row>
    <row r="9551" customFormat="false" ht="15" hidden="false" customHeight="false" outlineLevel="0" collapsed="false">
      <c r="A9551" s="1" t="s">
        <v>9586</v>
      </c>
      <c r="B9551" s="1" t="s">
        <v>32</v>
      </c>
      <c r="C9551" s="1" t="n">
        <v>156000</v>
      </c>
      <c r="D9551" s="1" t="n">
        <v>1817.3</v>
      </c>
      <c r="E9551" s="1" t="n">
        <v>0.0028</v>
      </c>
      <c r="F9551" s="1" t="n">
        <v>0.0654</v>
      </c>
    </row>
    <row r="9552" customFormat="false" ht="15" hidden="false" customHeight="false" outlineLevel="0" collapsed="false">
      <c r="A9552" s="1" t="s">
        <v>9587</v>
      </c>
      <c r="B9552" s="1" t="s">
        <v>81</v>
      </c>
      <c r="C9552" s="1" t="n">
        <v>217000</v>
      </c>
      <c r="D9552" s="1" t="n">
        <v>17165.5</v>
      </c>
      <c r="E9552" s="1" t="n">
        <v>0.0394</v>
      </c>
      <c r="F9552" s="1" t="n">
        <v>0.0759</v>
      </c>
    </row>
    <row r="9553" customFormat="false" ht="15" hidden="false" customHeight="false" outlineLevel="0" collapsed="false">
      <c r="A9553" s="1" t="s">
        <v>9588</v>
      </c>
      <c r="B9553" s="1" t="s">
        <v>24</v>
      </c>
      <c r="C9553" s="1" t="n">
        <v>510000</v>
      </c>
      <c r="D9553" s="1" t="n">
        <v>38190.6</v>
      </c>
      <c r="E9553" s="1" t="n">
        <v>0.0355</v>
      </c>
      <c r="F9553" s="1" t="n">
        <v>0.051</v>
      </c>
    </row>
    <row r="9554" customFormat="false" ht="15" hidden="false" customHeight="false" outlineLevel="0" collapsed="false">
      <c r="A9554" s="1" t="s">
        <v>9589</v>
      </c>
      <c r="B9554" s="1" t="s">
        <v>81</v>
      </c>
      <c r="C9554" s="1" t="n">
        <v>169000</v>
      </c>
      <c r="D9554" s="1" t="n">
        <v>122733.8</v>
      </c>
      <c r="E9554" s="1" t="n">
        <v>0.0337</v>
      </c>
      <c r="F9554" s="1" t="n">
        <v>0.0951</v>
      </c>
    </row>
    <row r="9555" customFormat="false" ht="15" hidden="false" customHeight="false" outlineLevel="0" collapsed="false">
      <c r="A9555" s="1" t="s">
        <v>9590</v>
      </c>
      <c r="B9555" s="1" t="s">
        <v>71</v>
      </c>
      <c r="C9555" s="1" t="n">
        <v>316000</v>
      </c>
      <c r="D9555" s="1" t="n">
        <v>1940.5</v>
      </c>
      <c r="E9555" s="1" t="n">
        <v>0.0203</v>
      </c>
      <c r="F9555" s="1" t="n">
        <v>0.0759</v>
      </c>
    </row>
    <row r="9556" customFormat="false" ht="15" hidden="false" customHeight="false" outlineLevel="0" collapsed="false">
      <c r="A9556" s="1" t="s">
        <v>9591</v>
      </c>
      <c r="B9556" s="1" t="s">
        <v>53</v>
      </c>
      <c r="C9556" s="1" t="n">
        <v>194000</v>
      </c>
      <c r="D9556" s="1" t="n">
        <v>4134</v>
      </c>
      <c r="E9556" s="1" t="n">
        <v>0.0905</v>
      </c>
      <c r="F9556" s="1" t="n">
        <v>0.117</v>
      </c>
    </row>
    <row r="9557" customFormat="false" ht="15" hidden="false" customHeight="false" outlineLevel="0" collapsed="false">
      <c r="A9557" s="1" t="s">
        <v>9592</v>
      </c>
      <c r="B9557" s="1" t="s">
        <v>214</v>
      </c>
      <c r="C9557" s="1" t="n">
        <v>192000</v>
      </c>
      <c r="D9557" s="1" t="n">
        <v>59811.9</v>
      </c>
      <c r="E9557" s="1" t="n">
        <v>0.0139</v>
      </c>
      <c r="F9557" s="1" t="n">
        <v>0.0585</v>
      </c>
    </row>
    <row r="9558" customFormat="false" ht="15" hidden="false" customHeight="false" outlineLevel="0" collapsed="false">
      <c r="A9558" s="1" t="s">
        <v>9593</v>
      </c>
      <c r="B9558" s="1" t="s">
        <v>71</v>
      </c>
      <c r="C9558" s="1" t="n">
        <v>164000</v>
      </c>
      <c r="D9558" s="1" t="n">
        <v>54466.5</v>
      </c>
      <c r="E9558" s="1" t="n">
        <v>0.0218</v>
      </c>
      <c r="F9558" s="1" t="n">
        <v>0.1067</v>
      </c>
    </row>
    <row r="9559" customFormat="false" ht="15" hidden="false" customHeight="false" outlineLevel="0" collapsed="false">
      <c r="A9559" s="1" t="s">
        <v>9594</v>
      </c>
      <c r="B9559" s="1" t="s">
        <v>74</v>
      </c>
      <c r="C9559" s="1" t="n">
        <v>178000</v>
      </c>
      <c r="D9559" s="1" t="n">
        <v>10304.3</v>
      </c>
      <c r="E9559" s="1" t="n">
        <v>0.0264</v>
      </c>
      <c r="F9559" s="1" t="n">
        <v>0.0759</v>
      </c>
    </row>
    <row r="9560" customFormat="false" ht="15" hidden="false" customHeight="false" outlineLevel="0" collapsed="false">
      <c r="A9560" s="1" t="s">
        <v>9595</v>
      </c>
      <c r="B9560" s="1" t="s">
        <v>92</v>
      </c>
      <c r="C9560" s="1" t="n">
        <v>301000</v>
      </c>
      <c r="D9560" s="1" t="n">
        <v>237334.4</v>
      </c>
      <c r="E9560" s="1" t="n">
        <v>0.012</v>
      </c>
      <c r="F9560" s="1" t="n">
        <v>0.1062</v>
      </c>
    </row>
    <row r="9561" customFormat="false" ht="15" hidden="false" customHeight="false" outlineLevel="0" collapsed="false">
      <c r="A9561" s="1" t="s">
        <v>9596</v>
      </c>
      <c r="B9561" s="1" t="s">
        <v>88</v>
      </c>
      <c r="C9561" s="1" t="n">
        <v>193000</v>
      </c>
      <c r="D9561" s="1" t="n">
        <v>1017</v>
      </c>
      <c r="E9561" s="1" t="n">
        <v>0.0127</v>
      </c>
      <c r="F9561" s="1" t="n">
        <v>0.1594</v>
      </c>
    </row>
    <row r="9562" customFormat="false" ht="15" hidden="false" customHeight="false" outlineLevel="0" collapsed="false">
      <c r="A9562" s="1" t="s">
        <v>9597</v>
      </c>
      <c r="B9562" s="1" t="s">
        <v>74</v>
      </c>
      <c r="C9562" s="1" t="n">
        <v>393000</v>
      </c>
      <c r="D9562" s="1" t="n">
        <v>2699.2</v>
      </c>
      <c r="E9562" s="1" t="n">
        <v>0.0337</v>
      </c>
      <c r="F9562" s="1" t="n">
        <v>0.0759</v>
      </c>
    </row>
    <row r="9563" customFormat="false" ht="15" hidden="false" customHeight="false" outlineLevel="0" collapsed="false">
      <c r="A9563" s="1" t="s">
        <v>9598</v>
      </c>
      <c r="B9563" s="1" t="s">
        <v>62</v>
      </c>
      <c r="C9563" s="1" t="n">
        <v>157000</v>
      </c>
      <c r="D9563" s="1" t="n">
        <v>9229.4</v>
      </c>
      <c r="E9563" s="1" t="n">
        <v>0.0071</v>
      </c>
      <c r="F9563" s="1" t="n">
        <v>0.1027</v>
      </c>
    </row>
    <row r="9564" customFormat="false" ht="15" hidden="false" customHeight="false" outlineLevel="0" collapsed="false">
      <c r="A9564" s="1" t="s">
        <v>9599</v>
      </c>
      <c r="B9564" s="1" t="s">
        <v>88</v>
      </c>
      <c r="C9564" s="1" t="n">
        <v>161000</v>
      </c>
      <c r="D9564" s="1" t="n">
        <v>18.9</v>
      </c>
      <c r="E9564" s="1" t="n">
        <v>0.1398</v>
      </c>
      <c r="F9564" s="1" t="n">
        <v>0.0409</v>
      </c>
    </row>
    <row r="9565" customFormat="false" ht="15" hidden="false" customHeight="false" outlineLevel="0" collapsed="false">
      <c r="A9565" s="1" t="s">
        <v>9600</v>
      </c>
      <c r="B9565" s="1" t="s">
        <v>62</v>
      </c>
      <c r="C9565" s="1" t="n">
        <v>273000</v>
      </c>
      <c r="D9565" s="1" t="n">
        <v>53579.2</v>
      </c>
      <c r="E9565" s="1" t="n">
        <v>0.0116</v>
      </c>
      <c r="F9565" s="1" t="n">
        <v>0.0585</v>
      </c>
    </row>
    <row r="9566" customFormat="false" ht="15" hidden="false" customHeight="false" outlineLevel="0" collapsed="false">
      <c r="A9566" s="1" t="s">
        <v>9601</v>
      </c>
      <c r="B9566" s="1" t="s">
        <v>62</v>
      </c>
      <c r="C9566" s="1" t="n">
        <v>158000</v>
      </c>
      <c r="D9566" s="1" t="n">
        <v>10377.1</v>
      </c>
      <c r="E9566" s="1" t="n">
        <v>0.0311</v>
      </c>
      <c r="F9566" s="1" t="n">
        <v>0.0951</v>
      </c>
    </row>
    <row r="9567" customFormat="false" ht="15" hidden="false" customHeight="false" outlineLevel="0" collapsed="false">
      <c r="A9567" s="1" t="s">
        <v>9602</v>
      </c>
      <c r="B9567" s="1" t="s">
        <v>24</v>
      </c>
      <c r="C9567" s="1" t="n">
        <v>231000</v>
      </c>
      <c r="D9567" s="1" t="n">
        <v>315.5</v>
      </c>
      <c r="E9567" s="1" t="n">
        <v>0.0065</v>
      </c>
      <c r="F9567" s="1" t="n">
        <v>0.1471</v>
      </c>
    </row>
    <row r="9568" customFormat="false" ht="15" hidden="false" customHeight="false" outlineLevel="0" collapsed="false">
      <c r="A9568" s="1" t="s">
        <v>9603</v>
      </c>
      <c r="B9568" s="1" t="s">
        <v>26</v>
      </c>
      <c r="C9568" s="1" t="n">
        <v>273000</v>
      </c>
      <c r="D9568" s="1" t="n">
        <v>1474</v>
      </c>
      <c r="E9568" s="1" t="n">
        <v>0.0194</v>
      </c>
      <c r="F9568" s="1" t="n">
        <v>0.0462</v>
      </c>
    </row>
    <row r="9569" customFormat="false" ht="15" hidden="false" customHeight="false" outlineLevel="0" collapsed="false">
      <c r="A9569" s="1" t="s">
        <v>9604</v>
      </c>
      <c r="B9569" s="1" t="s">
        <v>88</v>
      </c>
      <c r="C9569" s="1" t="n">
        <v>168000</v>
      </c>
      <c r="D9569" s="1" t="n">
        <v>608.6</v>
      </c>
      <c r="E9569" s="1" t="n">
        <v>0.1595</v>
      </c>
      <c r="F9569" s="1" t="n">
        <v>0.0938</v>
      </c>
    </row>
    <row r="9570" customFormat="false" ht="15" hidden="false" customHeight="false" outlineLevel="0" collapsed="false">
      <c r="A9570" s="1" t="s">
        <v>9605</v>
      </c>
      <c r="B9570" s="1" t="s">
        <v>24</v>
      </c>
      <c r="C9570" s="1" t="n">
        <v>201000</v>
      </c>
      <c r="D9570" s="1" t="n">
        <v>66060.9</v>
      </c>
      <c r="E9570" s="1" t="n">
        <v>0.0608</v>
      </c>
      <c r="F9570" s="1" t="n">
        <v>0.0951</v>
      </c>
    </row>
    <row r="9571" customFormat="false" ht="15" hidden="false" customHeight="false" outlineLevel="0" collapsed="false">
      <c r="A9571" s="1" t="s">
        <v>9606</v>
      </c>
      <c r="B9571" s="1" t="s">
        <v>24</v>
      </c>
      <c r="C9571" s="1" t="n">
        <v>178000</v>
      </c>
      <c r="D9571" s="1" t="n">
        <v>5564.8</v>
      </c>
      <c r="E9571" s="1" t="n">
        <v>0.0573</v>
      </c>
      <c r="F9571" s="1" t="n">
        <v>0.0759</v>
      </c>
    </row>
    <row r="9572" customFormat="false" ht="15" hidden="false" customHeight="false" outlineLevel="0" collapsed="false">
      <c r="A9572" s="1" t="s">
        <v>9607</v>
      </c>
      <c r="B9572" s="1" t="s">
        <v>92</v>
      </c>
      <c r="C9572" s="1" t="n">
        <v>163000</v>
      </c>
      <c r="D9572" s="1" t="n">
        <v>264.8</v>
      </c>
      <c r="E9572" s="1" t="n">
        <v>0.0546</v>
      </c>
      <c r="F9572" s="1" t="n">
        <v>0.3095</v>
      </c>
    </row>
    <row r="9573" customFormat="false" ht="15" hidden="false" customHeight="false" outlineLevel="0" collapsed="false">
      <c r="A9573" s="1" t="s">
        <v>9608</v>
      </c>
      <c r="B9573" s="1" t="s">
        <v>26</v>
      </c>
      <c r="C9573" s="1" t="n">
        <v>195000</v>
      </c>
      <c r="D9573" s="1" t="n">
        <v>1419.7</v>
      </c>
      <c r="E9573" s="1" t="n">
        <v>0.0078</v>
      </c>
      <c r="F9573" s="1" t="n">
        <v>0.0654</v>
      </c>
    </row>
    <row r="9574" customFormat="false" ht="15" hidden="false" customHeight="false" outlineLevel="0" collapsed="false">
      <c r="A9574" s="1" t="s">
        <v>9609</v>
      </c>
      <c r="B9574" s="1" t="s">
        <v>30</v>
      </c>
      <c r="C9574" s="1" t="n">
        <v>184000</v>
      </c>
      <c r="D9574" s="1" t="n">
        <v>46323355</v>
      </c>
      <c r="E9574" s="1" t="n">
        <v>0.0461</v>
      </c>
      <c r="F9574" s="1" t="n">
        <v>0.0518</v>
      </c>
    </row>
    <row r="9575" customFormat="false" ht="15" hidden="false" customHeight="false" outlineLevel="0" collapsed="false">
      <c r="A9575" s="1" t="s">
        <v>9610</v>
      </c>
      <c r="B9575" s="1" t="s">
        <v>92</v>
      </c>
      <c r="C9575" s="1" t="n">
        <v>192000</v>
      </c>
      <c r="D9575" s="1" t="n">
        <v>1738.7</v>
      </c>
      <c r="E9575" s="1" t="n">
        <v>0.011</v>
      </c>
      <c r="F9575" s="1" t="n">
        <v>0.1315</v>
      </c>
    </row>
    <row r="9576" customFormat="false" ht="15" hidden="false" customHeight="false" outlineLevel="0" collapsed="false">
      <c r="A9576" s="1" t="s">
        <v>9611</v>
      </c>
      <c r="B9576" s="1" t="s">
        <v>88</v>
      </c>
      <c r="C9576" s="1" t="n">
        <v>292000</v>
      </c>
      <c r="D9576" s="1" t="n">
        <v>4593.9</v>
      </c>
      <c r="E9576" s="1" t="n">
        <v>0.0315</v>
      </c>
      <c r="F9576" s="1" t="n">
        <v>0.0938</v>
      </c>
    </row>
    <row r="9577" customFormat="false" ht="15" hidden="false" customHeight="false" outlineLevel="0" collapsed="false">
      <c r="A9577" s="1" t="s">
        <v>9612</v>
      </c>
      <c r="B9577" s="1" t="s">
        <v>88</v>
      </c>
      <c r="C9577" s="1" t="n">
        <v>175000</v>
      </c>
      <c r="D9577" s="1" t="n">
        <v>895.7</v>
      </c>
      <c r="E9577" s="1" t="n">
        <v>0.0545</v>
      </c>
      <c r="F9577" s="1" t="n">
        <v>0.0938</v>
      </c>
    </row>
    <row r="9578" customFormat="false" ht="15" hidden="false" customHeight="false" outlineLevel="0" collapsed="false">
      <c r="A9578" s="1" t="s">
        <v>9613</v>
      </c>
      <c r="B9578" s="1" t="s">
        <v>30</v>
      </c>
      <c r="C9578" s="1" t="n">
        <v>173000</v>
      </c>
      <c r="D9578" s="1" t="n">
        <v>29490.2</v>
      </c>
      <c r="E9578" s="1" t="n">
        <v>0.0177</v>
      </c>
      <c r="F9578" s="1" t="n">
        <v>0.1067</v>
      </c>
    </row>
    <row r="9579" customFormat="false" ht="15" hidden="false" customHeight="false" outlineLevel="0" collapsed="false">
      <c r="A9579" s="1" t="s">
        <v>9614</v>
      </c>
      <c r="B9579" s="1" t="s">
        <v>92</v>
      </c>
      <c r="C9579" s="1" t="n">
        <v>383000</v>
      </c>
      <c r="D9579" s="1" t="n">
        <v>74860.7</v>
      </c>
      <c r="E9579" s="1" t="n">
        <v>0.0593</v>
      </c>
      <c r="F9579" s="1" t="n">
        <v>0.0759</v>
      </c>
    </row>
    <row r="9580" customFormat="false" ht="15" hidden="false" customHeight="false" outlineLevel="0" collapsed="false">
      <c r="A9580" s="1" t="s">
        <v>9615</v>
      </c>
      <c r="B9580" s="1" t="s">
        <v>214</v>
      </c>
      <c r="C9580" s="1" t="n">
        <v>181000</v>
      </c>
      <c r="D9580" s="1" t="n">
        <v>3388</v>
      </c>
      <c r="E9580" s="1" t="n">
        <v>0.0072</v>
      </c>
      <c r="F9580" s="1" t="n">
        <v>0.0822</v>
      </c>
    </row>
    <row r="9581" customFormat="false" ht="15" hidden="false" customHeight="false" outlineLevel="0" collapsed="false">
      <c r="A9581" s="1" t="s">
        <v>9616</v>
      </c>
      <c r="B9581" s="1" t="s">
        <v>88</v>
      </c>
      <c r="C9581" s="1" t="n">
        <v>289000</v>
      </c>
      <c r="D9581" s="1" t="n">
        <v>3910.4</v>
      </c>
      <c r="E9581" s="1" t="n">
        <v>0.032</v>
      </c>
      <c r="F9581" s="1" t="n">
        <v>0.0759</v>
      </c>
    </row>
    <row r="9582" customFormat="false" ht="15" hidden="false" customHeight="false" outlineLevel="0" collapsed="false">
      <c r="A9582" s="1" t="s">
        <v>9617</v>
      </c>
      <c r="B9582" s="1" t="s">
        <v>26</v>
      </c>
      <c r="C9582" s="1" t="n">
        <v>243000</v>
      </c>
      <c r="D9582" s="1" t="n">
        <v>22444.4</v>
      </c>
      <c r="E9582" s="1" t="n">
        <v>0.0407</v>
      </c>
      <c r="F9582" s="1" t="n">
        <v>0.0951</v>
      </c>
    </row>
    <row r="9583" customFormat="false" ht="15" hidden="false" customHeight="false" outlineLevel="0" collapsed="false">
      <c r="A9583" s="1" t="s">
        <v>9618</v>
      </c>
      <c r="B9583" s="1" t="s">
        <v>50</v>
      </c>
      <c r="C9583" s="1" t="n">
        <v>174000</v>
      </c>
      <c r="D9583" s="1" t="n">
        <v>36683</v>
      </c>
      <c r="E9583" s="1" t="n">
        <v>0.0806</v>
      </c>
      <c r="F9583" s="1" t="n">
        <v>0.0951</v>
      </c>
    </row>
    <row r="9584" customFormat="false" ht="15" hidden="false" customHeight="false" outlineLevel="0" collapsed="false">
      <c r="A9584" s="1" t="s">
        <v>9619</v>
      </c>
      <c r="B9584" s="1" t="s">
        <v>74</v>
      </c>
      <c r="C9584" s="1" t="n">
        <v>218000</v>
      </c>
      <c r="D9584" s="1" t="n">
        <v>6013.7</v>
      </c>
      <c r="E9584" s="1" t="n">
        <v>0.0286</v>
      </c>
      <c r="F9584" s="1" t="n">
        <v>0.0432</v>
      </c>
    </row>
    <row r="9585" customFormat="false" ht="15" hidden="false" customHeight="false" outlineLevel="0" collapsed="false">
      <c r="A9585" s="1" t="s">
        <v>9620</v>
      </c>
      <c r="B9585" s="1" t="s">
        <v>81</v>
      </c>
      <c r="C9585" s="1" t="n">
        <v>354000</v>
      </c>
      <c r="D9585" s="1" t="n">
        <v>464.3</v>
      </c>
      <c r="E9585" s="1" t="n">
        <v>0.0507</v>
      </c>
      <c r="F9585" s="1" t="n">
        <v>0.1516</v>
      </c>
    </row>
    <row r="9586" customFormat="false" ht="15" hidden="false" customHeight="false" outlineLevel="0" collapsed="false">
      <c r="A9586" s="1" t="s">
        <v>9621</v>
      </c>
      <c r="B9586" s="1" t="s">
        <v>88</v>
      </c>
      <c r="C9586" s="1" t="n">
        <v>194000</v>
      </c>
      <c r="D9586" s="1" t="n">
        <v>1511.5</v>
      </c>
      <c r="E9586" s="1" t="n">
        <v>0.0336</v>
      </c>
      <c r="F9586" s="1" t="n">
        <v>0.0938</v>
      </c>
    </row>
    <row r="9587" customFormat="false" ht="15" hidden="false" customHeight="false" outlineLevel="0" collapsed="false">
      <c r="A9587" s="1" t="s">
        <v>9622</v>
      </c>
      <c r="B9587" s="1" t="s">
        <v>53</v>
      </c>
      <c r="C9587" s="1" t="n">
        <v>155000</v>
      </c>
      <c r="D9587" s="1" t="n">
        <v>351.2</v>
      </c>
      <c r="E9587" s="1" t="n">
        <v>0.0777</v>
      </c>
      <c r="F9587" s="1" t="n">
        <v>0.0652</v>
      </c>
    </row>
    <row r="9588" customFormat="false" ht="15" hidden="false" customHeight="false" outlineLevel="0" collapsed="false">
      <c r="A9588" s="1" t="s">
        <v>9623</v>
      </c>
      <c r="B9588" s="1" t="s">
        <v>88</v>
      </c>
      <c r="C9588" s="1" t="n">
        <v>154000</v>
      </c>
      <c r="D9588" s="1" t="n">
        <v>414.1</v>
      </c>
      <c r="E9588" s="1" t="n">
        <v>0.0169</v>
      </c>
      <c r="F9588" s="1" t="n">
        <v>0.0576</v>
      </c>
    </row>
    <row r="9589" customFormat="false" ht="15" hidden="false" customHeight="false" outlineLevel="0" collapsed="false">
      <c r="A9589" s="1" t="s">
        <v>9624</v>
      </c>
      <c r="B9589" s="1" t="s">
        <v>81</v>
      </c>
      <c r="C9589" s="1" t="n">
        <v>164000</v>
      </c>
      <c r="D9589" s="1" t="n">
        <v>10219.1</v>
      </c>
      <c r="E9589" s="1" t="n">
        <v>0.0449</v>
      </c>
      <c r="F9589" s="1" t="n">
        <v>0.0951</v>
      </c>
    </row>
    <row r="9590" customFormat="false" ht="15" hidden="false" customHeight="false" outlineLevel="0" collapsed="false">
      <c r="A9590" s="1" t="s">
        <v>9625</v>
      </c>
      <c r="B9590" s="1" t="s">
        <v>26</v>
      </c>
      <c r="C9590" s="1" t="n">
        <v>163000</v>
      </c>
      <c r="D9590" s="1" t="n">
        <v>3788.8</v>
      </c>
      <c r="E9590" s="1" t="n">
        <v>0.0264</v>
      </c>
      <c r="F9590" s="1" t="n">
        <v>0.1241</v>
      </c>
    </row>
    <row r="9591" customFormat="false" ht="15" hidden="false" customHeight="false" outlineLevel="0" collapsed="false">
      <c r="A9591" s="1" t="s">
        <v>9626</v>
      </c>
      <c r="B9591" s="1" t="s">
        <v>26</v>
      </c>
      <c r="C9591" s="1" t="n">
        <v>179000</v>
      </c>
      <c r="D9591" s="1" t="n">
        <v>633.1</v>
      </c>
      <c r="E9591" s="1" t="n">
        <v>0.0439</v>
      </c>
      <c r="F9591" s="1" t="n">
        <v>0.1516</v>
      </c>
    </row>
    <row r="9592" customFormat="false" ht="15" hidden="false" customHeight="false" outlineLevel="0" collapsed="false">
      <c r="A9592" s="1" t="s">
        <v>9627</v>
      </c>
      <c r="B9592" s="1" t="s">
        <v>88</v>
      </c>
      <c r="C9592" s="1" t="n">
        <v>163000</v>
      </c>
      <c r="D9592" s="1" t="n">
        <v>1445.8</v>
      </c>
      <c r="E9592" s="1" t="n">
        <v>0.0289</v>
      </c>
      <c r="F9592" s="1" t="n">
        <v>0.0759</v>
      </c>
    </row>
    <row r="9593" customFormat="false" ht="15" hidden="false" customHeight="false" outlineLevel="0" collapsed="false">
      <c r="A9593" s="1" t="s">
        <v>9628</v>
      </c>
      <c r="B9593" s="1" t="s">
        <v>88</v>
      </c>
      <c r="C9593" s="1" t="n">
        <v>193000</v>
      </c>
      <c r="D9593" s="1" t="n">
        <v>4096.7</v>
      </c>
      <c r="E9593" s="1" t="n">
        <v>0.0241</v>
      </c>
      <c r="F9593" s="1" t="n">
        <v>0.0759</v>
      </c>
    </row>
    <row r="9594" customFormat="false" ht="15" hidden="false" customHeight="false" outlineLevel="0" collapsed="false">
      <c r="A9594" s="1" t="s">
        <v>9629</v>
      </c>
      <c r="B9594" s="1" t="s">
        <v>26</v>
      </c>
      <c r="C9594" s="1" t="n">
        <v>306000</v>
      </c>
      <c r="D9594" s="1" t="n">
        <v>137964.6</v>
      </c>
      <c r="E9594" s="1" t="n">
        <v>0.0302</v>
      </c>
      <c r="F9594" s="1" t="n">
        <v>0.0759</v>
      </c>
    </row>
    <row r="9595" customFormat="false" ht="15" hidden="false" customHeight="false" outlineLevel="0" collapsed="false">
      <c r="A9595" s="1" t="s">
        <v>9630</v>
      </c>
      <c r="B9595" s="1" t="s">
        <v>71</v>
      </c>
      <c r="C9595" s="1" t="n">
        <v>237000</v>
      </c>
      <c r="D9595" s="1" t="n">
        <v>101722.3</v>
      </c>
      <c r="E9595" s="1" t="n">
        <v>0.0263</v>
      </c>
      <c r="F9595" s="1" t="n">
        <v>0.0546</v>
      </c>
    </row>
    <row r="9596" customFormat="false" ht="15" hidden="false" customHeight="false" outlineLevel="0" collapsed="false">
      <c r="A9596" s="1" t="s">
        <v>9631</v>
      </c>
      <c r="B9596" s="1" t="s">
        <v>74</v>
      </c>
      <c r="C9596" s="1" t="n">
        <v>211000</v>
      </c>
      <c r="D9596" s="1" t="n">
        <v>1385.9</v>
      </c>
      <c r="E9596" s="1" t="n">
        <v>0.0559</v>
      </c>
      <c r="F9596" s="1" t="n">
        <v>0.0938</v>
      </c>
    </row>
    <row r="9597" customFormat="false" ht="15" hidden="false" customHeight="false" outlineLevel="0" collapsed="false">
      <c r="A9597" s="1" t="s">
        <v>9632</v>
      </c>
      <c r="B9597" s="1" t="s">
        <v>214</v>
      </c>
      <c r="C9597" s="1" t="n">
        <v>167000</v>
      </c>
      <c r="D9597" s="1" t="n">
        <v>692.8</v>
      </c>
      <c r="E9597" s="1" t="n">
        <v>0.0187</v>
      </c>
      <c r="F9597" s="1" t="n">
        <v>0.0462</v>
      </c>
    </row>
    <row r="9598" customFormat="false" ht="15" hidden="false" customHeight="false" outlineLevel="0" collapsed="false">
      <c r="A9598" s="1" t="s">
        <v>9633</v>
      </c>
      <c r="B9598" s="1" t="s">
        <v>26</v>
      </c>
      <c r="C9598" s="1" t="n">
        <v>159000</v>
      </c>
      <c r="D9598" s="1" t="n">
        <v>18409.4</v>
      </c>
      <c r="E9598" s="1" t="n">
        <v>0.043</v>
      </c>
      <c r="F9598" s="1" t="n">
        <v>0.0951</v>
      </c>
    </row>
    <row r="9599" customFormat="false" ht="15" hidden="false" customHeight="false" outlineLevel="0" collapsed="false">
      <c r="A9599" s="1" t="s">
        <v>9634</v>
      </c>
      <c r="B9599" s="1" t="s">
        <v>26</v>
      </c>
      <c r="C9599" s="1" t="n">
        <v>161000</v>
      </c>
      <c r="D9599" s="1" t="n">
        <v>18509.7</v>
      </c>
      <c r="E9599" s="1" t="n">
        <v>0.0423</v>
      </c>
      <c r="F9599" s="1" t="n">
        <v>0.0951</v>
      </c>
    </row>
    <row r="9600" customFormat="false" ht="15" hidden="false" customHeight="false" outlineLevel="0" collapsed="false">
      <c r="A9600" s="1" t="s">
        <v>9635</v>
      </c>
      <c r="B9600" s="1" t="s">
        <v>53</v>
      </c>
      <c r="C9600" s="1" t="n">
        <v>253000</v>
      </c>
      <c r="D9600" s="1" t="n">
        <v>2708.5</v>
      </c>
      <c r="E9600" s="1" t="n">
        <v>0.0338</v>
      </c>
      <c r="F9600" s="1" t="n">
        <v>0.0759</v>
      </c>
    </row>
    <row r="9601" customFormat="false" ht="15" hidden="false" customHeight="false" outlineLevel="0" collapsed="false">
      <c r="A9601" s="1" t="s">
        <v>9636</v>
      </c>
      <c r="B9601" s="1" t="s">
        <v>74</v>
      </c>
      <c r="C9601" s="1" t="n">
        <v>267000</v>
      </c>
      <c r="D9601" s="1" t="n">
        <v>11729.3</v>
      </c>
      <c r="E9601" s="1" t="n">
        <v>0.0395</v>
      </c>
      <c r="F9601" s="1" t="n">
        <v>0.0951</v>
      </c>
    </row>
    <row r="9602" customFormat="false" ht="15" hidden="false" customHeight="false" outlineLevel="0" collapsed="false">
      <c r="A9602" s="1" t="s">
        <v>9637</v>
      </c>
      <c r="B9602" s="1" t="s">
        <v>88</v>
      </c>
      <c r="C9602" s="1" t="n">
        <v>191000</v>
      </c>
      <c r="D9602" s="1" t="n">
        <v>632.7</v>
      </c>
      <c r="E9602" s="1" t="n">
        <v>0.0416</v>
      </c>
      <c r="F9602" s="1" t="n">
        <v>0.0951</v>
      </c>
    </row>
    <row r="9603" customFormat="false" ht="15" hidden="false" customHeight="false" outlineLevel="0" collapsed="false">
      <c r="A9603" s="1" t="s">
        <v>9638</v>
      </c>
      <c r="B9603" s="1" t="s">
        <v>35</v>
      </c>
      <c r="C9603" s="1" t="n">
        <v>165000</v>
      </c>
      <c r="D9603" s="1" t="n">
        <v>1173.6</v>
      </c>
      <c r="E9603" s="1" t="n">
        <v>0.1018</v>
      </c>
      <c r="F9603" s="1" t="n">
        <v>0.0938</v>
      </c>
    </row>
    <row r="9604" customFormat="false" ht="15" hidden="false" customHeight="false" outlineLevel="0" collapsed="false">
      <c r="A9604" s="1" t="s">
        <v>9639</v>
      </c>
      <c r="B9604" s="1" t="s">
        <v>26</v>
      </c>
      <c r="C9604" s="1" t="n">
        <v>223000</v>
      </c>
      <c r="D9604" s="1" t="n">
        <v>24429.6</v>
      </c>
      <c r="E9604" s="1" t="n">
        <v>0.0092</v>
      </c>
      <c r="F9604" s="1" t="n">
        <v>0.1471</v>
      </c>
    </row>
    <row r="9605" customFormat="false" ht="15" hidden="false" customHeight="false" outlineLevel="0" collapsed="false">
      <c r="A9605" s="1" t="s">
        <v>9640</v>
      </c>
      <c r="B9605" s="1" t="s">
        <v>490</v>
      </c>
      <c r="C9605" s="1" t="n">
        <v>172000</v>
      </c>
      <c r="D9605" s="1" t="n">
        <v>3818.2</v>
      </c>
      <c r="E9605" s="1" t="n">
        <v>0.0252</v>
      </c>
      <c r="F9605" s="1" t="n">
        <v>0.1119</v>
      </c>
    </row>
    <row r="9606" customFormat="false" ht="15" hidden="false" customHeight="false" outlineLevel="0" collapsed="false">
      <c r="A9606" s="1" t="s">
        <v>9641</v>
      </c>
      <c r="B9606" s="1" t="s">
        <v>287</v>
      </c>
      <c r="C9606" s="1" t="n">
        <v>320000</v>
      </c>
      <c r="D9606" s="1" t="n">
        <v>40259</v>
      </c>
      <c r="E9606" s="1" t="n">
        <v>0.0218</v>
      </c>
      <c r="F9606" s="1" t="n">
        <v>0.0462</v>
      </c>
    </row>
    <row r="9607" customFormat="false" ht="15" hidden="false" customHeight="false" outlineLevel="0" collapsed="false">
      <c r="A9607" s="1" t="s">
        <v>9642</v>
      </c>
      <c r="B9607" s="1" t="s">
        <v>53</v>
      </c>
      <c r="C9607" s="1" t="n">
        <v>187000</v>
      </c>
      <c r="D9607" s="1" t="n">
        <v>1213.1</v>
      </c>
      <c r="F9607" s="1" t="n">
        <v>0.0938</v>
      </c>
    </row>
    <row r="9608" customFormat="false" ht="15" hidden="false" customHeight="false" outlineLevel="0" collapsed="false">
      <c r="A9608" s="1" t="s">
        <v>9643</v>
      </c>
      <c r="B9608" s="1" t="s">
        <v>214</v>
      </c>
      <c r="C9608" s="1" t="n">
        <v>207000</v>
      </c>
      <c r="D9608" s="1" t="n">
        <v>4702.1</v>
      </c>
      <c r="E9608" s="1" t="n">
        <v>0.0171</v>
      </c>
      <c r="F9608" s="1" t="n">
        <v>0.0462</v>
      </c>
    </row>
    <row r="9609" customFormat="false" ht="15" hidden="false" customHeight="false" outlineLevel="0" collapsed="false">
      <c r="A9609" s="1" t="s">
        <v>9644</v>
      </c>
      <c r="B9609" s="1" t="s">
        <v>88</v>
      </c>
      <c r="C9609" s="1" t="n">
        <v>165000</v>
      </c>
      <c r="D9609" s="1" t="n">
        <v>4350.1</v>
      </c>
      <c r="E9609" s="1" t="n">
        <v>0.0246</v>
      </c>
      <c r="F9609" s="1" t="n">
        <v>0.0951</v>
      </c>
    </row>
    <row r="9610" customFormat="false" ht="15" hidden="false" customHeight="false" outlineLevel="0" collapsed="false">
      <c r="A9610" s="1" t="s">
        <v>9645</v>
      </c>
      <c r="B9610" s="1" t="s">
        <v>24</v>
      </c>
      <c r="C9610" s="1" t="n">
        <v>167000</v>
      </c>
      <c r="D9610" s="1" t="n">
        <v>535.8</v>
      </c>
      <c r="E9610" s="1" t="n">
        <v>0.0242</v>
      </c>
      <c r="F9610" s="1" t="n">
        <v>0.3301</v>
      </c>
    </row>
    <row r="9611" customFormat="false" ht="15" hidden="false" customHeight="false" outlineLevel="0" collapsed="false">
      <c r="A9611" s="1" t="s">
        <v>9646</v>
      </c>
      <c r="B9611" s="1" t="s">
        <v>50</v>
      </c>
      <c r="C9611" s="1" t="n">
        <v>467000</v>
      </c>
      <c r="D9611" s="1" t="n">
        <v>181229.4</v>
      </c>
      <c r="E9611" s="1" t="n">
        <v>0.0605</v>
      </c>
      <c r="F9611" s="1" t="n">
        <v>0.0759</v>
      </c>
    </row>
    <row r="9612" customFormat="false" ht="15" hidden="false" customHeight="false" outlineLevel="0" collapsed="false">
      <c r="A9612" s="1" t="s">
        <v>9647</v>
      </c>
      <c r="B9612" s="1" t="s">
        <v>30</v>
      </c>
      <c r="C9612" s="1" t="n">
        <v>159000</v>
      </c>
      <c r="D9612" s="1" t="n">
        <v>10348.1</v>
      </c>
      <c r="E9612" s="1" t="n">
        <v>0.0351</v>
      </c>
      <c r="F9612" s="1" t="n">
        <v>0.0759</v>
      </c>
    </row>
    <row r="9613" customFormat="false" ht="15" hidden="false" customHeight="false" outlineLevel="0" collapsed="false">
      <c r="A9613" s="1" t="s">
        <v>9648</v>
      </c>
      <c r="B9613" s="1" t="s">
        <v>92</v>
      </c>
      <c r="C9613" s="1" t="n">
        <v>159000</v>
      </c>
      <c r="D9613" s="1" t="n">
        <v>1247.6</v>
      </c>
      <c r="E9613" s="1" t="n">
        <v>0.0097</v>
      </c>
      <c r="F9613" s="1" t="n">
        <v>0.1886</v>
      </c>
    </row>
    <row r="9614" customFormat="false" ht="15" hidden="false" customHeight="false" outlineLevel="0" collapsed="false">
      <c r="A9614" s="1" t="s">
        <v>9649</v>
      </c>
      <c r="B9614" s="1" t="s">
        <v>214</v>
      </c>
      <c r="C9614" s="1" t="n">
        <v>201000</v>
      </c>
      <c r="D9614" s="1" t="n">
        <v>34495.2</v>
      </c>
      <c r="E9614" s="1" t="n">
        <v>0.0595</v>
      </c>
      <c r="F9614" s="1" t="n">
        <v>0.0432</v>
      </c>
    </row>
    <row r="9615" customFormat="false" ht="15" hidden="false" customHeight="false" outlineLevel="0" collapsed="false">
      <c r="A9615" s="1" t="s">
        <v>9650</v>
      </c>
      <c r="B9615" s="1" t="s">
        <v>41</v>
      </c>
      <c r="C9615" s="1" t="n">
        <v>624000</v>
      </c>
      <c r="D9615" s="1" t="n">
        <v>49460.6</v>
      </c>
      <c r="E9615" s="1" t="n">
        <v>0.028</v>
      </c>
      <c r="F9615" s="1" t="n">
        <v>0.0759</v>
      </c>
    </row>
    <row r="9616" customFormat="false" ht="15" hidden="false" customHeight="false" outlineLevel="0" collapsed="false">
      <c r="A9616" s="1" t="s">
        <v>9651</v>
      </c>
      <c r="B9616" s="1" t="s">
        <v>81</v>
      </c>
      <c r="C9616" s="1" t="n">
        <v>155000</v>
      </c>
      <c r="D9616" s="1" t="n">
        <v>2057.8</v>
      </c>
      <c r="E9616" s="1" t="n">
        <v>0.0674</v>
      </c>
      <c r="F9616" s="1" t="n">
        <v>0.0951</v>
      </c>
    </row>
    <row r="9617" customFormat="false" ht="15" hidden="false" customHeight="false" outlineLevel="0" collapsed="false">
      <c r="A9617" s="1" t="s">
        <v>9652</v>
      </c>
      <c r="B9617" s="1" t="s">
        <v>62</v>
      </c>
      <c r="C9617" s="1" t="n">
        <v>155000</v>
      </c>
      <c r="D9617" s="1" t="n">
        <v>533.8</v>
      </c>
      <c r="E9617" s="1" t="n">
        <v>0.008</v>
      </c>
      <c r="F9617" s="1" t="n">
        <v>0.0822</v>
      </c>
    </row>
    <row r="9618" customFormat="false" ht="15" hidden="false" customHeight="false" outlineLevel="0" collapsed="false">
      <c r="A9618" s="1" t="s">
        <v>9653</v>
      </c>
      <c r="B9618" s="1" t="s">
        <v>26</v>
      </c>
      <c r="C9618" s="1" t="n">
        <v>168000</v>
      </c>
      <c r="D9618" s="1" t="n">
        <v>1329</v>
      </c>
      <c r="F9618" s="1" t="n">
        <v>0.0518</v>
      </c>
    </row>
    <row r="9619" customFormat="false" ht="15" hidden="false" customHeight="false" outlineLevel="0" collapsed="false">
      <c r="A9619" s="1" t="s">
        <v>9654</v>
      </c>
      <c r="B9619" s="1" t="s">
        <v>26</v>
      </c>
      <c r="C9619" s="1" t="n">
        <v>166000</v>
      </c>
      <c r="D9619" s="1" t="n">
        <v>304794.9</v>
      </c>
      <c r="E9619" s="1" t="n">
        <v>0.0186</v>
      </c>
      <c r="F9619" s="1" t="n">
        <v>0.0585</v>
      </c>
    </row>
    <row r="9620" customFormat="false" ht="15" hidden="false" customHeight="false" outlineLevel="0" collapsed="false">
      <c r="A9620" s="1" t="s">
        <v>9655</v>
      </c>
      <c r="B9620" s="1" t="s">
        <v>214</v>
      </c>
      <c r="C9620" s="1" t="n">
        <v>178000</v>
      </c>
      <c r="D9620" s="1" t="n">
        <v>8239.3</v>
      </c>
      <c r="E9620" s="1" t="n">
        <v>0.0138</v>
      </c>
      <c r="F9620" s="1" t="n">
        <v>0.0585</v>
      </c>
    </row>
    <row r="9621" customFormat="false" ht="15" hidden="false" customHeight="false" outlineLevel="0" collapsed="false">
      <c r="A9621" s="1" t="s">
        <v>9656</v>
      </c>
      <c r="B9621" s="1" t="s">
        <v>53</v>
      </c>
      <c r="C9621" s="1" t="n">
        <v>206000</v>
      </c>
      <c r="D9621" s="1" t="n">
        <v>5662.1</v>
      </c>
      <c r="E9621" s="1" t="n">
        <v>0.0699</v>
      </c>
      <c r="F9621" s="1" t="n">
        <v>0.0938</v>
      </c>
    </row>
    <row r="9622" customFormat="false" ht="15" hidden="false" customHeight="false" outlineLevel="0" collapsed="false">
      <c r="A9622" s="1" t="s">
        <v>9657</v>
      </c>
      <c r="B9622" s="1" t="s">
        <v>26</v>
      </c>
      <c r="C9622" s="1" t="n">
        <v>183000</v>
      </c>
      <c r="D9622" s="1" t="n">
        <v>4775.7</v>
      </c>
      <c r="E9622" s="1" t="n">
        <v>0.0165</v>
      </c>
      <c r="F9622" s="1" t="n">
        <v>0.0585</v>
      </c>
    </row>
    <row r="9623" customFormat="false" ht="15" hidden="false" customHeight="false" outlineLevel="0" collapsed="false">
      <c r="A9623" s="1" t="s">
        <v>9658</v>
      </c>
      <c r="B9623" s="1" t="s">
        <v>88</v>
      </c>
      <c r="C9623" s="1" t="n">
        <v>163000</v>
      </c>
      <c r="D9623" s="1" t="n">
        <v>195.6</v>
      </c>
      <c r="E9623" s="1" t="n">
        <v>0.0175</v>
      </c>
      <c r="F9623" s="1" t="n">
        <v>0.0854</v>
      </c>
    </row>
    <row r="9624" customFormat="false" ht="15" hidden="false" customHeight="false" outlineLevel="0" collapsed="false">
      <c r="A9624" s="1" t="s">
        <v>9659</v>
      </c>
      <c r="B9624" s="1" t="s">
        <v>214</v>
      </c>
      <c r="C9624" s="1" t="n">
        <v>222000</v>
      </c>
      <c r="D9624" s="1" t="n">
        <v>7131.2</v>
      </c>
      <c r="E9624" s="1" t="n">
        <v>0.0476</v>
      </c>
      <c r="F9624" s="1" t="n">
        <v>0.0759</v>
      </c>
    </row>
    <row r="9625" customFormat="false" ht="15" hidden="false" customHeight="false" outlineLevel="0" collapsed="false">
      <c r="A9625" s="1" t="s">
        <v>9660</v>
      </c>
      <c r="B9625" s="1" t="s">
        <v>92</v>
      </c>
      <c r="C9625" s="1" t="n">
        <v>171000</v>
      </c>
      <c r="D9625" s="1" t="n">
        <v>3183.4</v>
      </c>
      <c r="E9625" s="1" t="n">
        <v>0.0279</v>
      </c>
      <c r="F9625" s="1" t="n">
        <v>0.0951</v>
      </c>
    </row>
    <row r="9626" customFormat="false" ht="15" hidden="false" customHeight="false" outlineLevel="0" collapsed="false">
      <c r="A9626" s="1" t="s">
        <v>9661</v>
      </c>
      <c r="B9626" s="1" t="s">
        <v>81</v>
      </c>
      <c r="C9626" s="1" t="n">
        <v>154000</v>
      </c>
      <c r="D9626" s="1" t="n">
        <v>5547.9</v>
      </c>
      <c r="E9626" s="1" t="n">
        <v>0.0676</v>
      </c>
      <c r="F9626" s="1" t="n">
        <v>0.0951</v>
      </c>
    </row>
    <row r="9627" customFormat="false" ht="15" hidden="false" customHeight="false" outlineLevel="0" collapsed="false">
      <c r="A9627" s="1" t="s">
        <v>9662</v>
      </c>
      <c r="B9627" s="1" t="s">
        <v>88</v>
      </c>
      <c r="C9627" s="1" t="n">
        <v>444000</v>
      </c>
      <c r="D9627" s="1" t="n">
        <v>297.7</v>
      </c>
      <c r="E9627" s="1" t="n">
        <v>0.0462</v>
      </c>
      <c r="F9627" s="1" t="n">
        <v>0.1226</v>
      </c>
    </row>
    <row r="9628" customFormat="false" ht="15" hidden="false" customHeight="false" outlineLevel="0" collapsed="false">
      <c r="A9628" s="1" t="s">
        <v>9663</v>
      </c>
      <c r="B9628" s="1" t="s">
        <v>26</v>
      </c>
      <c r="C9628" s="1" t="n">
        <v>153000</v>
      </c>
      <c r="D9628" s="1" t="n">
        <v>8195.6</v>
      </c>
      <c r="E9628" s="1" t="n">
        <v>0.0771</v>
      </c>
      <c r="F9628" s="1" t="n">
        <v>0.0951</v>
      </c>
    </row>
    <row r="9629" customFormat="false" ht="15" hidden="false" customHeight="false" outlineLevel="0" collapsed="false">
      <c r="A9629" s="1" t="s">
        <v>9664</v>
      </c>
      <c r="B9629" s="1" t="s">
        <v>92</v>
      </c>
      <c r="C9629" s="1" t="n">
        <v>158000</v>
      </c>
      <c r="D9629" s="1" t="n">
        <v>729.6</v>
      </c>
      <c r="E9629" s="1" t="n">
        <v>0.0111</v>
      </c>
      <c r="F9629" s="1" t="n">
        <v>0.1327</v>
      </c>
    </row>
    <row r="9630" customFormat="false" ht="15" hidden="false" customHeight="false" outlineLevel="0" collapsed="false">
      <c r="A9630" s="1" t="s">
        <v>9665</v>
      </c>
      <c r="B9630" s="1" t="s">
        <v>26</v>
      </c>
      <c r="C9630" s="1" t="n">
        <v>187000</v>
      </c>
      <c r="D9630" s="1" t="n">
        <v>7242.3</v>
      </c>
      <c r="E9630" s="1" t="n">
        <v>0.0259</v>
      </c>
      <c r="F9630" s="1" t="n">
        <v>0.0759</v>
      </c>
    </row>
    <row r="9631" customFormat="false" ht="15" hidden="false" customHeight="false" outlineLevel="0" collapsed="false">
      <c r="A9631" s="1" t="s">
        <v>9666</v>
      </c>
      <c r="B9631" s="1" t="s">
        <v>81</v>
      </c>
      <c r="C9631" s="1" t="n">
        <v>161000</v>
      </c>
      <c r="D9631" s="1" t="n">
        <v>4726.5</v>
      </c>
      <c r="E9631" s="1" t="n">
        <v>0.0147</v>
      </c>
      <c r="F9631" s="1" t="n">
        <v>0.1617</v>
      </c>
    </row>
    <row r="9632" customFormat="false" ht="15" hidden="false" customHeight="false" outlineLevel="0" collapsed="false">
      <c r="A9632" s="1" t="s">
        <v>9667</v>
      </c>
      <c r="B9632" s="1" t="s">
        <v>62</v>
      </c>
      <c r="C9632" s="1" t="n">
        <v>234000</v>
      </c>
      <c r="D9632" s="1" t="n">
        <v>14.5</v>
      </c>
      <c r="E9632" s="1" t="n">
        <v>0.0096</v>
      </c>
      <c r="F9632" s="1" t="n">
        <v>0.2713</v>
      </c>
    </row>
    <row r="9633" customFormat="false" ht="15" hidden="false" customHeight="false" outlineLevel="0" collapsed="false">
      <c r="A9633" s="1" t="s">
        <v>9668</v>
      </c>
      <c r="B9633" s="1" t="s">
        <v>26</v>
      </c>
      <c r="C9633" s="1" t="n">
        <v>157000</v>
      </c>
      <c r="D9633" s="1" t="n">
        <v>960</v>
      </c>
      <c r="E9633" s="1" t="n">
        <v>0.0059</v>
      </c>
      <c r="F9633" s="1" t="n">
        <v>0.2072</v>
      </c>
    </row>
    <row r="9634" customFormat="false" ht="15" hidden="false" customHeight="false" outlineLevel="0" collapsed="false">
      <c r="A9634" s="1" t="s">
        <v>9669</v>
      </c>
      <c r="B9634" s="1" t="s">
        <v>26</v>
      </c>
      <c r="C9634" s="1" t="n">
        <v>180000</v>
      </c>
      <c r="D9634" s="1" t="n">
        <v>33497.4</v>
      </c>
      <c r="E9634" s="1" t="n">
        <v>0.0106</v>
      </c>
      <c r="F9634" s="1" t="n">
        <v>0.0822</v>
      </c>
    </row>
    <row r="9635" customFormat="false" ht="15" hidden="false" customHeight="false" outlineLevel="0" collapsed="false">
      <c r="A9635" s="1" t="s">
        <v>9670</v>
      </c>
      <c r="B9635" s="1" t="s">
        <v>41</v>
      </c>
      <c r="C9635" s="1" t="n">
        <v>157000</v>
      </c>
      <c r="D9635" s="1" t="n">
        <v>208.6</v>
      </c>
      <c r="E9635" s="1" t="n">
        <v>0.0288</v>
      </c>
      <c r="F9635" s="1" t="n">
        <v>0.0644</v>
      </c>
    </row>
    <row r="9636" customFormat="false" ht="15" hidden="false" customHeight="false" outlineLevel="0" collapsed="false">
      <c r="A9636" s="1" t="s">
        <v>9671</v>
      </c>
      <c r="B9636" s="1" t="s">
        <v>26</v>
      </c>
      <c r="C9636" s="1" t="n">
        <v>185000</v>
      </c>
      <c r="D9636" s="1" t="n">
        <v>138993.8</v>
      </c>
      <c r="E9636" s="1" t="n">
        <v>0.028</v>
      </c>
      <c r="F9636" s="1" t="n">
        <v>0.0518</v>
      </c>
    </row>
    <row r="9637" customFormat="false" ht="15" hidden="false" customHeight="false" outlineLevel="0" collapsed="false">
      <c r="A9637" s="1" t="s">
        <v>9672</v>
      </c>
      <c r="B9637" s="1" t="s">
        <v>41</v>
      </c>
      <c r="C9637" s="1" t="n">
        <v>162000</v>
      </c>
      <c r="D9637" s="1" t="n">
        <v>289.4</v>
      </c>
      <c r="E9637" s="1" t="n">
        <v>0.0323</v>
      </c>
      <c r="F9637" s="1" t="n">
        <v>0.1243</v>
      </c>
    </row>
    <row r="9638" customFormat="false" ht="15" hidden="false" customHeight="false" outlineLevel="0" collapsed="false">
      <c r="A9638" s="1" t="s">
        <v>9673</v>
      </c>
      <c r="B9638" s="1" t="s">
        <v>26</v>
      </c>
      <c r="C9638" s="1" t="n">
        <v>163000</v>
      </c>
      <c r="D9638" s="1" t="n">
        <v>1251.4</v>
      </c>
      <c r="E9638" s="1" t="n">
        <v>0.0107</v>
      </c>
      <c r="F9638" s="1" t="n">
        <v>0.1953</v>
      </c>
    </row>
    <row r="9639" customFormat="false" ht="15" hidden="false" customHeight="false" outlineLevel="0" collapsed="false">
      <c r="A9639" s="1" t="s">
        <v>9674</v>
      </c>
      <c r="B9639" s="1" t="s">
        <v>24</v>
      </c>
      <c r="C9639" s="1" t="n">
        <v>308000</v>
      </c>
      <c r="D9639" s="1" t="n">
        <v>5410</v>
      </c>
      <c r="E9639" s="1" t="n">
        <v>0.0456</v>
      </c>
      <c r="F9639" s="1" t="n">
        <v>0.1184</v>
      </c>
    </row>
    <row r="9640" customFormat="false" ht="15" hidden="false" customHeight="false" outlineLevel="0" collapsed="false">
      <c r="A9640" s="1" t="s">
        <v>9675</v>
      </c>
      <c r="B9640" s="1" t="s">
        <v>26</v>
      </c>
      <c r="C9640" s="1" t="n">
        <v>282000</v>
      </c>
      <c r="D9640" s="1" t="n">
        <v>13863.4</v>
      </c>
      <c r="E9640" s="1" t="n">
        <v>0.0738</v>
      </c>
      <c r="F9640" s="1" t="n">
        <v>0.0759</v>
      </c>
    </row>
    <row r="9641" customFormat="false" ht="15" hidden="false" customHeight="false" outlineLevel="0" collapsed="false">
      <c r="A9641" s="1" t="s">
        <v>9676</v>
      </c>
      <c r="B9641" s="1" t="s">
        <v>88</v>
      </c>
      <c r="C9641" s="1" t="n">
        <v>155000</v>
      </c>
      <c r="D9641" s="1" t="n">
        <v>359.6</v>
      </c>
      <c r="E9641" s="1" t="n">
        <v>0.0173</v>
      </c>
      <c r="F9641" s="1" t="n">
        <v>0.2294</v>
      </c>
    </row>
    <row r="9642" customFormat="false" ht="15" hidden="false" customHeight="false" outlineLevel="0" collapsed="false">
      <c r="A9642" s="1" t="s">
        <v>9677</v>
      </c>
      <c r="B9642" s="1" t="s">
        <v>26</v>
      </c>
      <c r="C9642" s="1" t="n">
        <v>200000</v>
      </c>
      <c r="D9642" s="1" t="n">
        <v>748.9</v>
      </c>
      <c r="E9642" s="1" t="n">
        <v>0.0137</v>
      </c>
      <c r="F9642" s="1" t="n">
        <v>0.2891</v>
      </c>
    </row>
    <row r="9643" customFormat="false" ht="15" hidden="false" customHeight="false" outlineLevel="0" collapsed="false">
      <c r="A9643" s="1" t="s">
        <v>9678</v>
      </c>
      <c r="B9643" s="1" t="s">
        <v>81</v>
      </c>
      <c r="C9643" s="1" t="n">
        <v>156000</v>
      </c>
      <c r="D9643" s="1" t="n">
        <v>1460.5</v>
      </c>
      <c r="E9643" s="1" t="n">
        <v>0.0135</v>
      </c>
      <c r="F9643" s="1" t="n">
        <v>0.1067</v>
      </c>
    </row>
    <row r="9644" customFormat="false" ht="15" hidden="false" customHeight="false" outlineLevel="0" collapsed="false">
      <c r="A9644" s="1" t="s">
        <v>9679</v>
      </c>
      <c r="B9644" s="1" t="s">
        <v>26</v>
      </c>
      <c r="C9644" s="1" t="n">
        <v>175000</v>
      </c>
      <c r="D9644" s="1" t="n">
        <v>5978.7</v>
      </c>
      <c r="E9644" s="1" t="n">
        <v>0.0382</v>
      </c>
      <c r="F9644" s="1" t="n">
        <v>0.0759</v>
      </c>
    </row>
    <row r="9645" customFormat="false" ht="15" hidden="false" customHeight="false" outlineLevel="0" collapsed="false">
      <c r="A9645" s="1" t="s">
        <v>9680</v>
      </c>
      <c r="B9645" s="1" t="s">
        <v>214</v>
      </c>
      <c r="C9645" s="1" t="n">
        <v>330000</v>
      </c>
      <c r="D9645" s="1" t="n">
        <v>4747.5</v>
      </c>
      <c r="E9645" s="1" t="n">
        <v>0.0113</v>
      </c>
      <c r="F9645" s="1" t="n">
        <v>0.0654</v>
      </c>
    </row>
    <row r="9646" customFormat="false" ht="15" hidden="false" customHeight="false" outlineLevel="0" collapsed="false">
      <c r="A9646" s="1" t="s">
        <v>9681</v>
      </c>
      <c r="B9646" s="1" t="s">
        <v>81</v>
      </c>
      <c r="C9646" s="1" t="n">
        <v>157000</v>
      </c>
      <c r="D9646" s="1" t="n">
        <v>2167.4</v>
      </c>
      <c r="E9646" s="1" t="n">
        <v>0.0229</v>
      </c>
      <c r="F9646" s="1" t="n">
        <v>0.0518</v>
      </c>
    </row>
    <row r="9647" customFormat="false" ht="15" hidden="false" customHeight="false" outlineLevel="0" collapsed="false">
      <c r="A9647" s="1" t="s">
        <v>9682</v>
      </c>
      <c r="B9647" s="1" t="s">
        <v>50</v>
      </c>
      <c r="C9647" s="1" t="n">
        <v>163000</v>
      </c>
      <c r="D9647" s="1" t="n">
        <v>2455</v>
      </c>
      <c r="E9647" s="1" t="n">
        <v>0.0261</v>
      </c>
      <c r="F9647" s="1" t="n">
        <v>0.1387</v>
      </c>
    </row>
    <row r="9648" customFormat="false" ht="15" hidden="false" customHeight="false" outlineLevel="0" collapsed="false">
      <c r="A9648" s="1" t="s">
        <v>9683</v>
      </c>
      <c r="B9648" s="1" t="s">
        <v>26</v>
      </c>
      <c r="C9648" s="1" t="n">
        <v>172000</v>
      </c>
      <c r="D9648" s="1" t="n">
        <v>118.8</v>
      </c>
      <c r="E9648" s="1" t="n">
        <v>0.0417</v>
      </c>
      <c r="F9648" s="1" t="n">
        <v>0.117</v>
      </c>
    </row>
    <row r="9649" customFormat="false" ht="15" hidden="false" customHeight="false" outlineLevel="0" collapsed="false">
      <c r="A9649" s="1" t="s">
        <v>9684</v>
      </c>
      <c r="B9649" s="1" t="s">
        <v>88</v>
      </c>
      <c r="C9649" s="1" t="n">
        <v>177000</v>
      </c>
      <c r="D9649" s="1" t="n">
        <v>538.9</v>
      </c>
      <c r="E9649" s="1" t="n">
        <v>0.0133</v>
      </c>
      <c r="F9649" s="1" t="n">
        <v>0.1886</v>
      </c>
    </row>
    <row r="9650" customFormat="false" ht="15" hidden="false" customHeight="false" outlineLevel="0" collapsed="false">
      <c r="A9650" s="1" t="s">
        <v>9685</v>
      </c>
      <c r="B9650" s="1" t="s">
        <v>88</v>
      </c>
      <c r="C9650" s="1" t="n">
        <v>235000</v>
      </c>
      <c r="D9650" s="1" t="n">
        <v>1994.7</v>
      </c>
      <c r="E9650" s="1" t="n">
        <v>0.0665</v>
      </c>
      <c r="F9650" s="1" t="n">
        <v>0.0938</v>
      </c>
    </row>
    <row r="9651" customFormat="false" ht="15" hidden="false" customHeight="false" outlineLevel="0" collapsed="false">
      <c r="A9651" s="1" t="s">
        <v>9686</v>
      </c>
      <c r="B9651" s="1" t="s">
        <v>74</v>
      </c>
      <c r="C9651" s="1" t="n">
        <v>375000</v>
      </c>
      <c r="D9651" s="1" t="n">
        <v>25094.1</v>
      </c>
      <c r="E9651" s="1" t="n">
        <v>0.059</v>
      </c>
      <c r="F9651" s="1" t="n">
        <v>0.0938</v>
      </c>
    </row>
    <row r="9652" customFormat="false" ht="15" hidden="false" customHeight="false" outlineLevel="0" collapsed="false">
      <c r="A9652" s="1" t="s">
        <v>9687</v>
      </c>
      <c r="B9652" s="1" t="s">
        <v>26</v>
      </c>
      <c r="C9652" s="1" t="n">
        <v>185000</v>
      </c>
      <c r="D9652" s="1" t="n">
        <v>7376.9</v>
      </c>
      <c r="E9652" s="1" t="n">
        <v>0.0539</v>
      </c>
      <c r="F9652" s="1" t="n">
        <v>0.0951</v>
      </c>
    </row>
    <row r="9653" customFormat="false" ht="15" hidden="false" customHeight="false" outlineLevel="0" collapsed="false">
      <c r="A9653" s="1" t="s">
        <v>9688</v>
      </c>
      <c r="B9653" s="1" t="s">
        <v>71</v>
      </c>
      <c r="C9653" s="1" t="n">
        <v>159000</v>
      </c>
      <c r="D9653" s="1" t="n">
        <v>210.2</v>
      </c>
      <c r="E9653" s="1" t="n">
        <v>0.1153</v>
      </c>
      <c r="F9653" s="1" t="n">
        <v>0.0951</v>
      </c>
    </row>
    <row r="9654" customFormat="false" ht="15" hidden="false" customHeight="false" outlineLevel="0" collapsed="false">
      <c r="A9654" s="1" t="s">
        <v>9689</v>
      </c>
      <c r="B9654" s="1" t="s">
        <v>26</v>
      </c>
      <c r="C9654" s="1" t="n">
        <v>180000</v>
      </c>
      <c r="D9654" s="1" t="n">
        <v>45493.1</v>
      </c>
      <c r="E9654" s="1" t="n">
        <v>0.1112</v>
      </c>
      <c r="F9654" s="1" t="n">
        <v>0.0759</v>
      </c>
    </row>
    <row r="9655" customFormat="false" ht="15" hidden="false" customHeight="false" outlineLevel="0" collapsed="false">
      <c r="A9655" s="1" t="s">
        <v>9690</v>
      </c>
      <c r="B9655" s="1" t="s">
        <v>26</v>
      </c>
      <c r="C9655" s="1" t="n">
        <v>163000</v>
      </c>
      <c r="D9655" s="1" t="n">
        <v>6865.8</v>
      </c>
      <c r="E9655" s="1" t="n">
        <v>0.0136</v>
      </c>
      <c r="F9655" s="1" t="n">
        <v>0.1067</v>
      </c>
    </row>
    <row r="9656" customFormat="false" ht="15" hidden="false" customHeight="false" outlineLevel="0" collapsed="false">
      <c r="A9656" s="1" t="s">
        <v>9691</v>
      </c>
      <c r="B9656" s="1" t="s">
        <v>24</v>
      </c>
      <c r="C9656" s="1" t="n">
        <v>735000</v>
      </c>
      <c r="D9656" s="1" t="n">
        <v>381046.9</v>
      </c>
      <c r="E9656" s="1" t="n">
        <v>0.0246</v>
      </c>
      <c r="F9656" s="1" t="n">
        <v>0.0409</v>
      </c>
    </row>
    <row r="9657" customFormat="false" ht="15" hidden="false" customHeight="false" outlineLevel="0" collapsed="false">
      <c r="A9657" s="1" t="s">
        <v>9692</v>
      </c>
      <c r="B9657" s="1" t="s">
        <v>24</v>
      </c>
      <c r="C9657" s="1" t="n">
        <v>235000</v>
      </c>
      <c r="D9657" s="1" t="n">
        <v>1266.9</v>
      </c>
      <c r="F9657" s="1" t="n">
        <v>0.0759</v>
      </c>
    </row>
    <row r="9658" customFormat="false" ht="15" hidden="false" customHeight="false" outlineLevel="0" collapsed="false">
      <c r="A9658" s="1" t="s">
        <v>9693</v>
      </c>
      <c r="B9658" s="1" t="s">
        <v>214</v>
      </c>
      <c r="C9658" s="1" t="n">
        <v>151000</v>
      </c>
      <c r="D9658" s="1" t="n">
        <v>5291.1</v>
      </c>
      <c r="E9658" s="1" t="n">
        <v>0.0826</v>
      </c>
      <c r="F9658" s="1" t="n">
        <v>0.0951</v>
      </c>
    </row>
    <row r="9659" customFormat="false" ht="15" hidden="false" customHeight="false" outlineLevel="0" collapsed="false">
      <c r="A9659" s="1" t="s">
        <v>9694</v>
      </c>
      <c r="B9659" s="1" t="s">
        <v>26</v>
      </c>
      <c r="C9659" s="1" t="n">
        <v>257000</v>
      </c>
      <c r="D9659" s="1" t="n">
        <v>128565.4</v>
      </c>
      <c r="E9659" s="1" t="n">
        <v>0.0482</v>
      </c>
      <c r="F9659" s="1" t="n">
        <v>0.0518</v>
      </c>
    </row>
    <row r="9660" customFormat="false" ht="15" hidden="false" customHeight="false" outlineLevel="0" collapsed="false">
      <c r="A9660" s="1" t="s">
        <v>9695</v>
      </c>
      <c r="B9660" s="1" t="s">
        <v>26</v>
      </c>
      <c r="C9660" s="1" t="n">
        <v>171000</v>
      </c>
      <c r="D9660" s="1" t="n">
        <v>55362.7</v>
      </c>
      <c r="E9660" s="1" t="n">
        <v>0.0242</v>
      </c>
      <c r="F9660" s="1" t="n">
        <v>0.0759</v>
      </c>
    </row>
    <row r="9661" customFormat="false" ht="15" hidden="false" customHeight="false" outlineLevel="0" collapsed="false">
      <c r="A9661" s="1" t="s">
        <v>9696</v>
      </c>
      <c r="B9661" s="1" t="s">
        <v>88</v>
      </c>
      <c r="C9661" s="1" t="n">
        <v>221000</v>
      </c>
      <c r="D9661" s="1" t="n">
        <v>366.1</v>
      </c>
      <c r="E9661" s="1" t="n">
        <v>0.0414</v>
      </c>
      <c r="F9661" s="1" t="n">
        <v>0.0759</v>
      </c>
    </row>
    <row r="9662" customFormat="false" ht="15" hidden="false" customHeight="false" outlineLevel="0" collapsed="false">
      <c r="A9662" s="1" t="s">
        <v>9697</v>
      </c>
      <c r="B9662" s="1" t="s">
        <v>50</v>
      </c>
      <c r="C9662" s="1" t="n">
        <v>187000</v>
      </c>
      <c r="D9662" s="1" t="n">
        <v>51263.2</v>
      </c>
      <c r="E9662" s="1" t="n">
        <v>0.0591</v>
      </c>
      <c r="F9662" s="1" t="n">
        <v>0.0759</v>
      </c>
    </row>
    <row r="9663" customFormat="false" ht="15" hidden="false" customHeight="false" outlineLevel="0" collapsed="false">
      <c r="A9663" s="1" t="s">
        <v>9698</v>
      </c>
      <c r="B9663" s="1" t="s">
        <v>287</v>
      </c>
      <c r="C9663" s="1" t="n">
        <v>285000</v>
      </c>
      <c r="D9663" s="1" t="n">
        <v>9487.6</v>
      </c>
      <c r="E9663" s="1" t="n">
        <v>0.0351</v>
      </c>
      <c r="F9663" s="1" t="n">
        <v>0.051</v>
      </c>
    </row>
    <row r="9664" customFormat="false" ht="15" hidden="false" customHeight="false" outlineLevel="0" collapsed="false">
      <c r="A9664" s="1" t="s">
        <v>9699</v>
      </c>
      <c r="B9664" s="1" t="s">
        <v>24</v>
      </c>
      <c r="C9664" s="1" t="n">
        <v>301000</v>
      </c>
      <c r="D9664" s="1" t="n">
        <v>304592.9</v>
      </c>
      <c r="E9664" s="1" t="n">
        <v>0.0361</v>
      </c>
      <c r="F9664" s="1" t="n">
        <v>0.0432</v>
      </c>
    </row>
    <row r="9665" customFormat="false" ht="15" hidden="false" customHeight="false" outlineLevel="0" collapsed="false">
      <c r="A9665" s="1" t="s">
        <v>9700</v>
      </c>
      <c r="B9665" s="1" t="s">
        <v>214</v>
      </c>
      <c r="C9665" s="1" t="n">
        <v>409000</v>
      </c>
      <c r="D9665" s="1" t="n">
        <v>29774.9</v>
      </c>
      <c r="E9665" s="1" t="n">
        <v>0.0071</v>
      </c>
      <c r="F9665" s="1" t="n">
        <v>0.0654</v>
      </c>
    </row>
    <row r="9666" customFormat="false" ht="15" hidden="false" customHeight="false" outlineLevel="0" collapsed="false">
      <c r="A9666" s="1" t="s">
        <v>9701</v>
      </c>
      <c r="B9666" s="1" t="s">
        <v>50</v>
      </c>
      <c r="C9666" s="1" t="n">
        <v>410000</v>
      </c>
      <c r="D9666" s="1" t="n">
        <v>58840</v>
      </c>
      <c r="E9666" s="1" t="n">
        <v>0.0152</v>
      </c>
      <c r="F9666" s="1" t="n">
        <v>0.0462</v>
      </c>
    </row>
    <row r="9667" customFormat="false" ht="15" hidden="false" customHeight="false" outlineLevel="0" collapsed="false">
      <c r="A9667" s="1" t="s">
        <v>9702</v>
      </c>
      <c r="B9667" s="1" t="s">
        <v>32</v>
      </c>
      <c r="C9667" s="1" t="n">
        <v>214000</v>
      </c>
      <c r="D9667" s="1" t="n">
        <v>4544.2</v>
      </c>
      <c r="E9667" s="1" t="n">
        <v>0.0152</v>
      </c>
      <c r="F9667" s="1" t="n">
        <v>0.0956</v>
      </c>
    </row>
    <row r="9668" customFormat="false" ht="15" hidden="false" customHeight="false" outlineLevel="0" collapsed="false">
      <c r="A9668" s="1" t="s">
        <v>9703</v>
      </c>
      <c r="B9668" s="1" t="s">
        <v>26</v>
      </c>
      <c r="C9668" s="1" t="n">
        <v>172000</v>
      </c>
      <c r="D9668" s="1" t="n">
        <v>10879</v>
      </c>
      <c r="E9668" s="1" t="n">
        <v>0.036</v>
      </c>
      <c r="F9668" s="1" t="n">
        <v>0.0951</v>
      </c>
    </row>
    <row r="9669" customFormat="false" ht="15" hidden="false" customHeight="false" outlineLevel="0" collapsed="false">
      <c r="A9669" s="1" t="s">
        <v>9704</v>
      </c>
      <c r="B9669" s="1" t="s">
        <v>88</v>
      </c>
      <c r="C9669" s="1" t="n">
        <v>282000</v>
      </c>
      <c r="D9669" s="1" t="n">
        <v>5191.1</v>
      </c>
      <c r="E9669" s="1" t="n">
        <v>0.0436</v>
      </c>
      <c r="F9669" s="1" t="n">
        <v>0.0409</v>
      </c>
    </row>
    <row r="9670" customFormat="false" ht="15" hidden="false" customHeight="false" outlineLevel="0" collapsed="false">
      <c r="A9670" s="1" t="s">
        <v>9705</v>
      </c>
      <c r="B9670" s="1" t="s">
        <v>26</v>
      </c>
      <c r="C9670" s="1" t="n">
        <v>151000</v>
      </c>
      <c r="D9670" s="1" t="n">
        <v>6036.1</v>
      </c>
      <c r="E9670" s="1" t="n">
        <v>0.0547</v>
      </c>
      <c r="F9670" s="1" t="n">
        <v>0.0951</v>
      </c>
    </row>
    <row r="9671" customFormat="false" ht="15" hidden="false" customHeight="false" outlineLevel="0" collapsed="false">
      <c r="A9671" s="1" t="s">
        <v>9706</v>
      </c>
      <c r="B9671" s="1" t="s">
        <v>214</v>
      </c>
      <c r="C9671" s="1" t="n">
        <v>184000</v>
      </c>
      <c r="D9671" s="1" t="n">
        <v>214564</v>
      </c>
      <c r="E9671" s="1" t="n">
        <v>0.0359</v>
      </c>
      <c r="F9671" s="1" t="n">
        <v>0.0845</v>
      </c>
    </row>
    <row r="9672" customFormat="false" ht="15" hidden="false" customHeight="false" outlineLevel="0" collapsed="false">
      <c r="A9672" s="1" t="s">
        <v>9707</v>
      </c>
      <c r="B9672" s="1" t="s">
        <v>41</v>
      </c>
      <c r="C9672" s="1" t="n">
        <v>170000</v>
      </c>
      <c r="D9672" s="1" t="n">
        <v>6477.1</v>
      </c>
      <c r="E9672" s="1" t="n">
        <v>0.035</v>
      </c>
      <c r="F9672" s="1" t="n">
        <v>0.0409</v>
      </c>
    </row>
    <row r="9673" customFormat="false" ht="15" hidden="false" customHeight="false" outlineLevel="0" collapsed="false">
      <c r="A9673" s="1" t="s">
        <v>9708</v>
      </c>
      <c r="B9673" s="1" t="s">
        <v>92</v>
      </c>
      <c r="C9673" s="1" t="n">
        <v>235000</v>
      </c>
      <c r="D9673" s="1" t="n">
        <v>11637.8</v>
      </c>
      <c r="E9673" s="1" t="n">
        <v>0.0355</v>
      </c>
      <c r="F9673" s="1" t="n">
        <v>0.0759</v>
      </c>
    </row>
    <row r="9674" customFormat="false" ht="15" hidden="false" customHeight="false" outlineLevel="0" collapsed="false">
      <c r="A9674" s="1" t="s">
        <v>9709</v>
      </c>
      <c r="B9674" s="1" t="s">
        <v>81</v>
      </c>
      <c r="C9674" s="1" t="n">
        <v>154000</v>
      </c>
      <c r="D9674" s="1" t="n">
        <v>63172.9</v>
      </c>
      <c r="E9674" s="1" t="n">
        <v>0.0134</v>
      </c>
      <c r="F9674" s="1" t="n">
        <v>0.095</v>
      </c>
    </row>
    <row r="9675" customFormat="false" ht="15" hidden="false" customHeight="false" outlineLevel="0" collapsed="false">
      <c r="A9675" s="1" t="s">
        <v>9710</v>
      </c>
      <c r="B9675" s="1" t="s">
        <v>88</v>
      </c>
      <c r="C9675" s="1" t="n">
        <v>215000</v>
      </c>
      <c r="D9675" s="1" t="n">
        <v>11884.5</v>
      </c>
      <c r="E9675" s="1" t="n">
        <v>0.0164</v>
      </c>
      <c r="F9675" s="1" t="n">
        <v>0.0466</v>
      </c>
    </row>
    <row r="9676" customFormat="false" ht="15" hidden="false" customHeight="false" outlineLevel="0" collapsed="false">
      <c r="A9676" s="1" t="s">
        <v>9711</v>
      </c>
      <c r="B9676" s="1" t="s">
        <v>71</v>
      </c>
      <c r="C9676" s="1" t="n">
        <v>157000</v>
      </c>
      <c r="D9676" s="1" t="n">
        <v>3203.7</v>
      </c>
      <c r="E9676" s="1" t="n">
        <v>0.0091</v>
      </c>
      <c r="F9676" s="1" t="n">
        <v>0.0654</v>
      </c>
    </row>
    <row r="9677" customFormat="false" ht="15" hidden="false" customHeight="false" outlineLevel="0" collapsed="false">
      <c r="A9677" s="1" t="s">
        <v>9712</v>
      </c>
      <c r="B9677" s="1" t="s">
        <v>26</v>
      </c>
      <c r="C9677" s="1" t="n">
        <v>179000</v>
      </c>
      <c r="D9677" s="1" t="n">
        <v>4913.5</v>
      </c>
      <c r="E9677" s="1" t="n">
        <v>0.0199</v>
      </c>
      <c r="F9677" s="1" t="n">
        <v>0.1543</v>
      </c>
    </row>
    <row r="9678" customFormat="false" ht="15" hidden="false" customHeight="false" outlineLevel="0" collapsed="false">
      <c r="A9678" s="1" t="s">
        <v>9713</v>
      </c>
      <c r="B9678" s="1" t="s">
        <v>74</v>
      </c>
      <c r="C9678" s="1" t="n">
        <v>148000</v>
      </c>
      <c r="D9678" s="1" t="n">
        <v>936</v>
      </c>
      <c r="E9678" s="1" t="n">
        <v>0.029</v>
      </c>
      <c r="F9678" s="1" t="n">
        <v>0.0759</v>
      </c>
    </row>
    <row r="9679" customFormat="false" ht="15" hidden="false" customHeight="false" outlineLevel="0" collapsed="false">
      <c r="A9679" s="1" t="s">
        <v>9714</v>
      </c>
      <c r="B9679" s="1" t="s">
        <v>41</v>
      </c>
      <c r="C9679" s="1" t="n">
        <v>183000</v>
      </c>
      <c r="D9679" s="1" t="n">
        <v>24046.1</v>
      </c>
      <c r="E9679" s="1" t="n">
        <v>0.0366</v>
      </c>
      <c r="F9679" s="1" t="n">
        <v>0.0759</v>
      </c>
    </row>
    <row r="9680" customFormat="false" ht="15" hidden="false" customHeight="false" outlineLevel="0" collapsed="false">
      <c r="A9680" s="1" t="s">
        <v>9715</v>
      </c>
      <c r="B9680" s="1" t="s">
        <v>26</v>
      </c>
      <c r="C9680" s="1" t="n">
        <v>170000</v>
      </c>
      <c r="D9680" s="1" t="n">
        <v>16077.1</v>
      </c>
      <c r="E9680" s="1" t="n">
        <v>0.0509</v>
      </c>
      <c r="F9680" s="1" t="n">
        <v>0.0409</v>
      </c>
    </row>
    <row r="9681" customFormat="false" ht="15" hidden="false" customHeight="false" outlineLevel="0" collapsed="false">
      <c r="A9681" s="1" t="s">
        <v>9716</v>
      </c>
      <c r="B9681" s="1" t="s">
        <v>32</v>
      </c>
      <c r="C9681" s="1" t="n">
        <v>181000</v>
      </c>
      <c r="D9681" s="1" t="n">
        <v>7930.5</v>
      </c>
      <c r="E9681" s="1" t="n">
        <v>0.0073</v>
      </c>
      <c r="F9681" s="1" t="n">
        <v>0.0654</v>
      </c>
    </row>
    <row r="9682" customFormat="false" ht="15" hidden="false" customHeight="false" outlineLevel="0" collapsed="false">
      <c r="A9682" s="1" t="s">
        <v>9717</v>
      </c>
      <c r="B9682" s="1" t="s">
        <v>214</v>
      </c>
      <c r="C9682" s="1" t="n">
        <v>176000</v>
      </c>
      <c r="D9682" s="1" t="n">
        <v>1837.4</v>
      </c>
      <c r="E9682" s="1" t="n">
        <v>0.0157</v>
      </c>
      <c r="F9682" s="1" t="n">
        <v>0.0488</v>
      </c>
    </row>
    <row r="9683" customFormat="false" ht="15" hidden="false" customHeight="false" outlineLevel="0" collapsed="false">
      <c r="A9683" s="1" t="s">
        <v>9718</v>
      </c>
      <c r="B9683" s="1" t="s">
        <v>62</v>
      </c>
      <c r="C9683" s="1" t="n">
        <v>209000</v>
      </c>
      <c r="D9683" s="1" t="n">
        <v>27709.2</v>
      </c>
      <c r="E9683" s="1" t="n">
        <v>0.0391</v>
      </c>
      <c r="F9683" s="1" t="n">
        <v>0.0759</v>
      </c>
    </row>
    <row r="9684" customFormat="false" ht="15" hidden="false" customHeight="false" outlineLevel="0" collapsed="false">
      <c r="A9684" s="1" t="s">
        <v>9719</v>
      </c>
      <c r="B9684" s="1" t="s">
        <v>24</v>
      </c>
      <c r="C9684" s="1" t="n">
        <v>150000</v>
      </c>
      <c r="D9684" s="1" t="n">
        <v>5266.3</v>
      </c>
      <c r="E9684" s="1" t="n">
        <v>0.0958</v>
      </c>
      <c r="F9684" s="1" t="n">
        <v>0.0951</v>
      </c>
    </row>
    <row r="9685" customFormat="false" ht="15" hidden="false" customHeight="false" outlineLevel="0" collapsed="false">
      <c r="A9685" s="1" t="s">
        <v>9720</v>
      </c>
      <c r="B9685" s="1" t="s">
        <v>62</v>
      </c>
      <c r="C9685" s="1" t="n">
        <v>161000</v>
      </c>
      <c r="D9685" s="1" t="n">
        <v>12301.6</v>
      </c>
      <c r="E9685" s="1" t="n">
        <v>0.0375</v>
      </c>
      <c r="F9685" s="1" t="n">
        <v>0.0759</v>
      </c>
    </row>
    <row r="9686" customFormat="false" ht="15" hidden="false" customHeight="false" outlineLevel="0" collapsed="false">
      <c r="A9686" s="1" t="s">
        <v>9721</v>
      </c>
      <c r="B9686" s="1" t="s">
        <v>26</v>
      </c>
      <c r="C9686" s="1" t="n">
        <v>146000</v>
      </c>
      <c r="D9686" s="1" t="n">
        <v>2784.1</v>
      </c>
      <c r="E9686" s="1" t="n">
        <v>0.0214</v>
      </c>
      <c r="F9686" s="1" t="n">
        <v>0.1067</v>
      </c>
    </row>
    <row r="9687" customFormat="false" ht="15" hidden="false" customHeight="false" outlineLevel="0" collapsed="false">
      <c r="A9687" s="1" t="s">
        <v>9722</v>
      </c>
      <c r="B9687" s="1" t="s">
        <v>195</v>
      </c>
      <c r="C9687" s="1" t="n">
        <v>173000</v>
      </c>
      <c r="D9687" s="1" t="n">
        <v>177.6</v>
      </c>
      <c r="E9687" s="1" t="n">
        <v>0.0287</v>
      </c>
      <c r="F9687" s="1" t="n">
        <v>0.0644</v>
      </c>
    </row>
    <row r="9688" customFormat="false" ht="15" hidden="false" customHeight="false" outlineLevel="0" collapsed="false">
      <c r="A9688" s="1" t="s">
        <v>9723</v>
      </c>
      <c r="B9688" s="1" t="s">
        <v>88</v>
      </c>
      <c r="C9688" s="1" t="n">
        <v>152000</v>
      </c>
      <c r="D9688" s="1" t="n">
        <v>777.8</v>
      </c>
      <c r="E9688" s="1" t="n">
        <v>0.0169</v>
      </c>
      <c r="F9688" s="1" t="n">
        <v>0.139</v>
      </c>
    </row>
    <row r="9689" customFormat="false" ht="15" hidden="false" customHeight="false" outlineLevel="0" collapsed="false">
      <c r="A9689" s="1" t="s">
        <v>9724</v>
      </c>
      <c r="B9689" s="1" t="s">
        <v>74</v>
      </c>
      <c r="C9689" s="1" t="n">
        <v>199000</v>
      </c>
      <c r="D9689" s="1" t="n">
        <v>3236.3</v>
      </c>
      <c r="E9689" s="1" t="n">
        <v>0.0318</v>
      </c>
      <c r="F9689" s="1" t="n">
        <v>0.051</v>
      </c>
    </row>
    <row r="9690" customFormat="false" ht="15" hidden="false" customHeight="false" outlineLevel="0" collapsed="false">
      <c r="A9690" s="1" t="s">
        <v>9725</v>
      </c>
      <c r="B9690" s="1" t="s">
        <v>214</v>
      </c>
      <c r="C9690" s="1" t="n">
        <v>146000</v>
      </c>
      <c r="D9690" s="1" t="n">
        <v>9456.5</v>
      </c>
      <c r="F9690" s="1" t="n">
        <v>0.0518</v>
      </c>
    </row>
    <row r="9691" customFormat="false" ht="15" hidden="false" customHeight="false" outlineLevel="0" collapsed="false">
      <c r="A9691" s="1" t="s">
        <v>9726</v>
      </c>
      <c r="B9691" s="1" t="s">
        <v>214</v>
      </c>
      <c r="C9691" s="1" t="n">
        <v>165000</v>
      </c>
      <c r="D9691" s="1" t="n">
        <v>4263.8</v>
      </c>
      <c r="E9691" s="1" t="n">
        <v>0.0348</v>
      </c>
      <c r="F9691" s="1" t="n">
        <v>0.1241</v>
      </c>
    </row>
    <row r="9692" customFormat="false" ht="15" hidden="false" customHeight="false" outlineLevel="0" collapsed="false">
      <c r="A9692" s="1" t="s">
        <v>9727</v>
      </c>
      <c r="B9692" s="1" t="s">
        <v>26</v>
      </c>
      <c r="C9692" s="1" t="n">
        <v>229000</v>
      </c>
      <c r="D9692" s="1" t="n">
        <v>21697.4</v>
      </c>
      <c r="E9692" s="1" t="n">
        <v>0.0123</v>
      </c>
      <c r="F9692" s="1" t="n">
        <v>0.052</v>
      </c>
    </row>
    <row r="9693" customFormat="false" ht="15" hidden="false" customHeight="false" outlineLevel="0" collapsed="false">
      <c r="A9693" s="1" t="s">
        <v>9728</v>
      </c>
      <c r="B9693" s="1" t="s">
        <v>41</v>
      </c>
      <c r="C9693" s="1" t="n">
        <v>186000</v>
      </c>
      <c r="D9693" s="1" t="n">
        <v>290.7</v>
      </c>
      <c r="E9693" s="1" t="n">
        <v>0.0081</v>
      </c>
      <c r="F9693" s="1" t="n">
        <v>0.1866</v>
      </c>
    </row>
    <row r="9694" customFormat="false" ht="15" hidden="false" customHeight="false" outlineLevel="0" collapsed="false">
      <c r="A9694" s="1" t="s">
        <v>9729</v>
      </c>
      <c r="B9694" s="1" t="s">
        <v>26</v>
      </c>
      <c r="C9694" s="1" t="n">
        <v>325000</v>
      </c>
      <c r="D9694" s="1" t="n">
        <v>9077.9</v>
      </c>
      <c r="E9694" s="1" t="n">
        <v>0.0294</v>
      </c>
      <c r="F9694" s="1" t="n">
        <v>0.0759</v>
      </c>
    </row>
    <row r="9695" customFormat="false" ht="15" hidden="false" customHeight="false" outlineLevel="0" collapsed="false">
      <c r="A9695" s="1" t="s">
        <v>9730</v>
      </c>
      <c r="B9695" s="1" t="s">
        <v>26</v>
      </c>
      <c r="C9695" s="1" t="n">
        <v>242000</v>
      </c>
      <c r="D9695" s="1" t="n">
        <v>5208.3</v>
      </c>
      <c r="E9695" s="1" t="n">
        <v>0.0185</v>
      </c>
      <c r="F9695" s="1" t="n">
        <v>0.0616</v>
      </c>
    </row>
    <row r="9696" customFormat="false" ht="15" hidden="false" customHeight="false" outlineLevel="0" collapsed="false">
      <c r="A9696" s="1" t="s">
        <v>9731</v>
      </c>
      <c r="B9696" s="1" t="s">
        <v>53</v>
      </c>
      <c r="C9696" s="1" t="n">
        <v>153000</v>
      </c>
      <c r="D9696" s="1" t="n">
        <v>1699.3</v>
      </c>
      <c r="E9696" s="1" t="n">
        <v>0.0137</v>
      </c>
      <c r="F9696" s="1" t="n">
        <v>0.0736</v>
      </c>
    </row>
    <row r="9697" customFormat="false" ht="15" hidden="false" customHeight="false" outlineLevel="0" collapsed="false">
      <c r="A9697" s="1" t="s">
        <v>9732</v>
      </c>
      <c r="B9697" s="1" t="s">
        <v>88</v>
      </c>
      <c r="C9697" s="1" t="n">
        <v>160000</v>
      </c>
      <c r="D9697" s="1" t="n">
        <v>6915.3</v>
      </c>
      <c r="E9697" s="1" t="n">
        <v>0.0048</v>
      </c>
      <c r="F9697" s="1" t="n">
        <v>0.1015</v>
      </c>
    </row>
    <row r="9698" customFormat="false" ht="15" hidden="false" customHeight="false" outlineLevel="0" collapsed="false">
      <c r="A9698" s="1" t="s">
        <v>9733</v>
      </c>
      <c r="B9698" s="1" t="s">
        <v>74</v>
      </c>
      <c r="C9698" s="1" t="n">
        <v>423000</v>
      </c>
      <c r="D9698" s="1" t="n">
        <v>1781.7</v>
      </c>
      <c r="E9698" s="1" t="n">
        <v>0.038</v>
      </c>
      <c r="F9698" s="1" t="n">
        <v>0.051</v>
      </c>
    </row>
    <row r="9699" customFormat="false" ht="15" hidden="false" customHeight="false" outlineLevel="0" collapsed="false">
      <c r="A9699" s="1" t="s">
        <v>9734</v>
      </c>
      <c r="B9699" s="1" t="s">
        <v>88</v>
      </c>
      <c r="C9699" s="1" t="n">
        <v>181000</v>
      </c>
      <c r="D9699" s="1" t="n">
        <v>1516</v>
      </c>
      <c r="E9699" s="1" t="n">
        <v>0.0416</v>
      </c>
      <c r="F9699" s="1" t="n">
        <v>0.0951</v>
      </c>
    </row>
    <row r="9700" customFormat="false" ht="15" hidden="false" customHeight="false" outlineLevel="0" collapsed="false">
      <c r="A9700" s="1" t="s">
        <v>9735</v>
      </c>
      <c r="B9700" s="1" t="s">
        <v>88</v>
      </c>
      <c r="C9700" s="1" t="n">
        <v>252000</v>
      </c>
      <c r="D9700" s="1" t="n">
        <v>9032.7</v>
      </c>
      <c r="E9700" s="1" t="n">
        <v>0.0339</v>
      </c>
      <c r="F9700" s="1" t="n">
        <v>0.0759</v>
      </c>
    </row>
    <row r="9701" customFormat="false" ht="15" hidden="false" customHeight="false" outlineLevel="0" collapsed="false">
      <c r="A9701" s="1" t="s">
        <v>9736</v>
      </c>
      <c r="B9701" s="1" t="s">
        <v>26</v>
      </c>
      <c r="C9701" s="1" t="n">
        <v>158000</v>
      </c>
      <c r="D9701" s="1" t="n">
        <v>1161.3</v>
      </c>
      <c r="E9701" s="1" t="n">
        <v>0.0132</v>
      </c>
      <c r="F9701" s="1" t="n">
        <v>0.1192</v>
      </c>
    </row>
    <row r="9702" customFormat="false" ht="15" hidden="false" customHeight="false" outlineLevel="0" collapsed="false">
      <c r="A9702" s="1" t="s">
        <v>9737</v>
      </c>
      <c r="B9702" s="1" t="s">
        <v>214</v>
      </c>
      <c r="C9702" s="1" t="n">
        <v>171000</v>
      </c>
      <c r="D9702" s="1" t="n">
        <v>188164.9</v>
      </c>
      <c r="E9702" s="1" t="n">
        <v>0.0188</v>
      </c>
      <c r="F9702" s="1" t="n">
        <v>0.1067</v>
      </c>
    </row>
    <row r="9703" customFormat="false" ht="15" hidden="false" customHeight="false" outlineLevel="0" collapsed="false">
      <c r="A9703" s="1" t="s">
        <v>9738</v>
      </c>
      <c r="B9703" s="1" t="s">
        <v>26</v>
      </c>
      <c r="C9703" s="1" t="n">
        <v>240000</v>
      </c>
      <c r="D9703" s="1" t="n">
        <v>7701.9</v>
      </c>
      <c r="E9703" s="1" t="n">
        <v>0.0482</v>
      </c>
      <c r="F9703" s="1" t="n">
        <v>0.0759</v>
      </c>
    </row>
    <row r="9704" customFormat="false" ht="15" hidden="false" customHeight="false" outlineLevel="0" collapsed="false">
      <c r="A9704" s="1" t="s">
        <v>9739</v>
      </c>
      <c r="B9704" s="1" t="s">
        <v>26</v>
      </c>
      <c r="C9704" s="1" t="n">
        <v>155000</v>
      </c>
      <c r="D9704" s="1" t="n">
        <v>174047</v>
      </c>
      <c r="E9704" s="1" t="n">
        <v>0.0557</v>
      </c>
      <c r="F9704" s="1" t="n">
        <v>0.0951</v>
      </c>
    </row>
    <row r="9705" customFormat="false" ht="15" hidden="false" customHeight="false" outlineLevel="0" collapsed="false">
      <c r="A9705" s="1" t="s">
        <v>9740</v>
      </c>
      <c r="B9705" s="1" t="s">
        <v>41</v>
      </c>
      <c r="C9705" s="1" t="n">
        <v>178000</v>
      </c>
      <c r="D9705" s="1" t="n">
        <v>5437.3</v>
      </c>
      <c r="E9705" s="1" t="n">
        <v>0.0353</v>
      </c>
      <c r="F9705" s="1" t="n">
        <v>0.0938</v>
      </c>
    </row>
    <row r="9706" customFormat="false" ht="15" hidden="false" customHeight="false" outlineLevel="0" collapsed="false">
      <c r="A9706" s="1" t="s">
        <v>9741</v>
      </c>
      <c r="B9706" s="1" t="s">
        <v>195</v>
      </c>
      <c r="C9706" s="1" t="n">
        <v>189000</v>
      </c>
      <c r="D9706" s="1" t="n">
        <v>17905.4</v>
      </c>
      <c r="F9706" s="1" t="n">
        <v>0.051</v>
      </c>
    </row>
    <row r="9707" customFormat="false" ht="15" hidden="false" customHeight="false" outlineLevel="0" collapsed="false">
      <c r="A9707" s="1" t="s">
        <v>9742</v>
      </c>
      <c r="B9707" s="1" t="s">
        <v>195</v>
      </c>
      <c r="C9707" s="1" t="n">
        <v>260000</v>
      </c>
      <c r="D9707" s="1" t="n">
        <v>9542.5</v>
      </c>
      <c r="E9707" s="1" t="n">
        <v>0.005</v>
      </c>
      <c r="F9707" s="1" t="n">
        <v>0.0654</v>
      </c>
    </row>
    <row r="9708" customFormat="false" ht="15" hidden="false" customHeight="false" outlineLevel="0" collapsed="false">
      <c r="A9708" s="1" t="s">
        <v>9743</v>
      </c>
      <c r="B9708" s="1" t="s">
        <v>62</v>
      </c>
      <c r="C9708" s="1" t="n">
        <v>151000</v>
      </c>
      <c r="D9708" s="1" t="n">
        <v>2259.3</v>
      </c>
      <c r="E9708" s="1" t="n">
        <v>0.0278</v>
      </c>
      <c r="F9708" s="1" t="n">
        <v>0.0951</v>
      </c>
    </row>
    <row r="9709" customFormat="false" ht="15" hidden="false" customHeight="false" outlineLevel="0" collapsed="false">
      <c r="A9709" s="1" t="s">
        <v>9744</v>
      </c>
      <c r="B9709" s="1" t="s">
        <v>490</v>
      </c>
      <c r="C9709" s="1" t="n">
        <v>176000</v>
      </c>
      <c r="D9709" s="1" t="n">
        <v>27684.3</v>
      </c>
      <c r="E9709" s="1" t="n">
        <v>0.0293</v>
      </c>
      <c r="F9709" s="1" t="n">
        <v>0.0951</v>
      </c>
    </row>
    <row r="9710" customFormat="false" ht="15" hidden="false" customHeight="false" outlineLevel="0" collapsed="false">
      <c r="A9710" s="1" t="s">
        <v>9745</v>
      </c>
      <c r="B9710" s="1" t="s">
        <v>88</v>
      </c>
      <c r="C9710" s="1" t="n">
        <v>222000</v>
      </c>
      <c r="D9710" s="1" t="n">
        <v>751.3</v>
      </c>
      <c r="E9710" s="1" t="n">
        <v>0.0226</v>
      </c>
      <c r="F9710" s="1" t="n">
        <v>0.0951</v>
      </c>
    </row>
    <row r="9711" customFormat="false" ht="15" hidden="false" customHeight="false" outlineLevel="0" collapsed="false">
      <c r="A9711" s="1" t="s">
        <v>9746</v>
      </c>
      <c r="B9711" s="1" t="s">
        <v>88</v>
      </c>
      <c r="C9711" s="1" t="n">
        <v>299000</v>
      </c>
      <c r="D9711" s="1" t="n">
        <v>496.9</v>
      </c>
      <c r="E9711" s="1" t="n">
        <v>0.0331</v>
      </c>
      <c r="F9711" s="1" t="n">
        <v>0.0938</v>
      </c>
    </row>
    <row r="9712" customFormat="false" ht="15" hidden="false" customHeight="false" outlineLevel="0" collapsed="false">
      <c r="A9712" s="1" t="s">
        <v>9747</v>
      </c>
      <c r="B9712" s="1" t="s">
        <v>26</v>
      </c>
      <c r="C9712" s="1" t="n">
        <v>243000</v>
      </c>
      <c r="D9712" s="1" t="n">
        <v>161620.7</v>
      </c>
      <c r="E9712" s="1" t="n">
        <v>0.02</v>
      </c>
      <c r="F9712" s="1" t="n">
        <v>0.0585</v>
      </c>
    </row>
    <row r="9713" customFormat="false" ht="15" hidden="false" customHeight="false" outlineLevel="0" collapsed="false">
      <c r="A9713" s="1" t="s">
        <v>9748</v>
      </c>
      <c r="B9713" s="1" t="s">
        <v>21</v>
      </c>
      <c r="C9713" s="1" t="n">
        <v>234000</v>
      </c>
      <c r="D9713" s="1" t="n">
        <v>4825.5</v>
      </c>
      <c r="E9713" s="1" t="n">
        <v>0.0578</v>
      </c>
      <c r="F9713" s="1" t="n">
        <v>0.0759</v>
      </c>
    </row>
    <row r="9714" customFormat="false" ht="15" hidden="false" customHeight="false" outlineLevel="0" collapsed="false">
      <c r="A9714" s="1" t="s">
        <v>9749</v>
      </c>
      <c r="B9714" s="1" t="s">
        <v>24</v>
      </c>
      <c r="C9714" s="1" t="n">
        <v>254000</v>
      </c>
      <c r="D9714" s="1" t="n">
        <v>5421.6</v>
      </c>
      <c r="E9714" s="1" t="n">
        <v>0.0245</v>
      </c>
      <c r="F9714" s="1" t="n">
        <v>0.0951</v>
      </c>
    </row>
    <row r="9715" customFormat="false" ht="15" hidden="false" customHeight="false" outlineLevel="0" collapsed="false">
      <c r="A9715" s="1" t="s">
        <v>9750</v>
      </c>
      <c r="B9715" s="1" t="s">
        <v>71</v>
      </c>
      <c r="C9715" s="1" t="n">
        <v>185000</v>
      </c>
      <c r="D9715" s="1" t="n">
        <v>6424.2</v>
      </c>
      <c r="E9715" s="1" t="n">
        <v>0.0575</v>
      </c>
      <c r="F9715" s="1" t="n">
        <v>0.0759</v>
      </c>
    </row>
    <row r="9716" customFormat="false" ht="15" hidden="false" customHeight="false" outlineLevel="0" collapsed="false">
      <c r="A9716" s="1" t="s">
        <v>9751</v>
      </c>
      <c r="B9716" s="1" t="s">
        <v>41</v>
      </c>
      <c r="C9716" s="1" t="n">
        <v>166000</v>
      </c>
      <c r="D9716" s="1" t="n">
        <v>1159.3</v>
      </c>
      <c r="E9716" s="1" t="n">
        <v>0.0415</v>
      </c>
      <c r="F9716" s="1" t="n">
        <v>0.0938</v>
      </c>
    </row>
    <row r="9717" customFormat="false" ht="15" hidden="false" customHeight="false" outlineLevel="0" collapsed="false">
      <c r="A9717" s="1" t="s">
        <v>9752</v>
      </c>
      <c r="B9717" s="1" t="s">
        <v>71</v>
      </c>
      <c r="C9717" s="1" t="n">
        <v>155000</v>
      </c>
      <c r="D9717" s="1" t="n">
        <v>741.8</v>
      </c>
      <c r="E9717" s="1" t="n">
        <v>0.0155</v>
      </c>
      <c r="F9717" s="1" t="n">
        <v>0.1067</v>
      </c>
    </row>
    <row r="9718" customFormat="false" ht="15" hidden="false" customHeight="false" outlineLevel="0" collapsed="false">
      <c r="A9718" s="1" t="s">
        <v>9753</v>
      </c>
      <c r="B9718" s="1" t="s">
        <v>88</v>
      </c>
      <c r="C9718" s="1" t="n">
        <v>381000</v>
      </c>
      <c r="D9718" s="1" t="n">
        <v>6016.8</v>
      </c>
      <c r="E9718" s="1" t="n">
        <v>0.0216</v>
      </c>
      <c r="F9718" s="1" t="n">
        <v>0.0821</v>
      </c>
    </row>
    <row r="9719" customFormat="false" ht="15" hidden="false" customHeight="false" outlineLevel="0" collapsed="false">
      <c r="A9719" s="1" t="s">
        <v>9754</v>
      </c>
      <c r="B9719" s="1" t="s">
        <v>41</v>
      </c>
      <c r="C9719" s="1" t="n">
        <v>212000</v>
      </c>
      <c r="D9719" s="1" t="n">
        <v>863.9</v>
      </c>
      <c r="E9719" s="1" t="n">
        <v>0.0485</v>
      </c>
      <c r="F9719" s="1" t="n">
        <v>0.0759</v>
      </c>
    </row>
    <row r="9720" customFormat="false" ht="15" hidden="false" customHeight="false" outlineLevel="0" collapsed="false">
      <c r="A9720" s="1" t="s">
        <v>9755</v>
      </c>
      <c r="B9720" s="1" t="s">
        <v>287</v>
      </c>
      <c r="C9720" s="1" t="n">
        <v>227000</v>
      </c>
      <c r="D9720" s="1" t="n">
        <v>5060</v>
      </c>
      <c r="E9720" s="1" t="n">
        <v>0.0253</v>
      </c>
      <c r="F9720" s="1" t="n">
        <v>0.0854</v>
      </c>
    </row>
    <row r="9721" customFormat="false" ht="15" hidden="false" customHeight="false" outlineLevel="0" collapsed="false">
      <c r="A9721" s="1" t="s">
        <v>9756</v>
      </c>
      <c r="B9721" s="1" t="s">
        <v>214</v>
      </c>
      <c r="C9721" s="1" t="n">
        <v>194000</v>
      </c>
      <c r="D9721" s="1" t="n">
        <v>406.1</v>
      </c>
      <c r="E9721" s="1" t="n">
        <v>0.0202</v>
      </c>
      <c r="F9721" s="1" t="n">
        <v>0.1594</v>
      </c>
    </row>
    <row r="9722" customFormat="false" ht="15" hidden="false" customHeight="false" outlineLevel="0" collapsed="false">
      <c r="A9722" s="1" t="s">
        <v>9757</v>
      </c>
      <c r="B9722" s="1" t="s">
        <v>88</v>
      </c>
      <c r="C9722" s="1" t="n">
        <v>201000</v>
      </c>
      <c r="D9722" s="1" t="n">
        <v>167.9</v>
      </c>
      <c r="E9722" s="1" t="n">
        <v>0.0156</v>
      </c>
      <c r="F9722" s="1" t="n">
        <v>0.1372</v>
      </c>
    </row>
    <row r="9723" customFormat="false" ht="15" hidden="false" customHeight="false" outlineLevel="0" collapsed="false">
      <c r="A9723" s="1" t="s">
        <v>9758</v>
      </c>
      <c r="B9723" s="1" t="s">
        <v>490</v>
      </c>
      <c r="C9723" s="1" t="n">
        <v>192000</v>
      </c>
      <c r="D9723" s="1" t="n">
        <v>20725</v>
      </c>
      <c r="E9723" s="1" t="n">
        <v>0.0264</v>
      </c>
      <c r="F9723" s="1" t="n">
        <v>0.0409</v>
      </c>
    </row>
    <row r="9724" customFormat="false" ht="15" hidden="false" customHeight="false" outlineLevel="0" collapsed="false">
      <c r="A9724" s="1" t="s">
        <v>9759</v>
      </c>
      <c r="B9724" s="1" t="s">
        <v>41</v>
      </c>
      <c r="C9724" s="1" t="n">
        <v>153000</v>
      </c>
      <c r="D9724" s="1" t="n">
        <v>3275.7</v>
      </c>
      <c r="E9724" s="1" t="n">
        <v>0.0111</v>
      </c>
      <c r="F9724" s="1" t="n">
        <v>0.1015</v>
      </c>
    </row>
    <row r="9725" customFormat="false" ht="15" hidden="false" customHeight="false" outlineLevel="0" collapsed="false">
      <c r="A9725" s="1" t="s">
        <v>9760</v>
      </c>
      <c r="B9725" s="1" t="s">
        <v>88</v>
      </c>
      <c r="C9725" s="1" t="n">
        <v>151000</v>
      </c>
      <c r="D9725" s="1" t="n">
        <v>266.4</v>
      </c>
      <c r="E9725" s="1" t="n">
        <v>0.0169</v>
      </c>
      <c r="F9725" s="1" t="n">
        <v>0.7157</v>
      </c>
    </row>
    <row r="9726" customFormat="false" ht="15" hidden="false" customHeight="false" outlineLevel="0" collapsed="false">
      <c r="A9726" s="1" t="s">
        <v>9761</v>
      </c>
      <c r="B9726" s="1" t="s">
        <v>88</v>
      </c>
      <c r="C9726" s="1" t="n">
        <v>244000</v>
      </c>
      <c r="D9726" s="1" t="n">
        <v>827.1</v>
      </c>
      <c r="E9726" s="1" t="n">
        <v>0.0214</v>
      </c>
      <c r="F9726" s="1" t="n">
        <v>0.0803</v>
      </c>
    </row>
    <row r="9727" customFormat="false" ht="15" hidden="false" customHeight="false" outlineLevel="0" collapsed="false">
      <c r="A9727" s="1" t="s">
        <v>9762</v>
      </c>
      <c r="B9727" s="1" t="s">
        <v>26</v>
      </c>
      <c r="C9727" s="1" t="n">
        <v>423000</v>
      </c>
      <c r="D9727" s="1" t="n">
        <v>458355.3</v>
      </c>
      <c r="E9727" s="1" t="n">
        <v>0.0145</v>
      </c>
      <c r="F9727" s="1" t="n">
        <v>0.0462</v>
      </c>
    </row>
    <row r="9728" customFormat="false" ht="15" hidden="false" customHeight="false" outlineLevel="0" collapsed="false">
      <c r="A9728" s="1" t="s">
        <v>9763</v>
      </c>
      <c r="B9728" s="1" t="s">
        <v>88</v>
      </c>
      <c r="C9728" s="1" t="n">
        <v>165000</v>
      </c>
      <c r="D9728" s="1" t="n">
        <v>1071.7</v>
      </c>
      <c r="E9728" s="1" t="n">
        <v>0.0388</v>
      </c>
      <c r="F9728" s="1" t="n">
        <v>0.0759</v>
      </c>
    </row>
    <row r="9729" customFormat="false" ht="15" hidden="false" customHeight="false" outlineLevel="0" collapsed="false">
      <c r="A9729" s="1" t="s">
        <v>9764</v>
      </c>
      <c r="B9729" s="1" t="s">
        <v>21</v>
      </c>
      <c r="C9729" s="1" t="n">
        <v>157000</v>
      </c>
      <c r="D9729" s="1" t="n">
        <v>319550.8</v>
      </c>
      <c r="E9729" s="1" t="n">
        <v>0.021</v>
      </c>
      <c r="F9729" s="1" t="n">
        <v>0.1067</v>
      </c>
    </row>
    <row r="9730" customFormat="false" ht="15" hidden="false" customHeight="false" outlineLevel="0" collapsed="false">
      <c r="A9730" s="1" t="s">
        <v>9765</v>
      </c>
      <c r="B9730" s="1" t="s">
        <v>88</v>
      </c>
      <c r="C9730" s="1" t="n">
        <v>175000</v>
      </c>
      <c r="D9730" s="1" t="n">
        <v>9365.9</v>
      </c>
      <c r="E9730" s="1" t="n">
        <v>0.0783</v>
      </c>
      <c r="F9730" s="1" t="n">
        <v>0.0951</v>
      </c>
    </row>
    <row r="9731" customFormat="false" ht="15" hidden="false" customHeight="false" outlineLevel="0" collapsed="false">
      <c r="A9731" s="1" t="s">
        <v>9766</v>
      </c>
      <c r="B9731" s="1" t="s">
        <v>88</v>
      </c>
      <c r="C9731" s="1" t="n">
        <v>196000</v>
      </c>
      <c r="D9731" s="1" t="n">
        <v>5376.9</v>
      </c>
      <c r="E9731" s="1" t="n">
        <v>0.0493</v>
      </c>
      <c r="F9731" s="1" t="n">
        <v>0.0951</v>
      </c>
    </row>
    <row r="9732" customFormat="false" ht="15" hidden="false" customHeight="false" outlineLevel="0" collapsed="false">
      <c r="A9732" s="1" t="s">
        <v>9767</v>
      </c>
      <c r="B9732" s="1" t="s">
        <v>41</v>
      </c>
      <c r="C9732" s="1" t="n">
        <v>285000</v>
      </c>
      <c r="D9732" s="1" t="n">
        <v>391.8</v>
      </c>
      <c r="E9732" s="1" t="n">
        <v>0.0093</v>
      </c>
      <c r="F9732" s="1" t="n">
        <v>0.0811</v>
      </c>
    </row>
    <row r="9733" customFormat="false" ht="15" hidden="false" customHeight="false" outlineLevel="0" collapsed="false">
      <c r="A9733" s="1" t="s">
        <v>9768</v>
      </c>
      <c r="B9733" s="1" t="s">
        <v>74</v>
      </c>
      <c r="C9733" s="1" t="n">
        <v>247000</v>
      </c>
      <c r="D9733" s="1" t="n">
        <v>3077.9</v>
      </c>
      <c r="F9733" s="1" t="n">
        <v>0.0409</v>
      </c>
    </row>
    <row r="9734" customFormat="false" ht="15" hidden="false" customHeight="false" outlineLevel="0" collapsed="false">
      <c r="A9734" s="1" t="s">
        <v>9769</v>
      </c>
      <c r="B9734" s="1" t="s">
        <v>26</v>
      </c>
      <c r="C9734" s="1" t="n">
        <v>154000</v>
      </c>
      <c r="D9734" s="1" t="n">
        <v>11276</v>
      </c>
      <c r="E9734" s="1" t="n">
        <v>0.0406</v>
      </c>
      <c r="F9734" s="1" t="n">
        <v>0.0409</v>
      </c>
    </row>
    <row r="9735" customFormat="false" ht="15" hidden="false" customHeight="false" outlineLevel="0" collapsed="false">
      <c r="A9735" s="1" t="s">
        <v>9770</v>
      </c>
      <c r="B9735" s="1" t="s">
        <v>71</v>
      </c>
      <c r="C9735" s="1" t="n">
        <v>336000</v>
      </c>
      <c r="D9735" s="1" t="n">
        <v>27704.2</v>
      </c>
      <c r="E9735" s="1" t="n">
        <v>0.0205</v>
      </c>
      <c r="F9735" s="1" t="n">
        <v>0.0854</v>
      </c>
    </row>
    <row r="9736" customFormat="false" ht="15" hidden="false" customHeight="false" outlineLevel="0" collapsed="false">
      <c r="A9736" s="1" t="s">
        <v>9771</v>
      </c>
      <c r="B9736" s="1" t="s">
        <v>74</v>
      </c>
      <c r="C9736" s="1" t="n">
        <v>171000</v>
      </c>
      <c r="F9736" s="1" t="n">
        <v>0.0759</v>
      </c>
    </row>
    <row r="9737" customFormat="false" ht="15" hidden="false" customHeight="false" outlineLevel="0" collapsed="false">
      <c r="A9737" s="1" t="s">
        <v>9772</v>
      </c>
      <c r="B9737" s="1" t="s">
        <v>74</v>
      </c>
      <c r="C9737" s="1" t="n">
        <v>236000</v>
      </c>
      <c r="D9737" s="1" t="n">
        <v>7477.7</v>
      </c>
      <c r="E9737" s="1" t="n">
        <v>0.0574</v>
      </c>
      <c r="F9737" s="1" t="n">
        <v>0.0759</v>
      </c>
    </row>
    <row r="9738" customFormat="false" ht="15" hidden="false" customHeight="false" outlineLevel="0" collapsed="false">
      <c r="A9738" s="1" t="s">
        <v>9773</v>
      </c>
      <c r="B9738" s="1" t="s">
        <v>74</v>
      </c>
      <c r="C9738" s="1" t="n">
        <v>189000</v>
      </c>
      <c r="D9738" s="1" t="n">
        <v>2090.4</v>
      </c>
      <c r="E9738" s="1" t="n">
        <v>0.0619</v>
      </c>
      <c r="F9738" s="1" t="n">
        <v>0.0759</v>
      </c>
    </row>
    <row r="9739" customFormat="false" ht="15" hidden="false" customHeight="false" outlineLevel="0" collapsed="false">
      <c r="A9739" s="1" t="s">
        <v>9774</v>
      </c>
      <c r="B9739" s="1" t="s">
        <v>26</v>
      </c>
      <c r="C9739" s="1" t="n">
        <v>152000</v>
      </c>
      <c r="D9739" s="1" t="n">
        <v>1381.9</v>
      </c>
      <c r="E9739" s="1" t="n">
        <v>0.0228</v>
      </c>
      <c r="F9739" s="1" t="n">
        <v>0.3868</v>
      </c>
    </row>
    <row r="9740" customFormat="false" ht="15" hidden="false" customHeight="false" outlineLevel="0" collapsed="false">
      <c r="A9740" s="1" t="s">
        <v>9775</v>
      </c>
      <c r="B9740" s="1" t="s">
        <v>88</v>
      </c>
      <c r="C9740" s="1" t="n">
        <v>182000</v>
      </c>
      <c r="D9740" s="1" t="n">
        <v>2719.1</v>
      </c>
      <c r="E9740" s="1" t="n">
        <v>0.0525</v>
      </c>
      <c r="F9740" s="1" t="n">
        <v>0.0938</v>
      </c>
    </row>
    <row r="9741" customFormat="false" ht="15" hidden="false" customHeight="false" outlineLevel="0" collapsed="false">
      <c r="A9741" s="1" t="s">
        <v>9776</v>
      </c>
      <c r="B9741" s="1" t="s">
        <v>490</v>
      </c>
      <c r="C9741" s="1" t="n">
        <v>248000</v>
      </c>
      <c r="D9741" s="1" t="n">
        <v>2258.6</v>
      </c>
      <c r="E9741" s="1" t="n">
        <v>0.0298</v>
      </c>
      <c r="F9741" s="1" t="n">
        <v>0.0938</v>
      </c>
    </row>
    <row r="9742" customFormat="false" ht="15" hidden="false" customHeight="false" outlineLevel="0" collapsed="false">
      <c r="A9742" s="1" t="s">
        <v>9777</v>
      </c>
      <c r="B9742" s="1" t="s">
        <v>74</v>
      </c>
      <c r="C9742" s="1" t="n">
        <v>175000</v>
      </c>
      <c r="D9742" s="1" t="n">
        <v>38476</v>
      </c>
      <c r="E9742" s="1" t="n">
        <v>0.1023</v>
      </c>
      <c r="F9742" s="1" t="n">
        <v>0.0951</v>
      </c>
    </row>
    <row r="9743" customFormat="false" ht="15" hidden="false" customHeight="false" outlineLevel="0" collapsed="false">
      <c r="A9743" s="1" t="s">
        <v>9778</v>
      </c>
      <c r="B9743" s="1" t="s">
        <v>53</v>
      </c>
      <c r="C9743" s="1" t="n">
        <v>233000</v>
      </c>
      <c r="D9743" s="1" t="n">
        <v>2104.6</v>
      </c>
      <c r="E9743" s="1" t="n">
        <v>0.0124</v>
      </c>
      <c r="F9743" s="1" t="n">
        <v>0.0811</v>
      </c>
    </row>
    <row r="9744" customFormat="false" ht="15" hidden="false" customHeight="false" outlineLevel="0" collapsed="false">
      <c r="A9744" s="1" t="s">
        <v>9779</v>
      </c>
      <c r="B9744" s="1" t="s">
        <v>88</v>
      </c>
      <c r="C9744" s="1" t="n">
        <v>368000</v>
      </c>
      <c r="D9744" s="1" t="n">
        <v>12767.5</v>
      </c>
      <c r="E9744" s="1" t="n">
        <v>0.0677</v>
      </c>
      <c r="F9744" s="1" t="n">
        <v>0.0759</v>
      </c>
    </row>
    <row r="9745" customFormat="false" ht="15" hidden="false" customHeight="false" outlineLevel="0" collapsed="false">
      <c r="A9745" s="1" t="s">
        <v>9780</v>
      </c>
      <c r="B9745" s="1" t="s">
        <v>26</v>
      </c>
      <c r="C9745" s="1" t="n">
        <v>152000</v>
      </c>
      <c r="D9745" s="1" t="n">
        <v>15607.5</v>
      </c>
      <c r="E9745" s="1" t="n">
        <v>0.0553</v>
      </c>
      <c r="F9745" s="1" t="n">
        <v>0.0951</v>
      </c>
    </row>
    <row r="9746" customFormat="false" ht="15" hidden="false" customHeight="false" outlineLevel="0" collapsed="false">
      <c r="A9746" s="1" t="s">
        <v>9781</v>
      </c>
      <c r="B9746" s="1" t="s">
        <v>81</v>
      </c>
      <c r="C9746" s="1" t="n">
        <v>165000</v>
      </c>
      <c r="D9746" s="1" t="n">
        <v>3581.1</v>
      </c>
      <c r="E9746" s="1" t="n">
        <v>0.0066</v>
      </c>
      <c r="F9746" s="1" t="n">
        <v>0.0822</v>
      </c>
    </row>
    <row r="9747" customFormat="false" ht="15" hidden="false" customHeight="false" outlineLevel="0" collapsed="false">
      <c r="A9747" s="1" t="s">
        <v>9782</v>
      </c>
      <c r="B9747" s="1" t="s">
        <v>26</v>
      </c>
      <c r="C9747" s="1" t="n">
        <v>271000</v>
      </c>
      <c r="D9747" s="1" t="n">
        <v>27617.9</v>
      </c>
      <c r="E9747" s="1" t="n">
        <v>0.0371</v>
      </c>
      <c r="F9747" s="1" t="n">
        <v>0.051</v>
      </c>
    </row>
    <row r="9748" customFormat="false" ht="15" hidden="false" customHeight="false" outlineLevel="0" collapsed="false">
      <c r="A9748" s="1" t="s">
        <v>9783</v>
      </c>
      <c r="B9748" s="1" t="s">
        <v>41</v>
      </c>
      <c r="C9748" s="1" t="n">
        <v>155000</v>
      </c>
      <c r="D9748" s="1" t="n">
        <v>313.4</v>
      </c>
      <c r="E9748" s="1" t="n">
        <v>0.0329</v>
      </c>
      <c r="F9748" s="1" t="n">
        <v>0.0951</v>
      </c>
    </row>
    <row r="9749" customFormat="false" ht="15" hidden="false" customHeight="false" outlineLevel="0" collapsed="false">
      <c r="A9749" s="1" t="s">
        <v>9784</v>
      </c>
      <c r="B9749" s="1" t="s">
        <v>92</v>
      </c>
      <c r="C9749" s="1" t="n">
        <v>527000</v>
      </c>
      <c r="D9749" s="1" t="n">
        <v>74167.7</v>
      </c>
      <c r="E9749" s="1" t="n">
        <v>0.0252</v>
      </c>
      <c r="F9749" s="1" t="n">
        <v>0.051</v>
      </c>
    </row>
    <row r="9750" customFormat="false" ht="15" hidden="false" customHeight="false" outlineLevel="0" collapsed="false">
      <c r="A9750" s="1" t="s">
        <v>9785</v>
      </c>
      <c r="B9750" s="1" t="s">
        <v>24</v>
      </c>
      <c r="C9750" s="1" t="n">
        <v>207000</v>
      </c>
      <c r="D9750" s="1" t="n">
        <v>4649.7</v>
      </c>
      <c r="E9750" s="1" t="n">
        <v>0.0536</v>
      </c>
      <c r="F9750" s="1" t="n">
        <v>0.0759</v>
      </c>
    </row>
    <row r="9751" customFormat="false" ht="15" hidden="false" customHeight="false" outlineLevel="0" collapsed="false">
      <c r="A9751" s="1" t="s">
        <v>9786</v>
      </c>
      <c r="B9751" s="1" t="s">
        <v>53</v>
      </c>
      <c r="C9751" s="1" t="n">
        <v>209000</v>
      </c>
      <c r="D9751" s="1" t="n">
        <v>9402.6</v>
      </c>
      <c r="E9751" s="1" t="n">
        <v>0.0519</v>
      </c>
      <c r="F9751" s="1" t="n">
        <v>0.0938</v>
      </c>
    </row>
    <row r="9752" customFormat="false" ht="15" hidden="false" customHeight="false" outlineLevel="0" collapsed="false">
      <c r="A9752" s="1" t="s">
        <v>9787</v>
      </c>
      <c r="B9752" s="1" t="s">
        <v>26</v>
      </c>
      <c r="C9752" s="1" t="n">
        <v>171000</v>
      </c>
      <c r="D9752" s="1" t="n">
        <v>734.1</v>
      </c>
      <c r="E9752" s="1" t="n">
        <v>0.0416</v>
      </c>
      <c r="F9752" s="1" t="n">
        <v>0.0951</v>
      </c>
    </row>
    <row r="9753" customFormat="false" ht="15" hidden="false" customHeight="false" outlineLevel="0" collapsed="false">
      <c r="A9753" s="1" t="s">
        <v>9788</v>
      </c>
      <c r="B9753" s="1" t="s">
        <v>92</v>
      </c>
      <c r="C9753" s="1" t="n">
        <v>198000</v>
      </c>
      <c r="D9753" s="1" t="n">
        <v>10861.9</v>
      </c>
      <c r="E9753" s="1" t="n">
        <v>0.0374</v>
      </c>
      <c r="F9753" s="1" t="n">
        <v>0.0951</v>
      </c>
    </row>
    <row r="9754" customFormat="false" ht="15" hidden="false" customHeight="false" outlineLevel="0" collapsed="false">
      <c r="A9754" s="1" t="s">
        <v>9789</v>
      </c>
      <c r="B9754" s="1" t="s">
        <v>92</v>
      </c>
      <c r="C9754" s="1" t="n">
        <v>186000</v>
      </c>
      <c r="D9754" s="1" t="n">
        <v>27138</v>
      </c>
      <c r="E9754" s="1" t="n">
        <v>0.0247</v>
      </c>
      <c r="F9754" s="1" t="n">
        <v>0.0759</v>
      </c>
    </row>
    <row r="9755" customFormat="false" ht="15" hidden="false" customHeight="false" outlineLevel="0" collapsed="false">
      <c r="A9755" s="1" t="s">
        <v>9790</v>
      </c>
      <c r="B9755" s="1" t="s">
        <v>26</v>
      </c>
      <c r="C9755" s="1" t="n">
        <v>150000</v>
      </c>
      <c r="D9755" s="1" t="n">
        <v>3752.2</v>
      </c>
      <c r="E9755" s="1" t="n">
        <v>0.028</v>
      </c>
      <c r="F9755" s="1" t="n">
        <v>0.0951</v>
      </c>
    </row>
    <row r="9756" customFormat="false" ht="15" hidden="false" customHeight="false" outlineLevel="0" collapsed="false">
      <c r="A9756" s="1" t="s">
        <v>9791</v>
      </c>
      <c r="B9756" s="1" t="s">
        <v>88</v>
      </c>
      <c r="C9756" s="1" t="n">
        <v>166000</v>
      </c>
      <c r="D9756" s="1" t="n">
        <v>705</v>
      </c>
      <c r="E9756" s="1" t="n">
        <v>0.0435</v>
      </c>
      <c r="F9756" s="1" t="n">
        <v>0.0938</v>
      </c>
    </row>
    <row r="9757" customFormat="false" ht="15" hidden="false" customHeight="false" outlineLevel="0" collapsed="false">
      <c r="A9757" s="1" t="s">
        <v>9792</v>
      </c>
      <c r="B9757" s="1" t="s">
        <v>92</v>
      </c>
      <c r="C9757" s="1" t="n">
        <v>155000</v>
      </c>
      <c r="D9757" s="1" t="n">
        <v>1005.5</v>
      </c>
      <c r="E9757" s="1" t="n">
        <v>0.0081</v>
      </c>
      <c r="F9757" s="1" t="n">
        <v>0.0822</v>
      </c>
    </row>
    <row r="9758" customFormat="false" ht="15" hidden="false" customHeight="false" outlineLevel="0" collapsed="false">
      <c r="A9758" s="1" t="s">
        <v>9793</v>
      </c>
      <c r="B9758" s="1" t="s">
        <v>26</v>
      </c>
      <c r="C9758" s="1" t="n">
        <v>417000</v>
      </c>
      <c r="D9758" s="1" t="n">
        <v>26470.5</v>
      </c>
      <c r="E9758" s="1" t="n">
        <v>0.022</v>
      </c>
      <c r="F9758" s="1" t="n">
        <v>0.0951</v>
      </c>
    </row>
    <row r="9759" customFormat="false" ht="15" hidden="false" customHeight="false" outlineLevel="0" collapsed="false">
      <c r="A9759" s="1" t="s">
        <v>9794</v>
      </c>
      <c r="B9759" s="1" t="s">
        <v>81</v>
      </c>
      <c r="C9759" s="1" t="n">
        <v>164000</v>
      </c>
      <c r="D9759" s="1" t="n">
        <v>3388.7</v>
      </c>
      <c r="E9759" s="1" t="n">
        <v>0.0595</v>
      </c>
      <c r="F9759" s="1" t="n">
        <v>0.0951</v>
      </c>
    </row>
    <row r="9760" customFormat="false" ht="15" hidden="false" customHeight="false" outlineLevel="0" collapsed="false">
      <c r="A9760" s="1" t="s">
        <v>9795</v>
      </c>
      <c r="B9760" s="1" t="s">
        <v>26</v>
      </c>
      <c r="C9760" s="1" t="n">
        <v>237000</v>
      </c>
      <c r="D9760" s="1" t="n">
        <v>13097</v>
      </c>
      <c r="E9760" s="1" t="n">
        <v>0.0481</v>
      </c>
      <c r="F9760" s="1" t="n">
        <v>0.1168</v>
      </c>
    </row>
    <row r="9761" customFormat="false" ht="15" hidden="false" customHeight="false" outlineLevel="0" collapsed="false">
      <c r="A9761" s="1" t="s">
        <v>9796</v>
      </c>
      <c r="B9761" s="1" t="s">
        <v>24</v>
      </c>
      <c r="C9761" s="1" t="n">
        <v>155000</v>
      </c>
      <c r="D9761" s="1" t="n">
        <v>995.4</v>
      </c>
      <c r="E9761" s="1" t="n">
        <v>0.0321</v>
      </c>
      <c r="F9761" s="1" t="n">
        <v>0.0938</v>
      </c>
    </row>
    <row r="9762" customFormat="false" ht="15" hidden="false" customHeight="false" outlineLevel="0" collapsed="false">
      <c r="A9762" s="1" t="s">
        <v>9797</v>
      </c>
      <c r="B9762" s="1" t="s">
        <v>53</v>
      </c>
      <c r="C9762" s="1" t="n">
        <v>449000</v>
      </c>
      <c r="D9762" s="1" t="n">
        <v>153269.5</v>
      </c>
      <c r="E9762" s="1" t="n">
        <v>0.0499</v>
      </c>
      <c r="F9762" s="1" t="n">
        <v>0.0759</v>
      </c>
    </row>
    <row r="9763" customFormat="false" ht="15" hidden="false" customHeight="false" outlineLevel="0" collapsed="false">
      <c r="A9763" s="1" t="s">
        <v>9798</v>
      </c>
      <c r="B9763" s="1" t="s">
        <v>74</v>
      </c>
      <c r="C9763" s="1" t="n">
        <v>174000</v>
      </c>
      <c r="D9763" s="1" t="n">
        <v>33839</v>
      </c>
      <c r="E9763" s="1" t="n">
        <v>0.0311</v>
      </c>
      <c r="F9763" s="1" t="n">
        <v>0.0951</v>
      </c>
    </row>
    <row r="9764" customFormat="false" ht="15" hidden="false" customHeight="false" outlineLevel="0" collapsed="false">
      <c r="A9764" s="1" t="s">
        <v>9799</v>
      </c>
      <c r="B9764" s="1" t="s">
        <v>41</v>
      </c>
      <c r="C9764" s="1" t="n">
        <v>261000</v>
      </c>
      <c r="D9764" s="1" t="n">
        <v>25.5</v>
      </c>
      <c r="E9764" s="1" t="n">
        <v>0.1059</v>
      </c>
      <c r="F9764" s="1" t="n">
        <v>0.3024</v>
      </c>
    </row>
    <row r="9765" customFormat="false" ht="15" hidden="false" customHeight="false" outlineLevel="0" collapsed="false">
      <c r="A9765" s="1" t="s">
        <v>9800</v>
      </c>
      <c r="B9765" s="1" t="s">
        <v>214</v>
      </c>
      <c r="C9765" s="1" t="n">
        <v>158000</v>
      </c>
      <c r="D9765" s="1" t="n">
        <v>952.4</v>
      </c>
      <c r="E9765" s="1" t="n">
        <v>0.0101</v>
      </c>
      <c r="F9765" s="1" t="n">
        <v>0.0822</v>
      </c>
    </row>
    <row r="9766" customFormat="false" ht="15" hidden="false" customHeight="false" outlineLevel="0" collapsed="false">
      <c r="A9766" s="1" t="s">
        <v>9801</v>
      </c>
      <c r="B9766" s="1" t="s">
        <v>50</v>
      </c>
      <c r="C9766" s="1" t="n">
        <v>162000</v>
      </c>
      <c r="D9766" s="1" t="n">
        <v>2594.3</v>
      </c>
      <c r="E9766" s="1" t="n">
        <v>0.0619</v>
      </c>
      <c r="F9766" s="1" t="n">
        <v>0.3095</v>
      </c>
    </row>
    <row r="9767" customFormat="false" ht="15" hidden="false" customHeight="false" outlineLevel="0" collapsed="false">
      <c r="A9767" s="1" t="s">
        <v>9802</v>
      </c>
      <c r="B9767" s="1" t="s">
        <v>26</v>
      </c>
      <c r="C9767" s="1" t="n">
        <v>156000</v>
      </c>
      <c r="D9767" s="1" t="n">
        <v>801.2</v>
      </c>
      <c r="E9767" s="1" t="n">
        <v>0.0145</v>
      </c>
      <c r="F9767" s="1" t="n">
        <v>0.0462</v>
      </c>
    </row>
    <row r="9768" customFormat="false" ht="15" hidden="false" customHeight="false" outlineLevel="0" collapsed="false">
      <c r="A9768" s="1" t="s">
        <v>9803</v>
      </c>
      <c r="B9768" s="1" t="s">
        <v>24</v>
      </c>
      <c r="C9768" s="1" t="n">
        <v>170000</v>
      </c>
      <c r="D9768" s="1" t="n">
        <v>435.3</v>
      </c>
      <c r="E9768" s="1" t="n">
        <v>0.0262</v>
      </c>
      <c r="F9768" s="1" t="n">
        <v>0.0759</v>
      </c>
    </row>
    <row r="9769" customFormat="false" ht="15" hidden="false" customHeight="false" outlineLevel="0" collapsed="false">
      <c r="A9769" s="1" t="s">
        <v>9804</v>
      </c>
      <c r="B9769" s="1" t="s">
        <v>26</v>
      </c>
      <c r="C9769" s="1" t="n">
        <v>157000</v>
      </c>
      <c r="D9769" s="1" t="n">
        <v>597934.2</v>
      </c>
      <c r="E9769" s="1" t="n">
        <v>0.0243</v>
      </c>
      <c r="F9769" s="1" t="n">
        <v>0.0518</v>
      </c>
    </row>
    <row r="9770" customFormat="false" ht="15" hidden="false" customHeight="false" outlineLevel="0" collapsed="false">
      <c r="A9770" s="1" t="s">
        <v>9805</v>
      </c>
      <c r="B9770" s="1" t="s">
        <v>26</v>
      </c>
      <c r="C9770" s="1" t="n">
        <v>325000</v>
      </c>
      <c r="D9770" s="1" t="n">
        <v>5837450.9</v>
      </c>
      <c r="E9770" s="1" t="n">
        <v>0.0322</v>
      </c>
      <c r="F9770" s="1" t="n">
        <v>0.0951</v>
      </c>
    </row>
    <row r="9771" customFormat="false" ht="15" hidden="false" customHeight="false" outlineLevel="0" collapsed="false">
      <c r="A9771" s="1" t="s">
        <v>9806</v>
      </c>
      <c r="B9771" s="1" t="s">
        <v>26</v>
      </c>
      <c r="C9771" s="1" t="n">
        <v>158000</v>
      </c>
      <c r="D9771" s="1" t="n">
        <v>2366603.5</v>
      </c>
      <c r="E9771" s="1" t="n">
        <v>0.0613</v>
      </c>
      <c r="F9771" s="1" t="n">
        <v>0.0518</v>
      </c>
    </row>
    <row r="9772" customFormat="false" ht="15" hidden="false" customHeight="false" outlineLevel="0" collapsed="false">
      <c r="A9772" s="1" t="s">
        <v>9807</v>
      </c>
      <c r="B9772" s="1" t="s">
        <v>92</v>
      </c>
      <c r="C9772" s="1" t="n">
        <v>154000</v>
      </c>
      <c r="D9772" s="1" t="n">
        <v>329</v>
      </c>
      <c r="E9772" s="1" t="n">
        <v>0.0139</v>
      </c>
      <c r="F9772" s="1" t="n">
        <v>0.2051</v>
      </c>
    </row>
    <row r="9773" customFormat="false" ht="15" hidden="false" customHeight="false" outlineLevel="0" collapsed="false">
      <c r="A9773" s="1" t="s">
        <v>9808</v>
      </c>
      <c r="B9773" s="1" t="s">
        <v>81</v>
      </c>
      <c r="C9773" s="1" t="n">
        <v>194000</v>
      </c>
      <c r="D9773" s="1" t="n">
        <v>1889.6</v>
      </c>
      <c r="E9773" s="1" t="n">
        <v>0.0281</v>
      </c>
      <c r="F9773" s="1" t="n">
        <v>0.0409</v>
      </c>
    </row>
    <row r="9774" customFormat="false" ht="15" hidden="false" customHeight="false" outlineLevel="0" collapsed="false">
      <c r="A9774" s="1" t="s">
        <v>9809</v>
      </c>
      <c r="B9774" s="1" t="s">
        <v>26</v>
      </c>
      <c r="C9774" s="1" t="n">
        <v>155000</v>
      </c>
      <c r="D9774" s="1" t="n">
        <v>1795.6</v>
      </c>
      <c r="E9774" s="1" t="n">
        <v>0.0262</v>
      </c>
      <c r="F9774" s="1" t="n">
        <v>0.0462</v>
      </c>
    </row>
    <row r="9775" customFormat="false" ht="15" hidden="false" customHeight="false" outlineLevel="0" collapsed="false">
      <c r="A9775" s="1" t="s">
        <v>9810</v>
      </c>
      <c r="B9775" s="1" t="s">
        <v>53</v>
      </c>
      <c r="C9775" s="1" t="n">
        <v>156000</v>
      </c>
      <c r="D9775" s="1" t="n">
        <v>4375.5</v>
      </c>
      <c r="E9775" s="1" t="n">
        <v>0.0392</v>
      </c>
      <c r="F9775" s="1" t="n">
        <v>0.0951</v>
      </c>
    </row>
    <row r="9776" customFormat="false" ht="15" hidden="false" customHeight="false" outlineLevel="0" collapsed="false">
      <c r="A9776" s="1" t="s">
        <v>9811</v>
      </c>
      <c r="B9776" s="1" t="s">
        <v>92</v>
      </c>
      <c r="C9776" s="1" t="n">
        <v>155000</v>
      </c>
      <c r="D9776" s="1" t="n">
        <v>288777.2</v>
      </c>
      <c r="E9776" s="1" t="n">
        <v>0.0156</v>
      </c>
      <c r="F9776" s="1" t="n">
        <v>0.1067</v>
      </c>
    </row>
    <row r="9777" customFormat="false" ht="15" hidden="false" customHeight="false" outlineLevel="0" collapsed="false">
      <c r="A9777" s="1" t="s">
        <v>9812</v>
      </c>
      <c r="B9777" s="1" t="s">
        <v>88</v>
      </c>
      <c r="C9777" s="1" t="n">
        <v>215000</v>
      </c>
      <c r="D9777" s="1" t="n">
        <v>28674.1</v>
      </c>
      <c r="E9777" s="1" t="n">
        <v>0.0381</v>
      </c>
      <c r="F9777" s="1" t="n">
        <v>0.0759</v>
      </c>
    </row>
    <row r="9778" customFormat="false" ht="15" hidden="false" customHeight="false" outlineLevel="0" collapsed="false">
      <c r="A9778" s="1" t="s">
        <v>9813</v>
      </c>
      <c r="B9778" s="1" t="s">
        <v>88</v>
      </c>
      <c r="C9778" s="1" t="n">
        <v>166000</v>
      </c>
      <c r="D9778" s="1" t="n">
        <v>5756.7</v>
      </c>
      <c r="E9778" s="1" t="n">
        <v>0.0336</v>
      </c>
      <c r="F9778" s="1" t="n">
        <v>0.0951</v>
      </c>
    </row>
    <row r="9779" customFormat="false" ht="15" hidden="false" customHeight="false" outlineLevel="0" collapsed="false">
      <c r="A9779" s="1" t="s">
        <v>9814</v>
      </c>
      <c r="B9779" s="1" t="s">
        <v>88</v>
      </c>
      <c r="C9779" s="1" t="n">
        <v>202000</v>
      </c>
      <c r="D9779" s="1" t="n">
        <v>29584.4</v>
      </c>
      <c r="E9779" s="1" t="n">
        <v>0.0224</v>
      </c>
      <c r="F9779" s="1" t="n">
        <v>0.0951</v>
      </c>
    </row>
    <row r="9780" customFormat="false" ht="15" hidden="false" customHeight="false" outlineLevel="0" collapsed="false">
      <c r="A9780" s="1" t="s">
        <v>9815</v>
      </c>
      <c r="B9780" s="1" t="s">
        <v>88</v>
      </c>
      <c r="C9780" s="1" t="n">
        <v>169000</v>
      </c>
      <c r="D9780" s="1" t="n">
        <v>206.3</v>
      </c>
      <c r="E9780" s="1" t="n">
        <v>0.0136</v>
      </c>
      <c r="F9780" s="1" t="n">
        <v>0.227</v>
      </c>
    </row>
    <row r="9781" customFormat="false" ht="15" hidden="false" customHeight="false" outlineLevel="0" collapsed="false">
      <c r="A9781" s="1" t="s">
        <v>9816</v>
      </c>
      <c r="B9781" s="1" t="s">
        <v>92</v>
      </c>
      <c r="C9781" s="1" t="n">
        <v>332000</v>
      </c>
      <c r="D9781" s="1" t="n">
        <v>111402.8</v>
      </c>
      <c r="E9781" s="1" t="n">
        <v>0.0228</v>
      </c>
      <c r="F9781" s="1" t="n">
        <v>0.0409</v>
      </c>
    </row>
    <row r="9782" customFormat="false" ht="15" hidden="false" customHeight="false" outlineLevel="0" collapsed="false">
      <c r="A9782" s="1" t="s">
        <v>9817</v>
      </c>
      <c r="B9782" s="1" t="s">
        <v>24</v>
      </c>
      <c r="C9782" s="1" t="n">
        <v>196000</v>
      </c>
      <c r="D9782" s="1" t="n">
        <v>371.4</v>
      </c>
      <c r="E9782" s="1" t="n">
        <v>0.0462</v>
      </c>
      <c r="F9782" s="1" t="n">
        <v>0.0938</v>
      </c>
    </row>
    <row r="9783" customFormat="false" ht="15" hidden="false" customHeight="false" outlineLevel="0" collapsed="false">
      <c r="A9783" s="1" t="s">
        <v>9818</v>
      </c>
      <c r="B9783" s="1" t="s">
        <v>88</v>
      </c>
      <c r="C9783" s="1" t="n">
        <v>174000</v>
      </c>
      <c r="D9783" s="1" t="n">
        <v>392663.7</v>
      </c>
      <c r="E9783" s="1" t="n">
        <v>0.0296</v>
      </c>
      <c r="F9783" s="1" t="n">
        <v>0.0951</v>
      </c>
    </row>
    <row r="9784" customFormat="false" ht="15" hidden="false" customHeight="false" outlineLevel="0" collapsed="false">
      <c r="A9784" s="1" t="s">
        <v>9819</v>
      </c>
      <c r="B9784" s="1" t="s">
        <v>195</v>
      </c>
      <c r="C9784" s="1" t="n">
        <v>204000</v>
      </c>
      <c r="D9784" s="1" t="n">
        <v>7312.2</v>
      </c>
      <c r="E9784" s="1" t="n">
        <v>0.0089</v>
      </c>
      <c r="F9784" s="1" t="n">
        <v>0.0811</v>
      </c>
    </row>
    <row r="9785" customFormat="false" ht="15" hidden="false" customHeight="false" outlineLevel="0" collapsed="false">
      <c r="A9785" s="1" t="s">
        <v>9820</v>
      </c>
      <c r="B9785" s="1" t="s">
        <v>71</v>
      </c>
      <c r="C9785" s="1" t="n">
        <v>167000</v>
      </c>
      <c r="D9785" s="1" t="n">
        <v>140812.9</v>
      </c>
      <c r="E9785" s="1" t="n">
        <v>0.0138</v>
      </c>
      <c r="F9785" s="1" t="n">
        <v>0.0736</v>
      </c>
    </row>
    <row r="9786" customFormat="false" ht="15" hidden="false" customHeight="false" outlineLevel="0" collapsed="false">
      <c r="A9786" s="1" t="s">
        <v>9821</v>
      </c>
      <c r="B9786" s="1" t="s">
        <v>62</v>
      </c>
      <c r="C9786" s="1" t="n">
        <v>168000</v>
      </c>
      <c r="D9786" s="1" t="n">
        <v>497</v>
      </c>
      <c r="E9786" s="1" t="n">
        <v>0.0385</v>
      </c>
      <c r="F9786" s="1" t="n">
        <v>0.0951</v>
      </c>
    </row>
    <row r="9787" customFormat="false" ht="15" hidden="false" customHeight="false" outlineLevel="0" collapsed="false">
      <c r="A9787" s="1" t="s">
        <v>9822</v>
      </c>
      <c r="B9787" s="1" t="s">
        <v>26</v>
      </c>
      <c r="C9787" s="1" t="n">
        <v>159000</v>
      </c>
      <c r="D9787" s="1" t="n">
        <v>2622.2</v>
      </c>
      <c r="E9787" s="1" t="n">
        <v>0.015</v>
      </c>
      <c r="F9787" s="1" t="n">
        <v>0.0576</v>
      </c>
    </row>
    <row r="9788" customFormat="false" ht="15" hidden="false" customHeight="false" outlineLevel="0" collapsed="false">
      <c r="A9788" s="1" t="s">
        <v>9823</v>
      </c>
      <c r="B9788" s="1" t="s">
        <v>81</v>
      </c>
      <c r="C9788" s="1" t="n">
        <v>158000</v>
      </c>
      <c r="D9788" s="1" t="n">
        <v>3762.9</v>
      </c>
      <c r="E9788" s="1" t="n">
        <v>0.0152</v>
      </c>
      <c r="F9788" s="1" t="n">
        <v>0.095</v>
      </c>
    </row>
    <row r="9789" customFormat="false" ht="15" hidden="false" customHeight="false" outlineLevel="0" collapsed="false">
      <c r="A9789" s="1" t="s">
        <v>9824</v>
      </c>
      <c r="B9789" s="1" t="s">
        <v>26</v>
      </c>
      <c r="C9789" s="1" t="n">
        <v>246000</v>
      </c>
      <c r="D9789" s="1" t="n">
        <v>319189</v>
      </c>
      <c r="E9789" s="1" t="n">
        <v>0.0649</v>
      </c>
      <c r="F9789" s="1" t="n">
        <v>0.0759</v>
      </c>
    </row>
    <row r="9790" customFormat="false" ht="15" hidden="false" customHeight="false" outlineLevel="0" collapsed="false">
      <c r="A9790" s="1" t="s">
        <v>9825</v>
      </c>
      <c r="B9790" s="1" t="s">
        <v>88</v>
      </c>
      <c r="C9790" s="1" t="n">
        <v>213000</v>
      </c>
      <c r="D9790" s="1" t="n">
        <v>183.8</v>
      </c>
      <c r="E9790" s="1" t="n">
        <v>0.0519</v>
      </c>
      <c r="F9790" s="1" t="n">
        <v>0.0938</v>
      </c>
    </row>
    <row r="9791" customFormat="false" ht="15" hidden="false" customHeight="false" outlineLevel="0" collapsed="false">
      <c r="A9791" s="1" t="s">
        <v>9826</v>
      </c>
      <c r="B9791" s="1" t="s">
        <v>30</v>
      </c>
      <c r="C9791" s="1" t="n">
        <v>167000</v>
      </c>
      <c r="D9791" s="1" t="n">
        <v>99081.6</v>
      </c>
      <c r="E9791" s="1" t="n">
        <v>0.0273</v>
      </c>
      <c r="F9791" s="1" t="n">
        <v>0.0951</v>
      </c>
    </row>
    <row r="9792" customFormat="false" ht="15" hidden="false" customHeight="false" outlineLevel="0" collapsed="false">
      <c r="A9792" s="1" t="s">
        <v>9827</v>
      </c>
      <c r="B9792" s="1" t="s">
        <v>53</v>
      </c>
      <c r="C9792" s="1" t="n">
        <v>253000</v>
      </c>
      <c r="D9792" s="1" t="n">
        <v>20806.9</v>
      </c>
      <c r="E9792" s="1" t="n">
        <v>0.0316</v>
      </c>
      <c r="F9792" s="1" t="n">
        <v>0.0951</v>
      </c>
    </row>
    <row r="9793" customFormat="false" ht="15" hidden="false" customHeight="false" outlineLevel="0" collapsed="false">
      <c r="A9793" s="1" t="s">
        <v>9828</v>
      </c>
      <c r="B9793" s="1" t="s">
        <v>26</v>
      </c>
      <c r="C9793" s="1" t="n">
        <v>1130000</v>
      </c>
      <c r="D9793" s="1" t="n">
        <v>99424.3</v>
      </c>
      <c r="E9793" s="1" t="n">
        <v>0.067</v>
      </c>
      <c r="F9793" s="1" t="n">
        <v>0.0759</v>
      </c>
    </row>
    <row r="9794" customFormat="false" ht="15" hidden="false" customHeight="false" outlineLevel="0" collapsed="false">
      <c r="A9794" s="1" t="s">
        <v>9829</v>
      </c>
      <c r="B9794" s="1" t="s">
        <v>287</v>
      </c>
      <c r="C9794" s="1" t="n">
        <v>157000</v>
      </c>
      <c r="D9794" s="1" t="n">
        <v>4135.7</v>
      </c>
      <c r="E9794" s="1" t="n">
        <v>0.0099</v>
      </c>
      <c r="F9794" s="1" t="n">
        <v>0.1262</v>
      </c>
    </row>
    <row r="9795" customFormat="false" ht="15" hidden="false" customHeight="false" outlineLevel="0" collapsed="false">
      <c r="A9795" s="1" t="s">
        <v>9830</v>
      </c>
      <c r="B9795" s="1" t="s">
        <v>24</v>
      </c>
      <c r="C9795" s="1" t="n">
        <v>226000</v>
      </c>
      <c r="D9795" s="1" t="n">
        <v>67035.5</v>
      </c>
      <c r="E9795" s="1" t="n">
        <v>0.0289</v>
      </c>
      <c r="F9795" s="1" t="n">
        <v>0.1243</v>
      </c>
    </row>
    <row r="9796" customFormat="false" ht="15" hidden="false" customHeight="false" outlineLevel="0" collapsed="false">
      <c r="A9796" s="1" t="s">
        <v>9831</v>
      </c>
      <c r="B9796" s="1" t="s">
        <v>26</v>
      </c>
      <c r="C9796" s="1" t="n">
        <v>269000</v>
      </c>
      <c r="D9796" s="1" t="n">
        <v>3926.8</v>
      </c>
      <c r="E9796" s="1" t="n">
        <v>0.0581</v>
      </c>
      <c r="F9796" s="1" t="n">
        <v>0.0938</v>
      </c>
    </row>
    <row r="9797" customFormat="false" ht="15" hidden="false" customHeight="false" outlineLevel="0" collapsed="false">
      <c r="A9797" s="1" t="s">
        <v>9832</v>
      </c>
      <c r="B9797" s="1" t="s">
        <v>92</v>
      </c>
      <c r="C9797" s="1" t="n">
        <v>168000</v>
      </c>
      <c r="D9797" s="1" t="n">
        <v>1114.2</v>
      </c>
      <c r="E9797" s="1" t="n">
        <v>0.0232</v>
      </c>
      <c r="F9797" s="1" t="n">
        <v>0.3834</v>
      </c>
    </row>
    <row r="9798" customFormat="false" ht="15" hidden="false" customHeight="false" outlineLevel="0" collapsed="false">
      <c r="A9798" s="1" t="s">
        <v>9833</v>
      </c>
      <c r="B9798" s="1" t="s">
        <v>26</v>
      </c>
      <c r="C9798" s="1" t="n">
        <v>147000</v>
      </c>
      <c r="D9798" s="1" t="n">
        <v>3328.1</v>
      </c>
      <c r="E9798" s="1" t="n">
        <v>0.0309</v>
      </c>
      <c r="F9798" s="1" t="n">
        <v>0.0951</v>
      </c>
    </row>
    <row r="9799" customFormat="false" ht="15" hidden="false" customHeight="false" outlineLevel="0" collapsed="false">
      <c r="A9799" s="1" t="s">
        <v>9834</v>
      </c>
      <c r="B9799" s="1" t="s">
        <v>26</v>
      </c>
      <c r="C9799" s="1" t="n">
        <v>156000</v>
      </c>
      <c r="D9799" s="1" t="n">
        <v>2480.9</v>
      </c>
      <c r="E9799" s="1" t="n">
        <v>0.0387</v>
      </c>
      <c r="F9799" s="1" t="n">
        <v>0.0759</v>
      </c>
    </row>
    <row r="9800" customFormat="false" ht="15" hidden="false" customHeight="false" outlineLevel="0" collapsed="false">
      <c r="A9800" s="1" t="s">
        <v>9835</v>
      </c>
      <c r="B9800" s="1" t="s">
        <v>214</v>
      </c>
      <c r="C9800" s="1" t="n">
        <v>2480000</v>
      </c>
      <c r="D9800" s="1" t="n">
        <v>17811.5</v>
      </c>
      <c r="E9800" s="1" t="n">
        <v>0.005</v>
      </c>
      <c r="F9800" s="1" t="n">
        <v>0.0811</v>
      </c>
    </row>
    <row r="9801" customFormat="false" ht="15" hidden="false" customHeight="false" outlineLevel="0" collapsed="false">
      <c r="A9801" s="1" t="s">
        <v>9836</v>
      </c>
      <c r="B9801" s="1" t="s">
        <v>28</v>
      </c>
      <c r="C9801" s="1" t="n">
        <v>271000</v>
      </c>
      <c r="D9801" s="1" t="n">
        <v>1237.8</v>
      </c>
      <c r="E9801" s="1" t="n">
        <v>0.0125</v>
      </c>
      <c r="F9801" s="1" t="n">
        <v>0.0821</v>
      </c>
    </row>
    <row r="9802" customFormat="false" ht="15" hidden="false" customHeight="false" outlineLevel="0" collapsed="false">
      <c r="A9802" s="1" t="s">
        <v>9837</v>
      </c>
      <c r="B9802" s="1" t="s">
        <v>41</v>
      </c>
      <c r="C9802" s="1" t="n">
        <v>371000</v>
      </c>
      <c r="D9802" s="1" t="n">
        <v>52.2</v>
      </c>
      <c r="E9802" s="1" t="n">
        <v>0.0075</v>
      </c>
      <c r="F9802" s="1" t="n">
        <v>0.2371</v>
      </c>
    </row>
    <row r="9803" customFormat="false" ht="15" hidden="false" customHeight="false" outlineLevel="0" collapsed="false">
      <c r="A9803" s="1" t="s">
        <v>9838</v>
      </c>
      <c r="B9803" s="1" t="s">
        <v>81</v>
      </c>
      <c r="C9803" s="1" t="n">
        <v>221000</v>
      </c>
      <c r="D9803" s="1" t="n">
        <v>5964.3</v>
      </c>
      <c r="E9803" s="1" t="n">
        <v>0.0157</v>
      </c>
      <c r="F9803" s="1" t="n">
        <v>0.0462</v>
      </c>
    </row>
    <row r="9804" customFormat="false" ht="15" hidden="false" customHeight="false" outlineLevel="0" collapsed="false">
      <c r="A9804" s="1" t="s">
        <v>9839</v>
      </c>
      <c r="B9804" s="1" t="s">
        <v>92</v>
      </c>
      <c r="C9804" s="1" t="n">
        <v>262000</v>
      </c>
      <c r="D9804" s="1" t="n">
        <v>38429.2</v>
      </c>
      <c r="E9804" s="1" t="n">
        <v>0.0239</v>
      </c>
      <c r="F9804" s="1" t="n">
        <v>0.0518</v>
      </c>
    </row>
    <row r="9805" customFormat="false" ht="15" hidden="false" customHeight="false" outlineLevel="0" collapsed="false">
      <c r="A9805" s="1" t="s">
        <v>9840</v>
      </c>
      <c r="B9805" s="1" t="s">
        <v>81</v>
      </c>
      <c r="C9805" s="1" t="n">
        <v>183000</v>
      </c>
      <c r="D9805" s="1" t="n">
        <v>1065.6</v>
      </c>
      <c r="E9805" s="1" t="n">
        <v>0.0057</v>
      </c>
      <c r="F9805" s="1" t="n">
        <v>0.073</v>
      </c>
    </row>
    <row r="9806" customFormat="false" ht="15" hidden="false" customHeight="false" outlineLevel="0" collapsed="false">
      <c r="A9806" s="1" t="s">
        <v>9841</v>
      </c>
      <c r="B9806" s="1" t="s">
        <v>74</v>
      </c>
      <c r="C9806" s="1" t="n">
        <v>156000</v>
      </c>
      <c r="D9806" s="1" t="n">
        <v>1838.6</v>
      </c>
      <c r="E9806" s="1" t="n">
        <v>0.0818</v>
      </c>
      <c r="F9806" s="1" t="n">
        <v>0.0759</v>
      </c>
    </row>
    <row r="9807" customFormat="false" ht="15" hidden="false" customHeight="false" outlineLevel="0" collapsed="false">
      <c r="A9807" s="1" t="s">
        <v>9842</v>
      </c>
      <c r="B9807" s="1" t="s">
        <v>26</v>
      </c>
      <c r="C9807" s="1" t="n">
        <v>142000</v>
      </c>
      <c r="D9807" s="1" t="n">
        <v>2398.6</v>
      </c>
      <c r="E9807" s="1" t="n">
        <v>0.0134</v>
      </c>
      <c r="F9807" s="1" t="n">
        <v>0.0822</v>
      </c>
    </row>
    <row r="9808" customFormat="false" ht="15" hidden="false" customHeight="false" outlineLevel="0" collapsed="false">
      <c r="A9808" s="1" t="s">
        <v>9843</v>
      </c>
      <c r="B9808" s="1" t="s">
        <v>24</v>
      </c>
      <c r="C9808" s="1" t="n">
        <v>178000</v>
      </c>
      <c r="D9808" s="1" t="n">
        <v>2828.6</v>
      </c>
      <c r="E9808" s="1" t="n">
        <v>0.0122</v>
      </c>
      <c r="F9808" s="1" t="n">
        <v>0.0585</v>
      </c>
    </row>
    <row r="9809" customFormat="false" ht="15" hidden="false" customHeight="false" outlineLevel="0" collapsed="false">
      <c r="A9809" s="1" t="s">
        <v>9844</v>
      </c>
      <c r="B9809" s="1" t="s">
        <v>50</v>
      </c>
      <c r="C9809" s="1" t="n">
        <v>282000</v>
      </c>
      <c r="D9809" s="1" t="n">
        <v>207109.5</v>
      </c>
      <c r="E9809" s="1" t="n">
        <v>0.0246</v>
      </c>
      <c r="F9809" s="1" t="n">
        <v>0.0759</v>
      </c>
    </row>
    <row r="9810" customFormat="false" ht="15" hidden="false" customHeight="false" outlineLevel="0" collapsed="false">
      <c r="A9810" s="1" t="s">
        <v>9845</v>
      </c>
      <c r="B9810" s="1" t="s">
        <v>41</v>
      </c>
      <c r="C9810" s="1" t="n">
        <v>233000</v>
      </c>
      <c r="D9810" s="1" t="n">
        <v>16905.6</v>
      </c>
      <c r="E9810" s="1" t="n">
        <v>0.0095</v>
      </c>
      <c r="F9810" s="1" t="n">
        <v>0.0822</v>
      </c>
    </row>
    <row r="9811" customFormat="false" ht="15" hidden="false" customHeight="false" outlineLevel="0" collapsed="false">
      <c r="A9811" s="1" t="s">
        <v>9846</v>
      </c>
      <c r="B9811" s="1" t="s">
        <v>71</v>
      </c>
      <c r="C9811" s="1" t="n">
        <v>249000</v>
      </c>
      <c r="D9811" s="1" t="n">
        <v>31151.2</v>
      </c>
      <c r="E9811" s="1" t="n">
        <v>0.0699</v>
      </c>
      <c r="F9811" s="1" t="n">
        <v>0.0759</v>
      </c>
    </row>
    <row r="9812" customFormat="false" ht="15" hidden="false" customHeight="false" outlineLevel="0" collapsed="false">
      <c r="A9812" s="1" t="s">
        <v>9847</v>
      </c>
      <c r="B9812" s="1" t="s">
        <v>50</v>
      </c>
      <c r="C9812" s="1" t="n">
        <v>158000</v>
      </c>
      <c r="D9812" s="1" t="n">
        <v>12113.2</v>
      </c>
      <c r="E9812" s="1" t="n">
        <v>0.0425</v>
      </c>
      <c r="F9812" s="1" t="n">
        <v>0.0938</v>
      </c>
    </row>
    <row r="9813" customFormat="false" ht="15" hidden="false" customHeight="false" outlineLevel="0" collapsed="false">
      <c r="A9813" s="1" t="s">
        <v>9848</v>
      </c>
      <c r="B9813" s="1" t="s">
        <v>21</v>
      </c>
      <c r="C9813" s="1" t="n">
        <v>188000</v>
      </c>
      <c r="D9813" s="1" t="n">
        <v>381.9</v>
      </c>
      <c r="E9813" s="1" t="n">
        <v>0.046</v>
      </c>
      <c r="F9813" s="1" t="n">
        <v>0.051</v>
      </c>
    </row>
    <row r="9814" customFormat="false" ht="15" hidden="false" customHeight="false" outlineLevel="0" collapsed="false">
      <c r="A9814" s="1" t="s">
        <v>9849</v>
      </c>
      <c r="B9814" s="1" t="s">
        <v>26</v>
      </c>
      <c r="C9814" s="1" t="n">
        <v>145000</v>
      </c>
      <c r="D9814" s="1" t="n">
        <v>1679</v>
      </c>
      <c r="E9814" s="1" t="n">
        <v>0.0368</v>
      </c>
      <c r="F9814" s="1" t="n">
        <v>0.3042</v>
      </c>
    </row>
    <row r="9815" customFormat="false" ht="15" hidden="false" customHeight="false" outlineLevel="0" collapsed="false">
      <c r="A9815" s="1" t="s">
        <v>9850</v>
      </c>
      <c r="B9815" s="1" t="s">
        <v>214</v>
      </c>
      <c r="C9815" s="1" t="n">
        <v>146000</v>
      </c>
      <c r="D9815" s="1" t="n">
        <v>655</v>
      </c>
      <c r="E9815" s="1" t="n">
        <v>0.0666</v>
      </c>
      <c r="F9815" s="1" t="n">
        <v>0.1243</v>
      </c>
    </row>
    <row r="9816" customFormat="false" ht="15" hidden="false" customHeight="false" outlineLevel="0" collapsed="false">
      <c r="A9816" s="1" t="s">
        <v>9851</v>
      </c>
      <c r="B9816" s="1" t="s">
        <v>92</v>
      </c>
      <c r="C9816" s="1" t="n">
        <v>182000</v>
      </c>
      <c r="D9816" s="1" t="n">
        <v>8216.9</v>
      </c>
      <c r="E9816" s="1" t="n">
        <v>0.0302</v>
      </c>
      <c r="F9816" s="1" t="n">
        <v>0.0759</v>
      </c>
    </row>
    <row r="9817" customFormat="false" ht="15" hidden="false" customHeight="false" outlineLevel="0" collapsed="false">
      <c r="A9817" s="1" t="s">
        <v>9852</v>
      </c>
      <c r="B9817" s="1" t="s">
        <v>214</v>
      </c>
      <c r="C9817" s="1" t="n">
        <v>198000</v>
      </c>
      <c r="D9817" s="1" t="n">
        <v>4580.2</v>
      </c>
      <c r="E9817" s="1" t="n">
        <v>0.0076</v>
      </c>
      <c r="F9817" s="1" t="n">
        <v>0.0822</v>
      </c>
    </row>
    <row r="9818" customFormat="false" ht="15" hidden="false" customHeight="false" outlineLevel="0" collapsed="false">
      <c r="A9818" s="1" t="s">
        <v>9853</v>
      </c>
      <c r="B9818" s="1" t="s">
        <v>26</v>
      </c>
      <c r="C9818" s="1" t="n">
        <v>205000</v>
      </c>
      <c r="D9818" s="1" t="n">
        <v>9979.8</v>
      </c>
      <c r="E9818" s="1" t="n">
        <v>0.027</v>
      </c>
      <c r="F9818" s="1" t="n">
        <v>0.0759</v>
      </c>
    </row>
    <row r="9819" customFormat="false" ht="15" hidden="false" customHeight="false" outlineLevel="0" collapsed="false">
      <c r="A9819" s="1" t="s">
        <v>9854</v>
      </c>
      <c r="B9819" s="1" t="s">
        <v>41</v>
      </c>
      <c r="C9819" s="1" t="n">
        <v>153000</v>
      </c>
      <c r="D9819" s="1" t="n">
        <v>1494.7</v>
      </c>
      <c r="E9819" s="1" t="n">
        <v>0.0586</v>
      </c>
      <c r="F9819" s="1" t="n">
        <v>0.0951</v>
      </c>
    </row>
    <row r="9820" customFormat="false" ht="15" hidden="false" customHeight="false" outlineLevel="0" collapsed="false">
      <c r="A9820" s="1" t="s">
        <v>9855</v>
      </c>
      <c r="B9820" s="1" t="s">
        <v>26</v>
      </c>
      <c r="C9820" s="1" t="n">
        <v>183000</v>
      </c>
      <c r="D9820" s="1" t="n">
        <v>267903.2</v>
      </c>
      <c r="E9820" s="1" t="n">
        <v>0.008</v>
      </c>
      <c r="F9820" s="1" t="n">
        <v>0.0822</v>
      </c>
    </row>
    <row r="9821" customFormat="false" ht="15" hidden="false" customHeight="false" outlineLevel="0" collapsed="false">
      <c r="A9821" s="1" t="s">
        <v>9856</v>
      </c>
      <c r="B9821" s="1" t="s">
        <v>24</v>
      </c>
      <c r="C9821" s="1" t="n">
        <v>329000</v>
      </c>
      <c r="D9821" s="1" t="n">
        <v>127062.9</v>
      </c>
      <c r="E9821" s="1" t="n">
        <v>0.0172</v>
      </c>
      <c r="F9821" s="1" t="n">
        <v>0.1067</v>
      </c>
    </row>
    <row r="9822" customFormat="false" ht="15" hidden="false" customHeight="false" outlineLevel="0" collapsed="false">
      <c r="A9822" s="1" t="s">
        <v>9857</v>
      </c>
      <c r="B9822" s="1" t="s">
        <v>26</v>
      </c>
      <c r="C9822" s="1" t="n">
        <v>155000</v>
      </c>
      <c r="D9822" s="1" t="n">
        <v>9775</v>
      </c>
      <c r="E9822" s="1" t="n">
        <v>0.0218</v>
      </c>
      <c r="F9822" s="1" t="n">
        <v>0.1067</v>
      </c>
    </row>
    <row r="9823" customFormat="false" ht="15" hidden="false" customHeight="false" outlineLevel="0" collapsed="false">
      <c r="A9823" s="1" t="s">
        <v>9858</v>
      </c>
      <c r="B9823" s="1" t="s">
        <v>26</v>
      </c>
      <c r="C9823" s="1" t="n">
        <v>158000</v>
      </c>
      <c r="D9823" s="1" t="n">
        <v>959.3</v>
      </c>
      <c r="F9823" s="1" t="n">
        <v>0.0518</v>
      </c>
    </row>
    <row r="9824" customFormat="false" ht="15" hidden="false" customHeight="false" outlineLevel="0" collapsed="false">
      <c r="A9824" s="1" t="s">
        <v>9859</v>
      </c>
      <c r="B9824" s="1" t="s">
        <v>26</v>
      </c>
      <c r="C9824" s="1" t="n">
        <v>265000</v>
      </c>
      <c r="D9824" s="1" t="n">
        <v>9632</v>
      </c>
      <c r="E9824" s="1" t="n">
        <v>0.0419</v>
      </c>
      <c r="F9824" s="1" t="n">
        <v>0.0759</v>
      </c>
    </row>
    <row r="9825" customFormat="false" ht="15" hidden="false" customHeight="false" outlineLevel="0" collapsed="false">
      <c r="A9825" s="1" t="s">
        <v>9860</v>
      </c>
      <c r="B9825" s="1" t="s">
        <v>88</v>
      </c>
      <c r="C9825" s="1" t="n">
        <v>153000</v>
      </c>
      <c r="D9825" s="1" t="n">
        <v>511.2</v>
      </c>
      <c r="E9825" s="1" t="n">
        <v>0.0198</v>
      </c>
      <c r="F9825" s="1" t="n">
        <v>0.1067</v>
      </c>
    </row>
    <row r="9826" customFormat="false" ht="15" hidden="false" customHeight="false" outlineLevel="0" collapsed="false">
      <c r="A9826" s="1" t="s">
        <v>9861</v>
      </c>
      <c r="B9826" s="1" t="s">
        <v>50</v>
      </c>
      <c r="C9826" s="1" t="n">
        <v>192000</v>
      </c>
      <c r="D9826" s="1" t="n">
        <v>14509.8</v>
      </c>
      <c r="E9826" s="1" t="n">
        <v>0.0678</v>
      </c>
      <c r="F9826" s="1" t="n">
        <v>0.0759</v>
      </c>
    </row>
    <row r="9827" customFormat="false" ht="15" hidden="false" customHeight="false" outlineLevel="0" collapsed="false">
      <c r="A9827" s="1" t="s">
        <v>9862</v>
      </c>
      <c r="B9827" s="1" t="s">
        <v>24</v>
      </c>
      <c r="C9827" s="1" t="n">
        <v>160000</v>
      </c>
      <c r="D9827" s="1" t="n">
        <v>6420</v>
      </c>
      <c r="E9827" s="1" t="n">
        <v>0.0738</v>
      </c>
      <c r="F9827" s="1" t="n">
        <v>0.0951</v>
      </c>
    </row>
    <row r="9828" customFormat="false" ht="15" hidden="false" customHeight="false" outlineLevel="0" collapsed="false">
      <c r="A9828" s="1" t="s">
        <v>9863</v>
      </c>
      <c r="B9828" s="1" t="s">
        <v>490</v>
      </c>
      <c r="C9828" s="1" t="n">
        <v>189000</v>
      </c>
      <c r="D9828" s="1" t="n">
        <v>9919.6</v>
      </c>
      <c r="E9828" s="1" t="n">
        <v>0.0257</v>
      </c>
      <c r="F9828" s="1" t="n">
        <v>0.0759</v>
      </c>
    </row>
    <row r="9829" customFormat="false" ht="15" hidden="false" customHeight="false" outlineLevel="0" collapsed="false">
      <c r="A9829" s="1" t="s">
        <v>9864</v>
      </c>
      <c r="B9829" s="1" t="s">
        <v>26</v>
      </c>
      <c r="C9829" s="1" t="n">
        <v>199000</v>
      </c>
      <c r="D9829" s="1" t="n">
        <v>5604</v>
      </c>
      <c r="E9829" s="1" t="n">
        <v>0.0271</v>
      </c>
      <c r="F9829" s="1" t="n">
        <v>0.0759</v>
      </c>
    </row>
    <row r="9830" customFormat="false" ht="15" hidden="false" customHeight="false" outlineLevel="0" collapsed="false">
      <c r="A9830" s="1" t="s">
        <v>9865</v>
      </c>
      <c r="B9830" s="1" t="s">
        <v>53</v>
      </c>
      <c r="C9830" s="1" t="n">
        <v>200000</v>
      </c>
      <c r="D9830" s="1" t="n">
        <v>22955.2</v>
      </c>
      <c r="E9830" s="1" t="n">
        <v>0.0367</v>
      </c>
      <c r="F9830" s="1" t="n">
        <v>0.0759</v>
      </c>
    </row>
    <row r="9831" customFormat="false" ht="15" hidden="false" customHeight="false" outlineLevel="0" collapsed="false">
      <c r="A9831" s="1" t="s">
        <v>9866</v>
      </c>
      <c r="B9831" s="1" t="s">
        <v>71</v>
      </c>
      <c r="C9831" s="1" t="n">
        <v>149000</v>
      </c>
      <c r="D9831" s="1" t="n">
        <v>7684.6</v>
      </c>
      <c r="E9831" s="1" t="n">
        <v>0.0352</v>
      </c>
      <c r="F9831" s="1" t="n">
        <v>0.0951</v>
      </c>
    </row>
    <row r="9832" customFormat="false" ht="15" hidden="false" customHeight="false" outlineLevel="0" collapsed="false">
      <c r="A9832" s="1" t="s">
        <v>9867</v>
      </c>
      <c r="B9832" s="1" t="s">
        <v>71</v>
      </c>
      <c r="C9832" s="1" t="n">
        <v>186000</v>
      </c>
      <c r="D9832" s="1" t="n">
        <v>185.6</v>
      </c>
      <c r="E9832" s="1" t="n">
        <v>0.0183</v>
      </c>
      <c r="F9832" s="1" t="n">
        <v>0.1119</v>
      </c>
    </row>
    <row r="9833" customFormat="false" ht="15" hidden="false" customHeight="false" outlineLevel="0" collapsed="false">
      <c r="A9833" s="1" t="s">
        <v>9868</v>
      </c>
      <c r="B9833" s="1" t="s">
        <v>195</v>
      </c>
      <c r="C9833" s="1" t="n">
        <v>245000</v>
      </c>
      <c r="D9833" s="1" t="n">
        <v>3489.9</v>
      </c>
      <c r="E9833" s="1" t="n">
        <v>0.0105</v>
      </c>
      <c r="F9833" s="1" t="n">
        <v>0.0654</v>
      </c>
    </row>
    <row r="9834" customFormat="false" ht="15" hidden="false" customHeight="false" outlineLevel="0" collapsed="false">
      <c r="A9834" s="1" t="s">
        <v>9869</v>
      </c>
      <c r="B9834" s="1" t="s">
        <v>214</v>
      </c>
      <c r="C9834" s="1" t="n">
        <v>150000</v>
      </c>
      <c r="D9834" s="1" t="n">
        <v>13304.2</v>
      </c>
      <c r="E9834" s="1" t="n">
        <v>0.0107</v>
      </c>
      <c r="F9834" s="1" t="n">
        <v>0.1806</v>
      </c>
    </row>
    <row r="9835" customFormat="false" ht="15" hidden="false" customHeight="false" outlineLevel="0" collapsed="false">
      <c r="A9835" s="1" t="s">
        <v>9870</v>
      </c>
      <c r="B9835" s="1" t="s">
        <v>287</v>
      </c>
      <c r="C9835" s="1" t="n">
        <v>237000</v>
      </c>
      <c r="D9835" s="1" t="n">
        <v>2809.6</v>
      </c>
      <c r="E9835" s="1" t="n">
        <v>0.007</v>
      </c>
      <c r="F9835" s="1" t="n">
        <v>0.0811</v>
      </c>
    </row>
    <row r="9836" customFormat="false" ht="15" hidden="false" customHeight="false" outlineLevel="0" collapsed="false">
      <c r="A9836" s="1" t="s">
        <v>9871</v>
      </c>
      <c r="B9836" s="1" t="s">
        <v>74</v>
      </c>
      <c r="C9836" s="1" t="n">
        <v>175000</v>
      </c>
      <c r="D9836" s="1" t="n">
        <v>633</v>
      </c>
      <c r="E9836" s="1" t="n">
        <v>0.0553</v>
      </c>
      <c r="F9836" s="1" t="n">
        <v>0.0759</v>
      </c>
    </row>
    <row r="9837" customFormat="false" ht="15" hidden="false" customHeight="false" outlineLevel="0" collapsed="false">
      <c r="A9837" s="1" t="s">
        <v>9872</v>
      </c>
      <c r="B9837" s="1" t="s">
        <v>26</v>
      </c>
      <c r="C9837" s="1" t="n">
        <v>239000</v>
      </c>
      <c r="D9837" s="1" t="n">
        <v>4239</v>
      </c>
      <c r="E9837" s="1" t="n">
        <v>0.0464</v>
      </c>
      <c r="F9837" s="1" t="n">
        <v>0.0951</v>
      </c>
    </row>
    <row r="9838" customFormat="false" ht="15" hidden="false" customHeight="false" outlineLevel="0" collapsed="false">
      <c r="A9838" s="1" t="s">
        <v>9873</v>
      </c>
      <c r="B9838" s="1" t="s">
        <v>26</v>
      </c>
      <c r="C9838" s="1" t="n">
        <v>267000</v>
      </c>
      <c r="D9838" s="1" t="n">
        <v>257593.7</v>
      </c>
      <c r="E9838" s="1" t="n">
        <v>0.0241</v>
      </c>
      <c r="F9838" s="1" t="n">
        <v>0.0409</v>
      </c>
    </row>
    <row r="9839" customFormat="false" ht="15" hidden="false" customHeight="false" outlineLevel="0" collapsed="false">
      <c r="A9839" s="1" t="s">
        <v>9874</v>
      </c>
      <c r="B9839" s="1" t="s">
        <v>26</v>
      </c>
      <c r="C9839" s="1" t="n">
        <v>363000</v>
      </c>
      <c r="D9839" s="1" t="n">
        <v>11002</v>
      </c>
      <c r="E9839" s="1" t="n">
        <v>0.0585</v>
      </c>
      <c r="F9839" s="1" t="n">
        <v>0.0951</v>
      </c>
    </row>
    <row r="9840" customFormat="false" ht="15" hidden="false" customHeight="false" outlineLevel="0" collapsed="false">
      <c r="A9840" s="1" t="s">
        <v>9875</v>
      </c>
      <c r="B9840" s="1" t="s">
        <v>24</v>
      </c>
      <c r="C9840" s="1" t="n">
        <v>225000</v>
      </c>
      <c r="D9840" s="1" t="n">
        <v>162363.3</v>
      </c>
      <c r="E9840" s="1" t="n">
        <v>0.0317</v>
      </c>
      <c r="F9840" s="1" t="n">
        <v>0.0409</v>
      </c>
    </row>
    <row r="9841" customFormat="false" ht="15" hidden="false" customHeight="false" outlineLevel="0" collapsed="false">
      <c r="A9841" s="1" t="s">
        <v>9876</v>
      </c>
      <c r="B9841" s="1" t="s">
        <v>41</v>
      </c>
      <c r="C9841" s="1" t="n">
        <v>154000</v>
      </c>
      <c r="D9841" s="1" t="n">
        <v>211.5</v>
      </c>
      <c r="E9841" s="1" t="n">
        <v>0.0063</v>
      </c>
      <c r="F9841" s="1" t="n">
        <v>0.3966</v>
      </c>
    </row>
    <row r="9842" customFormat="false" ht="15" hidden="false" customHeight="false" outlineLevel="0" collapsed="false">
      <c r="A9842" s="1" t="s">
        <v>9877</v>
      </c>
      <c r="B9842" s="1" t="s">
        <v>287</v>
      </c>
      <c r="C9842" s="1" t="n">
        <v>594000</v>
      </c>
      <c r="D9842" s="1" t="n">
        <v>66670.1</v>
      </c>
      <c r="E9842" s="1" t="n">
        <v>0.0781</v>
      </c>
      <c r="F9842" s="1" t="n">
        <v>0.0759</v>
      </c>
    </row>
    <row r="9843" customFormat="false" ht="15" hidden="false" customHeight="false" outlineLevel="0" collapsed="false">
      <c r="A9843" s="1" t="s">
        <v>9878</v>
      </c>
      <c r="B9843" s="1" t="s">
        <v>88</v>
      </c>
      <c r="C9843" s="1" t="n">
        <v>224000</v>
      </c>
      <c r="D9843" s="1" t="n">
        <v>3436</v>
      </c>
      <c r="E9843" s="1" t="n">
        <v>0.0055</v>
      </c>
      <c r="F9843" s="1" t="n">
        <v>0.0822</v>
      </c>
    </row>
    <row r="9844" customFormat="false" ht="15" hidden="false" customHeight="false" outlineLevel="0" collapsed="false">
      <c r="A9844" s="1" t="s">
        <v>9879</v>
      </c>
      <c r="B9844" s="1" t="s">
        <v>92</v>
      </c>
      <c r="C9844" s="1" t="n">
        <v>212000</v>
      </c>
      <c r="D9844" s="1" t="n">
        <v>3517.4</v>
      </c>
      <c r="E9844" s="1" t="n">
        <v>0.0189</v>
      </c>
      <c r="F9844" s="1" t="n">
        <v>0.131</v>
      </c>
    </row>
    <row r="9845" customFormat="false" ht="15" hidden="false" customHeight="false" outlineLevel="0" collapsed="false">
      <c r="A9845" s="1" t="s">
        <v>9880</v>
      </c>
      <c r="B9845" s="1" t="s">
        <v>195</v>
      </c>
      <c r="C9845" s="1" t="n">
        <v>151000</v>
      </c>
      <c r="D9845" s="1" t="n">
        <v>658.3</v>
      </c>
      <c r="E9845" s="1" t="n">
        <v>0.0304</v>
      </c>
      <c r="F9845" s="1" t="n">
        <v>0.301</v>
      </c>
    </row>
    <row r="9846" customFormat="false" ht="15" hidden="false" customHeight="false" outlineLevel="0" collapsed="false">
      <c r="A9846" s="1" t="s">
        <v>9881</v>
      </c>
      <c r="B9846" s="1" t="s">
        <v>88</v>
      </c>
      <c r="C9846" s="1" t="n">
        <v>184000</v>
      </c>
      <c r="D9846" s="1" t="n">
        <v>926</v>
      </c>
      <c r="E9846" s="1" t="n">
        <v>0.0763</v>
      </c>
      <c r="F9846" s="1" t="n">
        <v>0.0759</v>
      </c>
    </row>
    <row r="9847" customFormat="false" ht="15" hidden="false" customHeight="false" outlineLevel="0" collapsed="false">
      <c r="A9847" s="1" t="s">
        <v>9882</v>
      </c>
      <c r="B9847" s="1" t="s">
        <v>88</v>
      </c>
      <c r="C9847" s="1" t="n">
        <v>155000</v>
      </c>
      <c r="D9847" s="1" t="n">
        <v>247.1</v>
      </c>
      <c r="E9847" s="1" t="n">
        <v>0.0259</v>
      </c>
      <c r="F9847" s="1" t="n">
        <v>0.0938</v>
      </c>
    </row>
    <row r="9848" customFormat="false" ht="15" hidden="false" customHeight="false" outlineLevel="0" collapsed="false">
      <c r="A9848" s="1" t="s">
        <v>9883</v>
      </c>
      <c r="B9848" s="1" t="s">
        <v>62</v>
      </c>
      <c r="C9848" s="1" t="n">
        <v>156000</v>
      </c>
      <c r="D9848" s="1" t="n">
        <v>10606.3</v>
      </c>
      <c r="E9848" s="1" t="n">
        <v>0.0968</v>
      </c>
      <c r="F9848" s="1" t="n">
        <v>0.0951</v>
      </c>
    </row>
    <row r="9849" customFormat="false" ht="15" hidden="false" customHeight="false" outlineLevel="0" collapsed="false">
      <c r="A9849" s="1" t="s">
        <v>9884</v>
      </c>
      <c r="B9849" s="1" t="s">
        <v>26</v>
      </c>
      <c r="C9849" s="1" t="n">
        <v>158000</v>
      </c>
      <c r="D9849" s="1" t="n">
        <v>67890.5</v>
      </c>
      <c r="E9849" s="1" t="n">
        <v>0.0288</v>
      </c>
      <c r="F9849" s="1" t="n">
        <v>0.0951</v>
      </c>
    </row>
    <row r="9850" customFormat="false" ht="15" hidden="false" customHeight="false" outlineLevel="0" collapsed="false">
      <c r="A9850" s="1" t="s">
        <v>9885</v>
      </c>
      <c r="B9850" s="1" t="s">
        <v>26</v>
      </c>
      <c r="C9850" s="1" t="n">
        <v>318000</v>
      </c>
      <c r="D9850" s="1" t="n">
        <v>40718.1</v>
      </c>
      <c r="E9850" s="1" t="n">
        <v>0.0184</v>
      </c>
      <c r="F9850" s="1" t="n">
        <v>0.1053</v>
      </c>
    </row>
    <row r="9851" customFormat="false" ht="15" hidden="false" customHeight="false" outlineLevel="0" collapsed="false">
      <c r="A9851" s="1" t="s">
        <v>9886</v>
      </c>
      <c r="B9851" s="1" t="s">
        <v>74</v>
      </c>
      <c r="C9851" s="1" t="n">
        <v>160000</v>
      </c>
      <c r="D9851" s="1" t="n">
        <v>5555.4</v>
      </c>
      <c r="E9851" s="1" t="n">
        <v>0.0469</v>
      </c>
      <c r="F9851" s="1" t="n">
        <v>0.0951</v>
      </c>
    </row>
    <row r="9852" customFormat="false" ht="15" hidden="false" customHeight="false" outlineLevel="0" collapsed="false">
      <c r="A9852" s="1" t="s">
        <v>9887</v>
      </c>
      <c r="B9852" s="1" t="s">
        <v>214</v>
      </c>
      <c r="C9852" s="1" t="n">
        <v>343000</v>
      </c>
      <c r="D9852" s="1" t="n">
        <v>11101</v>
      </c>
      <c r="E9852" s="1" t="n">
        <v>0.0585</v>
      </c>
      <c r="F9852" s="1" t="n">
        <v>0.0759</v>
      </c>
    </row>
    <row r="9853" customFormat="false" ht="15" hidden="false" customHeight="false" outlineLevel="0" collapsed="false">
      <c r="A9853" s="1" t="s">
        <v>9888</v>
      </c>
      <c r="B9853" s="1" t="s">
        <v>88</v>
      </c>
      <c r="C9853" s="1" t="n">
        <v>215000</v>
      </c>
      <c r="D9853" s="1" t="n">
        <v>2847.1</v>
      </c>
      <c r="E9853" s="1" t="n">
        <v>0.0184</v>
      </c>
      <c r="F9853" s="1" t="n">
        <v>0.0726</v>
      </c>
    </row>
    <row r="9854" customFormat="false" ht="15" hidden="false" customHeight="false" outlineLevel="0" collapsed="false">
      <c r="A9854" s="1" t="s">
        <v>9889</v>
      </c>
      <c r="B9854" s="1" t="s">
        <v>41</v>
      </c>
      <c r="C9854" s="1" t="n">
        <v>333000</v>
      </c>
      <c r="D9854" s="1" t="n">
        <v>32886.1</v>
      </c>
      <c r="E9854" s="1" t="n">
        <v>0.0141</v>
      </c>
      <c r="F9854" s="1" t="n">
        <v>0.131</v>
      </c>
    </row>
    <row r="9855" customFormat="false" ht="15" hidden="false" customHeight="false" outlineLevel="0" collapsed="false">
      <c r="A9855" s="1" t="s">
        <v>9890</v>
      </c>
      <c r="B9855" s="1" t="s">
        <v>71</v>
      </c>
      <c r="C9855" s="1" t="n">
        <v>232000</v>
      </c>
      <c r="D9855" s="1" t="n">
        <v>7975</v>
      </c>
      <c r="E9855" s="1" t="n">
        <v>0.0386</v>
      </c>
      <c r="F9855" s="1" t="n">
        <v>0.0759</v>
      </c>
    </row>
    <row r="9856" customFormat="false" ht="15" hidden="false" customHeight="false" outlineLevel="0" collapsed="false">
      <c r="A9856" s="1" t="s">
        <v>9891</v>
      </c>
      <c r="B9856" s="1" t="s">
        <v>26</v>
      </c>
      <c r="C9856" s="1" t="n">
        <v>347000</v>
      </c>
      <c r="D9856" s="1" t="n">
        <v>1327.2</v>
      </c>
      <c r="E9856" s="1" t="n">
        <v>0.0047</v>
      </c>
      <c r="F9856" s="1" t="n">
        <v>0.0654</v>
      </c>
    </row>
    <row r="9857" customFormat="false" ht="15" hidden="false" customHeight="false" outlineLevel="0" collapsed="false">
      <c r="A9857" s="1" t="s">
        <v>9892</v>
      </c>
      <c r="B9857" s="1" t="s">
        <v>26</v>
      </c>
      <c r="C9857" s="1" t="n">
        <v>198000</v>
      </c>
      <c r="D9857" s="1" t="n">
        <v>2036.4</v>
      </c>
      <c r="E9857" s="1" t="n">
        <v>0.0152</v>
      </c>
      <c r="F9857" s="1" t="n">
        <v>0.1053</v>
      </c>
    </row>
    <row r="9858" customFormat="false" ht="15" hidden="false" customHeight="false" outlineLevel="0" collapsed="false">
      <c r="A9858" s="1" t="s">
        <v>9893</v>
      </c>
      <c r="B9858" s="1" t="s">
        <v>92</v>
      </c>
      <c r="C9858" s="1" t="n">
        <v>149000</v>
      </c>
      <c r="D9858" s="1" t="n">
        <v>1237.2</v>
      </c>
      <c r="E9858" s="1" t="n">
        <v>0.0106</v>
      </c>
      <c r="F9858" s="1" t="n">
        <v>0.0616</v>
      </c>
    </row>
    <row r="9859" customFormat="false" ht="15" hidden="false" customHeight="false" outlineLevel="0" collapsed="false">
      <c r="A9859" s="1" t="s">
        <v>9894</v>
      </c>
      <c r="B9859" s="1" t="s">
        <v>35</v>
      </c>
      <c r="C9859" s="1" t="n">
        <v>168000</v>
      </c>
      <c r="D9859" s="1" t="n">
        <v>5969</v>
      </c>
      <c r="E9859" s="1" t="n">
        <v>0.0855</v>
      </c>
      <c r="F9859" s="1" t="n">
        <v>0.0938</v>
      </c>
    </row>
    <row r="9860" customFormat="false" ht="15" hidden="false" customHeight="false" outlineLevel="0" collapsed="false">
      <c r="A9860" s="1" t="s">
        <v>9895</v>
      </c>
      <c r="B9860" s="1" t="s">
        <v>74</v>
      </c>
      <c r="C9860" s="1" t="n">
        <v>221000</v>
      </c>
      <c r="D9860" s="1" t="n">
        <v>1347.6</v>
      </c>
      <c r="E9860" s="1" t="n">
        <v>0.0219</v>
      </c>
      <c r="F9860" s="1" t="n">
        <v>0.0518</v>
      </c>
    </row>
    <row r="9861" customFormat="false" ht="15" hidden="false" customHeight="false" outlineLevel="0" collapsed="false">
      <c r="A9861" s="1" t="s">
        <v>9896</v>
      </c>
      <c r="B9861" s="1" t="s">
        <v>74</v>
      </c>
      <c r="C9861" s="1" t="n">
        <v>164000</v>
      </c>
      <c r="D9861" s="1" t="n">
        <v>4383.6</v>
      </c>
      <c r="E9861" s="1" t="n">
        <v>0.0187</v>
      </c>
      <c r="F9861" s="1" t="n">
        <v>0.0616</v>
      </c>
    </row>
    <row r="9862" customFormat="false" ht="15" hidden="false" customHeight="false" outlineLevel="0" collapsed="false">
      <c r="A9862" s="1" t="s">
        <v>9897</v>
      </c>
      <c r="B9862" s="1" t="s">
        <v>81</v>
      </c>
      <c r="C9862" s="1" t="n">
        <v>341000</v>
      </c>
      <c r="D9862" s="1" t="n">
        <v>8718.4</v>
      </c>
      <c r="E9862" s="1" t="n">
        <v>0.0199</v>
      </c>
      <c r="F9862" s="1" t="n">
        <v>0.1053</v>
      </c>
    </row>
    <row r="9863" customFormat="false" ht="15" hidden="false" customHeight="false" outlineLevel="0" collapsed="false">
      <c r="A9863" s="1" t="s">
        <v>9898</v>
      </c>
      <c r="B9863" s="1" t="s">
        <v>26</v>
      </c>
      <c r="C9863" s="1" t="n">
        <v>674000</v>
      </c>
      <c r="D9863" s="1" t="n">
        <v>17069.7</v>
      </c>
      <c r="E9863" s="1" t="n">
        <v>0.0706</v>
      </c>
      <c r="F9863" s="1" t="n">
        <v>0.0759</v>
      </c>
    </row>
    <row r="9864" customFormat="false" ht="15" hidden="false" customHeight="false" outlineLevel="0" collapsed="false">
      <c r="A9864" s="1" t="s">
        <v>9899</v>
      </c>
      <c r="B9864" s="1" t="s">
        <v>81</v>
      </c>
      <c r="C9864" s="1" t="n">
        <v>154000</v>
      </c>
      <c r="D9864" s="1" t="n">
        <v>1775</v>
      </c>
      <c r="E9864" s="1" t="n">
        <v>0.0173</v>
      </c>
      <c r="F9864" s="1" t="n">
        <v>0.1709</v>
      </c>
    </row>
    <row r="9865" customFormat="false" ht="15" hidden="false" customHeight="false" outlineLevel="0" collapsed="false">
      <c r="A9865" s="1" t="s">
        <v>9900</v>
      </c>
      <c r="B9865" s="1" t="s">
        <v>214</v>
      </c>
      <c r="C9865" s="1" t="n">
        <v>152000</v>
      </c>
      <c r="D9865" s="1" t="n">
        <v>1971.7</v>
      </c>
      <c r="E9865" s="1" t="n">
        <v>0.0141</v>
      </c>
      <c r="F9865" s="1" t="n">
        <v>0.0585</v>
      </c>
    </row>
    <row r="9866" customFormat="false" ht="15" hidden="false" customHeight="false" outlineLevel="0" collapsed="false">
      <c r="A9866" s="1" t="s">
        <v>9901</v>
      </c>
      <c r="B9866" s="1" t="s">
        <v>71</v>
      </c>
      <c r="C9866" s="1" t="n">
        <v>201000</v>
      </c>
      <c r="D9866" s="1" t="n">
        <v>2843.8</v>
      </c>
      <c r="E9866" s="1" t="n">
        <v>0.0285</v>
      </c>
      <c r="F9866" s="1" t="n">
        <v>0.0759</v>
      </c>
    </row>
    <row r="9867" customFormat="false" ht="15" hidden="false" customHeight="false" outlineLevel="0" collapsed="false">
      <c r="A9867" s="1" t="s">
        <v>9902</v>
      </c>
      <c r="B9867" s="1" t="s">
        <v>50</v>
      </c>
      <c r="C9867" s="1" t="n">
        <v>176000</v>
      </c>
      <c r="D9867" s="1" t="n">
        <v>8085.1</v>
      </c>
      <c r="E9867" s="1" t="n">
        <v>0.1153</v>
      </c>
      <c r="F9867" s="1" t="n">
        <v>0.0759</v>
      </c>
    </row>
    <row r="9868" customFormat="false" ht="15" hidden="false" customHeight="false" outlineLevel="0" collapsed="false">
      <c r="A9868" s="1" t="s">
        <v>9903</v>
      </c>
      <c r="B9868" s="1" t="s">
        <v>71</v>
      </c>
      <c r="C9868" s="1" t="n">
        <v>160000</v>
      </c>
      <c r="D9868" s="1" t="n">
        <v>439.7</v>
      </c>
      <c r="E9868" s="1" t="n">
        <v>0.0071</v>
      </c>
      <c r="F9868" s="1" t="n">
        <v>0.2939</v>
      </c>
    </row>
    <row r="9869" customFormat="false" ht="15" hidden="false" customHeight="false" outlineLevel="0" collapsed="false">
      <c r="A9869" s="1" t="s">
        <v>9904</v>
      </c>
      <c r="B9869" s="1" t="s">
        <v>62</v>
      </c>
      <c r="C9869" s="1" t="n">
        <v>159000</v>
      </c>
      <c r="D9869" s="1" t="n">
        <v>11868</v>
      </c>
      <c r="E9869" s="1" t="n">
        <v>0.0465</v>
      </c>
      <c r="F9869" s="1" t="n">
        <v>0.1243</v>
      </c>
    </row>
    <row r="9870" customFormat="false" ht="15" hidden="false" customHeight="false" outlineLevel="0" collapsed="false">
      <c r="A9870" s="1" t="s">
        <v>9905</v>
      </c>
      <c r="B9870" s="1" t="s">
        <v>92</v>
      </c>
      <c r="C9870" s="1" t="n">
        <v>184000</v>
      </c>
      <c r="D9870" s="1" t="n">
        <v>1972.4</v>
      </c>
      <c r="E9870" s="1" t="n">
        <v>0.0193</v>
      </c>
      <c r="F9870" s="1" t="n">
        <v>0.3868</v>
      </c>
    </row>
    <row r="9871" customFormat="false" ht="15" hidden="false" customHeight="false" outlineLevel="0" collapsed="false">
      <c r="A9871" s="1" t="s">
        <v>9906</v>
      </c>
      <c r="B9871" s="1" t="s">
        <v>74</v>
      </c>
      <c r="C9871" s="1" t="n">
        <v>153000</v>
      </c>
      <c r="D9871" s="1" t="n">
        <v>977.9</v>
      </c>
      <c r="E9871" s="1" t="n">
        <v>0.0165</v>
      </c>
      <c r="F9871" s="1" t="n">
        <v>0.131</v>
      </c>
    </row>
    <row r="9872" customFormat="false" ht="15" hidden="false" customHeight="false" outlineLevel="0" collapsed="false">
      <c r="A9872" s="1" t="s">
        <v>9907</v>
      </c>
      <c r="B9872" s="1" t="s">
        <v>214</v>
      </c>
      <c r="C9872" s="1" t="n">
        <v>177000</v>
      </c>
      <c r="D9872" s="1" t="n">
        <v>189694.6</v>
      </c>
      <c r="E9872" s="1" t="n">
        <v>0.047</v>
      </c>
      <c r="F9872" s="1" t="n">
        <v>0.0951</v>
      </c>
    </row>
    <row r="9873" customFormat="false" ht="15" hidden="false" customHeight="false" outlineLevel="0" collapsed="false">
      <c r="A9873" s="1" t="s">
        <v>9908</v>
      </c>
      <c r="B9873" s="1" t="s">
        <v>26</v>
      </c>
      <c r="C9873" s="1" t="n">
        <v>204000</v>
      </c>
      <c r="D9873" s="1" t="n">
        <v>3915.5</v>
      </c>
      <c r="E9873" s="1" t="n">
        <v>0.0263</v>
      </c>
      <c r="F9873" s="1" t="n">
        <v>0.0951</v>
      </c>
    </row>
    <row r="9874" customFormat="false" ht="15" hidden="false" customHeight="false" outlineLevel="0" collapsed="false">
      <c r="A9874" s="1" t="s">
        <v>9909</v>
      </c>
      <c r="B9874" s="1" t="s">
        <v>81</v>
      </c>
      <c r="C9874" s="1" t="n">
        <v>149000</v>
      </c>
      <c r="D9874" s="1" t="n">
        <v>1251.8</v>
      </c>
      <c r="E9874" s="1" t="n">
        <v>0.0249</v>
      </c>
      <c r="F9874" s="1" t="n">
        <v>0.0951</v>
      </c>
    </row>
    <row r="9875" customFormat="false" ht="15" hidden="false" customHeight="false" outlineLevel="0" collapsed="false">
      <c r="A9875" s="1" t="s">
        <v>9910</v>
      </c>
      <c r="B9875" s="1" t="s">
        <v>88</v>
      </c>
      <c r="C9875" s="1" t="n">
        <v>180000</v>
      </c>
      <c r="D9875" s="1" t="n">
        <v>289.5</v>
      </c>
      <c r="E9875" s="1" t="n">
        <v>0.0163</v>
      </c>
      <c r="F9875" s="1" t="n">
        <v>0.5878</v>
      </c>
    </row>
    <row r="9876" customFormat="false" ht="15" hidden="false" customHeight="false" outlineLevel="0" collapsed="false">
      <c r="A9876" s="1" t="s">
        <v>9911</v>
      </c>
      <c r="B9876" s="1" t="s">
        <v>26</v>
      </c>
      <c r="C9876" s="1" t="n">
        <v>249000</v>
      </c>
      <c r="D9876" s="1" t="n">
        <v>34537.5</v>
      </c>
      <c r="E9876" s="1" t="n">
        <v>0.0243</v>
      </c>
      <c r="F9876" s="1" t="n">
        <v>0.0759</v>
      </c>
    </row>
    <row r="9877" customFormat="false" ht="15" hidden="false" customHeight="false" outlineLevel="0" collapsed="false">
      <c r="A9877" s="1" t="s">
        <v>9912</v>
      </c>
      <c r="B9877" s="1" t="s">
        <v>81</v>
      </c>
      <c r="C9877" s="1" t="n">
        <v>173000</v>
      </c>
      <c r="D9877" s="1" t="n">
        <v>87.2</v>
      </c>
      <c r="E9877" s="1" t="n">
        <v>0.0654</v>
      </c>
      <c r="F9877" s="1" t="n">
        <v>0.0938</v>
      </c>
    </row>
    <row r="9878" customFormat="false" ht="15" hidden="false" customHeight="false" outlineLevel="0" collapsed="false">
      <c r="A9878" s="1" t="s">
        <v>9913</v>
      </c>
      <c r="B9878" s="1" t="s">
        <v>32</v>
      </c>
      <c r="C9878" s="1" t="n">
        <v>409000</v>
      </c>
      <c r="D9878" s="1" t="n">
        <v>141384.1</v>
      </c>
      <c r="E9878" s="1" t="n">
        <v>0.0137</v>
      </c>
      <c r="F9878" s="1" t="n">
        <v>0.0736</v>
      </c>
    </row>
    <row r="9879" customFormat="false" ht="15" hidden="false" customHeight="false" outlineLevel="0" collapsed="false">
      <c r="A9879" s="1" t="s">
        <v>9914</v>
      </c>
      <c r="B9879" s="1" t="s">
        <v>26</v>
      </c>
      <c r="C9879" s="1" t="n">
        <v>155000</v>
      </c>
      <c r="D9879" s="1" t="n">
        <v>6906.7</v>
      </c>
      <c r="E9879" s="1" t="n">
        <v>0.0166</v>
      </c>
      <c r="F9879" s="1" t="n">
        <v>0.1067</v>
      </c>
    </row>
    <row r="9880" customFormat="false" ht="15" hidden="false" customHeight="false" outlineLevel="0" collapsed="false">
      <c r="A9880" s="1" t="s">
        <v>9915</v>
      </c>
      <c r="B9880" s="1" t="s">
        <v>88</v>
      </c>
      <c r="C9880" s="1" t="n">
        <v>153000</v>
      </c>
      <c r="D9880" s="1" t="n">
        <v>2409.1</v>
      </c>
      <c r="E9880" s="1" t="n">
        <v>0.0566</v>
      </c>
      <c r="F9880" s="1" t="n">
        <v>0.0759</v>
      </c>
    </row>
    <row r="9881" customFormat="false" ht="15" hidden="false" customHeight="false" outlineLevel="0" collapsed="false">
      <c r="A9881" s="1" t="s">
        <v>9916</v>
      </c>
      <c r="B9881" s="1" t="s">
        <v>53</v>
      </c>
      <c r="C9881" s="1" t="n">
        <v>152000</v>
      </c>
      <c r="D9881" s="1" t="n">
        <v>894.8</v>
      </c>
      <c r="E9881" s="1" t="n">
        <v>0.0118</v>
      </c>
      <c r="F9881" s="1" t="n">
        <v>0.0726</v>
      </c>
    </row>
    <row r="9882" customFormat="false" ht="15" hidden="false" customHeight="false" outlineLevel="0" collapsed="false">
      <c r="A9882" s="1" t="s">
        <v>9917</v>
      </c>
      <c r="B9882" s="1" t="s">
        <v>26</v>
      </c>
      <c r="C9882" s="1" t="n">
        <v>169000</v>
      </c>
      <c r="D9882" s="1" t="n">
        <v>32784.5</v>
      </c>
      <c r="E9882" s="1" t="n">
        <v>0.0434</v>
      </c>
      <c r="F9882" s="1" t="n">
        <v>0.0938</v>
      </c>
    </row>
    <row r="9883" customFormat="false" ht="15" hidden="false" customHeight="false" outlineLevel="0" collapsed="false">
      <c r="A9883" s="1" t="s">
        <v>9918</v>
      </c>
      <c r="B9883" s="1" t="s">
        <v>50</v>
      </c>
      <c r="C9883" s="1" t="n">
        <v>320000</v>
      </c>
      <c r="D9883" s="1" t="n">
        <v>32596.8</v>
      </c>
      <c r="E9883" s="1" t="n">
        <v>0.0228</v>
      </c>
      <c r="F9883" s="1" t="n">
        <v>0.0432</v>
      </c>
    </row>
    <row r="9884" customFormat="false" ht="15" hidden="false" customHeight="false" outlineLevel="0" collapsed="false">
      <c r="A9884" s="1" t="s">
        <v>9919</v>
      </c>
      <c r="B9884" s="1" t="s">
        <v>81</v>
      </c>
      <c r="C9884" s="1" t="n">
        <v>262000</v>
      </c>
      <c r="D9884" s="1" t="n">
        <v>10536.9</v>
      </c>
      <c r="E9884" s="1" t="n">
        <v>0.041</v>
      </c>
      <c r="F9884" s="1" t="n">
        <v>0.0759</v>
      </c>
    </row>
    <row r="9885" customFormat="false" ht="15" hidden="false" customHeight="false" outlineLevel="0" collapsed="false">
      <c r="A9885" s="1" t="s">
        <v>9920</v>
      </c>
      <c r="B9885" s="1" t="s">
        <v>26</v>
      </c>
      <c r="C9885" s="1" t="n">
        <v>196000</v>
      </c>
      <c r="D9885" s="1" t="n">
        <v>13193.6</v>
      </c>
      <c r="E9885" s="1" t="n">
        <v>0.053</v>
      </c>
      <c r="F9885" s="1" t="n">
        <v>0.0759</v>
      </c>
    </row>
    <row r="9886" customFormat="false" ht="15" hidden="false" customHeight="false" outlineLevel="0" collapsed="false">
      <c r="A9886" s="1" t="s">
        <v>9921</v>
      </c>
      <c r="B9886" s="1" t="s">
        <v>50</v>
      </c>
      <c r="C9886" s="1" t="n">
        <v>281000</v>
      </c>
      <c r="D9886" s="1" t="n">
        <v>126363.5</v>
      </c>
      <c r="E9886" s="1" t="n">
        <v>0.0294</v>
      </c>
      <c r="F9886" s="1" t="n">
        <v>0.0951</v>
      </c>
    </row>
    <row r="9887" customFormat="false" ht="15" hidden="false" customHeight="false" outlineLevel="0" collapsed="false">
      <c r="A9887" s="1" t="s">
        <v>9922</v>
      </c>
      <c r="B9887" s="1" t="s">
        <v>195</v>
      </c>
      <c r="C9887" s="1" t="n">
        <v>258000</v>
      </c>
      <c r="D9887" s="1" t="n">
        <v>22452.1</v>
      </c>
      <c r="E9887" s="1" t="n">
        <v>0.006</v>
      </c>
      <c r="F9887" s="1" t="n">
        <v>0.0654</v>
      </c>
    </row>
    <row r="9888" customFormat="false" ht="15" hidden="false" customHeight="false" outlineLevel="0" collapsed="false">
      <c r="A9888" s="1" t="s">
        <v>9923</v>
      </c>
      <c r="B9888" s="1" t="s">
        <v>195</v>
      </c>
      <c r="C9888" s="1" t="n">
        <v>158000</v>
      </c>
      <c r="D9888" s="1" t="n">
        <v>5508.5</v>
      </c>
      <c r="F9888" s="1" t="n">
        <v>0.0546</v>
      </c>
    </row>
    <row r="9889" customFormat="false" ht="15" hidden="false" customHeight="false" outlineLevel="0" collapsed="false">
      <c r="A9889" s="1" t="s">
        <v>9924</v>
      </c>
      <c r="B9889" s="1" t="s">
        <v>41</v>
      </c>
      <c r="C9889" s="1" t="n">
        <v>153000</v>
      </c>
      <c r="D9889" s="1" t="n">
        <v>609.6</v>
      </c>
      <c r="E9889" s="1" t="n">
        <v>0.0113</v>
      </c>
      <c r="F9889" s="1" t="n">
        <v>0.2343</v>
      </c>
    </row>
    <row r="9890" customFormat="false" ht="15" hidden="false" customHeight="false" outlineLevel="0" collapsed="false">
      <c r="A9890" s="1" t="s">
        <v>9925</v>
      </c>
      <c r="B9890" s="1" t="s">
        <v>62</v>
      </c>
      <c r="C9890" s="1" t="n">
        <v>219000</v>
      </c>
      <c r="D9890" s="1" t="n">
        <v>3597.1</v>
      </c>
      <c r="E9890" s="1" t="n">
        <v>0.0251</v>
      </c>
      <c r="F9890" s="1" t="n">
        <v>0.0951</v>
      </c>
    </row>
    <row r="9891" customFormat="false" ht="15" hidden="false" customHeight="false" outlineLevel="0" collapsed="false">
      <c r="A9891" s="1" t="s">
        <v>9926</v>
      </c>
      <c r="B9891" s="1" t="s">
        <v>62</v>
      </c>
      <c r="C9891" s="1" t="n">
        <v>177000</v>
      </c>
      <c r="D9891" s="1" t="n">
        <v>18496.7</v>
      </c>
      <c r="E9891" s="1" t="n">
        <v>0.0294</v>
      </c>
      <c r="F9891" s="1" t="n">
        <v>0.0951</v>
      </c>
    </row>
    <row r="9892" customFormat="false" ht="15" hidden="false" customHeight="false" outlineLevel="0" collapsed="false">
      <c r="A9892" s="1" t="s">
        <v>9927</v>
      </c>
      <c r="B9892" s="1" t="s">
        <v>26</v>
      </c>
      <c r="C9892" s="1" t="n">
        <v>170000</v>
      </c>
      <c r="D9892" s="1" t="n">
        <v>10212.3</v>
      </c>
      <c r="E9892" s="1" t="n">
        <v>0.0187</v>
      </c>
      <c r="F9892" s="1" t="n">
        <v>0.0585</v>
      </c>
    </row>
    <row r="9893" customFormat="false" ht="15" hidden="false" customHeight="false" outlineLevel="0" collapsed="false">
      <c r="A9893" s="1" t="s">
        <v>9928</v>
      </c>
      <c r="B9893" s="1" t="s">
        <v>26</v>
      </c>
      <c r="C9893" s="1" t="n">
        <v>147000</v>
      </c>
      <c r="D9893" s="1" t="n">
        <v>412.7</v>
      </c>
      <c r="E9893" s="1" t="n">
        <v>0.0232</v>
      </c>
      <c r="F9893" s="1" t="n">
        <v>0.3868</v>
      </c>
    </row>
    <row r="9894" customFormat="false" ht="15" hidden="false" customHeight="false" outlineLevel="0" collapsed="false">
      <c r="A9894" s="1" t="s">
        <v>9929</v>
      </c>
      <c r="B9894" s="1" t="s">
        <v>88</v>
      </c>
      <c r="C9894" s="1" t="n">
        <v>173000</v>
      </c>
      <c r="D9894" s="1" t="n">
        <v>3070.1</v>
      </c>
      <c r="E9894" s="1" t="n">
        <v>0.054</v>
      </c>
      <c r="F9894" s="1" t="n">
        <v>0.0759</v>
      </c>
    </row>
    <row r="9895" customFormat="false" ht="15" hidden="false" customHeight="false" outlineLevel="0" collapsed="false">
      <c r="A9895" s="1" t="s">
        <v>9930</v>
      </c>
      <c r="B9895" s="1" t="s">
        <v>74</v>
      </c>
      <c r="C9895" s="1" t="n">
        <v>147000</v>
      </c>
      <c r="D9895" s="1" t="n">
        <v>3029.1</v>
      </c>
      <c r="E9895" s="1" t="n">
        <v>0.0491</v>
      </c>
      <c r="F9895" s="1" t="n">
        <v>0.0951</v>
      </c>
    </row>
    <row r="9896" customFormat="false" ht="15" hidden="false" customHeight="false" outlineLevel="0" collapsed="false">
      <c r="A9896" s="1" t="s">
        <v>9931</v>
      </c>
      <c r="B9896" s="1" t="s">
        <v>81</v>
      </c>
      <c r="C9896" s="1" t="n">
        <v>233000</v>
      </c>
      <c r="D9896" s="1" t="n">
        <v>5431.9</v>
      </c>
      <c r="E9896" s="1" t="n">
        <v>0.0337</v>
      </c>
      <c r="F9896" s="1" t="n">
        <v>0.0432</v>
      </c>
    </row>
    <row r="9897" customFormat="false" ht="15" hidden="false" customHeight="false" outlineLevel="0" collapsed="false">
      <c r="A9897" s="1" t="s">
        <v>9932</v>
      </c>
      <c r="B9897" s="1" t="s">
        <v>50</v>
      </c>
      <c r="C9897" s="1" t="n">
        <v>150000</v>
      </c>
      <c r="D9897" s="1" t="n">
        <v>26.7</v>
      </c>
      <c r="E9897" s="1" t="n">
        <v>0.0064</v>
      </c>
      <c r="F9897" s="1" t="n">
        <v>0.212</v>
      </c>
    </row>
    <row r="9898" customFormat="false" ht="15" hidden="false" customHeight="false" outlineLevel="0" collapsed="false">
      <c r="A9898" s="1" t="s">
        <v>9933</v>
      </c>
      <c r="B9898" s="1" t="s">
        <v>74</v>
      </c>
      <c r="C9898" s="1" t="n">
        <v>498000</v>
      </c>
      <c r="D9898" s="1" t="n">
        <v>30523.4</v>
      </c>
      <c r="E9898" s="1" t="n">
        <v>0.0511</v>
      </c>
      <c r="F9898" s="1" t="n">
        <v>0.0759</v>
      </c>
    </row>
    <row r="9899" customFormat="false" ht="15" hidden="false" customHeight="false" outlineLevel="0" collapsed="false">
      <c r="A9899" s="1" t="s">
        <v>9934</v>
      </c>
      <c r="B9899" s="1" t="s">
        <v>92</v>
      </c>
      <c r="C9899" s="1" t="n">
        <v>147000</v>
      </c>
      <c r="D9899" s="1" t="n">
        <v>70284.8</v>
      </c>
      <c r="E9899" s="1" t="n">
        <v>0.0196</v>
      </c>
      <c r="F9899" s="1" t="n">
        <v>0.0951</v>
      </c>
    </row>
    <row r="9900" customFormat="false" ht="15" hidden="false" customHeight="false" outlineLevel="0" collapsed="false">
      <c r="A9900" s="1" t="s">
        <v>9935</v>
      </c>
      <c r="B9900" s="1" t="s">
        <v>24</v>
      </c>
      <c r="C9900" s="1" t="n">
        <v>174000</v>
      </c>
      <c r="D9900" s="1" t="n">
        <v>17585.3</v>
      </c>
      <c r="E9900" s="1" t="n">
        <v>0.0224</v>
      </c>
      <c r="F9900" s="1" t="n">
        <v>0.1185</v>
      </c>
    </row>
    <row r="9901" customFormat="false" ht="15" hidden="false" customHeight="false" outlineLevel="0" collapsed="false">
      <c r="A9901" s="1" t="s">
        <v>9936</v>
      </c>
      <c r="B9901" s="1" t="s">
        <v>88</v>
      </c>
      <c r="C9901" s="1" t="n">
        <v>145000</v>
      </c>
      <c r="D9901" s="1" t="n">
        <v>1754.3</v>
      </c>
      <c r="E9901" s="1" t="n">
        <v>0.0321</v>
      </c>
      <c r="F9901" s="1" t="n">
        <v>0.0951</v>
      </c>
    </row>
    <row r="9902" customFormat="false" ht="15" hidden="false" customHeight="false" outlineLevel="0" collapsed="false">
      <c r="A9902" s="1" t="s">
        <v>9937</v>
      </c>
      <c r="B9902" s="1" t="s">
        <v>74</v>
      </c>
      <c r="C9902" s="1" t="n">
        <v>146000</v>
      </c>
      <c r="D9902" s="1" t="n">
        <v>8753.9</v>
      </c>
      <c r="E9902" s="1" t="n">
        <v>0.0985</v>
      </c>
      <c r="F9902" s="1" t="n">
        <v>0.117</v>
      </c>
    </row>
    <row r="9903" customFormat="false" ht="15" hidden="false" customHeight="false" outlineLevel="0" collapsed="false">
      <c r="A9903" s="1" t="s">
        <v>9938</v>
      </c>
      <c r="B9903" s="1" t="s">
        <v>26</v>
      </c>
      <c r="C9903" s="1" t="n">
        <v>173000</v>
      </c>
      <c r="D9903" s="1" t="n">
        <v>12634</v>
      </c>
      <c r="E9903" s="1" t="n">
        <v>0.0154</v>
      </c>
      <c r="F9903" s="1" t="n">
        <v>0.0854</v>
      </c>
    </row>
    <row r="9904" customFormat="false" ht="15" hidden="false" customHeight="false" outlineLevel="0" collapsed="false">
      <c r="A9904" s="1" t="s">
        <v>9939</v>
      </c>
      <c r="B9904" s="1" t="s">
        <v>26</v>
      </c>
      <c r="C9904" s="1" t="n">
        <v>160000</v>
      </c>
      <c r="D9904" s="1" t="n">
        <v>1186.2</v>
      </c>
      <c r="E9904" s="1" t="n">
        <v>0.0131</v>
      </c>
      <c r="F9904" s="1" t="n">
        <v>0.1327</v>
      </c>
    </row>
    <row r="9905" customFormat="false" ht="15" hidden="false" customHeight="false" outlineLevel="0" collapsed="false">
      <c r="A9905" s="1" t="s">
        <v>9940</v>
      </c>
      <c r="B9905" s="1" t="s">
        <v>26</v>
      </c>
      <c r="C9905" s="1" t="n">
        <v>147000</v>
      </c>
      <c r="D9905" s="1" t="n">
        <v>27832.3</v>
      </c>
      <c r="E9905" s="1" t="n">
        <v>0.0236</v>
      </c>
      <c r="F9905" s="1" t="n">
        <v>0.0951</v>
      </c>
    </row>
    <row r="9906" customFormat="false" ht="15" hidden="false" customHeight="false" outlineLevel="0" collapsed="false">
      <c r="A9906" s="1" t="s">
        <v>9941</v>
      </c>
      <c r="B9906" s="1" t="s">
        <v>26</v>
      </c>
      <c r="C9906" s="1" t="n">
        <v>209000</v>
      </c>
      <c r="D9906" s="1" t="n">
        <v>37367</v>
      </c>
      <c r="E9906" s="1" t="n">
        <v>0.0489</v>
      </c>
      <c r="F9906" s="1" t="n">
        <v>0.0759</v>
      </c>
    </row>
    <row r="9907" customFormat="false" ht="15" hidden="false" customHeight="false" outlineLevel="0" collapsed="false">
      <c r="A9907" s="1" t="s">
        <v>9942</v>
      </c>
      <c r="B9907" s="1" t="s">
        <v>74</v>
      </c>
      <c r="C9907" s="1" t="n">
        <v>152000</v>
      </c>
      <c r="D9907" s="1" t="n">
        <v>272.6</v>
      </c>
      <c r="E9907" s="1" t="n">
        <v>0.09</v>
      </c>
      <c r="F9907" s="1" t="n">
        <v>0.0938</v>
      </c>
    </row>
    <row r="9908" customFormat="false" ht="15" hidden="false" customHeight="false" outlineLevel="0" collapsed="false">
      <c r="A9908" s="1" t="s">
        <v>9943</v>
      </c>
      <c r="B9908" s="1" t="s">
        <v>88</v>
      </c>
      <c r="C9908" s="1" t="n">
        <v>166000</v>
      </c>
      <c r="D9908" s="1" t="n">
        <v>1988.9</v>
      </c>
      <c r="E9908" s="1" t="n">
        <v>0.0096</v>
      </c>
      <c r="F9908" s="1" t="n">
        <v>0.1452</v>
      </c>
    </row>
    <row r="9909" customFormat="false" ht="15" hidden="false" customHeight="false" outlineLevel="0" collapsed="false">
      <c r="A9909" s="1" t="s">
        <v>9944</v>
      </c>
      <c r="B9909" s="1" t="s">
        <v>41</v>
      </c>
      <c r="C9909" s="1" t="n">
        <v>199000</v>
      </c>
      <c r="D9909" s="1" t="n">
        <v>1033.5</v>
      </c>
      <c r="E9909" s="1" t="n">
        <v>0.0428</v>
      </c>
      <c r="F9909" s="1" t="n">
        <v>0.0759</v>
      </c>
    </row>
    <row r="9910" customFormat="false" ht="15" hidden="false" customHeight="false" outlineLevel="0" collapsed="false">
      <c r="A9910" s="1" t="s">
        <v>9945</v>
      </c>
      <c r="B9910" s="1" t="s">
        <v>92</v>
      </c>
      <c r="C9910" s="1" t="n">
        <v>158000</v>
      </c>
      <c r="D9910" s="1" t="n">
        <v>812.9</v>
      </c>
      <c r="E9910" s="1" t="n">
        <v>0.0499</v>
      </c>
      <c r="F9910" s="1" t="n">
        <v>0.0759</v>
      </c>
    </row>
    <row r="9911" customFormat="false" ht="15" hidden="false" customHeight="false" outlineLevel="0" collapsed="false">
      <c r="A9911" s="1" t="s">
        <v>9946</v>
      </c>
      <c r="B9911" s="1" t="s">
        <v>41</v>
      </c>
      <c r="C9911" s="1" t="n">
        <v>1780000</v>
      </c>
      <c r="D9911" s="1" t="n">
        <v>3419.6</v>
      </c>
      <c r="E9911" s="1" t="n">
        <v>0.0128</v>
      </c>
      <c r="F9911" s="1" t="n">
        <v>0.0814</v>
      </c>
    </row>
    <row r="9912" customFormat="false" ht="15" hidden="false" customHeight="false" outlineLevel="0" collapsed="false">
      <c r="A9912" s="1" t="s">
        <v>9947</v>
      </c>
      <c r="B9912" s="1" t="s">
        <v>53</v>
      </c>
      <c r="C9912" s="1" t="n">
        <v>148000</v>
      </c>
      <c r="D9912" s="1" t="n">
        <v>10195.2</v>
      </c>
      <c r="E9912" s="1" t="n">
        <v>0.1325</v>
      </c>
      <c r="F9912" s="1" t="n">
        <v>0.0951</v>
      </c>
    </row>
    <row r="9913" customFormat="false" ht="15" hidden="false" customHeight="false" outlineLevel="0" collapsed="false">
      <c r="A9913" s="1" t="s">
        <v>9948</v>
      </c>
      <c r="B9913" s="1" t="s">
        <v>88</v>
      </c>
      <c r="C9913" s="1" t="n">
        <v>150000</v>
      </c>
      <c r="D9913" s="1" t="n">
        <v>219.7</v>
      </c>
      <c r="E9913" s="1" t="n">
        <v>0.0279</v>
      </c>
      <c r="F9913" s="1" t="n">
        <v>0.0951</v>
      </c>
    </row>
    <row r="9914" customFormat="false" ht="15" hidden="false" customHeight="false" outlineLevel="0" collapsed="false">
      <c r="A9914" s="1" t="s">
        <v>9949</v>
      </c>
      <c r="B9914" s="1" t="s">
        <v>88</v>
      </c>
      <c r="C9914" s="1" t="n">
        <v>165000</v>
      </c>
      <c r="D9914" s="1" t="n">
        <v>44771.6</v>
      </c>
      <c r="E9914" s="1" t="n">
        <v>0.0315</v>
      </c>
      <c r="F9914" s="1" t="n">
        <v>0.0759</v>
      </c>
    </row>
    <row r="9915" customFormat="false" ht="15" hidden="false" customHeight="false" outlineLevel="0" collapsed="false">
      <c r="A9915" s="1" t="s">
        <v>9950</v>
      </c>
      <c r="B9915" s="1" t="s">
        <v>26</v>
      </c>
      <c r="C9915" s="1" t="n">
        <v>157000</v>
      </c>
      <c r="D9915" s="1" t="n">
        <v>284</v>
      </c>
      <c r="E9915" s="1" t="n">
        <v>0.0577</v>
      </c>
      <c r="F9915" s="1" t="n">
        <v>0.0759</v>
      </c>
    </row>
    <row r="9916" customFormat="false" ht="15" hidden="false" customHeight="false" outlineLevel="0" collapsed="false">
      <c r="A9916" s="1" t="s">
        <v>9951</v>
      </c>
      <c r="B9916" s="1" t="s">
        <v>62</v>
      </c>
      <c r="C9916" s="1" t="n">
        <v>160000</v>
      </c>
      <c r="D9916" s="1" t="n">
        <v>502.7</v>
      </c>
      <c r="E9916" s="1" t="n">
        <v>0.0264</v>
      </c>
      <c r="F9916" s="1" t="n">
        <v>0.1119</v>
      </c>
    </row>
    <row r="9917" customFormat="false" ht="15" hidden="false" customHeight="false" outlineLevel="0" collapsed="false">
      <c r="A9917" s="1" t="s">
        <v>9952</v>
      </c>
      <c r="B9917" s="1" t="s">
        <v>195</v>
      </c>
      <c r="C9917" s="1" t="n">
        <v>146000</v>
      </c>
      <c r="D9917" s="1" t="n">
        <v>961.4</v>
      </c>
      <c r="E9917" s="1" t="n">
        <v>0.0066</v>
      </c>
      <c r="F9917" s="1" t="n">
        <v>0.0654</v>
      </c>
    </row>
    <row r="9918" customFormat="false" ht="15" hidden="false" customHeight="false" outlineLevel="0" collapsed="false">
      <c r="A9918" s="1" t="s">
        <v>9953</v>
      </c>
      <c r="B9918" s="1" t="s">
        <v>26</v>
      </c>
      <c r="C9918" s="1" t="n">
        <v>145000</v>
      </c>
      <c r="D9918" s="1" t="n">
        <v>7391.2</v>
      </c>
      <c r="E9918" s="1" t="n">
        <v>0.0102</v>
      </c>
      <c r="F9918" s="1" t="n">
        <v>0.0822</v>
      </c>
    </row>
    <row r="9919" customFormat="false" ht="15" hidden="false" customHeight="false" outlineLevel="0" collapsed="false">
      <c r="A9919" s="1" t="s">
        <v>9954</v>
      </c>
      <c r="B9919" s="1" t="s">
        <v>26</v>
      </c>
      <c r="C9919" s="1" t="n">
        <v>175000</v>
      </c>
      <c r="D9919" s="1" t="n">
        <v>12783.8</v>
      </c>
      <c r="E9919" s="1" t="n">
        <v>0.088</v>
      </c>
      <c r="F9919" s="1" t="n">
        <v>0.0951</v>
      </c>
    </row>
    <row r="9920" customFormat="false" ht="15" hidden="false" customHeight="false" outlineLevel="0" collapsed="false">
      <c r="A9920" s="1" t="s">
        <v>9955</v>
      </c>
      <c r="B9920" s="1" t="s">
        <v>26</v>
      </c>
      <c r="C9920" s="1" t="n">
        <v>215000</v>
      </c>
      <c r="D9920" s="1" t="n">
        <v>26625.9</v>
      </c>
      <c r="E9920" s="1" t="n">
        <v>0.012</v>
      </c>
      <c r="F9920" s="1" t="n">
        <v>0.0956</v>
      </c>
    </row>
    <row r="9921" customFormat="false" ht="15" hidden="false" customHeight="false" outlineLevel="0" collapsed="false">
      <c r="A9921" s="1" t="s">
        <v>9956</v>
      </c>
      <c r="B9921" s="1" t="s">
        <v>71</v>
      </c>
      <c r="C9921" s="1" t="n">
        <v>145000</v>
      </c>
      <c r="D9921" s="1" t="n">
        <v>70351.3</v>
      </c>
      <c r="E9921" s="1" t="n">
        <v>0.0422</v>
      </c>
      <c r="F9921" s="1" t="n">
        <v>0.1535</v>
      </c>
    </row>
    <row r="9922" customFormat="false" ht="15" hidden="false" customHeight="false" outlineLevel="0" collapsed="false">
      <c r="A9922" s="1" t="s">
        <v>9957</v>
      </c>
      <c r="B9922" s="1" t="s">
        <v>88</v>
      </c>
      <c r="C9922" s="1" t="n">
        <v>196000</v>
      </c>
      <c r="D9922" s="1" t="n">
        <v>377.6</v>
      </c>
      <c r="E9922" s="1" t="n">
        <v>0.1218</v>
      </c>
      <c r="F9922" s="1" t="n">
        <v>0.0938</v>
      </c>
    </row>
    <row r="9923" customFormat="false" ht="15" hidden="false" customHeight="false" outlineLevel="0" collapsed="false">
      <c r="A9923" s="1" t="s">
        <v>9958</v>
      </c>
      <c r="B9923" s="1" t="s">
        <v>74</v>
      </c>
      <c r="C9923" s="1" t="n">
        <v>181000</v>
      </c>
      <c r="D9923" s="1" t="n">
        <v>5576</v>
      </c>
      <c r="E9923" s="1" t="n">
        <v>0.0277</v>
      </c>
      <c r="F9923" s="1" t="n">
        <v>0.0759</v>
      </c>
    </row>
    <row r="9924" customFormat="false" ht="15" hidden="false" customHeight="false" outlineLevel="0" collapsed="false">
      <c r="A9924" s="1" t="s">
        <v>9959</v>
      </c>
      <c r="B9924" s="1" t="s">
        <v>92</v>
      </c>
      <c r="C9924" s="1" t="n">
        <v>157000</v>
      </c>
      <c r="D9924" s="1" t="n">
        <v>89.6</v>
      </c>
      <c r="E9924" s="1" t="n">
        <v>0.0678</v>
      </c>
      <c r="F9924" s="1" t="n">
        <v>0.0759</v>
      </c>
    </row>
    <row r="9925" customFormat="false" ht="15" hidden="false" customHeight="false" outlineLevel="0" collapsed="false">
      <c r="A9925" s="1" t="s">
        <v>9960</v>
      </c>
      <c r="B9925" s="1" t="s">
        <v>214</v>
      </c>
      <c r="C9925" s="1" t="n">
        <v>187000</v>
      </c>
      <c r="D9925" s="1" t="n">
        <v>1974.7</v>
      </c>
      <c r="E9925" s="1" t="n">
        <v>0.0331</v>
      </c>
      <c r="F9925" s="1" t="n">
        <v>0.0938</v>
      </c>
    </row>
    <row r="9926" customFormat="false" ht="15" hidden="false" customHeight="false" outlineLevel="0" collapsed="false">
      <c r="A9926" s="1" t="s">
        <v>9961</v>
      </c>
      <c r="B9926" s="1" t="s">
        <v>26</v>
      </c>
      <c r="C9926" s="1" t="n">
        <v>153000</v>
      </c>
      <c r="D9926" s="1" t="n">
        <v>310</v>
      </c>
      <c r="E9926" s="1" t="n">
        <v>0.0255</v>
      </c>
      <c r="F9926" s="1" t="n">
        <v>0.1067</v>
      </c>
    </row>
    <row r="9927" customFormat="false" ht="15" hidden="false" customHeight="false" outlineLevel="0" collapsed="false">
      <c r="A9927" s="1" t="s">
        <v>9962</v>
      </c>
      <c r="B9927" s="1" t="s">
        <v>26</v>
      </c>
      <c r="C9927" s="1" t="n">
        <v>212000</v>
      </c>
      <c r="D9927" s="1" t="n">
        <v>35960.8</v>
      </c>
      <c r="E9927" s="1" t="n">
        <v>0.0514</v>
      </c>
      <c r="F9927" s="1" t="n">
        <v>0.0938</v>
      </c>
    </row>
    <row r="9928" customFormat="false" ht="15" hidden="false" customHeight="false" outlineLevel="0" collapsed="false">
      <c r="A9928" s="1" t="s">
        <v>9963</v>
      </c>
      <c r="B9928" s="1" t="s">
        <v>26</v>
      </c>
      <c r="C9928" s="1" t="n">
        <v>157000</v>
      </c>
      <c r="D9928" s="1" t="n">
        <v>808.7</v>
      </c>
      <c r="E9928" s="1" t="n">
        <v>0.0365</v>
      </c>
      <c r="F9928" s="1" t="n">
        <v>0.0518</v>
      </c>
    </row>
    <row r="9929" customFormat="false" ht="15" hidden="false" customHeight="false" outlineLevel="0" collapsed="false">
      <c r="A9929" s="1" t="s">
        <v>9964</v>
      </c>
      <c r="B9929" s="1" t="s">
        <v>92</v>
      </c>
      <c r="C9929" s="1" t="n">
        <v>152000</v>
      </c>
      <c r="D9929" s="1" t="n">
        <v>4299.8</v>
      </c>
      <c r="E9929" s="1" t="n">
        <v>0.0288</v>
      </c>
      <c r="F9929" s="1" t="n">
        <v>0.1239</v>
      </c>
    </row>
    <row r="9930" customFormat="false" ht="15" hidden="false" customHeight="false" outlineLevel="0" collapsed="false">
      <c r="A9930" s="1" t="s">
        <v>9965</v>
      </c>
      <c r="B9930" s="1" t="s">
        <v>26</v>
      </c>
      <c r="C9930" s="1" t="n">
        <v>2170000</v>
      </c>
      <c r="D9930" s="1" t="n">
        <v>57240.5</v>
      </c>
      <c r="E9930" s="1" t="n">
        <v>0.0112</v>
      </c>
      <c r="F9930" s="1" t="n">
        <v>0.0811</v>
      </c>
    </row>
    <row r="9931" customFormat="false" ht="15" hidden="false" customHeight="false" outlineLevel="0" collapsed="false">
      <c r="A9931" s="1" t="s">
        <v>9966</v>
      </c>
      <c r="B9931" s="1" t="s">
        <v>26</v>
      </c>
      <c r="C9931" s="1" t="n">
        <v>221000</v>
      </c>
      <c r="F9931" s="1" t="n">
        <v>0.0759</v>
      </c>
    </row>
    <row r="9932" customFormat="false" ht="15" hidden="false" customHeight="false" outlineLevel="0" collapsed="false">
      <c r="A9932" s="1" t="s">
        <v>9967</v>
      </c>
      <c r="B9932" s="1" t="s">
        <v>74</v>
      </c>
      <c r="C9932" s="1" t="n">
        <v>170000</v>
      </c>
      <c r="D9932" s="1" t="n">
        <v>6411.9</v>
      </c>
      <c r="E9932" s="1" t="n">
        <v>0.0435</v>
      </c>
      <c r="F9932" s="1" t="n">
        <v>0.0951</v>
      </c>
    </row>
    <row r="9933" customFormat="false" ht="15" hidden="false" customHeight="false" outlineLevel="0" collapsed="false">
      <c r="A9933" s="1" t="s">
        <v>9968</v>
      </c>
      <c r="B9933" s="1" t="s">
        <v>28</v>
      </c>
      <c r="C9933" s="1" t="n">
        <v>206000</v>
      </c>
      <c r="D9933" s="1" t="n">
        <v>125511.6</v>
      </c>
      <c r="E9933" s="1" t="n">
        <v>0.0006</v>
      </c>
      <c r="F9933" s="1" t="n">
        <v>0.0654</v>
      </c>
    </row>
    <row r="9934" customFormat="false" ht="15" hidden="false" customHeight="false" outlineLevel="0" collapsed="false">
      <c r="A9934" s="1" t="s">
        <v>9969</v>
      </c>
      <c r="B9934" s="1" t="s">
        <v>88</v>
      </c>
      <c r="C9934" s="1" t="n">
        <v>192000</v>
      </c>
      <c r="D9934" s="1" t="n">
        <v>7862.6</v>
      </c>
      <c r="E9934" s="1" t="n">
        <v>0.0218</v>
      </c>
      <c r="F9934" s="1" t="n">
        <v>0.0951</v>
      </c>
    </row>
    <row r="9935" customFormat="false" ht="15" hidden="false" customHeight="false" outlineLevel="0" collapsed="false">
      <c r="A9935" s="1" t="s">
        <v>9970</v>
      </c>
      <c r="B9935" s="1" t="s">
        <v>50</v>
      </c>
      <c r="C9935" s="1" t="n">
        <v>150000</v>
      </c>
      <c r="D9935" s="1" t="n">
        <v>308.7</v>
      </c>
      <c r="E9935" s="1" t="n">
        <v>0.0071</v>
      </c>
      <c r="F9935" s="1" t="n">
        <v>0.2054</v>
      </c>
    </row>
    <row r="9936" customFormat="false" ht="15" hidden="false" customHeight="false" outlineLevel="0" collapsed="false">
      <c r="A9936" s="1" t="s">
        <v>9971</v>
      </c>
      <c r="B9936" s="1" t="s">
        <v>88</v>
      </c>
      <c r="C9936" s="1" t="n">
        <v>203000</v>
      </c>
      <c r="D9936" s="1" t="n">
        <v>1268.5</v>
      </c>
      <c r="E9936" s="1" t="n">
        <v>0.033</v>
      </c>
      <c r="F9936" s="1" t="n">
        <v>0.0759</v>
      </c>
    </row>
    <row r="9937" customFormat="false" ht="15" hidden="false" customHeight="false" outlineLevel="0" collapsed="false">
      <c r="A9937" s="1" t="s">
        <v>9972</v>
      </c>
      <c r="B9937" s="1" t="s">
        <v>26</v>
      </c>
      <c r="C9937" s="1" t="n">
        <v>327000</v>
      </c>
      <c r="D9937" s="1" t="n">
        <v>40506.4</v>
      </c>
      <c r="E9937" s="1" t="n">
        <v>0.0306</v>
      </c>
      <c r="F9937" s="1" t="n">
        <v>0.0518</v>
      </c>
    </row>
    <row r="9938" customFormat="false" ht="15" hidden="false" customHeight="false" outlineLevel="0" collapsed="false">
      <c r="A9938" s="1" t="s">
        <v>9973</v>
      </c>
      <c r="B9938" s="1" t="s">
        <v>287</v>
      </c>
      <c r="C9938" s="1" t="n">
        <v>197000</v>
      </c>
      <c r="D9938" s="1" t="n">
        <v>9944.8</v>
      </c>
      <c r="E9938" s="1" t="n">
        <v>0.0269</v>
      </c>
      <c r="F9938" s="1" t="n">
        <v>0.0759</v>
      </c>
    </row>
    <row r="9939" customFormat="false" ht="15" hidden="false" customHeight="false" outlineLevel="0" collapsed="false">
      <c r="A9939" s="1" t="s">
        <v>9974</v>
      </c>
      <c r="B9939" s="1" t="s">
        <v>62</v>
      </c>
      <c r="C9939" s="1" t="n">
        <v>485000</v>
      </c>
      <c r="D9939" s="1" t="n">
        <v>44133.1</v>
      </c>
      <c r="E9939" s="1" t="n">
        <v>0.0371</v>
      </c>
      <c r="F9939" s="1" t="n">
        <v>0.0951</v>
      </c>
    </row>
    <row r="9940" customFormat="false" ht="15" hidden="false" customHeight="false" outlineLevel="0" collapsed="false">
      <c r="A9940" s="1" t="s">
        <v>9975</v>
      </c>
      <c r="B9940" s="1" t="s">
        <v>41</v>
      </c>
      <c r="C9940" s="1" t="n">
        <v>178000</v>
      </c>
      <c r="D9940" s="1" t="n">
        <v>22802.6</v>
      </c>
      <c r="E9940" s="1" t="n">
        <v>0.0278</v>
      </c>
      <c r="F9940" s="1" t="n">
        <v>0.0951</v>
      </c>
    </row>
    <row r="9941" customFormat="false" ht="15" hidden="false" customHeight="false" outlineLevel="0" collapsed="false">
      <c r="A9941" s="1" t="s">
        <v>9976</v>
      </c>
      <c r="B9941" s="1" t="s">
        <v>88</v>
      </c>
      <c r="C9941" s="1" t="n">
        <v>144000</v>
      </c>
      <c r="D9941" s="1" t="n">
        <v>212.9</v>
      </c>
      <c r="E9941" s="1" t="n">
        <v>0.0103</v>
      </c>
      <c r="F9941" s="1" t="n">
        <v>0.0822</v>
      </c>
    </row>
    <row r="9942" customFormat="false" ht="15" hidden="false" customHeight="false" outlineLevel="0" collapsed="false">
      <c r="A9942" s="1" t="s">
        <v>9977</v>
      </c>
      <c r="B9942" s="1" t="s">
        <v>41</v>
      </c>
      <c r="C9942" s="1" t="n">
        <v>145000</v>
      </c>
      <c r="D9942" s="1" t="n">
        <v>20173.7</v>
      </c>
      <c r="F9942" s="1" t="n">
        <v>0.0518</v>
      </c>
    </row>
    <row r="9943" customFormat="false" ht="15" hidden="false" customHeight="false" outlineLevel="0" collapsed="false">
      <c r="A9943" s="1" t="s">
        <v>9978</v>
      </c>
      <c r="B9943" s="1" t="s">
        <v>214</v>
      </c>
      <c r="C9943" s="1" t="n">
        <v>187000</v>
      </c>
      <c r="D9943" s="1" t="n">
        <v>590.9</v>
      </c>
      <c r="E9943" s="1" t="n">
        <v>0.0206</v>
      </c>
      <c r="F9943" s="1" t="n">
        <v>0.0585</v>
      </c>
    </row>
    <row r="9944" customFormat="false" ht="15" hidden="false" customHeight="false" outlineLevel="0" collapsed="false">
      <c r="A9944" s="1" t="s">
        <v>9979</v>
      </c>
      <c r="B9944" s="1" t="s">
        <v>26</v>
      </c>
      <c r="C9944" s="1" t="n">
        <v>148000</v>
      </c>
      <c r="D9944" s="1" t="n">
        <v>48062.4</v>
      </c>
      <c r="E9944" s="1" t="n">
        <v>0.0224</v>
      </c>
      <c r="F9944" s="1" t="n">
        <v>0.0951</v>
      </c>
    </row>
    <row r="9945" customFormat="false" ht="15" hidden="false" customHeight="false" outlineLevel="0" collapsed="false">
      <c r="A9945" s="1" t="s">
        <v>9980</v>
      </c>
      <c r="B9945" s="1" t="s">
        <v>26</v>
      </c>
      <c r="C9945" s="1" t="n">
        <v>144000</v>
      </c>
      <c r="D9945" s="1" t="n">
        <v>5836.6</v>
      </c>
      <c r="E9945" s="1" t="n">
        <v>0.0237</v>
      </c>
      <c r="F9945" s="1" t="n">
        <v>0.0951</v>
      </c>
    </row>
    <row r="9946" customFormat="false" ht="15" hidden="false" customHeight="false" outlineLevel="0" collapsed="false">
      <c r="A9946" s="1" t="s">
        <v>9981</v>
      </c>
      <c r="B9946" s="1" t="s">
        <v>81</v>
      </c>
      <c r="C9946" s="1" t="n">
        <v>152000</v>
      </c>
      <c r="D9946" s="1" t="n">
        <v>1100.3</v>
      </c>
      <c r="E9946" s="1" t="n">
        <v>0.0116</v>
      </c>
      <c r="F9946" s="1" t="n">
        <v>0.0585</v>
      </c>
    </row>
    <row r="9947" customFormat="false" ht="15" hidden="false" customHeight="false" outlineLevel="0" collapsed="false">
      <c r="A9947" s="1" t="s">
        <v>9982</v>
      </c>
      <c r="B9947" s="1" t="s">
        <v>62</v>
      </c>
      <c r="C9947" s="1" t="n">
        <v>146000</v>
      </c>
      <c r="D9947" s="1" t="n">
        <v>335.1</v>
      </c>
      <c r="E9947" s="1" t="n">
        <v>0.0571</v>
      </c>
      <c r="F9947" s="1" t="n">
        <v>0.0951</v>
      </c>
    </row>
    <row r="9948" customFormat="false" ht="15" hidden="false" customHeight="false" outlineLevel="0" collapsed="false">
      <c r="A9948" s="1" t="s">
        <v>9983</v>
      </c>
      <c r="B9948" s="1" t="s">
        <v>62</v>
      </c>
      <c r="C9948" s="1" t="n">
        <v>269000</v>
      </c>
      <c r="D9948" s="1" t="n">
        <v>83606.2</v>
      </c>
      <c r="E9948" s="1" t="n">
        <v>0.0227</v>
      </c>
      <c r="F9948" s="1" t="n">
        <v>0.0409</v>
      </c>
    </row>
    <row r="9949" customFormat="false" ht="15" hidden="false" customHeight="false" outlineLevel="0" collapsed="false">
      <c r="A9949" s="1" t="s">
        <v>9984</v>
      </c>
      <c r="B9949" s="1" t="s">
        <v>26</v>
      </c>
      <c r="C9949" s="1" t="n">
        <v>207000</v>
      </c>
      <c r="D9949" s="1" t="n">
        <v>2036.9</v>
      </c>
      <c r="E9949" s="1" t="n">
        <v>0.0311</v>
      </c>
      <c r="F9949" s="1" t="n">
        <v>0.0759</v>
      </c>
    </row>
    <row r="9950" customFormat="false" ht="15" hidden="false" customHeight="false" outlineLevel="0" collapsed="false">
      <c r="A9950" s="1" t="s">
        <v>9985</v>
      </c>
      <c r="B9950" s="1" t="s">
        <v>50</v>
      </c>
      <c r="C9950" s="1" t="n">
        <v>180000</v>
      </c>
      <c r="D9950" s="1" t="n">
        <v>1595.3</v>
      </c>
      <c r="E9950" s="1" t="n">
        <v>0.0121</v>
      </c>
      <c r="F9950" s="1" t="n">
        <v>0.0811</v>
      </c>
    </row>
    <row r="9951" customFormat="false" ht="15" hidden="false" customHeight="false" outlineLevel="0" collapsed="false">
      <c r="A9951" s="1" t="s">
        <v>9986</v>
      </c>
      <c r="B9951" s="1" t="s">
        <v>26</v>
      </c>
      <c r="C9951" s="1" t="n">
        <v>276000</v>
      </c>
      <c r="D9951" s="1" t="n">
        <v>667587.1</v>
      </c>
      <c r="F9951" s="1" t="n">
        <v>0.0409</v>
      </c>
    </row>
    <row r="9952" customFormat="false" ht="15" hidden="false" customHeight="false" outlineLevel="0" collapsed="false">
      <c r="A9952" s="1" t="s">
        <v>9987</v>
      </c>
      <c r="B9952" s="1" t="s">
        <v>41</v>
      </c>
      <c r="C9952" s="1" t="n">
        <v>141000</v>
      </c>
      <c r="D9952" s="1" t="n">
        <v>2115.6</v>
      </c>
      <c r="E9952" s="1" t="n">
        <v>0.0118</v>
      </c>
      <c r="F9952" s="1" t="n">
        <v>0.0654</v>
      </c>
    </row>
    <row r="9953" customFormat="false" ht="15" hidden="false" customHeight="false" outlineLevel="0" collapsed="false">
      <c r="A9953" s="1" t="s">
        <v>9988</v>
      </c>
      <c r="B9953" s="1" t="s">
        <v>62</v>
      </c>
      <c r="C9953" s="1" t="n">
        <v>159000</v>
      </c>
      <c r="D9953" s="1" t="n">
        <v>1118.8</v>
      </c>
      <c r="E9953" s="1" t="n">
        <v>0.0246</v>
      </c>
      <c r="F9953" s="1" t="n">
        <v>0.0951</v>
      </c>
    </row>
    <row r="9954" customFormat="false" ht="15" hidden="false" customHeight="false" outlineLevel="0" collapsed="false">
      <c r="A9954" s="1" t="s">
        <v>9989</v>
      </c>
      <c r="B9954" s="1" t="s">
        <v>26</v>
      </c>
      <c r="C9954" s="1" t="n">
        <v>613000</v>
      </c>
      <c r="D9954" s="1" t="n">
        <v>8000.6</v>
      </c>
      <c r="E9954" s="1" t="n">
        <v>0.0345</v>
      </c>
      <c r="F9954" s="1" t="n">
        <v>0.0938</v>
      </c>
    </row>
    <row r="9955" customFormat="false" ht="15" hidden="false" customHeight="false" outlineLevel="0" collapsed="false">
      <c r="A9955" s="1" t="s">
        <v>9990</v>
      </c>
      <c r="B9955" s="1" t="s">
        <v>24</v>
      </c>
      <c r="C9955" s="1" t="n">
        <v>211000</v>
      </c>
      <c r="D9955" s="1" t="n">
        <v>1139.5</v>
      </c>
      <c r="E9955" s="1" t="n">
        <v>0.0327</v>
      </c>
      <c r="F9955" s="1" t="n">
        <v>0.0759</v>
      </c>
    </row>
    <row r="9956" customFormat="false" ht="15" hidden="false" customHeight="false" outlineLevel="0" collapsed="false">
      <c r="A9956" s="1" t="s">
        <v>9991</v>
      </c>
      <c r="B9956" s="1" t="s">
        <v>92</v>
      </c>
      <c r="C9956" s="1" t="n">
        <v>169000</v>
      </c>
      <c r="D9956" s="1" t="n">
        <v>9689.7</v>
      </c>
      <c r="E9956" s="1" t="n">
        <v>0.0284</v>
      </c>
      <c r="F9956" s="1" t="n">
        <v>0.0951</v>
      </c>
    </row>
    <row r="9957" customFormat="false" ht="15" hidden="false" customHeight="false" outlineLevel="0" collapsed="false">
      <c r="A9957" s="1" t="s">
        <v>9992</v>
      </c>
      <c r="B9957" s="1" t="s">
        <v>50</v>
      </c>
      <c r="C9957" s="1" t="n">
        <v>190000</v>
      </c>
      <c r="D9957" s="1" t="n">
        <v>23892</v>
      </c>
      <c r="E9957" s="1" t="n">
        <v>0.0291</v>
      </c>
      <c r="F9957" s="1" t="n">
        <v>0.0759</v>
      </c>
    </row>
    <row r="9958" customFormat="false" ht="15" hidden="false" customHeight="false" outlineLevel="0" collapsed="false">
      <c r="A9958" s="1" t="s">
        <v>9993</v>
      </c>
      <c r="B9958" s="1" t="s">
        <v>71</v>
      </c>
      <c r="C9958" s="1" t="n">
        <v>193000</v>
      </c>
      <c r="D9958" s="1" t="n">
        <v>3480.8</v>
      </c>
      <c r="E9958" s="1" t="n">
        <v>0.0437</v>
      </c>
      <c r="F9958" s="1" t="n">
        <v>0.0938</v>
      </c>
    </row>
    <row r="9959" customFormat="false" ht="15" hidden="false" customHeight="false" outlineLevel="0" collapsed="false">
      <c r="A9959" s="1" t="s">
        <v>9994</v>
      </c>
      <c r="B9959" s="1" t="s">
        <v>92</v>
      </c>
      <c r="C9959" s="1" t="n">
        <v>195000</v>
      </c>
      <c r="D9959" s="1" t="n">
        <v>2196.3</v>
      </c>
      <c r="E9959" s="1" t="n">
        <v>0.0366</v>
      </c>
      <c r="F9959" s="1" t="n">
        <v>0.0759</v>
      </c>
    </row>
    <row r="9960" customFormat="false" ht="15" hidden="false" customHeight="false" outlineLevel="0" collapsed="false">
      <c r="A9960" s="1" t="s">
        <v>9995</v>
      </c>
      <c r="B9960" s="1" t="s">
        <v>26</v>
      </c>
      <c r="C9960" s="1" t="n">
        <v>188000</v>
      </c>
      <c r="D9960" s="1" t="n">
        <v>6308.2</v>
      </c>
      <c r="E9960" s="1" t="n">
        <v>0.0327</v>
      </c>
      <c r="F9960" s="1" t="n">
        <v>0.0951</v>
      </c>
    </row>
    <row r="9961" customFormat="false" ht="15" hidden="false" customHeight="false" outlineLevel="0" collapsed="false">
      <c r="A9961" s="1" t="s">
        <v>9996</v>
      </c>
      <c r="B9961" s="1" t="s">
        <v>71</v>
      </c>
      <c r="C9961" s="1" t="n">
        <v>159000</v>
      </c>
      <c r="D9961" s="1" t="n">
        <v>1379.6</v>
      </c>
      <c r="E9961" s="1" t="n">
        <v>0.052</v>
      </c>
      <c r="F9961" s="1" t="n">
        <v>0.117</v>
      </c>
    </row>
    <row r="9962" customFormat="false" ht="15" hidden="false" customHeight="false" outlineLevel="0" collapsed="false">
      <c r="A9962" s="1" t="s">
        <v>9997</v>
      </c>
      <c r="B9962" s="1" t="s">
        <v>74</v>
      </c>
      <c r="C9962" s="1" t="n">
        <v>290000</v>
      </c>
      <c r="D9962" s="1" t="n">
        <v>9725.7</v>
      </c>
      <c r="E9962" s="1" t="n">
        <v>0.0215</v>
      </c>
      <c r="F9962" s="1" t="n">
        <v>0.0759</v>
      </c>
    </row>
    <row r="9963" customFormat="false" ht="15" hidden="false" customHeight="false" outlineLevel="0" collapsed="false">
      <c r="A9963" s="1" t="s">
        <v>9998</v>
      </c>
      <c r="B9963" s="1" t="s">
        <v>62</v>
      </c>
      <c r="C9963" s="1" t="n">
        <v>144000</v>
      </c>
      <c r="D9963" s="1" t="n">
        <v>922.6</v>
      </c>
      <c r="E9963" s="1" t="n">
        <v>0.0734</v>
      </c>
      <c r="F9963" s="1" t="n">
        <v>0.2409</v>
      </c>
    </row>
    <row r="9964" customFormat="false" ht="15" hidden="false" customHeight="false" outlineLevel="0" collapsed="false">
      <c r="A9964" s="1" t="s">
        <v>9999</v>
      </c>
      <c r="B9964" s="1" t="s">
        <v>26</v>
      </c>
      <c r="C9964" s="1" t="n">
        <v>146000</v>
      </c>
      <c r="D9964" s="1" t="n">
        <v>555.3</v>
      </c>
      <c r="E9964" s="1" t="n">
        <v>0.0128</v>
      </c>
      <c r="F9964" s="1" t="n">
        <v>0.1027</v>
      </c>
    </row>
    <row r="9965" customFormat="false" ht="15" hidden="false" customHeight="false" outlineLevel="0" collapsed="false">
      <c r="A9965" s="1" t="s">
        <v>10000</v>
      </c>
      <c r="B9965" s="1" t="s">
        <v>214</v>
      </c>
      <c r="C9965" s="1" t="n">
        <v>166000</v>
      </c>
      <c r="D9965" s="1" t="n">
        <v>1259</v>
      </c>
      <c r="E9965" s="1" t="n">
        <v>0.0342</v>
      </c>
      <c r="F9965" s="1" t="n">
        <v>0.0813</v>
      </c>
    </row>
    <row r="9966" customFormat="false" ht="15" hidden="false" customHeight="false" outlineLevel="0" collapsed="false">
      <c r="A9966" s="1" t="s">
        <v>10001</v>
      </c>
      <c r="B9966" s="1" t="s">
        <v>21</v>
      </c>
      <c r="C9966" s="1" t="n">
        <v>181000</v>
      </c>
      <c r="D9966" s="1" t="n">
        <v>1320.2</v>
      </c>
      <c r="E9966" s="1" t="n">
        <v>0.0115</v>
      </c>
      <c r="F9966" s="1" t="n">
        <v>0.073</v>
      </c>
    </row>
    <row r="9967" customFormat="false" ht="15" hidden="false" customHeight="false" outlineLevel="0" collapsed="false">
      <c r="A9967" s="1" t="s">
        <v>10002</v>
      </c>
      <c r="B9967" s="1" t="s">
        <v>74</v>
      </c>
      <c r="C9967" s="1" t="n">
        <v>194000</v>
      </c>
      <c r="D9967" s="1" t="n">
        <v>16095.9</v>
      </c>
      <c r="E9967" s="1" t="n">
        <v>0.0146</v>
      </c>
      <c r="F9967" s="1" t="n">
        <v>0.1067</v>
      </c>
    </row>
    <row r="9968" customFormat="false" ht="15" hidden="false" customHeight="false" outlineLevel="0" collapsed="false">
      <c r="A9968" s="1" t="s">
        <v>10003</v>
      </c>
      <c r="B9968" s="1" t="s">
        <v>74</v>
      </c>
      <c r="C9968" s="1" t="n">
        <v>313000</v>
      </c>
      <c r="D9968" s="1" t="n">
        <v>27725.3</v>
      </c>
      <c r="E9968" s="1" t="n">
        <v>0.0325</v>
      </c>
      <c r="F9968" s="1" t="n">
        <v>0.0759</v>
      </c>
    </row>
    <row r="9969" customFormat="false" ht="15" hidden="false" customHeight="false" outlineLevel="0" collapsed="false">
      <c r="A9969" s="1" t="s">
        <v>10004</v>
      </c>
      <c r="B9969" s="1" t="s">
        <v>74</v>
      </c>
      <c r="C9969" s="1" t="n">
        <v>133000</v>
      </c>
      <c r="D9969" s="1" t="n">
        <v>945</v>
      </c>
      <c r="E9969" s="1" t="n">
        <v>0.0407</v>
      </c>
      <c r="F9969" s="1" t="n">
        <v>0.0951</v>
      </c>
    </row>
    <row r="9970" customFormat="false" ht="15" hidden="false" customHeight="false" outlineLevel="0" collapsed="false">
      <c r="A9970" s="1" t="s">
        <v>10005</v>
      </c>
      <c r="B9970" s="1" t="s">
        <v>81</v>
      </c>
      <c r="C9970" s="1" t="n">
        <v>144000</v>
      </c>
      <c r="D9970" s="1" t="n">
        <v>51946.9</v>
      </c>
      <c r="E9970" s="1" t="n">
        <v>0.0199</v>
      </c>
      <c r="F9970" s="1" t="n">
        <v>0.1067</v>
      </c>
    </row>
    <row r="9971" customFormat="false" ht="15" hidden="false" customHeight="false" outlineLevel="0" collapsed="false">
      <c r="A9971" s="1" t="s">
        <v>10006</v>
      </c>
      <c r="B9971" s="1" t="s">
        <v>92</v>
      </c>
      <c r="C9971" s="1" t="n">
        <v>173000</v>
      </c>
      <c r="D9971" s="1" t="n">
        <v>44937.7</v>
      </c>
      <c r="E9971" s="1" t="n">
        <v>0.0231</v>
      </c>
      <c r="F9971" s="1" t="n">
        <v>0.0951</v>
      </c>
    </row>
    <row r="9972" customFormat="false" ht="15" hidden="false" customHeight="false" outlineLevel="0" collapsed="false">
      <c r="A9972" s="1" t="s">
        <v>10007</v>
      </c>
      <c r="B9972" s="1" t="s">
        <v>88</v>
      </c>
      <c r="C9972" s="1" t="n">
        <v>118000</v>
      </c>
      <c r="D9972" s="1" t="n">
        <v>1591.5</v>
      </c>
      <c r="E9972" s="1" t="n">
        <v>0.0342</v>
      </c>
      <c r="F9972" s="1" t="n">
        <v>0.0951</v>
      </c>
    </row>
    <row r="9973" customFormat="false" ht="15" hidden="false" customHeight="false" outlineLevel="0" collapsed="false">
      <c r="A9973" s="1" t="s">
        <v>10008</v>
      </c>
      <c r="B9973" s="1" t="s">
        <v>74</v>
      </c>
      <c r="C9973" s="1" t="n">
        <v>153000</v>
      </c>
      <c r="D9973" s="1" t="n">
        <v>122.9</v>
      </c>
      <c r="E9973" s="1" t="n">
        <v>0.0235</v>
      </c>
      <c r="F9973" s="1" t="n">
        <v>0.0409</v>
      </c>
    </row>
    <row r="9974" customFormat="false" ht="15" hidden="false" customHeight="false" outlineLevel="0" collapsed="false">
      <c r="A9974" s="1" t="s">
        <v>10009</v>
      </c>
      <c r="B9974" s="1" t="s">
        <v>26</v>
      </c>
      <c r="C9974" s="1" t="n">
        <v>140000</v>
      </c>
      <c r="D9974" s="1" t="n">
        <v>17954.8</v>
      </c>
      <c r="E9974" s="1" t="n">
        <v>0.0434</v>
      </c>
      <c r="F9974" s="1" t="n">
        <v>0.0951</v>
      </c>
    </row>
    <row r="9975" customFormat="false" ht="15" hidden="false" customHeight="false" outlineLevel="0" collapsed="false">
      <c r="A9975" s="1" t="s">
        <v>10010</v>
      </c>
      <c r="B9975" s="1" t="s">
        <v>26</v>
      </c>
      <c r="C9975" s="1" t="n">
        <v>145000</v>
      </c>
      <c r="D9975" s="1" t="n">
        <v>1188.9</v>
      </c>
      <c r="E9975" s="1" t="n">
        <v>0.013</v>
      </c>
      <c r="F9975" s="1" t="n">
        <v>0.1027</v>
      </c>
    </row>
    <row r="9976" customFormat="false" ht="15" hidden="false" customHeight="false" outlineLevel="0" collapsed="false">
      <c r="A9976" s="1" t="s">
        <v>10011</v>
      </c>
      <c r="B9976" s="1" t="s">
        <v>26</v>
      </c>
      <c r="C9976" s="1" t="n">
        <v>296000</v>
      </c>
      <c r="D9976" s="1" t="n">
        <v>160783</v>
      </c>
      <c r="E9976" s="1" t="n">
        <v>0.0126</v>
      </c>
      <c r="F9976" s="1" t="n">
        <v>0.0584</v>
      </c>
    </row>
    <row r="9977" customFormat="false" ht="15" hidden="false" customHeight="false" outlineLevel="0" collapsed="false">
      <c r="A9977" s="1" t="s">
        <v>10012</v>
      </c>
      <c r="B9977" s="1" t="s">
        <v>53</v>
      </c>
      <c r="C9977" s="1" t="n">
        <v>145000</v>
      </c>
      <c r="D9977" s="1" t="n">
        <v>36365.7</v>
      </c>
      <c r="E9977" s="1" t="n">
        <v>0.0779</v>
      </c>
      <c r="F9977" s="1" t="n">
        <v>0.0951</v>
      </c>
    </row>
    <row r="9978" customFormat="false" ht="15" hidden="false" customHeight="false" outlineLevel="0" collapsed="false">
      <c r="A9978" s="1" t="s">
        <v>10013</v>
      </c>
      <c r="B9978" s="1" t="s">
        <v>195</v>
      </c>
      <c r="C9978" s="1" t="n">
        <v>143000</v>
      </c>
      <c r="D9978" s="1" t="n">
        <v>559</v>
      </c>
      <c r="E9978" s="1" t="n">
        <v>0.0094</v>
      </c>
      <c r="F9978" s="1" t="n">
        <v>0.0811</v>
      </c>
    </row>
    <row r="9979" customFormat="false" ht="15" hidden="false" customHeight="false" outlineLevel="0" collapsed="false">
      <c r="A9979" s="1" t="s">
        <v>10014</v>
      </c>
      <c r="B9979" s="1" t="s">
        <v>24</v>
      </c>
      <c r="C9979" s="1" t="n">
        <v>192000</v>
      </c>
      <c r="D9979" s="1" t="n">
        <v>1714.7</v>
      </c>
      <c r="E9979" s="1" t="n">
        <v>0.0587</v>
      </c>
      <c r="F9979" s="1" t="n">
        <v>0.0759</v>
      </c>
    </row>
    <row r="9980" customFormat="false" ht="15" hidden="false" customHeight="false" outlineLevel="0" collapsed="false">
      <c r="A9980" s="1" t="s">
        <v>10015</v>
      </c>
      <c r="B9980" s="1" t="s">
        <v>26</v>
      </c>
      <c r="C9980" s="1" t="n">
        <v>142000</v>
      </c>
      <c r="D9980" s="1" t="n">
        <v>6135</v>
      </c>
      <c r="E9980" s="1" t="n">
        <v>0.0523</v>
      </c>
      <c r="F9980" s="1" t="n">
        <v>0.0951</v>
      </c>
    </row>
    <row r="9981" customFormat="false" ht="15" hidden="false" customHeight="false" outlineLevel="0" collapsed="false">
      <c r="A9981" s="1" t="s">
        <v>10016</v>
      </c>
      <c r="B9981" s="1" t="s">
        <v>195</v>
      </c>
      <c r="C9981" s="1" t="n">
        <v>166000</v>
      </c>
      <c r="D9981" s="1" t="n">
        <v>2798.4</v>
      </c>
      <c r="E9981" s="1" t="n">
        <v>0.011</v>
      </c>
      <c r="F9981" s="1" t="n">
        <v>0.0821</v>
      </c>
    </row>
    <row r="9982" customFormat="false" ht="15" hidden="false" customHeight="false" outlineLevel="0" collapsed="false">
      <c r="A9982" s="1" t="s">
        <v>10017</v>
      </c>
      <c r="B9982" s="1" t="s">
        <v>26</v>
      </c>
      <c r="C9982" s="1" t="n">
        <v>153000</v>
      </c>
      <c r="D9982" s="1" t="n">
        <v>2886.9</v>
      </c>
      <c r="E9982" s="1" t="n">
        <v>0.012</v>
      </c>
      <c r="F9982" s="1" t="n">
        <v>0.0616</v>
      </c>
    </row>
    <row r="9983" customFormat="false" ht="15" hidden="false" customHeight="false" outlineLevel="0" collapsed="false">
      <c r="A9983" s="1" t="s">
        <v>10018</v>
      </c>
      <c r="B9983" s="1" t="s">
        <v>41</v>
      </c>
      <c r="C9983" s="1" t="n">
        <v>396000</v>
      </c>
      <c r="D9983" s="1" t="n">
        <v>81151.6</v>
      </c>
      <c r="E9983" s="1" t="n">
        <v>0.0498</v>
      </c>
      <c r="F9983" s="1" t="n">
        <v>0.0759</v>
      </c>
    </row>
    <row r="9984" customFormat="false" ht="15" hidden="false" customHeight="false" outlineLevel="0" collapsed="false">
      <c r="A9984" s="1" t="s">
        <v>10019</v>
      </c>
      <c r="B9984" s="1" t="s">
        <v>88</v>
      </c>
      <c r="C9984" s="1" t="n">
        <v>168000</v>
      </c>
      <c r="D9984" s="1" t="n">
        <v>5378.4</v>
      </c>
      <c r="E9984" s="1" t="n">
        <v>0.029</v>
      </c>
      <c r="F9984" s="1" t="n">
        <v>0.0759</v>
      </c>
    </row>
    <row r="9985" customFormat="false" ht="15" hidden="false" customHeight="false" outlineLevel="0" collapsed="false">
      <c r="A9985" s="1" t="s">
        <v>10020</v>
      </c>
      <c r="B9985" s="1" t="s">
        <v>26</v>
      </c>
      <c r="C9985" s="1" t="n">
        <v>163000</v>
      </c>
      <c r="D9985" s="1" t="n">
        <v>45451.6</v>
      </c>
      <c r="E9985" s="1" t="n">
        <v>0.0217</v>
      </c>
      <c r="F9985" s="1" t="n">
        <v>0.0672</v>
      </c>
    </row>
    <row r="9986" customFormat="false" ht="15" hidden="false" customHeight="false" outlineLevel="0" collapsed="false">
      <c r="A9986" s="1" t="s">
        <v>10021</v>
      </c>
      <c r="B9986" s="1" t="s">
        <v>26</v>
      </c>
      <c r="C9986" s="1" t="n">
        <v>151000</v>
      </c>
      <c r="D9986" s="1" t="n">
        <v>1376.2</v>
      </c>
      <c r="E9986" s="1" t="n">
        <v>0.009</v>
      </c>
      <c r="F9986" s="1" t="n">
        <v>0.0822</v>
      </c>
    </row>
    <row r="9987" customFormat="false" ht="15" hidden="false" customHeight="false" outlineLevel="0" collapsed="false">
      <c r="A9987" s="1" t="s">
        <v>10022</v>
      </c>
      <c r="B9987" s="1" t="s">
        <v>214</v>
      </c>
      <c r="C9987" s="1" t="n">
        <v>174000</v>
      </c>
      <c r="D9987" s="1" t="n">
        <v>2404.7</v>
      </c>
      <c r="E9987" s="1" t="n">
        <v>0.0652</v>
      </c>
      <c r="F9987" s="1" t="n">
        <v>0.0951</v>
      </c>
    </row>
    <row r="9988" customFormat="false" ht="15" hidden="false" customHeight="false" outlineLevel="0" collapsed="false">
      <c r="A9988" s="1" t="s">
        <v>10023</v>
      </c>
      <c r="B9988" s="1" t="s">
        <v>195</v>
      </c>
      <c r="C9988" s="1" t="n">
        <v>144000</v>
      </c>
      <c r="D9988" s="1" t="n">
        <v>345.2</v>
      </c>
      <c r="E9988" s="1" t="n">
        <v>0.0186</v>
      </c>
      <c r="F9988" s="1" t="n">
        <v>0.1067</v>
      </c>
    </row>
    <row r="9989" customFormat="false" ht="15" hidden="false" customHeight="false" outlineLevel="0" collapsed="false">
      <c r="A9989" s="1" t="s">
        <v>10024</v>
      </c>
      <c r="B9989" s="1" t="s">
        <v>92</v>
      </c>
      <c r="C9989" s="1" t="n">
        <v>144000</v>
      </c>
      <c r="D9989" s="1" t="n">
        <v>5184.2</v>
      </c>
      <c r="E9989" s="1" t="n">
        <v>0.0253</v>
      </c>
      <c r="F9989" s="1" t="n">
        <v>0.0951</v>
      </c>
    </row>
    <row r="9990" customFormat="false" ht="15" hidden="false" customHeight="false" outlineLevel="0" collapsed="false">
      <c r="A9990" s="1" t="s">
        <v>10025</v>
      </c>
      <c r="B9990" s="1" t="s">
        <v>50</v>
      </c>
      <c r="C9990" s="1" t="n">
        <v>316000</v>
      </c>
      <c r="D9990" s="1" t="n">
        <v>23544.7</v>
      </c>
      <c r="E9990" s="1" t="n">
        <v>0.052</v>
      </c>
      <c r="F9990" s="1" t="n">
        <v>0.0759</v>
      </c>
    </row>
    <row r="9991" customFormat="false" ht="15" hidden="false" customHeight="false" outlineLevel="0" collapsed="false">
      <c r="A9991" s="1" t="s">
        <v>10026</v>
      </c>
      <c r="B9991" s="1" t="s">
        <v>26</v>
      </c>
      <c r="C9991" s="1" t="n">
        <v>176000</v>
      </c>
      <c r="D9991" s="1" t="n">
        <v>3232.6</v>
      </c>
      <c r="E9991" s="1" t="n">
        <v>0.0253</v>
      </c>
      <c r="F9991" s="1" t="n">
        <v>0.1053</v>
      </c>
    </row>
    <row r="9992" customFormat="false" ht="15" hidden="false" customHeight="false" outlineLevel="0" collapsed="false">
      <c r="A9992" s="1" t="s">
        <v>10027</v>
      </c>
      <c r="B9992" s="1" t="s">
        <v>81</v>
      </c>
      <c r="C9992" s="1" t="n">
        <v>145000</v>
      </c>
      <c r="D9992" s="1" t="n">
        <v>529.1</v>
      </c>
      <c r="E9992" s="1" t="n">
        <v>0.0071</v>
      </c>
      <c r="F9992" s="1" t="n">
        <v>0.0822</v>
      </c>
    </row>
    <row r="9993" customFormat="false" ht="15" hidden="false" customHeight="false" outlineLevel="0" collapsed="false">
      <c r="A9993" s="1" t="s">
        <v>10028</v>
      </c>
      <c r="B9993" s="1" t="s">
        <v>24</v>
      </c>
      <c r="C9993" s="1" t="n">
        <v>525000</v>
      </c>
      <c r="D9993" s="1" t="n">
        <v>13185.6</v>
      </c>
      <c r="E9993" s="1" t="n">
        <v>0.0138</v>
      </c>
      <c r="F9993" s="1" t="n">
        <v>0.0584</v>
      </c>
    </row>
    <row r="9994" customFormat="false" ht="15" hidden="false" customHeight="false" outlineLevel="0" collapsed="false">
      <c r="A9994" s="1" t="s">
        <v>10029</v>
      </c>
      <c r="B9994" s="1" t="s">
        <v>195</v>
      </c>
      <c r="C9994" s="1" t="n">
        <v>147000</v>
      </c>
      <c r="D9994" s="1" t="n">
        <v>2291.7</v>
      </c>
      <c r="E9994" s="1" t="n">
        <v>0.0109</v>
      </c>
      <c r="F9994" s="1" t="n">
        <v>0.1187</v>
      </c>
    </row>
    <row r="9995" customFormat="false" ht="15" hidden="false" customHeight="false" outlineLevel="0" collapsed="false">
      <c r="A9995" s="1" t="s">
        <v>10030</v>
      </c>
      <c r="B9995" s="1" t="s">
        <v>26</v>
      </c>
      <c r="C9995" s="1" t="n">
        <v>141000</v>
      </c>
      <c r="D9995" s="1" t="n">
        <v>2677.8</v>
      </c>
      <c r="E9995" s="1" t="n">
        <v>0.0229</v>
      </c>
      <c r="F9995" s="1" t="n">
        <v>0.0951</v>
      </c>
    </row>
    <row r="9996" customFormat="false" ht="15" hidden="false" customHeight="false" outlineLevel="0" collapsed="false">
      <c r="A9996" s="1" t="s">
        <v>10031</v>
      </c>
      <c r="B9996" s="1" t="s">
        <v>88</v>
      </c>
      <c r="C9996" s="1" t="n">
        <v>548000</v>
      </c>
      <c r="D9996" s="1" t="n">
        <v>2410.5</v>
      </c>
      <c r="E9996" s="1" t="n">
        <v>0.0569</v>
      </c>
      <c r="F9996" s="1" t="n">
        <v>0.0759</v>
      </c>
    </row>
    <row r="9997" customFormat="false" ht="15" hidden="false" customHeight="false" outlineLevel="0" collapsed="false">
      <c r="A9997" s="1" t="s">
        <v>10032</v>
      </c>
      <c r="B9997" s="1" t="s">
        <v>32</v>
      </c>
      <c r="C9997" s="1" t="n">
        <v>201000</v>
      </c>
      <c r="D9997" s="1" t="n">
        <v>126163.1</v>
      </c>
      <c r="E9997" s="1" t="n">
        <v>0.0821</v>
      </c>
      <c r="F9997" s="1" t="n">
        <v>0.0951</v>
      </c>
    </row>
    <row r="9998" customFormat="false" ht="15" hidden="false" customHeight="false" outlineLevel="0" collapsed="false">
      <c r="A9998" s="1" t="s">
        <v>10033</v>
      </c>
      <c r="B9998" s="1" t="s">
        <v>88</v>
      </c>
      <c r="C9998" s="1" t="n">
        <v>210000</v>
      </c>
      <c r="D9998" s="1" t="n">
        <v>6919.9</v>
      </c>
      <c r="E9998" s="1" t="n">
        <v>0.079</v>
      </c>
      <c r="F9998" s="1" t="n">
        <v>0.0759</v>
      </c>
    </row>
    <row r="9999" customFormat="false" ht="15" hidden="false" customHeight="false" outlineLevel="0" collapsed="false">
      <c r="A9999" s="1" t="s">
        <v>10034</v>
      </c>
      <c r="B9999" s="1" t="s">
        <v>41</v>
      </c>
      <c r="C9999" s="1" t="n">
        <v>156000</v>
      </c>
      <c r="D9999" s="1" t="n">
        <v>600.7</v>
      </c>
      <c r="E9999" s="1" t="n">
        <v>0.0107</v>
      </c>
      <c r="F9999" s="1" t="n">
        <v>0.0811</v>
      </c>
    </row>
    <row r="10000" customFormat="false" ht="15" hidden="false" customHeight="false" outlineLevel="0" collapsed="false">
      <c r="A10000" s="1" t="s">
        <v>10035</v>
      </c>
      <c r="B10000" s="1" t="s">
        <v>195</v>
      </c>
      <c r="C10000" s="1" t="n">
        <v>196000</v>
      </c>
      <c r="D10000" s="1" t="n">
        <v>9865.9</v>
      </c>
      <c r="E10000" s="1" t="n">
        <v>0.0211</v>
      </c>
      <c r="F10000" s="1" t="n">
        <v>0.0854</v>
      </c>
    </row>
    <row r="10001" customFormat="false" ht="15" hidden="false" customHeight="false" outlineLevel="0" collapsed="false">
      <c r="A10001" s="1" t="s">
        <v>10036</v>
      </c>
      <c r="B10001" s="1" t="s">
        <v>24</v>
      </c>
      <c r="C10001" s="1" t="n">
        <v>189000</v>
      </c>
      <c r="D10001" s="1" t="n">
        <v>5822.4</v>
      </c>
      <c r="E10001" s="1" t="n">
        <v>0.0487</v>
      </c>
      <c r="F10001" s="1" t="n">
        <v>0.0759</v>
      </c>
    </row>
    <row r="10002" customFormat="false" ht="15" hidden="false" customHeight="false" outlineLevel="0" collapsed="false">
      <c r="A10002" s="1" t="s">
        <v>10037</v>
      </c>
      <c r="B10002" s="1" t="s">
        <v>88</v>
      </c>
      <c r="C10002" s="1" t="n">
        <v>488000</v>
      </c>
      <c r="D10002" s="1" t="n">
        <v>135191.7</v>
      </c>
      <c r="E10002" s="1" t="n">
        <v>0.0792</v>
      </c>
      <c r="F10002" s="1" t="n">
        <v>0.0938</v>
      </c>
    </row>
    <row r="10003" customFormat="false" ht="15" hidden="false" customHeight="false" outlineLevel="0" collapsed="false">
      <c r="A10003" s="1" t="s">
        <v>10038</v>
      </c>
      <c r="B10003" s="1" t="s">
        <v>41</v>
      </c>
      <c r="C10003" s="1" t="n">
        <v>183000</v>
      </c>
      <c r="D10003" s="1" t="n">
        <v>644.5</v>
      </c>
      <c r="E10003" s="1" t="n">
        <v>0.0724</v>
      </c>
      <c r="F10003" s="1" t="n">
        <v>0.0938</v>
      </c>
    </row>
    <row r="10004" customFormat="false" ht="15" hidden="false" customHeight="false" outlineLevel="0" collapsed="false">
      <c r="A10004" s="1" t="s">
        <v>10039</v>
      </c>
      <c r="B10004" s="1" t="s">
        <v>88</v>
      </c>
      <c r="C10004" s="1" t="n">
        <v>154000</v>
      </c>
      <c r="D10004" s="1" t="n">
        <v>655.5</v>
      </c>
      <c r="E10004" s="1" t="n">
        <v>0.0261</v>
      </c>
      <c r="F10004" s="1" t="n">
        <v>0.1518</v>
      </c>
    </row>
    <row r="10005" customFormat="false" ht="15" hidden="false" customHeight="false" outlineLevel="0" collapsed="false">
      <c r="A10005" s="1" t="s">
        <v>10040</v>
      </c>
      <c r="B10005" s="1" t="s">
        <v>26</v>
      </c>
      <c r="C10005" s="1" t="n">
        <v>292000</v>
      </c>
      <c r="D10005" s="1" t="n">
        <v>23428.6</v>
      </c>
      <c r="E10005" s="1" t="n">
        <v>0.0257</v>
      </c>
      <c r="F10005" s="1" t="n">
        <v>0.0759</v>
      </c>
    </row>
    <row r="10006" customFormat="false" ht="15" hidden="false" customHeight="false" outlineLevel="0" collapsed="false">
      <c r="A10006" s="1" t="s">
        <v>10041</v>
      </c>
      <c r="B10006" s="1" t="s">
        <v>88</v>
      </c>
      <c r="C10006" s="1" t="n">
        <v>176000</v>
      </c>
      <c r="D10006" s="1" t="n">
        <v>783.8</v>
      </c>
      <c r="E10006" s="1" t="n">
        <v>0.0209</v>
      </c>
      <c r="F10006" s="1" t="n">
        <v>0.0845</v>
      </c>
    </row>
    <row r="10007" customFormat="false" ht="15" hidden="false" customHeight="false" outlineLevel="0" collapsed="false">
      <c r="A10007" s="1" t="s">
        <v>10042</v>
      </c>
      <c r="B10007" s="1" t="s">
        <v>81</v>
      </c>
      <c r="C10007" s="1" t="n">
        <v>487000</v>
      </c>
      <c r="D10007" s="1" t="n">
        <v>134010.4</v>
      </c>
      <c r="E10007" s="1" t="n">
        <v>0.0555</v>
      </c>
      <c r="F10007" s="1" t="n">
        <v>0.0938</v>
      </c>
    </row>
    <row r="10008" customFormat="false" ht="15" hidden="false" customHeight="false" outlineLevel="0" collapsed="false">
      <c r="A10008" s="1" t="s">
        <v>10043</v>
      </c>
      <c r="B10008" s="1" t="s">
        <v>71</v>
      </c>
      <c r="C10008" s="1" t="n">
        <v>143000</v>
      </c>
      <c r="D10008" s="1" t="n">
        <v>5565.7</v>
      </c>
      <c r="E10008" s="1" t="n">
        <v>0.0196</v>
      </c>
      <c r="F10008" s="1" t="n">
        <v>0.1067</v>
      </c>
    </row>
    <row r="10009" customFormat="false" ht="15" hidden="false" customHeight="false" outlineLevel="0" collapsed="false">
      <c r="A10009" s="1" t="s">
        <v>10044</v>
      </c>
      <c r="B10009" s="1" t="s">
        <v>214</v>
      </c>
      <c r="C10009" s="1" t="n">
        <v>154000</v>
      </c>
      <c r="D10009" s="1" t="n">
        <v>4998.7</v>
      </c>
      <c r="E10009" s="1" t="n">
        <v>0.0319</v>
      </c>
      <c r="F10009" s="1" t="n">
        <v>0.0845</v>
      </c>
    </row>
    <row r="10010" customFormat="false" ht="15" hidden="false" customHeight="false" outlineLevel="0" collapsed="false">
      <c r="A10010" s="1" t="s">
        <v>10045</v>
      </c>
      <c r="B10010" s="1" t="s">
        <v>26</v>
      </c>
      <c r="C10010" s="1" t="n">
        <v>220000</v>
      </c>
      <c r="D10010" s="1" t="n">
        <v>176706.2</v>
      </c>
      <c r="E10010" s="1" t="n">
        <v>0.0334</v>
      </c>
      <c r="F10010" s="1" t="n">
        <v>0.0759</v>
      </c>
    </row>
    <row r="10011" customFormat="false" ht="15" hidden="false" customHeight="false" outlineLevel="0" collapsed="false">
      <c r="A10011" s="1" t="s">
        <v>10046</v>
      </c>
      <c r="B10011" s="1" t="s">
        <v>50</v>
      </c>
      <c r="C10011" s="1" t="n">
        <v>193000</v>
      </c>
      <c r="D10011" s="1" t="n">
        <v>12594.3</v>
      </c>
      <c r="E10011" s="1" t="n">
        <v>0.0149</v>
      </c>
      <c r="F10011" s="1" t="n">
        <v>0.052</v>
      </c>
    </row>
    <row r="10012" customFormat="false" ht="15" hidden="false" customHeight="false" outlineLevel="0" collapsed="false">
      <c r="A10012" s="1" t="s">
        <v>10047</v>
      </c>
      <c r="B10012" s="1" t="s">
        <v>26</v>
      </c>
      <c r="C10012" s="1" t="n">
        <v>157000</v>
      </c>
      <c r="D10012" s="1" t="n">
        <v>1749.5</v>
      </c>
      <c r="E10012" s="1" t="n">
        <v>0.0109</v>
      </c>
      <c r="F10012" s="1" t="n">
        <v>0.0811</v>
      </c>
    </row>
    <row r="10013" customFormat="false" ht="15" hidden="false" customHeight="false" outlineLevel="0" collapsed="false">
      <c r="A10013" s="1" t="s">
        <v>10048</v>
      </c>
      <c r="B10013" s="1" t="s">
        <v>32</v>
      </c>
      <c r="C10013" s="1" t="n">
        <v>159000</v>
      </c>
      <c r="D10013" s="1" t="n">
        <v>145018.4</v>
      </c>
      <c r="E10013" s="1" t="n">
        <v>0.0377</v>
      </c>
      <c r="F10013" s="1" t="n">
        <v>0.0951</v>
      </c>
    </row>
    <row r="10014" customFormat="false" ht="15" hidden="false" customHeight="false" outlineLevel="0" collapsed="false">
      <c r="A10014" s="1" t="s">
        <v>10049</v>
      </c>
      <c r="B10014" s="1" t="s">
        <v>41</v>
      </c>
      <c r="C10014" s="1" t="n">
        <v>228000</v>
      </c>
      <c r="D10014" s="1" t="n">
        <v>47177.7</v>
      </c>
      <c r="E10014" s="1" t="n">
        <v>0.0392</v>
      </c>
      <c r="F10014" s="1" t="n">
        <v>0.0759</v>
      </c>
    </row>
    <row r="10015" customFormat="false" ht="15" hidden="false" customHeight="false" outlineLevel="0" collapsed="false">
      <c r="A10015" s="1" t="s">
        <v>10050</v>
      </c>
      <c r="B10015" s="1" t="s">
        <v>26</v>
      </c>
      <c r="C10015" s="1" t="n">
        <v>149000</v>
      </c>
      <c r="D10015" s="1" t="n">
        <v>10580.7</v>
      </c>
      <c r="E10015" s="1" t="n">
        <v>0.0311</v>
      </c>
      <c r="F10015" s="1" t="n">
        <v>0.0518</v>
      </c>
    </row>
    <row r="10016" customFormat="false" ht="15" hidden="false" customHeight="false" outlineLevel="0" collapsed="false">
      <c r="A10016" s="1" t="s">
        <v>10051</v>
      </c>
      <c r="B10016" s="1" t="s">
        <v>26</v>
      </c>
      <c r="C10016" s="1" t="n">
        <v>152000</v>
      </c>
      <c r="D10016" s="1" t="n">
        <v>3415.6</v>
      </c>
      <c r="E10016" s="1" t="n">
        <v>0.0254</v>
      </c>
      <c r="F10016" s="1" t="n">
        <v>0.0518</v>
      </c>
    </row>
    <row r="10017" customFormat="false" ht="15" hidden="false" customHeight="false" outlineLevel="0" collapsed="false">
      <c r="A10017" s="1" t="s">
        <v>10052</v>
      </c>
      <c r="B10017" s="1" t="s">
        <v>26</v>
      </c>
      <c r="C10017" s="1" t="n">
        <v>156000</v>
      </c>
      <c r="D10017" s="1" t="n">
        <v>5699.9</v>
      </c>
      <c r="E10017" s="1" t="n">
        <v>0.0154</v>
      </c>
      <c r="F10017" s="1" t="n">
        <v>0.0726</v>
      </c>
    </row>
    <row r="10018" customFormat="false" ht="15" hidden="false" customHeight="false" outlineLevel="0" collapsed="false">
      <c r="A10018" s="1" t="s">
        <v>10053</v>
      </c>
      <c r="B10018" s="1" t="s">
        <v>88</v>
      </c>
      <c r="C10018" s="1" t="n">
        <v>303000</v>
      </c>
      <c r="D10018" s="1" t="n">
        <v>28227.5</v>
      </c>
      <c r="E10018" s="1" t="n">
        <v>0.0299</v>
      </c>
      <c r="F10018" s="1" t="n">
        <v>0.0951</v>
      </c>
    </row>
    <row r="10019" customFormat="false" ht="15" hidden="false" customHeight="false" outlineLevel="0" collapsed="false">
      <c r="A10019" s="1" t="s">
        <v>10054</v>
      </c>
      <c r="B10019" s="1" t="s">
        <v>26</v>
      </c>
      <c r="C10019" s="1" t="n">
        <v>144000</v>
      </c>
      <c r="D10019" s="1" t="n">
        <v>1120.4</v>
      </c>
      <c r="E10019" s="1" t="n">
        <v>0.0074</v>
      </c>
      <c r="F10019" s="1" t="n">
        <v>0.1027</v>
      </c>
    </row>
    <row r="10020" customFormat="false" ht="15" hidden="false" customHeight="false" outlineLevel="0" collapsed="false">
      <c r="A10020" s="1" t="s">
        <v>10055</v>
      </c>
      <c r="B10020" s="1" t="s">
        <v>287</v>
      </c>
      <c r="C10020" s="1" t="n">
        <v>178000</v>
      </c>
      <c r="D10020" s="1" t="n">
        <v>5286.6</v>
      </c>
      <c r="E10020" s="1" t="n">
        <v>0.0474</v>
      </c>
      <c r="F10020" s="1" t="n">
        <v>0.0759</v>
      </c>
    </row>
    <row r="10021" customFormat="false" ht="15" hidden="false" customHeight="false" outlineLevel="0" collapsed="false">
      <c r="A10021" s="1" t="s">
        <v>10056</v>
      </c>
      <c r="B10021" s="1" t="s">
        <v>26</v>
      </c>
      <c r="C10021" s="1" t="n">
        <v>191000</v>
      </c>
      <c r="D10021" s="1" t="n">
        <v>5071</v>
      </c>
      <c r="E10021" s="1" t="n">
        <v>0.0315</v>
      </c>
      <c r="F10021" s="1" t="n">
        <v>0.1168</v>
      </c>
    </row>
    <row r="10022" customFormat="false" ht="15" hidden="false" customHeight="false" outlineLevel="0" collapsed="false">
      <c r="A10022" s="1" t="s">
        <v>10057</v>
      </c>
      <c r="B10022" s="1" t="s">
        <v>30</v>
      </c>
      <c r="C10022" s="1" t="n">
        <v>209000</v>
      </c>
      <c r="D10022" s="1" t="n">
        <v>41346.9</v>
      </c>
      <c r="E10022" s="1" t="n">
        <v>0.066</v>
      </c>
      <c r="F10022" s="1" t="n">
        <v>0.0759</v>
      </c>
    </row>
    <row r="10023" customFormat="false" ht="15" hidden="false" customHeight="false" outlineLevel="0" collapsed="false">
      <c r="A10023" s="1" t="s">
        <v>10058</v>
      </c>
      <c r="B10023" s="1" t="s">
        <v>26</v>
      </c>
      <c r="C10023" s="1" t="n">
        <v>142000</v>
      </c>
      <c r="D10023" s="1" t="n">
        <v>569.3</v>
      </c>
      <c r="E10023" s="1" t="n">
        <v>0.0271</v>
      </c>
      <c r="F10023" s="1" t="n">
        <v>0.171</v>
      </c>
    </row>
    <row r="10024" customFormat="false" ht="15" hidden="false" customHeight="false" outlineLevel="0" collapsed="false">
      <c r="A10024" s="1" t="s">
        <v>10059</v>
      </c>
      <c r="B10024" s="1" t="s">
        <v>26</v>
      </c>
      <c r="C10024" s="1" t="n">
        <v>153000</v>
      </c>
      <c r="D10024" s="1" t="n">
        <v>114337.5</v>
      </c>
      <c r="E10024" s="1" t="n">
        <v>0.0167</v>
      </c>
      <c r="F10024" s="1" t="n">
        <v>0.1067</v>
      </c>
    </row>
    <row r="10025" customFormat="false" ht="15" hidden="false" customHeight="false" outlineLevel="0" collapsed="false">
      <c r="A10025" s="1" t="s">
        <v>10060</v>
      </c>
      <c r="B10025" s="1" t="s">
        <v>214</v>
      </c>
      <c r="C10025" s="1" t="n">
        <v>241000</v>
      </c>
      <c r="D10025" s="1" t="n">
        <v>142891</v>
      </c>
      <c r="E10025" s="1" t="n">
        <v>0.0298</v>
      </c>
      <c r="F10025" s="1" t="n">
        <v>0.0951</v>
      </c>
    </row>
    <row r="10026" customFormat="false" ht="15" hidden="false" customHeight="false" outlineLevel="0" collapsed="false">
      <c r="A10026" s="1" t="s">
        <v>10061</v>
      </c>
      <c r="B10026" s="1" t="s">
        <v>88</v>
      </c>
      <c r="C10026" s="1" t="n">
        <v>234000</v>
      </c>
      <c r="D10026" s="1" t="n">
        <v>1693.1</v>
      </c>
      <c r="E10026" s="1" t="n">
        <v>0.0356</v>
      </c>
      <c r="F10026" s="1" t="n">
        <v>0.0938</v>
      </c>
    </row>
    <row r="10027" customFormat="false" ht="15" hidden="false" customHeight="false" outlineLevel="0" collapsed="false">
      <c r="A10027" s="1" t="s">
        <v>10062</v>
      </c>
      <c r="B10027" s="1" t="s">
        <v>26</v>
      </c>
      <c r="C10027" s="1" t="n">
        <v>152000</v>
      </c>
      <c r="D10027" s="1" t="n">
        <v>2048.5</v>
      </c>
      <c r="E10027" s="1" t="n">
        <v>0.02</v>
      </c>
      <c r="F10027" s="1" t="n">
        <v>0.0854</v>
      </c>
    </row>
    <row r="10028" customFormat="false" ht="15" hidden="false" customHeight="false" outlineLevel="0" collapsed="false">
      <c r="A10028" s="1" t="s">
        <v>10063</v>
      </c>
      <c r="B10028" s="1" t="s">
        <v>26</v>
      </c>
      <c r="C10028" s="1" t="n">
        <v>220000</v>
      </c>
      <c r="D10028" s="1" t="n">
        <v>26090.2</v>
      </c>
      <c r="E10028" s="1" t="n">
        <v>0.0426</v>
      </c>
      <c r="F10028" s="1" t="n">
        <v>0.0759</v>
      </c>
    </row>
    <row r="10029" customFormat="false" ht="15" hidden="false" customHeight="false" outlineLevel="0" collapsed="false">
      <c r="A10029" s="1" t="s">
        <v>10064</v>
      </c>
      <c r="B10029" s="1" t="s">
        <v>24</v>
      </c>
      <c r="C10029" s="1" t="n">
        <v>336000</v>
      </c>
      <c r="D10029" s="1" t="n">
        <v>51827.1</v>
      </c>
      <c r="E10029" s="1" t="n">
        <v>0.0392</v>
      </c>
      <c r="F10029" s="1" t="n">
        <v>0.1241</v>
      </c>
    </row>
    <row r="10030" customFormat="false" ht="15" hidden="false" customHeight="false" outlineLevel="0" collapsed="false">
      <c r="A10030" s="1" t="s">
        <v>10065</v>
      </c>
      <c r="B10030" s="1" t="s">
        <v>26</v>
      </c>
      <c r="C10030" s="1" t="n">
        <v>143000</v>
      </c>
      <c r="D10030" s="1" t="n">
        <v>1546.3</v>
      </c>
      <c r="E10030" s="1" t="n">
        <v>0.0091</v>
      </c>
      <c r="F10030" s="1" t="n">
        <v>0.0822</v>
      </c>
    </row>
    <row r="10031" customFormat="false" ht="15" hidden="false" customHeight="false" outlineLevel="0" collapsed="false">
      <c r="A10031" s="1" t="s">
        <v>10066</v>
      </c>
      <c r="B10031" s="1" t="s">
        <v>88</v>
      </c>
      <c r="C10031" s="1" t="n">
        <v>198000</v>
      </c>
      <c r="D10031" s="1" t="n">
        <v>4980.4</v>
      </c>
      <c r="E10031" s="1" t="n">
        <v>0.0529</v>
      </c>
      <c r="F10031" s="1" t="n">
        <v>0.0938</v>
      </c>
    </row>
    <row r="10032" customFormat="false" ht="15" hidden="false" customHeight="false" outlineLevel="0" collapsed="false">
      <c r="A10032" s="1" t="s">
        <v>10067</v>
      </c>
      <c r="B10032" s="1" t="s">
        <v>41</v>
      </c>
      <c r="C10032" s="1" t="n">
        <v>155000</v>
      </c>
      <c r="D10032" s="1" t="n">
        <v>1482.9</v>
      </c>
      <c r="E10032" s="1" t="n">
        <v>0.0179</v>
      </c>
      <c r="F10032" s="1" t="n">
        <v>0.2294</v>
      </c>
    </row>
    <row r="10033" customFormat="false" ht="15" hidden="false" customHeight="false" outlineLevel="0" collapsed="false">
      <c r="A10033" s="1" t="s">
        <v>10068</v>
      </c>
      <c r="B10033" s="1" t="s">
        <v>30</v>
      </c>
      <c r="C10033" s="1" t="n">
        <v>145000</v>
      </c>
      <c r="D10033" s="1" t="n">
        <v>25842.3</v>
      </c>
      <c r="E10033" s="1" t="n">
        <v>0.0408</v>
      </c>
      <c r="F10033" s="1" t="n">
        <v>0.0518</v>
      </c>
    </row>
    <row r="10034" customFormat="false" ht="15" hidden="false" customHeight="false" outlineLevel="0" collapsed="false">
      <c r="A10034" s="1" t="s">
        <v>10069</v>
      </c>
      <c r="B10034" s="1" t="s">
        <v>214</v>
      </c>
      <c r="C10034" s="1" t="n">
        <v>150000</v>
      </c>
      <c r="D10034" s="1" t="n">
        <v>2436.4</v>
      </c>
      <c r="E10034" s="1" t="n">
        <v>0.0093</v>
      </c>
      <c r="F10034" s="1" t="n">
        <v>0.0828</v>
      </c>
    </row>
    <row r="10035" customFormat="false" ht="15" hidden="false" customHeight="false" outlineLevel="0" collapsed="false">
      <c r="A10035" s="1" t="s">
        <v>10070</v>
      </c>
      <c r="B10035" s="1" t="s">
        <v>81</v>
      </c>
      <c r="C10035" s="1" t="n">
        <v>140000</v>
      </c>
      <c r="D10035" s="1" t="n">
        <v>1746.2</v>
      </c>
      <c r="E10035" s="1" t="n">
        <v>0.011</v>
      </c>
      <c r="F10035" s="1" t="n">
        <v>0.0821</v>
      </c>
    </row>
    <row r="10036" customFormat="false" ht="15" hidden="false" customHeight="false" outlineLevel="0" collapsed="false">
      <c r="A10036" s="1" t="s">
        <v>10071</v>
      </c>
      <c r="B10036" s="1" t="s">
        <v>74</v>
      </c>
      <c r="C10036" s="1" t="n">
        <v>164000</v>
      </c>
      <c r="D10036" s="1" t="n">
        <v>1741.5</v>
      </c>
      <c r="E10036" s="1" t="n">
        <v>0.0228</v>
      </c>
      <c r="F10036" s="1" t="n">
        <v>0.0938</v>
      </c>
    </row>
    <row r="10037" customFormat="false" ht="15" hidden="false" customHeight="false" outlineLevel="0" collapsed="false">
      <c r="A10037" s="1" t="s">
        <v>10072</v>
      </c>
      <c r="B10037" s="1" t="s">
        <v>88</v>
      </c>
      <c r="C10037" s="1" t="n">
        <v>257000</v>
      </c>
      <c r="D10037" s="1" t="n">
        <v>1143.9</v>
      </c>
      <c r="E10037" s="1" t="n">
        <v>0.0441</v>
      </c>
      <c r="F10037" s="1" t="n">
        <v>0.0759</v>
      </c>
    </row>
    <row r="10038" customFormat="false" ht="15" hidden="false" customHeight="false" outlineLevel="0" collapsed="false">
      <c r="A10038" s="1" t="s">
        <v>10073</v>
      </c>
      <c r="B10038" s="1" t="s">
        <v>92</v>
      </c>
      <c r="C10038" s="1" t="n">
        <v>149000</v>
      </c>
      <c r="D10038" s="1" t="n">
        <v>412.3</v>
      </c>
      <c r="E10038" s="1" t="n">
        <v>0.0537</v>
      </c>
      <c r="F10038" s="1" t="n">
        <v>0.0998</v>
      </c>
    </row>
    <row r="10039" customFormat="false" ht="15" hidden="false" customHeight="false" outlineLevel="0" collapsed="false">
      <c r="A10039" s="1" t="s">
        <v>10074</v>
      </c>
      <c r="B10039" s="1" t="s">
        <v>53</v>
      </c>
      <c r="C10039" s="1" t="n">
        <v>149000</v>
      </c>
      <c r="D10039" s="1" t="n">
        <v>896.2</v>
      </c>
      <c r="F10039" s="1" t="n">
        <v>0.0951</v>
      </c>
    </row>
    <row r="10040" customFormat="false" ht="15" hidden="false" customHeight="false" outlineLevel="0" collapsed="false">
      <c r="A10040" s="1" t="s">
        <v>10075</v>
      </c>
      <c r="B10040" s="1" t="s">
        <v>214</v>
      </c>
      <c r="C10040" s="1" t="n">
        <v>141000</v>
      </c>
      <c r="D10040" s="1" t="n">
        <v>112.7</v>
      </c>
      <c r="E10040" s="1" t="n">
        <v>0.0115</v>
      </c>
      <c r="F10040" s="1" t="n">
        <v>0.139</v>
      </c>
    </row>
    <row r="10041" customFormat="false" ht="15" hidden="false" customHeight="false" outlineLevel="0" collapsed="false">
      <c r="A10041" s="1" t="s">
        <v>10076</v>
      </c>
      <c r="B10041" s="1" t="s">
        <v>26</v>
      </c>
      <c r="C10041" s="1" t="n">
        <v>144000</v>
      </c>
      <c r="D10041" s="1" t="n">
        <v>882.6</v>
      </c>
      <c r="F10041" s="1" t="n">
        <v>0.0518</v>
      </c>
    </row>
    <row r="10042" customFormat="false" ht="15" hidden="false" customHeight="false" outlineLevel="0" collapsed="false">
      <c r="A10042" s="1" t="s">
        <v>10077</v>
      </c>
      <c r="B10042" s="1" t="s">
        <v>26</v>
      </c>
      <c r="C10042" s="1" t="n">
        <v>163000</v>
      </c>
      <c r="D10042" s="1" t="n">
        <v>5984.8</v>
      </c>
      <c r="E10042" s="1" t="n">
        <v>0.0203</v>
      </c>
      <c r="F10042" s="1" t="n">
        <v>0.1053</v>
      </c>
    </row>
    <row r="10043" customFormat="false" ht="15" hidden="false" customHeight="false" outlineLevel="0" collapsed="false">
      <c r="A10043" s="1" t="s">
        <v>10078</v>
      </c>
      <c r="B10043" s="1" t="s">
        <v>21</v>
      </c>
      <c r="C10043" s="1" t="n">
        <v>152000</v>
      </c>
      <c r="D10043" s="1" t="n">
        <v>6211654.6</v>
      </c>
      <c r="E10043" s="1" t="n">
        <v>0.0043</v>
      </c>
      <c r="F10043" s="1" t="n">
        <v>0.0822</v>
      </c>
    </row>
    <row r="10044" customFormat="false" ht="15" hidden="false" customHeight="false" outlineLevel="0" collapsed="false">
      <c r="A10044" s="1" t="s">
        <v>10079</v>
      </c>
      <c r="B10044" s="1" t="s">
        <v>26</v>
      </c>
      <c r="C10044" s="1" t="n">
        <v>184000</v>
      </c>
      <c r="D10044" s="1" t="n">
        <v>2990.1</v>
      </c>
      <c r="E10044" s="1" t="n">
        <v>0.0714</v>
      </c>
      <c r="F10044" s="1" t="n">
        <v>0.0938</v>
      </c>
    </row>
    <row r="10045" customFormat="false" ht="15" hidden="false" customHeight="false" outlineLevel="0" collapsed="false">
      <c r="A10045" s="1" t="s">
        <v>10080</v>
      </c>
      <c r="B10045" s="1" t="s">
        <v>21</v>
      </c>
      <c r="C10045" s="1" t="n">
        <v>356000</v>
      </c>
      <c r="D10045" s="1" t="n">
        <v>516539.9</v>
      </c>
      <c r="E10045" s="1" t="n">
        <v>0.0192</v>
      </c>
      <c r="F10045" s="1" t="n">
        <v>0.1067</v>
      </c>
    </row>
    <row r="10046" customFormat="false" ht="15" hidden="false" customHeight="false" outlineLevel="0" collapsed="false">
      <c r="A10046" s="1" t="s">
        <v>10081</v>
      </c>
      <c r="B10046" s="1" t="s">
        <v>26</v>
      </c>
      <c r="C10046" s="1" t="n">
        <v>162000</v>
      </c>
      <c r="D10046" s="1" t="n">
        <v>10043.3</v>
      </c>
      <c r="E10046" s="1" t="n">
        <v>0.0269</v>
      </c>
      <c r="F10046" s="1" t="n">
        <v>0.0735</v>
      </c>
    </row>
    <row r="10047" customFormat="false" ht="15" hidden="false" customHeight="false" outlineLevel="0" collapsed="false">
      <c r="A10047" s="1" t="s">
        <v>10082</v>
      </c>
      <c r="B10047" s="1" t="s">
        <v>195</v>
      </c>
      <c r="C10047" s="1" t="n">
        <v>255000</v>
      </c>
      <c r="D10047" s="1" t="n">
        <v>5079.5</v>
      </c>
      <c r="E10047" s="1" t="n">
        <v>0.0232</v>
      </c>
      <c r="F10047" s="1" t="n">
        <v>0.0759</v>
      </c>
    </row>
    <row r="10048" customFormat="false" ht="15" hidden="false" customHeight="false" outlineLevel="0" collapsed="false">
      <c r="A10048" s="1" t="s">
        <v>10083</v>
      </c>
      <c r="B10048" s="1" t="s">
        <v>214</v>
      </c>
      <c r="C10048" s="1" t="n">
        <v>166000</v>
      </c>
      <c r="D10048" s="1" t="n">
        <v>4525.1</v>
      </c>
      <c r="E10048" s="1" t="n">
        <v>0.0224</v>
      </c>
      <c r="F10048" s="1" t="n">
        <v>0.0951</v>
      </c>
    </row>
    <row r="10049" customFormat="false" ht="15" hidden="false" customHeight="false" outlineLevel="0" collapsed="false">
      <c r="A10049" s="1" t="s">
        <v>10084</v>
      </c>
      <c r="B10049" s="1" t="s">
        <v>88</v>
      </c>
      <c r="C10049" s="1" t="n">
        <v>336000</v>
      </c>
      <c r="D10049" s="1" t="n">
        <v>11861.3</v>
      </c>
      <c r="E10049" s="1" t="n">
        <v>0.0186</v>
      </c>
      <c r="F10049" s="1" t="n">
        <v>0.1053</v>
      </c>
    </row>
    <row r="10050" customFormat="false" ht="15" hidden="false" customHeight="false" outlineLevel="0" collapsed="false">
      <c r="A10050" s="1" t="s">
        <v>10085</v>
      </c>
      <c r="B10050" s="1" t="s">
        <v>26</v>
      </c>
      <c r="C10050" s="1" t="n">
        <v>230000</v>
      </c>
      <c r="D10050" s="1" t="n">
        <v>95346.6</v>
      </c>
      <c r="E10050" s="1" t="n">
        <v>0.0633</v>
      </c>
      <c r="F10050" s="1" t="n">
        <v>0.0759</v>
      </c>
    </row>
    <row r="10051" customFormat="false" ht="15" hidden="false" customHeight="false" outlineLevel="0" collapsed="false">
      <c r="A10051" s="1" t="s">
        <v>10086</v>
      </c>
      <c r="B10051" s="1" t="s">
        <v>26</v>
      </c>
      <c r="C10051" s="1" t="n">
        <v>155000</v>
      </c>
      <c r="D10051" s="1" t="n">
        <v>988.2</v>
      </c>
      <c r="E10051" s="1" t="n">
        <v>0.0121</v>
      </c>
      <c r="F10051" s="1" t="n">
        <v>0.0654</v>
      </c>
    </row>
    <row r="10052" customFormat="false" ht="15" hidden="false" customHeight="false" outlineLevel="0" collapsed="false">
      <c r="A10052" s="1" t="s">
        <v>10087</v>
      </c>
      <c r="B10052" s="1" t="s">
        <v>41</v>
      </c>
      <c r="C10052" s="1" t="n">
        <v>217000</v>
      </c>
      <c r="D10052" s="1" t="n">
        <v>1519.6</v>
      </c>
      <c r="E10052" s="1" t="n">
        <v>0.0468</v>
      </c>
      <c r="F10052" s="1" t="n">
        <v>0.0643</v>
      </c>
    </row>
    <row r="10053" customFormat="false" ht="15" hidden="false" customHeight="false" outlineLevel="0" collapsed="false">
      <c r="A10053" s="1" t="s">
        <v>10088</v>
      </c>
      <c r="B10053" s="1" t="s">
        <v>26</v>
      </c>
      <c r="C10053" s="1" t="n">
        <v>246000</v>
      </c>
      <c r="D10053" s="1" t="n">
        <v>36391.6</v>
      </c>
      <c r="E10053" s="1" t="n">
        <v>0.0169</v>
      </c>
      <c r="F10053" s="1" t="n">
        <v>0.0462</v>
      </c>
    </row>
    <row r="10054" customFormat="false" ht="15" hidden="false" customHeight="false" outlineLevel="0" collapsed="false">
      <c r="A10054" s="1" t="s">
        <v>10089</v>
      </c>
      <c r="B10054" s="1" t="s">
        <v>53</v>
      </c>
      <c r="C10054" s="1" t="n">
        <v>149000</v>
      </c>
      <c r="D10054" s="1" t="n">
        <v>12200.8</v>
      </c>
      <c r="E10054" s="1" t="n">
        <v>0.0252</v>
      </c>
      <c r="F10054" s="1" t="n">
        <v>0.0951</v>
      </c>
    </row>
    <row r="10055" customFormat="false" ht="15" hidden="false" customHeight="false" outlineLevel="0" collapsed="false">
      <c r="A10055" s="1" t="s">
        <v>10090</v>
      </c>
      <c r="B10055" s="1" t="s">
        <v>81</v>
      </c>
      <c r="C10055" s="1" t="n">
        <v>190000</v>
      </c>
      <c r="D10055" s="1" t="n">
        <v>2481.1</v>
      </c>
      <c r="E10055" s="1" t="n">
        <v>0.0269</v>
      </c>
      <c r="F10055" s="1" t="n">
        <v>0.051</v>
      </c>
    </row>
    <row r="10056" customFormat="false" ht="15" hidden="false" customHeight="false" outlineLevel="0" collapsed="false">
      <c r="A10056" s="1" t="s">
        <v>10091</v>
      </c>
      <c r="B10056" s="1" t="s">
        <v>26</v>
      </c>
      <c r="C10056" s="1" t="n">
        <v>139000</v>
      </c>
      <c r="D10056" s="1" t="n">
        <v>710.4</v>
      </c>
      <c r="E10056" s="1" t="n">
        <v>0.0077</v>
      </c>
      <c r="F10056" s="1" t="n">
        <v>0.0654</v>
      </c>
    </row>
    <row r="10057" customFormat="false" ht="15" hidden="false" customHeight="false" outlineLevel="0" collapsed="false">
      <c r="A10057" s="1" t="s">
        <v>10092</v>
      </c>
      <c r="B10057" s="1" t="s">
        <v>28</v>
      </c>
      <c r="C10057" s="1" t="n">
        <v>143000</v>
      </c>
      <c r="D10057" s="1" t="n">
        <v>4162.8</v>
      </c>
      <c r="F10057" s="1" t="n">
        <v>0.0518</v>
      </c>
    </row>
    <row r="10058" customFormat="false" ht="15" hidden="false" customHeight="false" outlineLevel="0" collapsed="false">
      <c r="A10058" s="1" t="s">
        <v>10093</v>
      </c>
      <c r="B10058" s="1" t="s">
        <v>74</v>
      </c>
      <c r="C10058" s="1" t="n">
        <v>259000</v>
      </c>
      <c r="D10058" s="1" t="n">
        <v>752.8</v>
      </c>
      <c r="E10058" s="1" t="n">
        <v>0.0261</v>
      </c>
      <c r="F10058" s="1" t="n">
        <v>0.051</v>
      </c>
    </row>
    <row r="10059" customFormat="false" ht="15" hidden="false" customHeight="false" outlineLevel="0" collapsed="false">
      <c r="A10059" s="1" t="s">
        <v>10094</v>
      </c>
      <c r="B10059" s="1" t="s">
        <v>71</v>
      </c>
      <c r="C10059" s="1" t="n">
        <v>229000</v>
      </c>
      <c r="D10059" s="1" t="n">
        <v>10150.7</v>
      </c>
      <c r="E10059" s="1" t="n">
        <v>0.0167</v>
      </c>
      <c r="F10059" s="1" t="n">
        <v>0.0462</v>
      </c>
    </row>
    <row r="10060" customFormat="false" ht="15" hidden="false" customHeight="false" outlineLevel="0" collapsed="false">
      <c r="A10060" s="1" t="s">
        <v>10095</v>
      </c>
      <c r="B10060" s="1" t="s">
        <v>287</v>
      </c>
      <c r="C10060" s="1" t="n">
        <v>231000</v>
      </c>
      <c r="D10060" s="1" t="n">
        <v>7683.8</v>
      </c>
      <c r="E10060" s="1" t="n">
        <v>0.0239</v>
      </c>
      <c r="F10060" s="1" t="n">
        <v>0.0951</v>
      </c>
    </row>
    <row r="10061" customFormat="false" ht="15" hidden="false" customHeight="false" outlineLevel="0" collapsed="false">
      <c r="A10061" s="1" t="s">
        <v>10096</v>
      </c>
      <c r="B10061" s="1" t="s">
        <v>26</v>
      </c>
      <c r="C10061" s="1" t="n">
        <v>149000</v>
      </c>
      <c r="D10061" s="1" t="n">
        <v>942.4</v>
      </c>
      <c r="E10061" s="1" t="n">
        <v>0.0371</v>
      </c>
      <c r="F10061" s="1" t="n">
        <v>0.0951</v>
      </c>
    </row>
    <row r="10062" customFormat="false" ht="15" hidden="false" customHeight="false" outlineLevel="0" collapsed="false">
      <c r="A10062" s="1" t="s">
        <v>10097</v>
      </c>
      <c r="B10062" s="1" t="s">
        <v>26</v>
      </c>
      <c r="C10062" s="1" t="n">
        <v>142000</v>
      </c>
      <c r="D10062" s="1" t="n">
        <v>825.1</v>
      </c>
      <c r="E10062" s="1" t="n">
        <v>0.0195</v>
      </c>
      <c r="F10062" s="1" t="n">
        <v>0.0854</v>
      </c>
    </row>
    <row r="10063" customFormat="false" ht="15" hidden="false" customHeight="false" outlineLevel="0" collapsed="false">
      <c r="A10063" s="1" t="s">
        <v>10098</v>
      </c>
      <c r="B10063" s="1" t="s">
        <v>26</v>
      </c>
      <c r="C10063" s="1" t="n">
        <v>142000</v>
      </c>
      <c r="D10063" s="1" t="n">
        <v>3146.8</v>
      </c>
      <c r="E10063" s="1" t="n">
        <v>0.0618</v>
      </c>
      <c r="F10063" s="1" t="n">
        <v>0.0951</v>
      </c>
    </row>
    <row r="10064" customFormat="false" ht="15" hidden="false" customHeight="false" outlineLevel="0" collapsed="false">
      <c r="A10064" s="1" t="s">
        <v>10099</v>
      </c>
      <c r="B10064" s="1" t="s">
        <v>88</v>
      </c>
      <c r="C10064" s="1" t="n">
        <v>165000</v>
      </c>
      <c r="D10064" s="1" t="n">
        <v>1948.9</v>
      </c>
      <c r="E10064" s="1" t="n">
        <v>0.0506</v>
      </c>
      <c r="F10064" s="1" t="n">
        <v>0.117</v>
      </c>
    </row>
    <row r="10065" customFormat="false" ht="15" hidden="false" customHeight="false" outlineLevel="0" collapsed="false">
      <c r="A10065" s="1" t="s">
        <v>10100</v>
      </c>
      <c r="B10065" s="1" t="s">
        <v>21</v>
      </c>
      <c r="C10065" s="1" t="n">
        <v>185000</v>
      </c>
      <c r="D10065" s="1" t="n">
        <v>17624.4</v>
      </c>
      <c r="E10065" s="1" t="n">
        <v>0.0804</v>
      </c>
      <c r="F10065" s="1" t="n">
        <v>0.0938</v>
      </c>
    </row>
    <row r="10066" customFormat="false" ht="15" hidden="false" customHeight="false" outlineLevel="0" collapsed="false">
      <c r="A10066" s="1" t="s">
        <v>10101</v>
      </c>
      <c r="B10066" s="1" t="s">
        <v>88</v>
      </c>
      <c r="C10066" s="1" t="n">
        <v>202000</v>
      </c>
      <c r="D10066" s="1" t="n">
        <v>6948.2</v>
      </c>
      <c r="E10066" s="1" t="n">
        <v>0.0283</v>
      </c>
      <c r="F10066" s="1" t="n">
        <v>0.0951</v>
      </c>
    </row>
    <row r="10067" customFormat="false" ht="15" hidden="false" customHeight="false" outlineLevel="0" collapsed="false">
      <c r="A10067" s="1" t="s">
        <v>10102</v>
      </c>
      <c r="B10067" s="1" t="s">
        <v>50</v>
      </c>
      <c r="C10067" s="1" t="n">
        <v>159000</v>
      </c>
      <c r="D10067" s="1" t="n">
        <v>22820</v>
      </c>
      <c r="E10067" s="1" t="n">
        <v>0.0417</v>
      </c>
      <c r="F10067" s="1" t="n">
        <v>0.0951</v>
      </c>
    </row>
    <row r="10068" customFormat="false" ht="15" hidden="false" customHeight="false" outlineLevel="0" collapsed="false">
      <c r="A10068" s="1" t="s">
        <v>10103</v>
      </c>
      <c r="B10068" s="1" t="s">
        <v>195</v>
      </c>
      <c r="C10068" s="1" t="n">
        <v>141000</v>
      </c>
      <c r="D10068" s="1" t="n">
        <v>954.9</v>
      </c>
      <c r="E10068" s="1" t="n">
        <v>0.0318</v>
      </c>
      <c r="F10068" s="1" t="n">
        <v>0.0951</v>
      </c>
    </row>
    <row r="10069" customFormat="false" ht="15" hidden="false" customHeight="false" outlineLevel="0" collapsed="false">
      <c r="A10069" s="1" t="s">
        <v>10104</v>
      </c>
      <c r="B10069" s="1" t="s">
        <v>30</v>
      </c>
      <c r="C10069" s="1" t="n">
        <v>155000</v>
      </c>
      <c r="D10069" s="1" t="n">
        <v>10558.5</v>
      </c>
      <c r="E10069" s="1" t="n">
        <v>0.0089</v>
      </c>
      <c r="F10069" s="1" t="n">
        <v>0.0811</v>
      </c>
    </row>
    <row r="10070" customFormat="false" ht="15" hidden="false" customHeight="false" outlineLevel="0" collapsed="false">
      <c r="A10070" s="1" t="s">
        <v>10105</v>
      </c>
      <c r="B10070" s="1" t="s">
        <v>88</v>
      </c>
      <c r="C10070" s="1" t="n">
        <v>155000</v>
      </c>
      <c r="D10070" s="1" t="n">
        <v>1870.8</v>
      </c>
      <c r="F10070" s="1" t="n">
        <v>0.0672</v>
      </c>
    </row>
    <row r="10071" customFormat="false" ht="15" hidden="false" customHeight="false" outlineLevel="0" collapsed="false">
      <c r="A10071" s="1" t="s">
        <v>10106</v>
      </c>
      <c r="B10071" s="1" t="s">
        <v>88</v>
      </c>
      <c r="C10071" s="1" t="n">
        <v>202000</v>
      </c>
      <c r="D10071" s="1" t="n">
        <v>659.1</v>
      </c>
      <c r="E10071" s="1" t="n">
        <v>0.0946</v>
      </c>
      <c r="F10071" s="1" t="n">
        <v>0.0938</v>
      </c>
    </row>
    <row r="10072" customFormat="false" ht="15" hidden="false" customHeight="false" outlineLevel="0" collapsed="false">
      <c r="A10072" s="1" t="s">
        <v>10107</v>
      </c>
      <c r="B10072" s="1" t="s">
        <v>35</v>
      </c>
      <c r="C10072" s="1" t="n">
        <v>161000</v>
      </c>
      <c r="D10072" s="1" t="n">
        <v>2683.4</v>
      </c>
      <c r="E10072" s="1" t="n">
        <v>0.039</v>
      </c>
      <c r="F10072" s="1" t="n">
        <v>0.0518</v>
      </c>
    </row>
    <row r="10073" customFormat="false" ht="15" hidden="false" customHeight="false" outlineLevel="0" collapsed="false">
      <c r="A10073" s="1" t="s">
        <v>10108</v>
      </c>
      <c r="B10073" s="1" t="s">
        <v>287</v>
      </c>
      <c r="C10073" s="1" t="n">
        <v>157000</v>
      </c>
      <c r="D10073" s="1" t="n">
        <v>6644.4</v>
      </c>
      <c r="E10073" s="1" t="n">
        <v>0.0771</v>
      </c>
      <c r="F10073" s="1" t="n">
        <v>0.0951</v>
      </c>
    </row>
    <row r="10074" customFormat="false" ht="15" hidden="false" customHeight="false" outlineLevel="0" collapsed="false">
      <c r="A10074" s="1" t="s">
        <v>10109</v>
      </c>
      <c r="B10074" s="1" t="s">
        <v>74</v>
      </c>
      <c r="C10074" s="1" t="n">
        <v>134000</v>
      </c>
      <c r="F10074" s="1" t="n">
        <v>0.0759</v>
      </c>
    </row>
    <row r="10075" customFormat="false" ht="15" hidden="false" customHeight="false" outlineLevel="0" collapsed="false">
      <c r="A10075" s="1" t="s">
        <v>10110</v>
      </c>
      <c r="B10075" s="1" t="s">
        <v>26</v>
      </c>
      <c r="C10075" s="1" t="n">
        <v>270000</v>
      </c>
      <c r="D10075" s="1" t="n">
        <v>184819.9</v>
      </c>
      <c r="E10075" s="1" t="n">
        <v>0.0185</v>
      </c>
      <c r="F10075" s="1" t="n">
        <v>0.0462</v>
      </c>
    </row>
    <row r="10076" customFormat="false" ht="15" hidden="false" customHeight="false" outlineLevel="0" collapsed="false">
      <c r="A10076" s="1" t="s">
        <v>10111</v>
      </c>
      <c r="B10076" s="1" t="s">
        <v>92</v>
      </c>
      <c r="C10076" s="1" t="n">
        <v>151000</v>
      </c>
      <c r="D10076" s="1" t="n">
        <v>59.9</v>
      </c>
      <c r="E10076" s="1" t="n">
        <v>0.0732</v>
      </c>
      <c r="F10076" s="1" t="n">
        <v>0.0938</v>
      </c>
    </row>
    <row r="10077" customFormat="false" ht="15" hidden="false" customHeight="false" outlineLevel="0" collapsed="false">
      <c r="A10077" s="1" t="s">
        <v>10112</v>
      </c>
      <c r="B10077" s="1" t="s">
        <v>71</v>
      </c>
      <c r="C10077" s="1" t="n">
        <v>140000</v>
      </c>
      <c r="D10077" s="1" t="n">
        <v>2044.9</v>
      </c>
      <c r="E10077" s="1" t="n">
        <v>0.0081</v>
      </c>
      <c r="F10077" s="1" t="n">
        <v>0.0822</v>
      </c>
    </row>
    <row r="10078" customFormat="false" ht="15" hidden="false" customHeight="false" outlineLevel="0" collapsed="false">
      <c r="A10078" s="1" t="s">
        <v>10113</v>
      </c>
      <c r="B10078" s="1" t="s">
        <v>88</v>
      </c>
      <c r="C10078" s="1" t="n">
        <v>138000</v>
      </c>
      <c r="D10078" s="1" t="n">
        <v>593.9</v>
      </c>
      <c r="E10078" s="1" t="n">
        <v>0.052</v>
      </c>
      <c r="F10078" s="1" t="n">
        <v>0.117</v>
      </c>
    </row>
    <row r="10079" customFormat="false" ht="15" hidden="false" customHeight="false" outlineLevel="0" collapsed="false">
      <c r="A10079" s="1" t="s">
        <v>10114</v>
      </c>
      <c r="B10079" s="1" t="s">
        <v>74</v>
      </c>
      <c r="C10079" s="1" t="n">
        <v>137000</v>
      </c>
      <c r="F10079" s="1" t="n">
        <v>0.0759</v>
      </c>
    </row>
    <row r="10080" customFormat="false" ht="15" hidden="false" customHeight="false" outlineLevel="0" collapsed="false">
      <c r="A10080" s="1" t="s">
        <v>10115</v>
      </c>
      <c r="B10080" s="1" t="s">
        <v>26</v>
      </c>
      <c r="C10080" s="1" t="n">
        <v>153000</v>
      </c>
      <c r="D10080" s="1" t="n">
        <v>2785.2</v>
      </c>
      <c r="F10080" s="1" t="n">
        <v>0.0951</v>
      </c>
    </row>
    <row r="10081" customFormat="false" ht="15" hidden="false" customHeight="false" outlineLevel="0" collapsed="false">
      <c r="A10081" s="1" t="s">
        <v>10116</v>
      </c>
      <c r="B10081" s="1" t="s">
        <v>88</v>
      </c>
      <c r="C10081" s="1" t="n">
        <v>231000</v>
      </c>
      <c r="D10081" s="1" t="n">
        <v>4784.1</v>
      </c>
      <c r="E10081" s="1" t="n">
        <v>0.0875</v>
      </c>
      <c r="F10081" s="1" t="n">
        <v>0.0759</v>
      </c>
    </row>
    <row r="10082" customFormat="false" ht="15" hidden="false" customHeight="false" outlineLevel="0" collapsed="false">
      <c r="A10082" s="1" t="s">
        <v>10117</v>
      </c>
      <c r="B10082" s="1" t="s">
        <v>24</v>
      </c>
      <c r="C10082" s="1" t="n">
        <v>275000</v>
      </c>
      <c r="D10082" s="1" t="n">
        <v>59329.2</v>
      </c>
      <c r="E10082" s="1" t="n">
        <v>0.0089</v>
      </c>
      <c r="F10082" s="1" t="n">
        <v>0.0822</v>
      </c>
    </row>
    <row r="10083" customFormat="false" ht="15" hidden="false" customHeight="false" outlineLevel="0" collapsed="false">
      <c r="A10083" s="1" t="s">
        <v>10118</v>
      </c>
      <c r="B10083" s="1" t="s">
        <v>214</v>
      </c>
      <c r="C10083" s="1" t="n">
        <v>192000</v>
      </c>
      <c r="D10083" s="1" t="n">
        <v>76917.7</v>
      </c>
      <c r="E10083" s="1" t="n">
        <v>0.038</v>
      </c>
      <c r="F10083" s="1" t="n">
        <v>0.0518</v>
      </c>
    </row>
    <row r="10084" customFormat="false" ht="15" hidden="false" customHeight="false" outlineLevel="0" collapsed="false">
      <c r="A10084" s="1" t="s">
        <v>10119</v>
      </c>
      <c r="B10084" s="1" t="s">
        <v>214</v>
      </c>
      <c r="C10084" s="1" t="n">
        <v>166000</v>
      </c>
      <c r="D10084" s="1" t="n">
        <v>22821.9</v>
      </c>
      <c r="E10084" s="1" t="n">
        <v>0.0052</v>
      </c>
      <c r="F10084" s="1" t="n">
        <v>0.0822</v>
      </c>
    </row>
    <row r="10085" customFormat="false" ht="15" hidden="false" customHeight="false" outlineLevel="0" collapsed="false">
      <c r="A10085" s="1" t="s">
        <v>10120</v>
      </c>
      <c r="B10085" s="1" t="s">
        <v>41</v>
      </c>
      <c r="C10085" s="1" t="n">
        <v>144000</v>
      </c>
      <c r="D10085" s="1" t="n">
        <v>1832.5</v>
      </c>
      <c r="E10085" s="1" t="n">
        <v>0.0179</v>
      </c>
      <c r="F10085" s="1" t="n">
        <v>0.0726</v>
      </c>
    </row>
    <row r="10086" customFormat="false" ht="15" hidden="false" customHeight="false" outlineLevel="0" collapsed="false">
      <c r="A10086" s="1" t="s">
        <v>10121</v>
      </c>
      <c r="B10086" s="1" t="s">
        <v>88</v>
      </c>
      <c r="C10086" s="1" t="n">
        <v>142000</v>
      </c>
      <c r="D10086" s="1" t="n">
        <v>359.5</v>
      </c>
      <c r="E10086" s="1" t="n">
        <v>0.0431</v>
      </c>
      <c r="F10086" s="1" t="n">
        <v>0.095</v>
      </c>
    </row>
    <row r="10087" customFormat="false" ht="15" hidden="false" customHeight="false" outlineLevel="0" collapsed="false">
      <c r="A10087" s="1" t="s">
        <v>10122</v>
      </c>
      <c r="B10087" s="1" t="s">
        <v>214</v>
      </c>
      <c r="C10087" s="1" t="n">
        <v>175000</v>
      </c>
      <c r="D10087" s="1" t="n">
        <v>1022.5</v>
      </c>
      <c r="E10087" s="1" t="n">
        <v>0.0606</v>
      </c>
      <c r="F10087" s="1" t="n">
        <v>0.4683</v>
      </c>
    </row>
    <row r="10088" customFormat="false" ht="15" hidden="false" customHeight="false" outlineLevel="0" collapsed="false">
      <c r="A10088" s="1" t="s">
        <v>10123</v>
      </c>
      <c r="B10088" s="1" t="s">
        <v>26</v>
      </c>
      <c r="C10088" s="1" t="n">
        <v>178000</v>
      </c>
      <c r="D10088" s="1" t="n">
        <v>3770.7</v>
      </c>
      <c r="E10088" s="1" t="n">
        <v>0.0208</v>
      </c>
      <c r="F10088" s="1" t="n">
        <v>0.0951</v>
      </c>
    </row>
    <row r="10089" customFormat="false" ht="15" hidden="false" customHeight="false" outlineLevel="0" collapsed="false">
      <c r="A10089" s="1" t="s">
        <v>10124</v>
      </c>
      <c r="B10089" s="1" t="s">
        <v>24</v>
      </c>
      <c r="C10089" s="1" t="n">
        <v>170000</v>
      </c>
      <c r="D10089" s="1" t="n">
        <v>1387.1</v>
      </c>
      <c r="E10089" s="1" t="n">
        <v>0.0308</v>
      </c>
      <c r="F10089" s="1" t="n">
        <v>0.0759</v>
      </c>
    </row>
    <row r="10090" customFormat="false" ht="15" hidden="false" customHeight="false" outlineLevel="0" collapsed="false">
      <c r="A10090" s="1" t="s">
        <v>10125</v>
      </c>
      <c r="B10090" s="1" t="s">
        <v>26</v>
      </c>
      <c r="C10090" s="1" t="n">
        <v>175000</v>
      </c>
      <c r="D10090" s="1" t="n">
        <v>1584.2</v>
      </c>
      <c r="E10090" s="1" t="n">
        <v>0.0303</v>
      </c>
      <c r="F10090" s="1" t="n">
        <v>0.0409</v>
      </c>
    </row>
    <row r="10091" customFormat="false" ht="15" hidden="false" customHeight="false" outlineLevel="0" collapsed="false">
      <c r="A10091" s="1" t="s">
        <v>10126</v>
      </c>
      <c r="B10091" s="1" t="s">
        <v>88</v>
      </c>
      <c r="C10091" s="1" t="n">
        <v>142000</v>
      </c>
      <c r="D10091" s="1" t="n">
        <v>154.2</v>
      </c>
      <c r="E10091" s="1" t="n">
        <v>0.1246</v>
      </c>
      <c r="F10091" s="1" t="n">
        <v>0.0951</v>
      </c>
    </row>
    <row r="10092" customFormat="false" ht="15" hidden="false" customHeight="false" outlineLevel="0" collapsed="false">
      <c r="A10092" s="1" t="s">
        <v>10127</v>
      </c>
      <c r="B10092" s="1" t="s">
        <v>24</v>
      </c>
      <c r="C10092" s="1" t="n">
        <v>234000</v>
      </c>
      <c r="D10092" s="1" t="n">
        <v>981.2</v>
      </c>
      <c r="E10092" s="1" t="n">
        <v>0.0223</v>
      </c>
      <c r="F10092" s="1" t="n">
        <v>0.0951</v>
      </c>
    </row>
    <row r="10093" customFormat="false" ht="15" hidden="false" customHeight="false" outlineLevel="0" collapsed="false">
      <c r="A10093" s="1" t="s">
        <v>10128</v>
      </c>
      <c r="B10093" s="1" t="s">
        <v>74</v>
      </c>
      <c r="C10093" s="1" t="n">
        <v>143000</v>
      </c>
      <c r="D10093" s="1" t="n">
        <v>7663.5</v>
      </c>
      <c r="E10093" s="1" t="n">
        <v>0.017</v>
      </c>
      <c r="F10093" s="1" t="n">
        <v>0.0462</v>
      </c>
    </row>
    <row r="10094" customFormat="false" ht="15" hidden="false" customHeight="false" outlineLevel="0" collapsed="false">
      <c r="A10094" s="1" t="s">
        <v>10129</v>
      </c>
      <c r="B10094" s="1" t="s">
        <v>214</v>
      </c>
      <c r="C10094" s="1" t="n">
        <v>148000</v>
      </c>
      <c r="D10094" s="1" t="n">
        <v>1274.2</v>
      </c>
      <c r="E10094" s="1" t="n">
        <v>0.009</v>
      </c>
      <c r="F10094" s="1" t="n">
        <v>0.0822</v>
      </c>
    </row>
    <row r="10095" customFormat="false" ht="15" hidden="false" customHeight="false" outlineLevel="0" collapsed="false">
      <c r="A10095" s="1" t="s">
        <v>10130</v>
      </c>
      <c r="B10095" s="1" t="s">
        <v>26</v>
      </c>
      <c r="C10095" s="1" t="n">
        <v>275000</v>
      </c>
      <c r="D10095" s="1" t="n">
        <v>8815.6</v>
      </c>
      <c r="E10095" s="1" t="n">
        <v>0.0658</v>
      </c>
      <c r="F10095" s="1" t="n">
        <v>0.0951</v>
      </c>
    </row>
    <row r="10096" customFormat="false" ht="15" hidden="false" customHeight="false" outlineLevel="0" collapsed="false">
      <c r="A10096" s="1" t="s">
        <v>10131</v>
      </c>
      <c r="B10096" s="1" t="s">
        <v>26</v>
      </c>
      <c r="C10096" s="1" t="n">
        <v>196000</v>
      </c>
      <c r="D10096" s="1" t="n">
        <v>6546.9</v>
      </c>
      <c r="E10096" s="1" t="n">
        <v>0.0234</v>
      </c>
      <c r="F10096" s="1" t="n">
        <v>0.0951</v>
      </c>
    </row>
    <row r="10097" customFormat="false" ht="15" hidden="false" customHeight="false" outlineLevel="0" collapsed="false">
      <c r="A10097" s="1" t="s">
        <v>10132</v>
      </c>
      <c r="B10097" s="1" t="s">
        <v>26</v>
      </c>
      <c r="C10097" s="1" t="n">
        <v>166000</v>
      </c>
      <c r="D10097" s="1" t="n">
        <v>400.7</v>
      </c>
      <c r="E10097" s="1" t="n">
        <v>0.0644</v>
      </c>
      <c r="F10097" s="1" t="n">
        <v>0.0759</v>
      </c>
    </row>
    <row r="10098" customFormat="false" ht="15" hidden="false" customHeight="false" outlineLevel="0" collapsed="false">
      <c r="A10098" s="1" t="s">
        <v>10133</v>
      </c>
      <c r="B10098" s="1" t="s">
        <v>71</v>
      </c>
      <c r="C10098" s="1" t="n">
        <v>234000</v>
      </c>
      <c r="D10098" s="1" t="n">
        <v>184429.8</v>
      </c>
      <c r="E10098" s="1" t="n">
        <v>0.0139</v>
      </c>
      <c r="F10098" s="1" t="n">
        <v>0.0585</v>
      </c>
    </row>
    <row r="10099" customFormat="false" ht="15" hidden="false" customHeight="false" outlineLevel="0" collapsed="false">
      <c r="A10099" s="1" t="s">
        <v>10134</v>
      </c>
      <c r="B10099" s="1" t="s">
        <v>24</v>
      </c>
      <c r="C10099" s="1" t="n">
        <v>138000</v>
      </c>
      <c r="D10099" s="1" t="n">
        <v>25492.7</v>
      </c>
      <c r="E10099" s="1" t="n">
        <v>0.032</v>
      </c>
      <c r="F10099" s="1" t="n">
        <v>0.0951</v>
      </c>
    </row>
    <row r="10100" customFormat="false" ht="15" hidden="false" customHeight="false" outlineLevel="0" collapsed="false">
      <c r="A10100" s="1" t="s">
        <v>10135</v>
      </c>
      <c r="B10100" s="1" t="s">
        <v>92</v>
      </c>
      <c r="C10100" s="1" t="n">
        <v>140000</v>
      </c>
      <c r="D10100" s="1" t="n">
        <v>8500.7</v>
      </c>
      <c r="E10100" s="1" t="n">
        <v>0.0164</v>
      </c>
      <c r="F10100" s="1" t="n">
        <v>0.1067</v>
      </c>
    </row>
    <row r="10101" customFormat="false" ht="15" hidden="false" customHeight="false" outlineLevel="0" collapsed="false">
      <c r="A10101" s="1" t="s">
        <v>10136</v>
      </c>
      <c r="B10101" s="1" t="s">
        <v>26</v>
      </c>
      <c r="C10101" s="1" t="n">
        <v>243000</v>
      </c>
      <c r="D10101" s="1" t="n">
        <v>7538.7</v>
      </c>
      <c r="E10101" s="1" t="n">
        <v>0.0747</v>
      </c>
      <c r="F10101" s="1" t="n">
        <v>0.0759</v>
      </c>
    </row>
    <row r="10102" customFormat="false" ht="15" hidden="false" customHeight="false" outlineLevel="0" collapsed="false">
      <c r="A10102" s="1" t="s">
        <v>10137</v>
      </c>
      <c r="B10102" s="1" t="s">
        <v>26</v>
      </c>
      <c r="C10102" s="1" t="n">
        <v>204000</v>
      </c>
      <c r="D10102" s="1" t="n">
        <v>9265.6</v>
      </c>
      <c r="E10102" s="1" t="n">
        <v>0.0069</v>
      </c>
      <c r="F10102" s="1" t="n">
        <v>0.0654</v>
      </c>
    </row>
    <row r="10103" customFormat="false" ht="15" hidden="false" customHeight="false" outlineLevel="0" collapsed="false">
      <c r="A10103" s="1" t="s">
        <v>10138</v>
      </c>
      <c r="B10103" s="1" t="s">
        <v>26</v>
      </c>
      <c r="C10103" s="1" t="n">
        <v>142000</v>
      </c>
      <c r="D10103" s="1" t="n">
        <v>37099.4</v>
      </c>
      <c r="E10103" s="1" t="n">
        <v>0.0315</v>
      </c>
      <c r="F10103" s="1" t="n">
        <v>0.0951</v>
      </c>
    </row>
    <row r="10104" customFormat="false" ht="15" hidden="false" customHeight="false" outlineLevel="0" collapsed="false">
      <c r="A10104" s="1" t="s">
        <v>10139</v>
      </c>
      <c r="B10104" s="1" t="s">
        <v>26</v>
      </c>
      <c r="C10104" s="1" t="n">
        <v>232000</v>
      </c>
      <c r="D10104" s="1" t="n">
        <v>30518.8</v>
      </c>
      <c r="E10104" s="1" t="n">
        <v>0.0064</v>
      </c>
      <c r="F10104" s="1" t="n">
        <v>0.0654</v>
      </c>
    </row>
    <row r="10105" customFormat="false" ht="15" hidden="false" customHeight="false" outlineLevel="0" collapsed="false">
      <c r="A10105" s="1" t="s">
        <v>10140</v>
      </c>
      <c r="B10105" s="1" t="s">
        <v>26</v>
      </c>
      <c r="C10105" s="1" t="n">
        <v>144000</v>
      </c>
      <c r="D10105" s="1" t="n">
        <v>647.4</v>
      </c>
      <c r="E10105" s="1" t="n">
        <v>0.0795</v>
      </c>
      <c r="F10105" s="1" t="n">
        <v>0.0951</v>
      </c>
    </row>
    <row r="10106" customFormat="false" ht="15" hidden="false" customHeight="false" outlineLevel="0" collapsed="false">
      <c r="A10106" s="1" t="s">
        <v>10141</v>
      </c>
      <c r="B10106" s="1" t="s">
        <v>24</v>
      </c>
      <c r="C10106" s="1" t="n">
        <v>159000</v>
      </c>
      <c r="D10106" s="1" t="n">
        <v>483.6</v>
      </c>
      <c r="E10106" s="1" t="n">
        <v>0.0264</v>
      </c>
      <c r="F10106" s="1" t="n">
        <v>0.1242</v>
      </c>
    </row>
    <row r="10107" customFormat="false" ht="15" hidden="false" customHeight="false" outlineLevel="0" collapsed="false">
      <c r="A10107" s="1" t="s">
        <v>10142</v>
      </c>
      <c r="B10107" s="1" t="s">
        <v>74</v>
      </c>
      <c r="C10107" s="1" t="n">
        <v>181000</v>
      </c>
      <c r="D10107" s="1" t="n">
        <v>2652.8</v>
      </c>
      <c r="E10107" s="1" t="n">
        <v>0.0321</v>
      </c>
      <c r="F10107" s="1" t="n">
        <v>0.0759</v>
      </c>
    </row>
    <row r="10108" customFormat="false" ht="15" hidden="false" customHeight="false" outlineLevel="0" collapsed="false">
      <c r="A10108" s="1" t="s">
        <v>10143</v>
      </c>
      <c r="B10108" s="1" t="s">
        <v>62</v>
      </c>
      <c r="C10108" s="1" t="n">
        <v>140000</v>
      </c>
      <c r="D10108" s="1" t="n">
        <v>684</v>
      </c>
      <c r="E10108" s="1" t="n">
        <v>0.018</v>
      </c>
      <c r="F10108" s="1" t="n">
        <v>0.0616</v>
      </c>
    </row>
    <row r="10109" customFormat="false" ht="15" hidden="false" customHeight="false" outlineLevel="0" collapsed="false">
      <c r="A10109" s="1" t="s">
        <v>10144</v>
      </c>
      <c r="B10109" s="1" t="s">
        <v>26</v>
      </c>
      <c r="C10109" s="1" t="n">
        <v>137000</v>
      </c>
      <c r="D10109" s="1" t="n">
        <v>2113.4</v>
      </c>
      <c r="E10109" s="1" t="n">
        <v>0.0475</v>
      </c>
      <c r="F10109" s="1" t="n">
        <v>0.0951</v>
      </c>
    </row>
    <row r="10110" customFormat="false" ht="15" hidden="false" customHeight="false" outlineLevel="0" collapsed="false">
      <c r="A10110" s="1" t="s">
        <v>10145</v>
      </c>
      <c r="B10110" s="1" t="s">
        <v>81</v>
      </c>
      <c r="C10110" s="1" t="n">
        <v>151000</v>
      </c>
      <c r="D10110" s="1" t="n">
        <v>4623.5</v>
      </c>
      <c r="E10110" s="1" t="n">
        <v>0.0251</v>
      </c>
      <c r="F10110" s="1" t="n">
        <v>0.0546</v>
      </c>
    </row>
    <row r="10111" customFormat="false" ht="15" hidden="false" customHeight="false" outlineLevel="0" collapsed="false">
      <c r="A10111" s="1" t="s">
        <v>10146</v>
      </c>
      <c r="B10111" s="1" t="s">
        <v>32</v>
      </c>
      <c r="C10111" s="1" t="n">
        <v>159000</v>
      </c>
      <c r="D10111" s="1" t="n">
        <v>28983.5</v>
      </c>
      <c r="E10111" s="1" t="n">
        <v>0.0258</v>
      </c>
      <c r="F10111" s="1" t="n">
        <v>0.1387</v>
      </c>
    </row>
    <row r="10112" customFormat="false" ht="15" hidden="false" customHeight="false" outlineLevel="0" collapsed="false">
      <c r="A10112" s="1" t="s">
        <v>10147</v>
      </c>
      <c r="B10112" s="1" t="s">
        <v>92</v>
      </c>
      <c r="C10112" s="1" t="n">
        <v>2410000</v>
      </c>
      <c r="D10112" s="1" t="n">
        <v>563803.5</v>
      </c>
      <c r="E10112" s="1" t="n">
        <v>0.0201</v>
      </c>
      <c r="F10112" s="1" t="n">
        <v>0.0462</v>
      </c>
    </row>
    <row r="10113" customFormat="false" ht="15" hidden="false" customHeight="false" outlineLevel="0" collapsed="false">
      <c r="A10113" s="1" t="s">
        <v>10148</v>
      </c>
      <c r="B10113" s="1" t="s">
        <v>74</v>
      </c>
      <c r="C10113" s="1" t="n">
        <v>139000</v>
      </c>
      <c r="D10113" s="1" t="n">
        <v>378.5</v>
      </c>
      <c r="E10113" s="1" t="n">
        <v>0.0126</v>
      </c>
      <c r="F10113" s="1" t="n">
        <v>0.0822</v>
      </c>
    </row>
    <row r="10114" customFormat="false" ht="15" hidden="false" customHeight="false" outlineLevel="0" collapsed="false">
      <c r="A10114" s="1" t="s">
        <v>10149</v>
      </c>
      <c r="B10114" s="1" t="s">
        <v>28</v>
      </c>
      <c r="C10114" s="1" t="n">
        <v>175000</v>
      </c>
      <c r="D10114" s="1" t="n">
        <v>5060.4</v>
      </c>
      <c r="E10114" s="1" t="n">
        <v>0.0105</v>
      </c>
      <c r="F10114" s="1" t="n">
        <v>0.0654</v>
      </c>
    </row>
    <row r="10115" customFormat="false" ht="15" hidden="false" customHeight="false" outlineLevel="0" collapsed="false">
      <c r="A10115" s="1" t="s">
        <v>10150</v>
      </c>
      <c r="B10115" s="1" t="s">
        <v>26</v>
      </c>
      <c r="C10115" s="1" t="n">
        <v>140000</v>
      </c>
      <c r="D10115" s="1" t="n">
        <v>1481.9</v>
      </c>
      <c r="E10115" s="1" t="n">
        <v>0.0356</v>
      </c>
      <c r="F10115" s="1" t="n">
        <v>0.1055</v>
      </c>
    </row>
    <row r="10116" customFormat="false" ht="15" hidden="false" customHeight="false" outlineLevel="0" collapsed="false">
      <c r="A10116" s="1" t="s">
        <v>10151</v>
      </c>
      <c r="B10116" s="1" t="s">
        <v>21</v>
      </c>
      <c r="C10116" s="1" t="n">
        <v>178000</v>
      </c>
      <c r="D10116" s="1" t="n">
        <v>22944.5</v>
      </c>
      <c r="E10116" s="1" t="n">
        <v>0.041</v>
      </c>
      <c r="F10116" s="1" t="n">
        <v>0.0938</v>
      </c>
    </row>
    <row r="10117" customFormat="false" ht="15" hidden="false" customHeight="false" outlineLevel="0" collapsed="false">
      <c r="A10117" s="1" t="s">
        <v>10152</v>
      </c>
      <c r="B10117" s="1" t="s">
        <v>74</v>
      </c>
      <c r="C10117" s="1" t="n">
        <v>160000</v>
      </c>
      <c r="D10117" s="1" t="n">
        <v>17549.8</v>
      </c>
      <c r="E10117" s="1" t="n">
        <v>0.0144</v>
      </c>
      <c r="F10117" s="1" t="n">
        <v>0.0584</v>
      </c>
    </row>
    <row r="10118" customFormat="false" ht="15" hidden="false" customHeight="false" outlineLevel="0" collapsed="false">
      <c r="A10118" s="1" t="s">
        <v>10153</v>
      </c>
      <c r="B10118" s="1" t="s">
        <v>26</v>
      </c>
      <c r="C10118" s="1" t="n">
        <v>141000</v>
      </c>
      <c r="D10118" s="1" t="n">
        <v>230.5</v>
      </c>
      <c r="E10118" s="1" t="n">
        <v>0.0519</v>
      </c>
      <c r="F10118" s="1" t="n">
        <v>0.0951</v>
      </c>
    </row>
    <row r="10119" customFormat="false" ht="15" hidden="false" customHeight="false" outlineLevel="0" collapsed="false">
      <c r="A10119" s="1" t="s">
        <v>10154</v>
      </c>
      <c r="B10119" s="1" t="s">
        <v>24</v>
      </c>
      <c r="C10119" s="1" t="n">
        <v>455000</v>
      </c>
      <c r="D10119" s="1" t="n">
        <v>3631.2</v>
      </c>
      <c r="E10119" s="1" t="n">
        <v>0.1862</v>
      </c>
      <c r="F10119" s="1" t="n">
        <v>0.0759</v>
      </c>
    </row>
    <row r="10120" customFormat="false" ht="15" hidden="false" customHeight="false" outlineLevel="0" collapsed="false">
      <c r="A10120" s="1" t="s">
        <v>10155</v>
      </c>
      <c r="B10120" s="1" t="s">
        <v>92</v>
      </c>
      <c r="C10120" s="1" t="n">
        <v>158000</v>
      </c>
      <c r="D10120" s="1" t="n">
        <v>3914.9</v>
      </c>
      <c r="E10120" s="1" t="n">
        <v>0.0065</v>
      </c>
      <c r="F10120" s="1" t="n">
        <v>0.0811</v>
      </c>
    </row>
    <row r="10121" customFormat="false" ht="15" hidden="false" customHeight="false" outlineLevel="0" collapsed="false">
      <c r="A10121" s="1" t="s">
        <v>10156</v>
      </c>
      <c r="B10121" s="1" t="s">
        <v>41</v>
      </c>
      <c r="C10121" s="1" t="n">
        <v>202000</v>
      </c>
      <c r="D10121" s="1" t="n">
        <v>109.3</v>
      </c>
      <c r="E10121" s="1" t="n">
        <v>0.0293</v>
      </c>
      <c r="F10121" s="1" t="n">
        <v>0.1688</v>
      </c>
    </row>
    <row r="10122" customFormat="false" ht="15" hidden="false" customHeight="false" outlineLevel="0" collapsed="false">
      <c r="A10122" s="1" t="s">
        <v>10157</v>
      </c>
      <c r="B10122" s="1" t="s">
        <v>74</v>
      </c>
      <c r="C10122" s="1" t="n">
        <v>169000</v>
      </c>
      <c r="D10122" s="1" t="n">
        <v>35723.8</v>
      </c>
      <c r="E10122" s="1" t="n">
        <v>0.05</v>
      </c>
      <c r="F10122" s="1" t="n">
        <v>0.0951</v>
      </c>
    </row>
    <row r="10123" customFormat="false" ht="15" hidden="false" customHeight="false" outlineLevel="0" collapsed="false">
      <c r="A10123" s="1" t="s">
        <v>10158</v>
      </c>
      <c r="B10123" s="1" t="s">
        <v>81</v>
      </c>
      <c r="C10123" s="1" t="n">
        <v>148000</v>
      </c>
      <c r="D10123" s="1" t="n">
        <v>95484.3</v>
      </c>
      <c r="E10123" s="1" t="n">
        <v>0.0328</v>
      </c>
      <c r="F10123" s="1" t="n">
        <v>0.0546</v>
      </c>
    </row>
    <row r="10124" customFormat="false" ht="15" hidden="false" customHeight="false" outlineLevel="0" collapsed="false">
      <c r="A10124" s="1" t="s">
        <v>10159</v>
      </c>
      <c r="B10124" s="1" t="s">
        <v>26</v>
      </c>
      <c r="C10124" s="1" t="n">
        <v>146000</v>
      </c>
      <c r="D10124" s="1" t="n">
        <v>1788.6</v>
      </c>
      <c r="E10124" s="1" t="n">
        <v>0.0357</v>
      </c>
      <c r="F10124" s="1" t="n">
        <v>0.1241</v>
      </c>
    </row>
    <row r="10125" customFormat="false" ht="15" hidden="false" customHeight="false" outlineLevel="0" collapsed="false">
      <c r="A10125" s="1" t="s">
        <v>10160</v>
      </c>
      <c r="B10125" s="1" t="s">
        <v>88</v>
      </c>
      <c r="C10125" s="1" t="n">
        <v>178000</v>
      </c>
      <c r="D10125" s="1" t="n">
        <v>618.6</v>
      </c>
      <c r="E10125" s="1" t="n">
        <v>0.0277</v>
      </c>
      <c r="F10125" s="1" t="n">
        <v>0.2064</v>
      </c>
    </row>
    <row r="10126" customFormat="false" ht="15" hidden="false" customHeight="false" outlineLevel="0" collapsed="false">
      <c r="A10126" s="1" t="s">
        <v>10161</v>
      </c>
      <c r="B10126" s="1" t="s">
        <v>24</v>
      </c>
      <c r="C10126" s="1" t="n">
        <v>190000</v>
      </c>
      <c r="D10126" s="1" t="n">
        <v>9172.3</v>
      </c>
      <c r="E10126" s="1" t="n">
        <v>0.0127</v>
      </c>
      <c r="F10126" s="1" t="n">
        <v>0.1067</v>
      </c>
    </row>
    <row r="10127" customFormat="false" ht="15" hidden="false" customHeight="false" outlineLevel="0" collapsed="false">
      <c r="A10127" s="1" t="s">
        <v>10162</v>
      </c>
      <c r="B10127" s="1" t="s">
        <v>88</v>
      </c>
      <c r="C10127" s="1" t="n">
        <v>163000</v>
      </c>
      <c r="D10127" s="1" t="n">
        <v>1847.9</v>
      </c>
      <c r="E10127" s="1" t="n">
        <v>0.0313</v>
      </c>
      <c r="F10127" s="1" t="n">
        <v>0.117</v>
      </c>
    </row>
    <row r="10128" customFormat="false" ht="15" hidden="false" customHeight="false" outlineLevel="0" collapsed="false">
      <c r="A10128" s="1" t="s">
        <v>10163</v>
      </c>
      <c r="B10128" s="1" t="s">
        <v>41</v>
      </c>
      <c r="C10128" s="1" t="n">
        <v>157000</v>
      </c>
      <c r="D10128" s="1" t="n">
        <v>724.1</v>
      </c>
      <c r="E10128" s="1" t="n">
        <v>0.0358</v>
      </c>
      <c r="F10128" s="1" t="n">
        <v>0.3928</v>
      </c>
    </row>
    <row r="10129" customFormat="false" ht="15" hidden="false" customHeight="false" outlineLevel="0" collapsed="false">
      <c r="A10129" s="1" t="s">
        <v>10164</v>
      </c>
      <c r="B10129" s="1" t="s">
        <v>92</v>
      </c>
      <c r="C10129" s="1" t="n">
        <v>717000</v>
      </c>
      <c r="D10129" s="1" t="n">
        <v>233562.3</v>
      </c>
      <c r="E10129" s="1" t="n">
        <v>0.0117</v>
      </c>
      <c r="F10129" s="1" t="n">
        <v>0.0584</v>
      </c>
    </row>
    <row r="10130" customFormat="false" ht="15" hidden="false" customHeight="false" outlineLevel="0" collapsed="false">
      <c r="A10130" s="1" t="s">
        <v>10165</v>
      </c>
      <c r="B10130" s="1" t="s">
        <v>92</v>
      </c>
      <c r="C10130" s="1" t="n">
        <v>168000</v>
      </c>
      <c r="D10130" s="1" t="n">
        <v>6787.1</v>
      </c>
      <c r="F10130" s="1" t="n">
        <v>0.0522</v>
      </c>
    </row>
    <row r="10131" customFormat="false" ht="15" hidden="false" customHeight="false" outlineLevel="0" collapsed="false">
      <c r="A10131" s="1" t="s">
        <v>10166</v>
      </c>
      <c r="B10131" s="1" t="s">
        <v>88</v>
      </c>
      <c r="C10131" s="1" t="n">
        <v>170000</v>
      </c>
      <c r="D10131" s="1" t="n">
        <v>1361.7</v>
      </c>
      <c r="E10131" s="1" t="n">
        <v>0.035</v>
      </c>
      <c r="F10131" s="1" t="n">
        <v>0.1962</v>
      </c>
    </row>
    <row r="10132" customFormat="false" ht="15" hidden="false" customHeight="false" outlineLevel="0" collapsed="false">
      <c r="A10132" s="1" t="s">
        <v>10167</v>
      </c>
      <c r="B10132" s="1" t="s">
        <v>32</v>
      </c>
      <c r="C10132" s="1" t="n">
        <v>388000</v>
      </c>
      <c r="D10132" s="1" t="n">
        <v>1571.4</v>
      </c>
      <c r="E10132" s="1" t="n">
        <v>0.0135</v>
      </c>
      <c r="F10132" s="1" t="n">
        <v>0.0608</v>
      </c>
    </row>
    <row r="10133" customFormat="false" ht="15" hidden="false" customHeight="false" outlineLevel="0" collapsed="false">
      <c r="A10133" s="1" t="s">
        <v>10168</v>
      </c>
      <c r="B10133" s="1" t="s">
        <v>26</v>
      </c>
      <c r="C10133" s="1" t="n">
        <v>283000</v>
      </c>
      <c r="D10133" s="1" t="n">
        <v>2120.6</v>
      </c>
      <c r="E10133" s="1" t="n">
        <v>0.0216</v>
      </c>
      <c r="F10133" s="1" t="n">
        <v>0.0585</v>
      </c>
    </row>
    <row r="10134" customFormat="false" ht="15" hidden="false" customHeight="false" outlineLevel="0" collapsed="false">
      <c r="A10134" s="1" t="s">
        <v>10169</v>
      </c>
      <c r="B10134" s="1" t="s">
        <v>26</v>
      </c>
      <c r="C10134" s="1" t="n">
        <v>135000</v>
      </c>
      <c r="F10134" s="1" t="n">
        <v>0.0759</v>
      </c>
    </row>
    <row r="10135" customFormat="false" ht="15" hidden="false" customHeight="false" outlineLevel="0" collapsed="false">
      <c r="A10135" s="1" t="s">
        <v>10170</v>
      </c>
      <c r="B10135" s="1" t="s">
        <v>92</v>
      </c>
      <c r="C10135" s="1" t="n">
        <v>201000</v>
      </c>
      <c r="D10135" s="1" t="n">
        <v>4014.5</v>
      </c>
      <c r="E10135" s="1" t="n">
        <v>0.0363</v>
      </c>
      <c r="F10135" s="1" t="n">
        <v>0.0409</v>
      </c>
    </row>
    <row r="10136" customFormat="false" ht="15" hidden="false" customHeight="false" outlineLevel="0" collapsed="false">
      <c r="A10136" s="1" t="s">
        <v>10171</v>
      </c>
      <c r="B10136" s="1" t="s">
        <v>50</v>
      </c>
      <c r="C10136" s="1" t="n">
        <v>236000</v>
      </c>
      <c r="D10136" s="1" t="n">
        <v>1430.5</v>
      </c>
      <c r="E10136" s="1" t="n">
        <v>0.0105</v>
      </c>
      <c r="F10136" s="1" t="n">
        <v>0.1013</v>
      </c>
    </row>
    <row r="10137" customFormat="false" ht="15" hidden="false" customHeight="false" outlineLevel="0" collapsed="false">
      <c r="A10137" s="1" t="s">
        <v>10172</v>
      </c>
      <c r="B10137" s="1" t="s">
        <v>24</v>
      </c>
      <c r="C10137" s="1" t="n">
        <v>145000</v>
      </c>
      <c r="D10137" s="1" t="n">
        <v>1093.2</v>
      </c>
      <c r="E10137" s="1" t="n">
        <v>0.0229</v>
      </c>
      <c r="F10137" s="1" t="n">
        <v>0.0726</v>
      </c>
    </row>
    <row r="10138" customFormat="false" ht="15" hidden="false" customHeight="false" outlineLevel="0" collapsed="false">
      <c r="A10138" s="1" t="s">
        <v>10173</v>
      </c>
      <c r="B10138" s="1" t="s">
        <v>88</v>
      </c>
      <c r="C10138" s="1" t="n">
        <v>151000</v>
      </c>
      <c r="D10138" s="1" t="n">
        <v>1268.4</v>
      </c>
      <c r="E10138" s="1" t="n">
        <v>0.0196</v>
      </c>
      <c r="F10138" s="1" t="n">
        <v>0.1053</v>
      </c>
    </row>
    <row r="10139" customFormat="false" ht="15" hidden="false" customHeight="false" outlineLevel="0" collapsed="false">
      <c r="A10139" s="1" t="s">
        <v>10174</v>
      </c>
      <c r="B10139" s="1" t="s">
        <v>32</v>
      </c>
      <c r="C10139" s="1" t="n">
        <v>149000</v>
      </c>
      <c r="D10139" s="1" t="n">
        <v>11077.6</v>
      </c>
      <c r="E10139" s="1" t="n">
        <v>0.0097</v>
      </c>
      <c r="F10139" s="1" t="n">
        <v>0.0821</v>
      </c>
    </row>
    <row r="10140" customFormat="false" ht="15" hidden="false" customHeight="false" outlineLevel="0" collapsed="false">
      <c r="A10140" s="1" t="s">
        <v>10175</v>
      </c>
      <c r="B10140" s="1" t="s">
        <v>21</v>
      </c>
      <c r="C10140" s="1" t="n">
        <v>175000</v>
      </c>
      <c r="D10140" s="1" t="n">
        <v>1594.4</v>
      </c>
      <c r="E10140" s="1" t="n">
        <v>0.0352</v>
      </c>
      <c r="F10140" s="1" t="n">
        <v>0.0759</v>
      </c>
    </row>
    <row r="10141" customFormat="false" ht="15" hidden="false" customHeight="false" outlineLevel="0" collapsed="false">
      <c r="A10141" s="1" t="s">
        <v>10176</v>
      </c>
      <c r="B10141" s="1" t="s">
        <v>88</v>
      </c>
      <c r="C10141" s="1" t="n">
        <v>230000</v>
      </c>
      <c r="D10141" s="1" t="n">
        <v>166.7</v>
      </c>
      <c r="E10141" s="1" t="n">
        <v>0.0253</v>
      </c>
      <c r="F10141" s="1" t="n">
        <v>0.0759</v>
      </c>
    </row>
    <row r="10142" customFormat="false" ht="15" hidden="false" customHeight="false" outlineLevel="0" collapsed="false">
      <c r="A10142" s="1" t="s">
        <v>10177</v>
      </c>
      <c r="B10142" s="1" t="s">
        <v>50</v>
      </c>
      <c r="C10142" s="1" t="n">
        <v>150000</v>
      </c>
      <c r="D10142" s="1" t="n">
        <v>300.3</v>
      </c>
      <c r="E10142" s="1" t="n">
        <v>0.012</v>
      </c>
      <c r="F10142" s="1" t="n">
        <v>0.2891</v>
      </c>
    </row>
    <row r="10143" customFormat="false" ht="15" hidden="false" customHeight="false" outlineLevel="0" collapsed="false">
      <c r="A10143" s="1" t="s">
        <v>10178</v>
      </c>
      <c r="B10143" s="1" t="s">
        <v>81</v>
      </c>
      <c r="C10143" s="1" t="n">
        <v>140000</v>
      </c>
      <c r="D10143" s="1" t="n">
        <v>4209.1</v>
      </c>
      <c r="E10143" s="1" t="n">
        <v>0.1125</v>
      </c>
      <c r="F10143" s="1" t="n">
        <v>0.0951</v>
      </c>
    </row>
    <row r="10144" customFormat="false" ht="15" hidden="false" customHeight="false" outlineLevel="0" collapsed="false">
      <c r="A10144" s="1" t="s">
        <v>10179</v>
      </c>
      <c r="B10144" s="1" t="s">
        <v>41</v>
      </c>
      <c r="C10144" s="1" t="n">
        <v>160000</v>
      </c>
      <c r="D10144" s="1" t="n">
        <v>1633.7</v>
      </c>
      <c r="E10144" s="1" t="n">
        <v>0.0101</v>
      </c>
      <c r="F10144" s="1" t="n">
        <v>0.339</v>
      </c>
    </row>
    <row r="10145" customFormat="false" ht="15" hidden="false" customHeight="false" outlineLevel="0" collapsed="false">
      <c r="A10145" s="1" t="s">
        <v>10180</v>
      </c>
      <c r="B10145" s="1" t="s">
        <v>88</v>
      </c>
      <c r="C10145" s="1" t="n">
        <v>156000</v>
      </c>
      <c r="D10145" s="1" t="n">
        <v>207.5</v>
      </c>
      <c r="E10145" s="1" t="n">
        <v>0.0352</v>
      </c>
      <c r="F10145" s="1" t="n">
        <v>0.0938</v>
      </c>
    </row>
    <row r="10146" customFormat="false" ht="15" hidden="false" customHeight="false" outlineLevel="0" collapsed="false">
      <c r="A10146" s="1" t="s">
        <v>10181</v>
      </c>
      <c r="B10146" s="1" t="s">
        <v>21</v>
      </c>
      <c r="C10146" s="1" t="n">
        <v>304000</v>
      </c>
      <c r="D10146" s="1" t="n">
        <v>29214.1</v>
      </c>
      <c r="E10146" s="1" t="n">
        <v>0.0353</v>
      </c>
      <c r="F10146" s="1" t="n">
        <v>0.0518</v>
      </c>
    </row>
    <row r="10147" customFormat="false" ht="15" hidden="false" customHeight="false" outlineLevel="0" collapsed="false">
      <c r="A10147" s="1" t="s">
        <v>10182</v>
      </c>
      <c r="B10147" s="1" t="s">
        <v>26</v>
      </c>
      <c r="C10147" s="1" t="n">
        <v>151000</v>
      </c>
      <c r="D10147" s="1" t="n">
        <v>1902</v>
      </c>
      <c r="E10147" s="1" t="n">
        <v>0.0534</v>
      </c>
      <c r="F10147" s="1" t="n">
        <v>0.0759</v>
      </c>
    </row>
    <row r="10148" customFormat="false" ht="15" hidden="false" customHeight="false" outlineLevel="0" collapsed="false">
      <c r="A10148" s="1" t="s">
        <v>10183</v>
      </c>
      <c r="B10148" s="1" t="s">
        <v>24</v>
      </c>
      <c r="C10148" s="1" t="n">
        <v>205000</v>
      </c>
      <c r="D10148" s="1" t="n">
        <v>89747.5</v>
      </c>
      <c r="E10148" s="1" t="n">
        <v>0.0258</v>
      </c>
      <c r="F10148" s="1" t="n">
        <v>0.0951</v>
      </c>
    </row>
    <row r="10149" customFormat="false" ht="15" hidden="false" customHeight="false" outlineLevel="0" collapsed="false">
      <c r="A10149" s="1" t="s">
        <v>10184</v>
      </c>
      <c r="B10149" s="1" t="s">
        <v>26</v>
      </c>
      <c r="C10149" s="1" t="n">
        <v>335000</v>
      </c>
      <c r="D10149" s="1" t="n">
        <v>16887.9</v>
      </c>
      <c r="E10149" s="1" t="n">
        <v>0.0526</v>
      </c>
      <c r="F10149" s="1" t="n">
        <v>0.0938</v>
      </c>
    </row>
    <row r="10150" customFormat="false" ht="15" hidden="false" customHeight="false" outlineLevel="0" collapsed="false">
      <c r="A10150" s="1" t="s">
        <v>10185</v>
      </c>
      <c r="B10150" s="1" t="s">
        <v>81</v>
      </c>
      <c r="C10150" s="1" t="n">
        <v>172000</v>
      </c>
      <c r="D10150" s="1" t="n">
        <v>10229.3</v>
      </c>
      <c r="E10150" s="1" t="n">
        <v>0.0127</v>
      </c>
      <c r="F10150" s="1" t="n">
        <v>0.0462</v>
      </c>
    </row>
    <row r="10151" customFormat="false" ht="15" hidden="false" customHeight="false" outlineLevel="0" collapsed="false">
      <c r="A10151" s="1" t="s">
        <v>10186</v>
      </c>
      <c r="B10151" s="1" t="s">
        <v>28</v>
      </c>
      <c r="C10151" s="1" t="n">
        <v>484000</v>
      </c>
      <c r="D10151" s="1" t="n">
        <v>2272.5</v>
      </c>
      <c r="E10151" s="1" t="n">
        <v>0.0069</v>
      </c>
      <c r="F10151" s="1" t="n">
        <v>0.0654</v>
      </c>
    </row>
    <row r="10152" customFormat="false" ht="15" hidden="false" customHeight="false" outlineLevel="0" collapsed="false">
      <c r="A10152" s="1" t="s">
        <v>10187</v>
      </c>
      <c r="B10152" s="1" t="s">
        <v>88</v>
      </c>
      <c r="C10152" s="1" t="n">
        <v>141000</v>
      </c>
      <c r="D10152" s="1" t="n">
        <v>1502.3</v>
      </c>
      <c r="E10152" s="1" t="n">
        <v>0.0179</v>
      </c>
      <c r="F10152" s="1" t="n">
        <v>0.0854</v>
      </c>
    </row>
    <row r="10153" customFormat="false" ht="15" hidden="false" customHeight="false" outlineLevel="0" collapsed="false">
      <c r="A10153" s="1" t="s">
        <v>10188</v>
      </c>
      <c r="B10153" s="1" t="s">
        <v>26</v>
      </c>
      <c r="C10153" s="1" t="n">
        <v>152000</v>
      </c>
      <c r="D10153" s="1" t="n">
        <v>218161</v>
      </c>
      <c r="E10153" s="1" t="n">
        <v>0.0192</v>
      </c>
      <c r="F10153" s="1" t="n">
        <v>0.0585</v>
      </c>
    </row>
    <row r="10154" customFormat="false" ht="15" hidden="false" customHeight="false" outlineLevel="0" collapsed="false">
      <c r="A10154" s="1" t="s">
        <v>10189</v>
      </c>
      <c r="B10154" s="1" t="s">
        <v>24</v>
      </c>
      <c r="C10154" s="1" t="n">
        <v>142000</v>
      </c>
      <c r="D10154" s="1" t="n">
        <v>1248.2</v>
      </c>
      <c r="F10154" s="1" t="n">
        <v>0.051</v>
      </c>
    </row>
    <row r="10155" customFormat="false" ht="15" hidden="false" customHeight="false" outlineLevel="0" collapsed="false">
      <c r="A10155" s="1" t="s">
        <v>10190</v>
      </c>
      <c r="B10155" s="1" t="s">
        <v>81</v>
      </c>
      <c r="C10155" s="1" t="n">
        <v>139000</v>
      </c>
      <c r="D10155" s="1" t="n">
        <v>1271.9</v>
      </c>
      <c r="E10155" s="1" t="n">
        <v>0.0186</v>
      </c>
      <c r="F10155" s="1" t="n">
        <v>0.0726</v>
      </c>
    </row>
    <row r="10156" customFormat="false" ht="15" hidden="false" customHeight="false" outlineLevel="0" collapsed="false">
      <c r="A10156" s="1" t="s">
        <v>10191</v>
      </c>
      <c r="B10156" s="1" t="s">
        <v>88</v>
      </c>
      <c r="C10156" s="1" t="n">
        <v>180000</v>
      </c>
      <c r="D10156" s="1" t="n">
        <v>1244.4</v>
      </c>
      <c r="E10156" s="1" t="n">
        <v>0.0173</v>
      </c>
      <c r="F10156" s="1" t="n">
        <v>0.1067</v>
      </c>
    </row>
    <row r="10157" customFormat="false" ht="15" hidden="false" customHeight="false" outlineLevel="0" collapsed="false">
      <c r="A10157" s="1" t="s">
        <v>10192</v>
      </c>
      <c r="B10157" s="1" t="s">
        <v>53</v>
      </c>
      <c r="C10157" s="1" t="n">
        <v>138000</v>
      </c>
      <c r="D10157" s="1" t="n">
        <v>65.1</v>
      </c>
      <c r="E10157" s="1" t="n">
        <v>0.073</v>
      </c>
      <c r="F10157" s="1" t="n">
        <v>0.57</v>
      </c>
    </row>
    <row r="10158" customFormat="false" ht="15" hidden="false" customHeight="false" outlineLevel="0" collapsed="false">
      <c r="A10158" s="1" t="s">
        <v>10193</v>
      </c>
      <c r="B10158" s="1" t="s">
        <v>24</v>
      </c>
      <c r="C10158" s="1" t="n">
        <v>238000</v>
      </c>
      <c r="D10158" s="1" t="n">
        <v>13274.2</v>
      </c>
      <c r="E10158" s="1" t="n">
        <v>0.0277</v>
      </c>
      <c r="F10158" s="1" t="n">
        <v>0.0951</v>
      </c>
    </row>
    <row r="10159" customFormat="false" ht="15" hidden="false" customHeight="false" outlineLevel="0" collapsed="false">
      <c r="A10159" s="1" t="s">
        <v>10194</v>
      </c>
      <c r="B10159" s="1" t="s">
        <v>88</v>
      </c>
      <c r="C10159" s="1" t="n">
        <v>146000</v>
      </c>
      <c r="D10159" s="1" t="n">
        <v>13423.1</v>
      </c>
      <c r="E10159" s="1" t="n">
        <v>0.062</v>
      </c>
      <c r="F10159" s="1" t="n">
        <v>0.0951</v>
      </c>
    </row>
    <row r="10160" customFormat="false" ht="15" hidden="false" customHeight="false" outlineLevel="0" collapsed="false">
      <c r="A10160" s="1" t="s">
        <v>10195</v>
      </c>
      <c r="B10160" s="1" t="s">
        <v>24</v>
      </c>
      <c r="C10160" s="1" t="n">
        <v>190000</v>
      </c>
      <c r="D10160" s="1" t="n">
        <v>23734.4</v>
      </c>
      <c r="E10160" s="1" t="n">
        <v>0.0294</v>
      </c>
      <c r="F10160" s="1" t="n">
        <v>0.0518</v>
      </c>
    </row>
    <row r="10161" customFormat="false" ht="15" hidden="false" customHeight="false" outlineLevel="0" collapsed="false">
      <c r="A10161" s="1" t="s">
        <v>10196</v>
      </c>
      <c r="B10161" s="1" t="s">
        <v>81</v>
      </c>
      <c r="C10161" s="1" t="n">
        <v>171000</v>
      </c>
      <c r="D10161" s="1" t="n">
        <v>82018.4</v>
      </c>
      <c r="E10161" s="1" t="n">
        <v>0.0208</v>
      </c>
      <c r="F10161" s="1" t="n">
        <v>0.0951</v>
      </c>
    </row>
    <row r="10162" customFormat="false" ht="15" hidden="false" customHeight="false" outlineLevel="0" collapsed="false">
      <c r="A10162" s="1" t="s">
        <v>10197</v>
      </c>
      <c r="B10162" s="1" t="s">
        <v>74</v>
      </c>
      <c r="C10162" s="1" t="n">
        <v>176000</v>
      </c>
      <c r="D10162" s="1" t="n">
        <v>5041.8</v>
      </c>
      <c r="F10162" s="1" t="n">
        <v>0.0951</v>
      </c>
    </row>
    <row r="10163" customFormat="false" ht="15" hidden="false" customHeight="false" outlineLevel="0" collapsed="false">
      <c r="A10163" s="1" t="s">
        <v>10198</v>
      </c>
      <c r="B10163" s="1" t="s">
        <v>92</v>
      </c>
      <c r="C10163" s="1" t="n">
        <v>138000</v>
      </c>
      <c r="D10163" s="1" t="n">
        <v>476.9</v>
      </c>
      <c r="E10163" s="1" t="n">
        <v>0.0336</v>
      </c>
      <c r="F10163" s="1" t="n">
        <v>0.1184</v>
      </c>
    </row>
    <row r="10164" customFormat="false" ht="15" hidden="false" customHeight="false" outlineLevel="0" collapsed="false">
      <c r="A10164" s="1" t="s">
        <v>10199</v>
      </c>
      <c r="B10164" s="1" t="s">
        <v>32</v>
      </c>
      <c r="C10164" s="1" t="n">
        <v>147000</v>
      </c>
      <c r="D10164" s="1" t="n">
        <v>12662.2</v>
      </c>
      <c r="E10164" s="1" t="n">
        <v>0.0602</v>
      </c>
      <c r="F10164" s="1" t="n">
        <v>0.0951</v>
      </c>
    </row>
    <row r="10165" customFormat="false" ht="15" hidden="false" customHeight="false" outlineLevel="0" collapsed="false">
      <c r="A10165" s="1" t="s">
        <v>10200</v>
      </c>
      <c r="B10165" s="1" t="s">
        <v>26</v>
      </c>
      <c r="C10165" s="1" t="n">
        <v>148000</v>
      </c>
      <c r="D10165" s="1" t="n">
        <v>12435.6</v>
      </c>
      <c r="E10165" s="1" t="n">
        <v>0.0618</v>
      </c>
      <c r="F10165" s="1" t="n">
        <v>0.0759</v>
      </c>
    </row>
    <row r="10166" customFormat="false" ht="15" hidden="false" customHeight="false" outlineLevel="0" collapsed="false">
      <c r="A10166" s="1" t="s">
        <v>10201</v>
      </c>
      <c r="B10166" s="1" t="s">
        <v>35</v>
      </c>
      <c r="C10166" s="1" t="n">
        <v>419000</v>
      </c>
      <c r="D10166" s="1" t="n">
        <v>13579.3</v>
      </c>
      <c r="E10166" s="1" t="n">
        <v>0.0133</v>
      </c>
      <c r="F10166" s="1" t="n">
        <v>0.6875</v>
      </c>
    </row>
    <row r="10167" customFormat="false" ht="15" hidden="false" customHeight="false" outlineLevel="0" collapsed="false">
      <c r="A10167" s="1" t="s">
        <v>10202</v>
      </c>
      <c r="B10167" s="1" t="s">
        <v>26</v>
      </c>
      <c r="C10167" s="1" t="n">
        <v>224000</v>
      </c>
      <c r="D10167" s="1" t="n">
        <v>104275.2</v>
      </c>
      <c r="E10167" s="1" t="n">
        <v>0.0187</v>
      </c>
      <c r="F10167" s="1" t="n">
        <v>0.0854</v>
      </c>
    </row>
    <row r="10168" customFormat="false" ht="15" hidden="false" customHeight="false" outlineLevel="0" collapsed="false">
      <c r="A10168" s="1" t="s">
        <v>10203</v>
      </c>
      <c r="B10168" s="1" t="s">
        <v>74</v>
      </c>
      <c r="C10168" s="1" t="n">
        <v>246000</v>
      </c>
      <c r="D10168" s="1" t="n">
        <v>858.9</v>
      </c>
      <c r="E10168" s="1" t="n">
        <v>0.0184</v>
      </c>
      <c r="F10168" s="1" t="n">
        <v>0.0854</v>
      </c>
    </row>
    <row r="10169" customFormat="false" ht="15" hidden="false" customHeight="false" outlineLevel="0" collapsed="false">
      <c r="A10169" s="1" t="s">
        <v>10204</v>
      </c>
      <c r="B10169" s="1" t="s">
        <v>195</v>
      </c>
      <c r="C10169" s="1" t="n">
        <v>138000</v>
      </c>
      <c r="D10169" s="1" t="n">
        <v>3420.3</v>
      </c>
      <c r="E10169" s="1" t="n">
        <v>0.0237</v>
      </c>
      <c r="F10169" s="1" t="n">
        <v>0.0951</v>
      </c>
    </row>
    <row r="10170" customFormat="false" ht="15" hidden="false" customHeight="false" outlineLevel="0" collapsed="false">
      <c r="A10170" s="1" t="s">
        <v>10205</v>
      </c>
      <c r="B10170" s="1" t="s">
        <v>71</v>
      </c>
      <c r="C10170" s="1" t="n">
        <v>174000</v>
      </c>
      <c r="D10170" s="1" t="n">
        <v>1841.2</v>
      </c>
      <c r="E10170" s="1" t="n">
        <v>0.0271</v>
      </c>
      <c r="F10170" s="1" t="n">
        <v>0.0759</v>
      </c>
    </row>
    <row r="10171" customFormat="false" ht="15" hidden="false" customHeight="false" outlineLevel="0" collapsed="false">
      <c r="A10171" s="1" t="s">
        <v>10206</v>
      </c>
      <c r="B10171" s="1" t="s">
        <v>26</v>
      </c>
      <c r="C10171" s="1" t="n">
        <v>145000</v>
      </c>
      <c r="D10171" s="1" t="n">
        <v>75825</v>
      </c>
      <c r="E10171" s="1" t="n">
        <v>0.0489</v>
      </c>
      <c r="F10171" s="1" t="n">
        <v>0.0518</v>
      </c>
    </row>
    <row r="10172" customFormat="false" ht="15" hidden="false" customHeight="false" outlineLevel="0" collapsed="false">
      <c r="A10172" s="1" t="s">
        <v>10207</v>
      </c>
      <c r="B10172" s="1" t="s">
        <v>88</v>
      </c>
      <c r="C10172" s="1" t="n">
        <v>153000</v>
      </c>
      <c r="D10172" s="1" t="n">
        <v>1834.3</v>
      </c>
      <c r="E10172" s="1" t="n">
        <v>0.054</v>
      </c>
      <c r="F10172" s="1" t="n">
        <v>0.117</v>
      </c>
    </row>
    <row r="10173" customFormat="false" ht="15" hidden="false" customHeight="false" outlineLevel="0" collapsed="false">
      <c r="A10173" s="1" t="s">
        <v>10208</v>
      </c>
      <c r="B10173" s="1" t="s">
        <v>26</v>
      </c>
      <c r="C10173" s="1" t="n">
        <v>204000</v>
      </c>
      <c r="D10173" s="1" t="n">
        <v>206575.9</v>
      </c>
      <c r="E10173" s="1" t="n">
        <v>0.0306</v>
      </c>
      <c r="F10173" s="1" t="n">
        <v>0.0518</v>
      </c>
    </row>
    <row r="10174" customFormat="false" ht="15" hidden="false" customHeight="false" outlineLevel="0" collapsed="false">
      <c r="A10174" s="1" t="s">
        <v>10209</v>
      </c>
      <c r="B10174" s="1" t="s">
        <v>88</v>
      </c>
      <c r="C10174" s="1" t="n">
        <v>146000</v>
      </c>
      <c r="D10174" s="1" t="n">
        <v>503.4</v>
      </c>
      <c r="E10174" s="1" t="n">
        <v>0.0475</v>
      </c>
      <c r="F10174" s="1" t="n">
        <v>0.117</v>
      </c>
    </row>
    <row r="10175" customFormat="false" ht="15" hidden="false" customHeight="false" outlineLevel="0" collapsed="false">
      <c r="A10175" s="1" t="s">
        <v>10210</v>
      </c>
      <c r="B10175" s="1" t="s">
        <v>28</v>
      </c>
      <c r="C10175" s="1" t="n">
        <v>155000</v>
      </c>
      <c r="D10175" s="1" t="n">
        <v>6931</v>
      </c>
      <c r="E10175" s="1" t="n">
        <v>0.0058</v>
      </c>
      <c r="F10175" s="1" t="n">
        <v>0.0822</v>
      </c>
    </row>
    <row r="10176" customFormat="false" ht="15" hidden="false" customHeight="false" outlineLevel="0" collapsed="false">
      <c r="A10176" s="1" t="s">
        <v>10211</v>
      </c>
      <c r="B10176" s="1" t="s">
        <v>88</v>
      </c>
      <c r="C10176" s="1" t="n">
        <v>255000</v>
      </c>
      <c r="D10176" s="1" t="n">
        <v>397.3</v>
      </c>
      <c r="E10176" s="1" t="n">
        <v>0.0209</v>
      </c>
      <c r="F10176" s="1" t="n">
        <v>0.131</v>
      </c>
    </row>
    <row r="10177" customFormat="false" ht="15" hidden="false" customHeight="false" outlineLevel="0" collapsed="false">
      <c r="A10177" s="1" t="s">
        <v>10212</v>
      </c>
      <c r="B10177" s="1" t="s">
        <v>26</v>
      </c>
      <c r="C10177" s="1" t="n">
        <v>179000</v>
      </c>
      <c r="D10177" s="1" t="n">
        <v>2214.7</v>
      </c>
      <c r="E10177" s="1" t="n">
        <v>0.0113</v>
      </c>
      <c r="F10177" s="1" t="n">
        <v>0.0654</v>
      </c>
    </row>
    <row r="10178" customFormat="false" ht="15" hidden="false" customHeight="false" outlineLevel="0" collapsed="false">
      <c r="A10178" s="1" t="s">
        <v>10213</v>
      </c>
      <c r="B10178" s="1" t="s">
        <v>26</v>
      </c>
      <c r="C10178" s="1" t="n">
        <v>206000</v>
      </c>
      <c r="D10178" s="1" t="n">
        <v>48824.7</v>
      </c>
      <c r="E10178" s="1" t="n">
        <v>0.0307</v>
      </c>
      <c r="F10178" s="1" t="n">
        <v>0.0951</v>
      </c>
    </row>
    <row r="10179" customFormat="false" ht="15" hidden="false" customHeight="false" outlineLevel="0" collapsed="false">
      <c r="A10179" s="1" t="s">
        <v>10214</v>
      </c>
      <c r="B10179" s="1" t="s">
        <v>24</v>
      </c>
      <c r="C10179" s="1" t="n">
        <v>215000</v>
      </c>
      <c r="D10179" s="1" t="n">
        <v>2017.5</v>
      </c>
      <c r="E10179" s="1" t="n">
        <v>0.0213</v>
      </c>
      <c r="F10179" s="1" t="n">
        <v>0.139</v>
      </c>
    </row>
    <row r="10180" customFormat="false" ht="15" hidden="false" customHeight="false" outlineLevel="0" collapsed="false">
      <c r="A10180" s="1" t="s">
        <v>10215</v>
      </c>
      <c r="B10180" s="1" t="s">
        <v>26</v>
      </c>
      <c r="C10180" s="1" t="n">
        <v>265000</v>
      </c>
      <c r="D10180" s="1" t="n">
        <v>51644.5</v>
      </c>
      <c r="E10180" s="1" t="n">
        <v>0.0471</v>
      </c>
      <c r="F10180" s="1" t="n">
        <v>0.0518</v>
      </c>
    </row>
    <row r="10181" customFormat="false" ht="15" hidden="false" customHeight="false" outlineLevel="0" collapsed="false">
      <c r="A10181" s="1" t="s">
        <v>10216</v>
      </c>
      <c r="B10181" s="1" t="s">
        <v>92</v>
      </c>
      <c r="C10181" s="1" t="n">
        <v>320000</v>
      </c>
      <c r="D10181" s="1" t="n">
        <v>95629.8</v>
      </c>
      <c r="E10181" s="1" t="n">
        <v>0.0461</v>
      </c>
      <c r="F10181" s="1" t="n">
        <v>0.0672</v>
      </c>
    </row>
    <row r="10182" customFormat="false" ht="15" hidden="false" customHeight="false" outlineLevel="0" collapsed="false">
      <c r="A10182" s="1" t="s">
        <v>10217</v>
      </c>
      <c r="B10182" s="1" t="s">
        <v>88</v>
      </c>
      <c r="C10182" s="1" t="n">
        <v>185000</v>
      </c>
      <c r="D10182" s="1" t="n">
        <v>314.5</v>
      </c>
      <c r="E10182" s="1" t="n">
        <v>0.0783</v>
      </c>
      <c r="F10182" s="1" t="n">
        <v>0.0759</v>
      </c>
    </row>
    <row r="10183" customFormat="false" ht="15" hidden="false" customHeight="false" outlineLevel="0" collapsed="false">
      <c r="A10183" s="1" t="s">
        <v>10218</v>
      </c>
      <c r="B10183" s="1" t="s">
        <v>32</v>
      </c>
      <c r="C10183" s="1" t="n">
        <v>170000</v>
      </c>
      <c r="D10183" s="1" t="n">
        <v>955.2</v>
      </c>
      <c r="E10183" s="1" t="n">
        <v>0.0053</v>
      </c>
      <c r="F10183" s="1" t="n">
        <v>0.0821</v>
      </c>
    </row>
    <row r="10184" customFormat="false" ht="15" hidden="false" customHeight="false" outlineLevel="0" collapsed="false">
      <c r="A10184" s="1" t="s">
        <v>10219</v>
      </c>
      <c r="B10184" s="1" t="s">
        <v>92</v>
      </c>
      <c r="C10184" s="1" t="n">
        <v>145000</v>
      </c>
      <c r="D10184" s="1" t="n">
        <v>119307.4</v>
      </c>
      <c r="E10184" s="1" t="n">
        <v>0.0068</v>
      </c>
      <c r="F10184" s="1" t="n">
        <v>0.0822</v>
      </c>
    </row>
    <row r="10185" customFormat="false" ht="15" hidden="false" customHeight="false" outlineLevel="0" collapsed="false">
      <c r="A10185" s="1" t="s">
        <v>10220</v>
      </c>
      <c r="B10185" s="1" t="s">
        <v>21</v>
      </c>
      <c r="C10185" s="1" t="n">
        <v>147000</v>
      </c>
      <c r="D10185" s="1" t="n">
        <v>202639.1</v>
      </c>
      <c r="E10185" s="1" t="n">
        <v>0.0366</v>
      </c>
      <c r="F10185" s="1" t="n">
        <v>0.0951</v>
      </c>
    </row>
    <row r="10186" customFormat="false" ht="15" hidden="false" customHeight="false" outlineLevel="0" collapsed="false">
      <c r="A10186" s="1" t="s">
        <v>10221</v>
      </c>
      <c r="B10186" s="1" t="s">
        <v>74</v>
      </c>
      <c r="C10186" s="1" t="n">
        <v>150000</v>
      </c>
      <c r="D10186" s="1" t="n">
        <v>8450.5</v>
      </c>
      <c r="E10186" s="1" t="n">
        <v>0.0518</v>
      </c>
      <c r="F10186" s="1" t="n">
        <v>0.0938</v>
      </c>
    </row>
    <row r="10187" customFormat="false" ht="15" hidden="false" customHeight="false" outlineLevel="0" collapsed="false">
      <c r="A10187" s="1" t="s">
        <v>10222</v>
      </c>
      <c r="B10187" s="1" t="s">
        <v>62</v>
      </c>
      <c r="C10187" s="1" t="n">
        <v>144000</v>
      </c>
      <c r="D10187" s="1" t="n">
        <v>274.2</v>
      </c>
      <c r="E10187" s="1" t="n">
        <v>0.0369</v>
      </c>
      <c r="F10187" s="1" t="n">
        <v>0.0409</v>
      </c>
    </row>
    <row r="10188" customFormat="false" ht="15" hidden="false" customHeight="false" outlineLevel="0" collapsed="false">
      <c r="A10188" s="1" t="s">
        <v>10223</v>
      </c>
      <c r="B10188" s="1" t="s">
        <v>30</v>
      </c>
      <c r="C10188" s="1" t="n">
        <v>200000</v>
      </c>
      <c r="D10188" s="1" t="n">
        <v>16951.9</v>
      </c>
      <c r="E10188" s="1" t="n">
        <v>0.0172</v>
      </c>
      <c r="F10188" s="1" t="n">
        <v>0.0854</v>
      </c>
    </row>
    <row r="10189" customFormat="false" ht="15" hidden="false" customHeight="false" outlineLevel="0" collapsed="false">
      <c r="A10189" s="1" t="s">
        <v>10224</v>
      </c>
      <c r="B10189" s="1" t="s">
        <v>21</v>
      </c>
      <c r="C10189" s="1" t="n">
        <v>418000</v>
      </c>
      <c r="D10189" s="1" t="n">
        <v>234206</v>
      </c>
      <c r="E10189" s="1" t="n">
        <v>0.0486</v>
      </c>
      <c r="F10189" s="1" t="n">
        <v>0.1226</v>
      </c>
    </row>
    <row r="10190" customFormat="false" ht="15" hidden="false" customHeight="false" outlineLevel="0" collapsed="false">
      <c r="A10190" s="1" t="s">
        <v>10225</v>
      </c>
      <c r="B10190" s="1" t="s">
        <v>88</v>
      </c>
      <c r="C10190" s="1" t="n">
        <v>185000</v>
      </c>
      <c r="D10190" s="1" t="n">
        <v>233.3</v>
      </c>
      <c r="E10190" s="1" t="n">
        <v>0.0043</v>
      </c>
      <c r="F10190" s="1" t="n">
        <v>0.3029</v>
      </c>
    </row>
    <row r="10191" customFormat="false" ht="15" hidden="false" customHeight="false" outlineLevel="0" collapsed="false">
      <c r="A10191" s="1" t="s">
        <v>10226</v>
      </c>
      <c r="B10191" s="1" t="s">
        <v>214</v>
      </c>
      <c r="C10191" s="1" t="n">
        <v>183000</v>
      </c>
      <c r="D10191" s="1" t="n">
        <v>9679.5</v>
      </c>
      <c r="F10191" s="1" t="n">
        <v>0.0759</v>
      </c>
    </row>
    <row r="10192" customFormat="false" ht="15" hidden="false" customHeight="false" outlineLevel="0" collapsed="false">
      <c r="A10192" s="1" t="s">
        <v>10227</v>
      </c>
      <c r="B10192" s="1" t="s">
        <v>88</v>
      </c>
      <c r="C10192" s="1" t="n">
        <v>267000</v>
      </c>
      <c r="D10192" s="1" t="n">
        <v>1946.4</v>
      </c>
      <c r="E10192" s="1" t="n">
        <v>0.0493</v>
      </c>
      <c r="F10192" s="1" t="n">
        <v>0.0938</v>
      </c>
    </row>
    <row r="10193" customFormat="false" ht="15" hidden="false" customHeight="false" outlineLevel="0" collapsed="false">
      <c r="A10193" s="1" t="s">
        <v>10228</v>
      </c>
      <c r="B10193" s="1" t="s">
        <v>21</v>
      </c>
      <c r="C10193" s="1" t="n">
        <v>143000</v>
      </c>
      <c r="D10193" s="1" t="n">
        <v>3451.8</v>
      </c>
      <c r="E10193" s="1" t="n">
        <v>0.0063</v>
      </c>
      <c r="F10193" s="1" t="n">
        <v>0.0822</v>
      </c>
    </row>
    <row r="10194" customFormat="false" ht="15" hidden="false" customHeight="false" outlineLevel="0" collapsed="false">
      <c r="A10194" s="1" t="s">
        <v>10229</v>
      </c>
      <c r="B10194" s="1" t="s">
        <v>88</v>
      </c>
      <c r="C10194" s="1" t="n">
        <v>284000</v>
      </c>
      <c r="D10194" s="1" t="n">
        <v>11164.1</v>
      </c>
      <c r="E10194" s="1" t="n">
        <v>0.0418</v>
      </c>
      <c r="F10194" s="1" t="n">
        <v>0.0759</v>
      </c>
    </row>
    <row r="10195" customFormat="false" ht="15" hidden="false" customHeight="false" outlineLevel="0" collapsed="false">
      <c r="A10195" s="1" t="s">
        <v>10230</v>
      </c>
      <c r="B10195" s="1" t="s">
        <v>26</v>
      </c>
      <c r="C10195" s="1" t="n">
        <v>179000</v>
      </c>
      <c r="D10195" s="1" t="n">
        <v>1901.6</v>
      </c>
      <c r="E10195" s="1" t="n">
        <v>0.0877</v>
      </c>
      <c r="F10195" s="1" t="n">
        <v>0.0759</v>
      </c>
    </row>
    <row r="10196" customFormat="false" ht="15" hidden="false" customHeight="false" outlineLevel="0" collapsed="false">
      <c r="A10196" s="1" t="s">
        <v>10231</v>
      </c>
      <c r="B10196" s="1" t="s">
        <v>26</v>
      </c>
      <c r="C10196" s="1" t="n">
        <v>145000</v>
      </c>
      <c r="D10196" s="1" t="n">
        <v>3411.7</v>
      </c>
      <c r="E10196" s="1" t="n">
        <v>0.0931</v>
      </c>
      <c r="F10196" s="1" t="n">
        <v>0.0759</v>
      </c>
    </row>
    <row r="10197" customFormat="false" ht="15" hidden="false" customHeight="false" outlineLevel="0" collapsed="false">
      <c r="A10197" s="1" t="s">
        <v>10232</v>
      </c>
      <c r="B10197" s="1" t="s">
        <v>74</v>
      </c>
      <c r="C10197" s="1" t="n">
        <v>167000</v>
      </c>
      <c r="D10197" s="1" t="n">
        <v>22515.9</v>
      </c>
      <c r="E10197" s="1" t="n">
        <v>0.0225</v>
      </c>
      <c r="F10197" s="1" t="n">
        <v>0.0462</v>
      </c>
    </row>
    <row r="10198" customFormat="false" ht="15" hidden="false" customHeight="false" outlineLevel="0" collapsed="false">
      <c r="A10198" s="1" t="s">
        <v>10233</v>
      </c>
      <c r="B10198" s="1" t="s">
        <v>92</v>
      </c>
      <c r="C10198" s="1" t="n">
        <v>142000</v>
      </c>
      <c r="D10198" s="1" t="n">
        <v>232.3</v>
      </c>
      <c r="E10198" s="1" t="n">
        <v>0.0198</v>
      </c>
      <c r="F10198" s="1" t="n">
        <v>0.1067</v>
      </c>
    </row>
    <row r="10199" customFormat="false" ht="15" hidden="false" customHeight="false" outlineLevel="0" collapsed="false">
      <c r="A10199" s="1" t="s">
        <v>10234</v>
      </c>
      <c r="B10199" s="1" t="s">
        <v>41</v>
      </c>
      <c r="C10199" s="1" t="n">
        <v>178000</v>
      </c>
      <c r="D10199" s="1" t="n">
        <v>770.5</v>
      </c>
      <c r="E10199" s="1" t="n">
        <v>0.0277</v>
      </c>
      <c r="F10199" s="1" t="n">
        <v>0.301</v>
      </c>
    </row>
    <row r="10200" customFormat="false" ht="15" hidden="false" customHeight="false" outlineLevel="0" collapsed="false">
      <c r="A10200" s="1" t="s">
        <v>10235</v>
      </c>
      <c r="B10200" s="1" t="s">
        <v>214</v>
      </c>
      <c r="C10200" s="1" t="n">
        <v>144000</v>
      </c>
      <c r="D10200" s="1" t="n">
        <v>1680.8</v>
      </c>
      <c r="E10200" s="1" t="n">
        <v>0.0298</v>
      </c>
      <c r="F10200" s="1" t="n">
        <v>0.0759</v>
      </c>
    </row>
    <row r="10201" customFormat="false" ht="15" hidden="false" customHeight="false" outlineLevel="0" collapsed="false">
      <c r="A10201" s="1" t="s">
        <v>10236</v>
      </c>
      <c r="B10201" s="1" t="s">
        <v>287</v>
      </c>
      <c r="C10201" s="1" t="n">
        <v>148000</v>
      </c>
      <c r="D10201" s="1" t="n">
        <v>778.5</v>
      </c>
      <c r="E10201" s="1" t="n">
        <v>0.0205</v>
      </c>
      <c r="F10201" s="1" t="n">
        <v>0.0922</v>
      </c>
    </row>
    <row r="10202" customFormat="false" ht="15" hidden="false" customHeight="false" outlineLevel="0" collapsed="false">
      <c r="A10202" s="1" t="s">
        <v>10237</v>
      </c>
      <c r="B10202" s="1" t="s">
        <v>71</v>
      </c>
      <c r="C10202" s="1" t="n">
        <v>206000</v>
      </c>
      <c r="D10202" s="1" t="n">
        <v>5659.2</v>
      </c>
      <c r="E10202" s="1" t="n">
        <v>0.0289</v>
      </c>
      <c r="F10202" s="1" t="n">
        <v>0.0951</v>
      </c>
    </row>
    <row r="10203" customFormat="false" ht="15" hidden="false" customHeight="false" outlineLevel="0" collapsed="false">
      <c r="A10203" s="1" t="s">
        <v>10238</v>
      </c>
      <c r="B10203" s="1" t="s">
        <v>41</v>
      </c>
      <c r="C10203" s="1" t="n">
        <v>141000</v>
      </c>
      <c r="D10203" s="1" t="n">
        <v>769.6</v>
      </c>
      <c r="E10203" s="1" t="n">
        <v>0.0469</v>
      </c>
      <c r="F10203" s="1" t="n">
        <v>0.1535</v>
      </c>
    </row>
    <row r="10204" customFormat="false" ht="15" hidden="false" customHeight="false" outlineLevel="0" collapsed="false">
      <c r="A10204" s="1" t="s">
        <v>10239</v>
      </c>
      <c r="B10204" s="1" t="s">
        <v>287</v>
      </c>
      <c r="C10204" s="1" t="n">
        <v>146000</v>
      </c>
      <c r="D10204" s="1" t="n">
        <v>17082.5</v>
      </c>
      <c r="E10204" s="1" t="n">
        <v>0.0257</v>
      </c>
      <c r="F10204" s="1" t="n">
        <v>0.0759</v>
      </c>
    </row>
    <row r="10205" customFormat="false" ht="15" hidden="false" customHeight="false" outlineLevel="0" collapsed="false">
      <c r="A10205" s="1" t="s">
        <v>10240</v>
      </c>
      <c r="B10205" s="1" t="s">
        <v>92</v>
      </c>
      <c r="C10205" s="1" t="n">
        <v>159000</v>
      </c>
      <c r="D10205" s="1" t="n">
        <v>2906</v>
      </c>
      <c r="E10205" s="1" t="n">
        <v>0.0076</v>
      </c>
      <c r="F10205" s="1" t="n">
        <v>0.0822</v>
      </c>
    </row>
    <row r="10206" customFormat="false" ht="15" hidden="false" customHeight="false" outlineLevel="0" collapsed="false">
      <c r="A10206" s="1" t="s">
        <v>10241</v>
      </c>
      <c r="B10206" s="1" t="s">
        <v>74</v>
      </c>
      <c r="C10206" s="1" t="n">
        <v>142000</v>
      </c>
      <c r="D10206" s="1" t="n">
        <v>525.7</v>
      </c>
      <c r="E10206" s="1" t="n">
        <v>0.0156</v>
      </c>
      <c r="F10206" s="1" t="n">
        <v>0.1457</v>
      </c>
    </row>
    <row r="10207" customFormat="false" ht="15" hidden="false" customHeight="false" outlineLevel="0" collapsed="false">
      <c r="A10207" s="1" t="s">
        <v>10242</v>
      </c>
      <c r="B10207" s="1" t="s">
        <v>214</v>
      </c>
      <c r="C10207" s="1" t="n">
        <v>247000</v>
      </c>
      <c r="D10207" s="1" t="n">
        <v>26539.8</v>
      </c>
      <c r="E10207" s="1" t="n">
        <v>0.0336</v>
      </c>
      <c r="F10207" s="1" t="n">
        <v>0.0951</v>
      </c>
    </row>
    <row r="10208" customFormat="false" ht="15" hidden="false" customHeight="false" outlineLevel="0" collapsed="false">
      <c r="A10208" s="1" t="s">
        <v>10243</v>
      </c>
      <c r="B10208" s="1" t="s">
        <v>26</v>
      </c>
      <c r="C10208" s="1" t="n">
        <v>138000</v>
      </c>
      <c r="D10208" s="1" t="n">
        <v>396.6</v>
      </c>
      <c r="E10208" s="1" t="n">
        <v>0.0205</v>
      </c>
      <c r="F10208" s="1" t="n">
        <v>0.3301</v>
      </c>
    </row>
    <row r="10209" customFormat="false" ht="15" hidden="false" customHeight="false" outlineLevel="0" collapsed="false">
      <c r="A10209" s="1" t="s">
        <v>10244</v>
      </c>
      <c r="B10209" s="1" t="s">
        <v>26</v>
      </c>
      <c r="C10209" s="1" t="n">
        <v>174000</v>
      </c>
      <c r="D10209" s="1" t="n">
        <v>11214.4</v>
      </c>
      <c r="E10209" s="1" t="n">
        <v>0.049</v>
      </c>
      <c r="F10209" s="1" t="n">
        <v>0.0951</v>
      </c>
    </row>
    <row r="10210" customFormat="false" ht="15" hidden="false" customHeight="false" outlineLevel="0" collapsed="false">
      <c r="A10210" s="1" t="s">
        <v>10245</v>
      </c>
      <c r="B10210" s="1" t="s">
        <v>195</v>
      </c>
      <c r="C10210" s="1" t="n">
        <v>203000</v>
      </c>
      <c r="D10210" s="1" t="n">
        <v>236400.4</v>
      </c>
      <c r="E10210" s="1" t="n">
        <v>0.0158</v>
      </c>
      <c r="F10210" s="1" t="n">
        <v>0.0462</v>
      </c>
    </row>
    <row r="10211" customFormat="false" ht="15" hidden="false" customHeight="false" outlineLevel="0" collapsed="false">
      <c r="A10211" s="1" t="s">
        <v>10246</v>
      </c>
      <c r="B10211" s="1" t="s">
        <v>81</v>
      </c>
      <c r="C10211" s="1" t="n">
        <v>467000</v>
      </c>
      <c r="D10211" s="1" t="n">
        <v>174424.5</v>
      </c>
      <c r="E10211" s="1" t="n">
        <v>0.0137</v>
      </c>
      <c r="F10211" s="1" t="n">
        <v>0.4203</v>
      </c>
    </row>
    <row r="10212" customFormat="false" ht="15" hidden="false" customHeight="false" outlineLevel="0" collapsed="false">
      <c r="A10212" s="1" t="s">
        <v>10247</v>
      </c>
      <c r="B10212" s="1" t="s">
        <v>53</v>
      </c>
      <c r="C10212" s="1" t="n">
        <v>170000</v>
      </c>
      <c r="D10212" s="1" t="n">
        <v>52152</v>
      </c>
      <c r="E10212" s="1" t="n">
        <v>0.0442</v>
      </c>
      <c r="F10212" s="1" t="n">
        <v>0.0759</v>
      </c>
    </row>
    <row r="10213" customFormat="false" ht="15" hidden="false" customHeight="false" outlineLevel="0" collapsed="false">
      <c r="A10213" s="1" t="s">
        <v>10248</v>
      </c>
      <c r="B10213" s="1" t="s">
        <v>71</v>
      </c>
      <c r="C10213" s="1" t="n">
        <v>137000</v>
      </c>
      <c r="D10213" s="1" t="n">
        <v>6107.4</v>
      </c>
      <c r="E10213" s="1" t="n">
        <v>0.0417</v>
      </c>
      <c r="F10213" s="1" t="n">
        <v>0.0951</v>
      </c>
    </row>
    <row r="10214" customFormat="false" ht="15" hidden="false" customHeight="false" outlineLevel="0" collapsed="false">
      <c r="A10214" s="1" t="s">
        <v>10249</v>
      </c>
      <c r="B10214" s="1" t="s">
        <v>92</v>
      </c>
      <c r="C10214" s="1" t="n">
        <v>155000</v>
      </c>
      <c r="D10214" s="1" t="n">
        <v>133059.5</v>
      </c>
      <c r="E10214" s="1" t="n">
        <v>0.0349</v>
      </c>
      <c r="F10214" s="1" t="n">
        <v>0.0951</v>
      </c>
    </row>
    <row r="10215" customFormat="false" ht="15" hidden="false" customHeight="false" outlineLevel="0" collapsed="false">
      <c r="A10215" s="1" t="s">
        <v>10250</v>
      </c>
      <c r="B10215" s="1" t="s">
        <v>21</v>
      </c>
      <c r="C10215" s="1" t="n">
        <v>276000</v>
      </c>
      <c r="D10215" s="1" t="n">
        <v>160545.5</v>
      </c>
      <c r="E10215" s="1" t="n">
        <v>0.0496</v>
      </c>
      <c r="F10215" s="1" t="n">
        <v>0.0432</v>
      </c>
    </row>
    <row r="10216" customFormat="false" ht="15" hidden="false" customHeight="false" outlineLevel="0" collapsed="false">
      <c r="A10216" s="1" t="s">
        <v>10251</v>
      </c>
      <c r="B10216" s="1" t="s">
        <v>26</v>
      </c>
      <c r="C10216" s="1" t="n">
        <v>367000</v>
      </c>
      <c r="D10216" s="1" t="n">
        <v>17780.9</v>
      </c>
      <c r="E10216" s="1" t="n">
        <v>0.0256</v>
      </c>
      <c r="F10216" s="1" t="n">
        <v>0.0759</v>
      </c>
    </row>
    <row r="10217" customFormat="false" ht="15" hidden="false" customHeight="false" outlineLevel="0" collapsed="false">
      <c r="A10217" s="1" t="s">
        <v>10252</v>
      </c>
      <c r="B10217" s="1" t="s">
        <v>21</v>
      </c>
      <c r="C10217" s="1" t="n">
        <v>708000</v>
      </c>
      <c r="D10217" s="1" t="n">
        <v>370871</v>
      </c>
      <c r="E10217" s="1" t="n">
        <v>0.0879</v>
      </c>
      <c r="F10217" s="1" t="n">
        <v>0.0951</v>
      </c>
    </row>
    <row r="10218" customFormat="false" ht="15" hidden="false" customHeight="false" outlineLevel="0" collapsed="false">
      <c r="A10218" s="1" t="s">
        <v>10253</v>
      </c>
      <c r="B10218" s="1" t="s">
        <v>24</v>
      </c>
      <c r="C10218" s="1" t="n">
        <v>139000</v>
      </c>
      <c r="D10218" s="1" t="n">
        <v>32513.7</v>
      </c>
      <c r="E10218" s="1" t="n">
        <v>0.015</v>
      </c>
      <c r="F10218" s="1" t="n">
        <v>0.0585</v>
      </c>
    </row>
    <row r="10219" customFormat="false" ht="15" hidden="false" customHeight="false" outlineLevel="0" collapsed="false">
      <c r="A10219" s="1" t="s">
        <v>10254</v>
      </c>
      <c r="B10219" s="1" t="s">
        <v>32</v>
      </c>
      <c r="C10219" s="1" t="n">
        <v>144000</v>
      </c>
      <c r="D10219" s="1" t="n">
        <v>376617.9</v>
      </c>
      <c r="E10219" s="1" t="n">
        <v>0.0153</v>
      </c>
      <c r="F10219" s="1" t="n">
        <v>0.0585</v>
      </c>
    </row>
    <row r="10220" customFormat="false" ht="15" hidden="false" customHeight="false" outlineLevel="0" collapsed="false">
      <c r="A10220" s="1" t="s">
        <v>10255</v>
      </c>
      <c r="B10220" s="1" t="s">
        <v>26</v>
      </c>
      <c r="C10220" s="1" t="n">
        <v>174000</v>
      </c>
      <c r="D10220" s="1" t="n">
        <v>27403.3</v>
      </c>
      <c r="E10220" s="1" t="n">
        <v>0.0439</v>
      </c>
      <c r="F10220" s="1" t="n">
        <v>0.0759</v>
      </c>
    </row>
    <row r="10221" customFormat="false" ht="15" hidden="false" customHeight="false" outlineLevel="0" collapsed="false">
      <c r="A10221" s="1" t="s">
        <v>10256</v>
      </c>
      <c r="B10221" s="1" t="s">
        <v>88</v>
      </c>
      <c r="C10221" s="1" t="n">
        <v>171000</v>
      </c>
      <c r="D10221" s="1" t="n">
        <v>35.5</v>
      </c>
      <c r="E10221" s="1" t="n">
        <v>0.1087</v>
      </c>
      <c r="F10221" s="1" t="n">
        <v>0.1359</v>
      </c>
    </row>
    <row r="10222" customFormat="false" ht="15" hidden="false" customHeight="false" outlineLevel="0" collapsed="false">
      <c r="A10222" s="1" t="s">
        <v>10257</v>
      </c>
      <c r="B10222" s="1" t="s">
        <v>26</v>
      </c>
      <c r="C10222" s="1" t="n">
        <v>351000</v>
      </c>
      <c r="D10222" s="1" t="n">
        <v>12913.3</v>
      </c>
      <c r="E10222" s="1" t="n">
        <v>0.0522</v>
      </c>
      <c r="F10222" s="1" t="n">
        <v>0.0938</v>
      </c>
    </row>
    <row r="10223" customFormat="false" ht="15" hidden="false" customHeight="false" outlineLevel="0" collapsed="false">
      <c r="A10223" s="1" t="s">
        <v>10258</v>
      </c>
      <c r="B10223" s="1" t="s">
        <v>62</v>
      </c>
      <c r="C10223" s="1" t="n">
        <v>146000</v>
      </c>
      <c r="D10223" s="1" t="n">
        <v>7069.8</v>
      </c>
      <c r="E10223" s="1" t="n">
        <v>0.0217</v>
      </c>
      <c r="F10223" s="1" t="n">
        <v>0.0409</v>
      </c>
    </row>
    <row r="10224" customFormat="false" ht="15" hidden="false" customHeight="false" outlineLevel="0" collapsed="false">
      <c r="A10224" s="1" t="s">
        <v>10259</v>
      </c>
      <c r="B10224" s="1" t="s">
        <v>32</v>
      </c>
      <c r="C10224" s="1" t="n">
        <v>233000</v>
      </c>
      <c r="D10224" s="1" t="n">
        <v>30900.6</v>
      </c>
      <c r="E10224" s="1" t="n">
        <v>0.013</v>
      </c>
      <c r="F10224" s="1" t="n">
        <v>0.0462</v>
      </c>
    </row>
    <row r="10225" customFormat="false" ht="15" hidden="false" customHeight="false" outlineLevel="0" collapsed="false">
      <c r="A10225" s="1" t="s">
        <v>10260</v>
      </c>
      <c r="B10225" s="1" t="s">
        <v>88</v>
      </c>
      <c r="C10225" s="1" t="n">
        <v>139000</v>
      </c>
      <c r="D10225" s="1" t="n">
        <v>7601.3</v>
      </c>
      <c r="F10225" s="1" t="n">
        <v>0.0518</v>
      </c>
    </row>
    <row r="10226" customFormat="false" ht="15" hidden="false" customHeight="false" outlineLevel="0" collapsed="false">
      <c r="A10226" s="1" t="s">
        <v>10261</v>
      </c>
      <c r="B10226" s="1" t="s">
        <v>74</v>
      </c>
      <c r="C10226" s="1" t="n">
        <v>139000</v>
      </c>
      <c r="D10226" s="1" t="n">
        <v>35493.1</v>
      </c>
      <c r="E10226" s="1" t="n">
        <v>0.0475</v>
      </c>
      <c r="F10226" s="1" t="n">
        <v>0.0951</v>
      </c>
    </row>
    <row r="10227" customFormat="false" ht="15" hidden="false" customHeight="false" outlineLevel="0" collapsed="false">
      <c r="A10227" s="1" t="s">
        <v>10262</v>
      </c>
      <c r="B10227" s="1" t="s">
        <v>26</v>
      </c>
      <c r="C10227" s="1" t="n">
        <v>888000</v>
      </c>
      <c r="D10227" s="1" t="n">
        <v>81731.7</v>
      </c>
      <c r="E10227" s="1" t="n">
        <v>0.056</v>
      </c>
      <c r="F10227" s="1" t="n">
        <v>0.0759</v>
      </c>
    </row>
    <row r="10228" customFormat="false" ht="15" hidden="false" customHeight="false" outlineLevel="0" collapsed="false">
      <c r="A10228" s="1" t="s">
        <v>10263</v>
      </c>
      <c r="B10228" s="1" t="s">
        <v>88</v>
      </c>
      <c r="C10228" s="1" t="n">
        <v>158000</v>
      </c>
      <c r="D10228" s="1" t="n">
        <v>2913.1</v>
      </c>
      <c r="E10228" s="1" t="n">
        <v>0.0351</v>
      </c>
      <c r="F10228" s="1" t="n">
        <v>0.0759</v>
      </c>
    </row>
    <row r="10229" customFormat="false" ht="15" hidden="false" customHeight="false" outlineLevel="0" collapsed="false">
      <c r="A10229" s="1" t="s">
        <v>10264</v>
      </c>
      <c r="B10229" s="1" t="s">
        <v>26</v>
      </c>
      <c r="C10229" s="1" t="n">
        <v>138000</v>
      </c>
      <c r="D10229" s="1" t="n">
        <v>22328.6</v>
      </c>
      <c r="E10229" s="1" t="n">
        <v>0.0499</v>
      </c>
      <c r="F10229" s="1" t="n">
        <v>0.0951</v>
      </c>
    </row>
    <row r="10230" customFormat="false" ht="15" hidden="false" customHeight="false" outlineLevel="0" collapsed="false">
      <c r="A10230" s="1" t="s">
        <v>10265</v>
      </c>
      <c r="B10230" s="1" t="s">
        <v>26</v>
      </c>
      <c r="C10230" s="1" t="n">
        <v>139000</v>
      </c>
      <c r="D10230" s="1" t="n">
        <v>501.2</v>
      </c>
      <c r="E10230" s="1" t="n">
        <v>0.0127</v>
      </c>
      <c r="F10230" s="1" t="n">
        <v>0.2183</v>
      </c>
    </row>
    <row r="10231" customFormat="false" ht="15" hidden="false" customHeight="false" outlineLevel="0" collapsed="false">
      <c r="A10231" s="1" t="s">
        <v>10266</v>
      </c>
      <c r="B10231" s="1" t="s">
        <v>26</v>
      </c>
      <c r="C10231" s="1" t="n">
        <v>144000</v>
      </c>
      <c r="D10231" s="1" t="n">
        <v>3207.8</v>
      </c>
      <c r="E10231" s="1" t="n">
        <v>0.0116</v>
      </c>
      <c r="F10231" s="1" t="n">
        <v>0.0821</v>
      </c>
    </row>
    <row r="10232" customFormat="false" ht="15" hidden="false" customHeight="false" outlineLevel="0" collapsed="false">
      <c r="A10232" s="1" t="s">
        <v>10267</v>
      </c>
      <c r="B10232" s="1" t="s">
        <v>214</v>
      </c>
      <c r="C10232" s="1" t="n">
        <v>147000</v>
      </c>
      <c r="D10232" s="1" t="n">
        <v>1296.9</v>
      </c>
      <c r="E10232" s="1" t="n">
        <v>0.0154</v>
      </c>
      <c r="F10232" s="1" t="n">
        <v>0.1067</v>
      </c>
    </row>
    <row r="10233" customFormat="false" ht="15" hidden="false" customHeight="false" outlineLevel="0" collapsed="false">
      <c r="A10233" s="1" t="s">
        <v>10268</v>
      </c>
      <c r="B10233" s="1" t="s">
        <v>62</v>
      </c>
      <c r="C10233" s="1" t="n">
        <v>136000</v>
      </c>
      <c r="D10233" s="1" t="n">
        <v>65.6</v>
      </c>
      <c r="E10233" s="1" t="n">
        <v>0.0013</v>
      </c>
      <c r="F10233" s="1" t="n">
        <v>0.223</v>
      </c>
    </row>
    <row r="10234" customFormat="false" ht="15" hidden="false" customHeight="false" outlineLevel="0" collapsed="false">
      <c r="A10234" s="1" t="s">
        <v>10269</v>
      </c>
      <c r="B10234" s="1" t="s">
        <v>92</v>
      </c>
      <c r="C10234" s="1" t="n">
        <v>137000</v>
      </c>
      <c r="D10234" s="1" t="n">
        <v>864.6</v>
      </c>
      <c r="E10234" s="1" t="n">
        <v>0.0447</v>
      </c>
      <c r="F10234" s="1" t="n">
        <v>0.0951</v>
      </c>
    </row>
    <row r="10235" customFormat="false" ht="15" hidden="false" customHeight="false" outlineLevel="0" collapsed="false">
      <c r="A10235" s="1" t="s">
        <v>10270</v>
      </c>
      <c r="B10235" s="1" t="s">
        <v>50</v>
      </c>
      <c r="C10235" s="1" t="n">
        <v>131000</v>
      </c>
      <c r="D10235" s="1" t="n">
        <v>2388.9</v>
      </c>
      <c r="F10235" s="1" t="n">
        <v>0.0951</v>
      </c>
    </row>
    <row r="10236" customFormat="false" ht="15" hidden="false" customHeight="false" outlineLevel="0" collapsed="false">
      <c r="A10236" s="1" t="s">
        <v>10271</v>
      </c>
      <c r="B10236" s="1" t="s">
        <v>41</v>
      </c>
      <c r="C10236" s="1" t="n">
        <v>229000</v>
      </c>
      <c r="D10236" s="1" t="n">
        <v>2382.4</v>
      </c>
      <c r="E10236" s="1" t="n">
        <v>0.03</v>
      </c>
      <c r="F10236" s="1" t="n">
        <v>0.0938</v>
      </c>
    </row>
    <row r="10237" customFormat="false" ht="15" hidden="false" customHeight="false" outlineLevel="0" collapsed="false">
      <c r="A10237" s="1" t="s">
        <v>10272</v>
      </c>
      <c r="B10237" s="1" t="s">
        <v>214</v>
      </c>
      <c r="C10237" s="1" t="n">
        <v>141000</v>
      </c>
      <c r="D10237" s="1" t="n">
        <v>3619031.2</v>
      </c>
      <c r="E10237" s="1" t="n">
        <v>0.037</v>
      </c>
      <c r="F10237" s="1" t="n">
        <v>0.0951</v>
      </c>
    </row>
    <row r="10238" customFormat="false" ht="15" hidden="false" customHeight="false" outlineLevel="0" collapsed="false">
      <c r="A10238" s="1" t="s">
        <v>10273</v>
      </c>
      <c r="B10238" s="1" t="s">
        <v>74</v>
      </c>
      <c r="C10238" s="1" t="n">
        <v>131000</v>
      </c>
      <c r="D10238" s="1" t="n">
        <v>58958.5</v>
      </c>
      <c r="E10238" s="1" t="n">
        <v>0.1332</v>
      </c>
      <c r="F10238" s="1" t="n">
        <v>0.0951</v>
      </c>
    </row>
    <row r="10239" customFormat="false" ht="15" hidden="false" customHeight="false" outlineLevel="0" collapsed="false">
      <c r="A10239" s="1" t="s">
        <v>10274</v>
      </c>
      <c r="B10239" s="1" t="s">
        <v>214</v>
      </c>
      <c r="C10239" s="1" t="n">
        <v>269000</v>
      </c>
      <c r="D10239" s="1" t="n">
        <v>1958</v>
      </c>
      <c r="E10239" s="1" t="n">
        <v>0.0114</v>
      </c>
      <c r="F10239" s="1" t="n">
        <v>0.0654</v>
      </c>
    </row>
    <row r="10240" customFormat="false" ht="15" hidden="false" customHeight="false" outlineLevel="0" collapsed="false">
      <c r="A10240" s="1" t="s">
        <v>10275</v>
      </c>
      <c r="B10240" s="1" t="s">
        <v>26</v>
      </c>
      <c r="C10240" s="1" t="n">
        <v>148000</v>
      </c>
      <c r="D10240" s="1" t="n">
        <v>13805.2</v>
      </c>
      <c r="E10240" s="1" t="n">
        <v>0.0093</v>
      </c>
      <c r="F10240" s="1" t="n">
        <v>0.1471</v>
      </c>
    </row>
    <row r="10241" customFormat="false" ht="15" hidden="false" customHeight="false" outlineLevel="0" collapsed="false">
      <c r="A10241" s="1" t="s">
        <v>10276</v>
      </c>
      <c r="B10241" s="1" t="s">
        <v>88</v>
      </c>
      <c r="C10241" s="1" t="n">
        <v>171000</v>
      </c>
      <c r="D10241" s="1" t="n">
        <v>1493.5</v>
      </c>
      <c r="E10241" s="1" t="n">
        <v>0.0768</v>
      </c>
      <c r="F10241" s="1" t="n">
        <v>0.0759</v>
      </c>
    </row>
    <row r="10242" customFormat="false" ht="15" hidden="false" customHeight="false" outlineLevel="0" collapsed="false">
      <c r="A10242" s="1" t="s">
        <v>10277</v>
      </c>
      <c r="B10242" s="1" t="s">
        <v>26</v>
      </c>
      <c r="C10242" s="1" t="n">
        <v>196000</v>
      </c>
      <c r="D10242" s="1" t="n">
        <v>42766.4</v>
      </c>
      <c r="E10242" s="1" t="n">
        <v>0.0094</v>
      </c>
      <c r="F10242" s="1" t="n">
        <v>0.0822</v>
      </c>
    </row>
    <row r="10243" customFormat="false" ht="15" hidden="false" customHeight="false" outlineLevel="0" collapsed="false">
      <c r="A10243" s="1" t="s">
        <v>10278</v>
      </c>
      <c r="B10243" s="1" t="s">
        <v>26</v>
      </c>
      <c r="C10243" s="1" t="n">
        <v>216000</v>
      </c>
      <c r="D10243" s="1" t="n">
        <v>1293.3</v>
      </c>
      <c r="F10243" s="1" t="n">
        <v>0.0518</v>
      </c>
    </row>
    <row r="10244" customFormat="false" ht="15" hidden="false" customHeight="false" outlineLevel="0" collapsed="false">
      <c r="A10244" s="1" t="s">
        <v>10279</v>
      </c>
      <c r="B10244" s="1" t="s">
        <v>74</v>
      </c>
      <c r="C10244" s="1" t="n">
        <v>173000</v>
      </c>
      <c r="D10244" s="1" t="n">
        <v>1888.5</v>
      </c>
      <c r="E10244" s="1" t="n">
        <v>0.0431</v>
      </c>
      <c r="F10244" s="1" t="n">
        <v>0.0759</v>
      </c>
    </row>
    <row r="10245" customFormat="false" ht="15" hidden="false" customHeight="false" outlineLevel="0" collapsed="false">
      <c r="A10245" s="1" t="s">
        <v>10280</v>
      </c>
      <c r="B10245" s="1" t="s">
        <v>74</v>
      </c>
      <c r="C10245" s="1" t="n">
        <v>185000</v>
      </c>
      <c r="D10245" s="1" t="n">
        <v>366.4</v>
      </c>
      <c r="E10245" s="1" t="n">
        <v>0.0559</v>
      </c>
      <c r="F10245" s="1" t="n">
        <v>0.0938</v>
      </c>
    </row>
    <row r="10246" customFormat="false" ht="15" hidden="false" customHeight="false" outlineLevel="0" collapsed="false">
      <c r="A10246" s="1" t="s">
        <v>10281</v>
      </c>
      <c r="B10246" s="1" t="s">
        <v>287</v>
      </c>
      <c r="C10246" s="1" t="n">
        <v>194000</v>
      </c>
      <c r="D10246" s="1" t="n">
        <v>20937.7</v>
      </c>
      <c r="E10246" s="1" t="n">
        <v>0.0228</v>
      </c>
      <c r="F10246" s="1" t="n">
        <v>0.0518</v>
      </c>
    </row>
    <row r="10247" customFormat="false" ht="15" hidden="false" customHeight="false" outlineLevel="0" collapsed="false">
      <c r="A10247" s="1" t="s">
        <v>10282</v>
      </c>
      <c r="B10247" s="1" t="s">
        <v>53</v>
      </c>
      <c r="C10247" s="1" t="n">
        <v>281000</v>
      </c>
      <c r="D10247" s="1" t="n">
        <v>47836.5</v>
      </c>
      <c r="E10247" s="1" t="n">
        <v>0.0338</v>
      </c>
      <c r="F10247" s="1" t="n">
        <v>0.0759</v>
      </c>
    </row>
    <row r="10248" customFormat="false" ht="15" hidden="false" customHeight="false" outlineLevel="0" collapsed="false">
      <c r="A10248" s="1" t="s">
        <v>10283</v>
      </c>
      <c r="B10248" s="1" t="s">
        <v>81</v>
      </c>
      <c r="C10248" s="1" t="n">
        <v>142000</v>
      </c>
      <c r="D10248" s="1" t="n">
        <v>40833.4</v>
      </c>
      <c r="E10248" s="1" t="n">
        <v>0.0264</v>
      </c>
      <c r="F10248" s="1" t="n">
        <v>0.0951</v>
      </c>
    </row>
    <row r="10249" customFormat="false" ht="15" hidden="false" customHeight="false" outlineLevel="0" collapsed="false">
      <c r="A10249" s="1" t="s">
        <v>10284</v>
      </c>
      <c r="B10249" s="1" t="s">
        <v>21</v>
      </c>
      <c r="C10249" s="1" t="n">
        <v>228000</v>
      </c>
      <c r="D10249" s="1" t="n">
        <v>17402.3</v>
      </c>
      <c r="E10249" s="1" t="n">
        <v>0.0224</v>
      </c>
      <c r="F10249" s="1" t="n">
        <v>0.117</v>
      </c>
    </row>
    <row r="10250" customFormat="false" ht="15" hidden="false" customHeight="false" outlineLevel="0" collapsed="false">
      <c r="A10250" s="1" t="s">
        <v>10285</v>
      </c>
      <c r="B10250" s="1" t="s">
        <v>41</v>
      </c>
      <c r="C10250" s="1" t="n">
        <v>157000</v>
      </c>
      <c r="D10250" s="1" t="n">
        <v>1967.3</v>
      </c>
      <c r="E10250" s="1" t="n">
        <v>0.0187</v>
      </c>
      <c r="F10250" s="1" t="n">
        <v>0.1119</v>
      </c>
    </row>
    <row r="10251" customFormat="false" ht="15" hidden="false" customHeight="false" outlineLevel="0" collapsed="false">
      <c r="A10251" s="1" t="s">
        <v>10286</v>
      </c>
      <c r="B10251" s="1" t="s">
        <v>26</v>
      </c>
      <c r="C10251" s="1" t="n">
        <v>156000</v>
      </c>
      <c r="D10251" s="1" t="n">
        <v>2375.5</v>
      </c>
      <c r="E10251" s="1" t="n">
        <v>0.0567</v>
      </c>
      <c r="F10251" s="1" t="n">
        <v>0.0951</v>
      </c>
    </row>
    <row r="10252" customFormat="false" ht="15" hidden="false" customHeight="false" outlineLevel="0" collapsed="false">
      <c r="A10252" s="1" t="s">
        <v>10287</v>
      </c>
      <c r="B10252" s="1" t="s">
        <v>88</v>
      </c>
      <c r="C10252" s="1" t="n">
        <v>130000</v>
      </c>
      <c r="D10252" s="1" t="n">
        <v>736.3</v>
      </c>
      <c r="E10252" s="1" t="n">
        <v>0.0451</v>
      </c>
      <c r="F10252" s="1" t="n">
        <v>0.117</v>
      </c>
    </row>
    <row r="10253" customFormat="false" ht="15" hidden="false" customHeight="false" outlineLevel="0" collapsed="false">
      <c r="A10253" s="1" t="s">
        <v>10288</v>
      </c>
      <c r="B10253" s="1" t="s">
        <v>41</v>
      </c>
      <c r="C10253" s="1" t="n">
        <v>141000</v>
      </c>
      <c r="D10253" s="1" t="n">
        <v>408.4</v>
      </c>
      <c r="E10253" s="1" t="n">
        <v>0.014</v>
      </c>
      <c r="F10253" s="1" t="n">
        <v>0.3328</v>
      </c>
    </row>
    <row r="10254" customFormat="false" ht="15" hidden="false" customHeight="false" outlineLevel="0" collapsed="false">
      <c r="A10254" s="1" t="s">
        <v>10289</v>
      </c>
      <c r="B10254" s="1" t="s">
        <v>74</v>
      </c>
      <c r="C10254" s="1" t="n">
        <v>168000</v>
      </c>
      <c r="D10254" s="1" t="n">
        <v>2743.1</v>
      </c>
      <c r="E10254" s="1" t="n">
        <v>0.0205</v>
      </c>
      <c r="F10254" s="1" t="n">
        <v>0.0951</v>
      </c>
    </row>
    <row r="10255" customFormat="false" ht="15" hidden="false" customHeight="false" outlineLevel="0" collapsed="false">
      <c r="A10255" s="1" t="s">
        <v>10290</v>
      </c>
      <c r="B10255" s="1" t="s">
        <v>92</v>
      </c>
      <c r="C10255" s="1" t="n">
        <v>140000</v>
      </c>
      <c r="D10255" s="1" t="n">
        <v>624.6</v>
      </c>
      <c r="E10255" s="1" t="n">
        <v>0.0294</v>
      </c>
      <c r="F10255" s="1" t="n">
        <v>0.0951</v>
      </c>
    </row>
    <row r="10256" customFormat="false" ht="15" hidden="false" customHeight="false" outlineLevel="0" collapsed="false">
      <c r="A10256" s="1" t="s">
        <v>10291</v>
      </c>
      <c r="B10256" s="1" t="s">
        <v>74</v>
      </c>
      <c r="C10256" s="1" t="n">
        <v>135000</v>
      </c>
      <c r="D10256" s="1" t="n">
        <v>232.6</v>
      </c>
      <c r="E10256" s="1" t="n">
        <v>0.0196</v>
      </c>
      <c r="F10256" s="1" t="n">
        <v>0.1067</v>
      </c>
    </row>
    <row r="10257" customFormat="false" ht="15" hidden="false" customHeight="false" outlineLevel="0" collapsed="false">
      <c r="A10257" s="1" t="s">
        <v>10292</v>
      </c>
      <c r="B10257" s="1" t="s">
        <v>41</v>
      </c>
      <c r="C10257" s="1" t="n">
        <v>252000</v>
      </c>
      <c r="D10257" s="1" t="n">
        <v>78.9</v>
      </c>
      <c r="E10257" s="1" t="n">
        <v>0.0626</v>
      </c>
      <c r="F10257" s="1" t="n">
        <v>0.7208</v>
      </c>
    </row>
    <row r="10258" customFormat="false" ht="15" hidden="false" customHeight="false" outlineLevel="0" collapsed="false">
      <c r="A10258" s="1" t="s">
        <v>10293</v>
      </c>
      <c r="B10258" s="1" t="s">
        <v>214</v>
      </c>
      <c r="C10258" s="1" t="n">
        <v>210000</v>
      </c>
      <c r="D10258" s="1" t="n">
        <v>8436.5</v>
      </c>
      <c r="E10258" s="1" t="n">
        <v>0.0128</v>
      </c>
      <c r="F10258" s="1" t="n">
        <v>0.0616</v>
      </c>
    </row>
    <row r="10259" customFormat="false" ht="15" hidden="false" customHeight="false" outlineLevel="0" collapsed="false">
      <c r="A10259" s="1" t="s">
        <v>10294</v>
      </c>
      <c r="B10259" s="1" t="s">
        <v>71</v>
      </c>
      <c r="C10259" s="1" t="n">
        <v>164000</v>
      </c>
      <c r="D10259" s="1" t="n">
        <v>4027.8</v>
      </c>
      <c r="E10259" s="1" t="n">
        <v>0.02</v>
      </c>
      <c r="F10259" s="1" t="n">
        <v>0.0854</v>
      </c>
    </row>
    <row r="10260" customFormat="false" ht="15" hidden="false" customHeight="false" outlineLevel="0" collapsed="false">
      <c r="A10260" s="1" t="s">
        <v>10295</v>
      </c>
      <c r="B10260" s="1" t="s">
        <v>35</v>
      </c>
      <c r="C10260" s="1" t="n">
        <v>471000</v>
      </c>
      <c r="D10260" s="1" t="n">
        <v>66059.2</v>
      </c>
      <c r="E10260" s="1" t="n">
        <v>0.0136</v>
      </c>
      <c r="F10260" s="1" t="n">
        <v>0.1187</v>
      </c>
    </row>
    <row r="10261" customFormat="false" ht="15" hidden="false" customHeight="false" outlineLevel="0" collapsed="false">
      <c r="A10261" s="1" t="s">
        <v>10296</v>
      </c>
      <c r="B10261" s="1" t="s">
        <v>74</v>
      </c>
      <c r="C10261" s="1" t="n">
        <v>145000</v>
      </c>
      <c r="D10261" s="1" t="n">
        <v>12629.1</v>
      </c>
      <c r="E10261" s="1" t="n">
        <v>0.0173</v>
      </c>
      <c r="F10261" s="1" t="n">
        <v>0.1067</v>
      </c>
    </row>
    <row r="10262" customFormat="false" ht="15" hidden="false" customHeight="false" outlineLevel="0" collapsed="false">
      <c r="A10262" s="1" t="s">
        <v>10297</v>
      </c>
      <c r="B10262" s="1" t="s">
        <v>74</v>
      </c>
      <c r="C10262" s="1" t="n">
        <v>153000</v>
      </c>
      <c r="D10262" s="1" t="n">
        <v>1283.3</v>
      </c>
      <c r="E10262" s="1" t="n">
        <v>0.0226</v>
      </c>
      <c r="F10262" s="1" t="n">
        <v>0.0518</v>
      </c>
    </row>
    <row r="10263" customFormat="false" ht="15" hidden="false" customHeight="false" outlineLevel="0" collapsed="false">
      <c r="A10263" s="1" t="s">
        <v>10298</v>
      </c>
      <c r="B10263" s="1" t="s">
        <v>81</v>
      </c>
      <c r="C10263" s="1" t="n">
        <v>179000</v>
      </c>
      <c r="D10263" s="1" t="n">
        <v>9758.3</v>
      </c>
      <c r="E10263" s="1" t="n">
        <v>0.0213</v>
      </c>
      <c r="F10263" s="1" t="n">
        <v>0.0854</v>
      </c>
    </row>
    <row r="10264" customFormat="false" ht="15" hidden="false" customHeight="false" outlineLevel="0" collapsed="false">
      <c r="A10264" s="1" t="s">
        <v>10299</v>
      </c>
      <c r="B10264" s="1" t="s">
        <v>88</v>
      </c>
      <c r="C10264" s="1" t="n">
        <v>218000</v>
      </c>
      <c r="D10264" s="1" t="n">
        <v>7467.7</v>
      </c>
      <c r="E10264" s="1" t="n">
        <v>0.0326</v>
      </c>
      <c r="F10264" s="1" t="n">
        <v>0.0672</v>
      </c>
    </row>
    <row r="10265" customFormat="false" ht="15" hidden="false" customHeight="false" outlineLevel="0" collapsed="false">
      <c r="A10265" s="1" t="s">
        <v>10300</v>
      </c>
      <c r="B10265" s="1" t="s">
        <v>26</v>
      </c>
      <c r="C10265" s="1" t="n">
        <v>187000</v>
      </c>
      <c r="D10265" s="1" t="n">
        <v>110.5</v>
      </c>
      <c r="E10265" s="1" t="n">
        <v>0.0309</v>
      </c>
      <c r="F10265" s="1" t="n">
        <v>0.0759</v>
      </c>
    </row>
    <row r="10266" customFormat="false" ht="15" hidden="false" customHeight="false" outlineLevel="0" collapsed="false">
      <c r="A10266" s="1" t="s">
        <v>10301</v>
      </c>
      <c r="B10266" s="1" t="s">
        <v>287</v>
      </c>
      <c r="C10266" s="1" t="n">
        <v>143000</v>
      </c>
      <c r="D10266" s="1" t="n">
        <v>110.8</v>
      </c>
      <c r="E10266" s="1" t="n">
        <v>0.0378</v>
      </c>
      <c r="F10266" s="1" t="n">
        <v>0.0951</v>
      </c>
    </row>
    <row r="10267" customFormat="false" ht="15" hidden="false" customHeight="false" outlineLevel="0" collapsed="false">
      <c r="A10267" s="1" t="s">
        <v>10302</v>
      </c>
      <c r="B10267" s="1" t="s">
        <v>35</v>
      </c>
      <c r="C10267" s="1" t="n">
        <v>510000</v>
      </c>
      <c r="D10267" s="1" t="n">
        <v>162365.3</v>
      </c>
      <c r="E10267" s="1" t="n">
        <v>0.0306</v>
      </c>
      <c r="F10267" s="1" t="n">
        <v>0.0759</v>
      </c>
    </row>
    <row r="10268" customFormat="false" ht="15" hidden="false" customHeight="false" outlineLevel="0" collapsed="false">
      <c r="A10268" s="1" t="s">
        <v>10303</v>
      </c>
      <c r="B10268" s="1" t="s">
        <v>32</v>
      </c>
      <c r="C10268" s="1" t="n">
        <v>294000</v>
      </c>
      <c r="D10268" s="1" t="n">
        <v>5109750.8</v>
      </c>
      <c r="E10268" s="1" t="n">
        <v>0.0121</v>
      </c>
      <c r="F10268" s="1" t="n">
        <v>0.0736</v>
      </c>
    </row>
    <row r="10269" customFormat="false" ht="15" hidden="false" customHeight="false" outlineLevel="0" collapsed="false">
      <c r="A10269" s="1" t="s">
        <v>10304</v>
      </c>
      <c r="B10269" s="1" t="s">
        <v>26</v>
      </c>
      <c r="C10269" s="1" t="n">
        <v>230000</v>
      </c>
      <c r="D10269" s="1" t="n">
        <v>25472.3</v>
      </c>
      <c r="E10269" s="1" t="n">
        <v>0.0296</v>
      </c>
      <c r="F10269" s="1" t="n">
        <v>0.0432</v>
      </c>
    </row>
    <row r="10270" customFormat="false" ht="15" hidden="false" customHeight="false" outlineLevel="0" collapsed="false">
      <c r="A10270" s="1" t="s">
        <v>10305</v>
      </c>
      <c r="B10270" s="1" t="s">
        <v>24</v>
      </c>
      <c r="C10270" s="1" t="n">
        <v>156000</v>
      </c>
      <c r="D10270" s="1" t="n">
        <v>4179.3</v>
      </c>
      <c r="E10270" s="1" t="n">
        <v>0.0341</v>
      </c>
      <c r="F10270" s="1" t="n">
        <v>0.0938</v>
      </c>
    </row>
    <row r="10271" customFormat="false" ht="15" hidden="false" customHeight="false" outlineLevel="0" collapsed="false">
      <c r="A10271" s="1" t="s">
        <v>10306</v>
      </c>
      <c r="B10271" s="1" t="s">
        <v>88</v>
      </c>
      <c r="C10271" s="1" t="n">
        <v>387000</v>
      </c>
      <c r="D10271" s="1" t="n">
        <v>211.7</v>
      </c>
      <c r="E10271" s="1" t="n">
        <v>0.0339</v>
      </c>
      <c r="F10271" s="1" t="n">
        <v>0.0759</v>
      </c>
    </row>
    <row r="10272" customFormat="false" ht="15" hidden="false" customHeight="false" outlineLevel="0" collapsed="false">
      <c r="A10272" s="1" t="s">
        <v>10307</v>
      </c>
      <c r="B10272" s="1" t="s">
        <v>53</v>
      </c>
      <c r="C10272" s="1" t="n">
        <v>161000</v>
      </c>
      <c r="D10272" s="1" t="n">
        <v>23860.8</v>
      </c>
      <c r="E10272" s="1" t="n">
        <v>0.0272</v>
      </c>
      <c r="F10272" s="1" t="n">
        <v>0.0951</v>
      </c>
    </row>
    <row r="10273" customFormat="false" ht="15" hidden="false" customHeight="false" outlineLevel="0" collapsed="false">
      <c r="A10273" s="1" t="s">
        <v>10308</v>
      </c>
      <c r="B10273" s="1" t="s">
        <v>41</v>
      </c>
      <c r="C10273" s="1" t="n">
        <v>178000</v>
      </c>
      <c r="D10273" s="1" t="n">
        <v>3928.1</v>
      </c>
      <c r="E10273" s="1" t="n">
        <v>0.0147</v>
      </c>
      <c r="F10273" s="1" t="n">
        <v>0.1067</v>
      </c>
    </row>
    <row r="10274" customFormat="false" ht="15" hidden="false" customHeight="false" outlineLevel="0" collapsed="false">
      <c r="A10274" s="1" t="s">
        <v>10309</v>
      </c>
      <c r="B10274" s="1" t="s">
        <v>81</v>
      </c>
      <c r="C10274" s="1" t="n">
        <v>156000</v>
      </c>
      <c r="D10274" s="1" t="n">
        <v>2426.5</v>
      </c>
      <c r="E10274" s="1" t="n">
        <v>0.021</v>
      </c>
      <c r="F10274" s="1" t="n">
        <v>0.0759</v>
      </c>
    </row>
    <row r="10275" customFormat="false" ht="15" hidden="false" customHeight="false" outlineLevel="0" collapsed="false">
      <c r="A10275" s="1" t="s">
        <v>10310</v>
      </c>
      <c r="B10275" s="1" t="s">
        <v>88</v>
      </c>
      <c r="C10275" s="1" t="n">
        <v>158000</v>
      </c>
      <c r="D10275" s="1" t="n">
        <v>1784.2</v>
      </c>
      <c r="E10275" s="1" t="n">
        <v>0.0339</v>
      </c>
      <c r="F10275" s="1" t="n">
        <v>0.0938</v>
      </c>
    </row>
    <row r="10276" customFormat="false" ht="15" hidden="false" customHeight="false" outlineLevel="0" collapsed="false">
      <c r="A10276" s="1" t="s">
        <v>10311</v>
      </c>
      <c r="B10276" s="1" t="s">
        <v>30</v>
      </c>
      <c r="C10276" s="1" t="n">
        <v>156000</v>
      </c>
      <c r="D10276" s="1" t="n">
        <v>21281.1</v>
      </c>
      <c r="E10276" s="1" t="n">
        <v>0.0318</v>
      </c>
      <c r="F10276" s="1" t="n">
        <v>0.0759</v>
      </c>
    </row>
    <row r="10277" customFormat="false" ht="15" hidden="false" customHeight="false" outlineLevel="0" collapsed="false">
      <c r="A10277" s="1" t="s">
        <v>10312</v>
      </c>
      <c r="B10277" s="1" t="s">
        <v>81</v>
      </c>
      <c r="C10277" s="1" t="n">
        <v>166000</v>
      </c>
      <c r="D10277" s="1" t="n">
        <v>7269.8</v>
      </c>
      <c r="F10277" s="1" t="n">
        <v>0.0759</v>
      </c>
    </row>
    <row r="10278" customFormat="false" ht="15" hidden="false" customHeight="false" outlineLevel="0" collapsed="false">
      <c r="A10278" s="1" t="s">
        <v>10313</v>
      </c>
      <c r="B10278" s="1" t="s">
        <v>88</v>
      </c>
      <c r="C10278" s="1" t="n">
        <v>232000</v>
      </c>
      <c r="D10278" s="1" t="n">
        <v>1254.4</v>
      </c>
      <c r="E10278" s="1" t="n">
        <v>0.0343</v>
      </c>
      <c r="F10278" s="1" t="n">
        <v>0.0486</v>
      </c>
    </row>
    <row r="10279" customFormat="false" ht="15" hidden="false" customHeight="false" outlineLevel="0" collapsed="false">
      <c r="A10279" s="1" t="s">
        <v>10314</v>
      </c>
      <c r="B10279" s="1" t="s">
        <v>26</v>
      </c>
      <c r="C10279" s="1" t="n">
        <v>158000</v>
      </c>
      <c r="D10279" s="1" t="n">
        <v>741.1</v>
      </c>
      <c r="E10279" s="1" t="n">
        <v>0.0174</v>
      </c>
      <c r="F10279" s="1" t="n">
        <v>0.0462</v>
      </c>
    </row>
    <row r="10280" customFormat="false" ht="15" hidden="false" customHeight="false" outlineLevel="0" collapsed="false">
      <c r="A10280" s="1" t="s">
        <v>10315</v>
      </c>
      <c r="B10280" s="1" t="s">
        <v>24</v>
      </c>
      <c r="C10280" s="1" t="n">
        <v>1040000</v>
      </c>
      <c r="D10280" s="1" t="n">
        <v>30493.7</v>
      </c>
      <c r="E10280" s="1" t="n">
        <v>0.0525</v>
      </c>
      <c r="F10280" s="1" t="n">
        <v>0.0938</v>
      </c>
    </row>
    <row r="10281" customFormat="false" ht="15" hidden="false" customHeight="false" outlineLevel="0" collapsed="false">
      <c r="A10281" s="1" t="s">
        <v>10316</v>
      </c>
      <c r="B10281" s="1" t="s">
        <v>88</v>
      </c>
      <c r="C10281" s="1" t="n">
        <v>231000</v>
      </c>
      <c r="D10281" s="1" t="n">
        <v>1687.3</v>
      </c>
      <c r="E10281" s="1" t="n">
        <v>0.041</v>
      </c>
      <c r="F10281" s="1" t="n">
        <v>0.1226</v>
      </c>
    </row>
    <row r="10282" customFormat="false" ht="15" hidden="false" customHeight="false" outlineLevel="0" collapsed="false">
      <c r="A10282" s="1" t="s">
        <v>10317</v>
      </c>
      <c r="B10282" s="1" t="s">
        <v>62</v>
      </c>
      <c r="C10282" s="1" t="n">
        <v>143000</v>
      </c>
      <c r="D10282" s="1" t="n">
        <v>698.7</v>
      </c>
      <c r="E10282" s="1" t="n">
        <v>0.008</v>
      </c>
      <c r="F10282" s="1" t="n">
        <v>0.1015</v>
      </c>
    </row>
    <row r="10283" customFormat="false" ht="15" hidden="false" customHeight="false" outlineLevel="0" collapsed="false">
      <c r="A10283" s="1" t="s">
        <v>10318</v>
      </c>
      <c r="B10283" s="1" t="s">
        <v>32</v>
      </c>
      <c r="C10283" s="1" t="n">
        <v>173000</v>
      </c>
      <c r="D10283" s="1" t="n">
        <v>149517.4</v>
      </c>
      <c r="E10283" s="1" t="n">
        <v>0.0197</v>
      </c>
      <c r="F10283" s="1" t="n">
        <v>0.0845</v>
      </c>
    </row>
    <row r="10284" customFormat="false" ht="15" hidden="false" customHeight="false" outlineLevel="0" collapsed="false">
      <c r="A10284" s="1" t="s">
        <v>10319</v>
      </c>
      <c r="B10284" s="1" t="s">
        <v>88</v>
      </c>
      <c r="C10284" s="1" t="n">
        <v>170000</v>
      </c>
      <c r="D10284" s="1" t="n">
        <v>1065.5</v>
      </c>
      <c r="E10284" s="1" t="n">
        <v>0.0259</v>
      </c>
      <c r="F10284" s="1" t="n">
        <v>0.1387</v>
      </c>
    </row>
    <row r="10285" customFormat="false" ht="15" hidden="false" customHeight="false" outlineLevel="0" collapsed="false">
      <c r="A10285" s="1" t="s">
        <v>10320</v>
      </c>
      <c r="B10285" s="1" t="s">
        <v>62</v>
      </c>
      <c r="C10285" s="1" t="n">
        <v>250000</v>
      </c>
      <c r="D10285" s="1" t="n">
        <v>4477.1</v>
      </c>
      <c r="E10285" s="1" t="n">
        <v>0.0452</v>
      </c>
      <c r="F10285" s="1" t="n">
        <v>0.0759</v>
      </c>
    </row>
    <row r="10286" customFormat="false" ht="15" hidden="false" customHeight="false" outlineLevel="0" collapsed="false">
      <c r="A10286" s="1" t="s">
        <v>10321</v>
      </c>
      <c r="B10286" s="1" t="s">
        <v>81</v>
      </c>
      <c r="C10286" s="1" t="n">
        <v>192000</v>
      </c>
      <c r="D10286" s="1" t="n">
        <v>1182</v>
      </c>
      <c r="E10286" s="1" t="n">
        <v>0.0318</v>
      </c>
      <c r="F10286" s="1" t="n">
        <v>0.0938</v>
      </c>
    </row>
    <row r="10287" customFormat="false" ht="15" hidden="false" customHeight="false" outlineLevel="0" collapsed="false">
      <c r="A10287" s="1" t="s">
        <v>10322</v>
      </c>
      <c r="B10287" s="1" t="s">
        <v>287</v>
      </c>
      <c r="C10287" s="1" t="n">
        <v>166000</v>
      </c>
      <c r="D10287" s="1" t="n">
        <v>2968</v>
      </c>
      <c r="E10287" s="1" t="n">
        <v>0.0597</v>
      </c>
      <c r="F10287" s="1" t="n">
        <v>0.0951</v>
      </c>
    </row>
    <row r="10288" customFormat="false" ht="15" hidden="false" customHeight="false" outlineLevel="0" collapsed="false">
      <c r="A10288" s="1" t="s">
        <v>10323</v>
      </c>
      <c r="B10288" s="1" t="s">
        <v>88</v>
      </c>
      <c r="C10288" s="1" t="n">
        <v>200000</v>
      </c>
      <c r="D10288" s="1" t="n">
        <v>1255.6</v>
      </c>
      <c r="E10288" s="1" t="n">
        <v>0.1119</v>
      </c>
      <c r="F10288" s="1" t="n">
        <v>0.0938</v>
      </c>
    </row>
    <row r="10289" customFormat="false" ht="15" hidden="false" customHeight="false" outlineLevel="0" collapsed="false">
      <c r="A10289" s="1" t="s">
        <v>10324</v>
      </c>
      <c r="B10289" s="1" t="s">
        <v>26</v>
      </c>
      <c r="C10289" s="1" t="n">
        <v>146000</v>
      </c>
      <c r="D10289" s="1" t="n">
        <v>249368.6</v>
      </c>
      <c r="E10289" s="1" t="n">
        <v>0.0223</v>
      </c>
      <c r="F10289" s="1" t="n">
        <v>0.0951</v>
      </c>
    </row>
    <row r="10290" customFormat="false" ht="15" hidden="false" customHeight="false" outlineLevel="0" collapsed="false">
      <c r="A10290" s="1" t="s">
        <v>10325</v>
      </c>
      <c r="B10290" s="1" t="s">
        <v>214</v>
      </c>
      <c r="C10290" s="1" t="n">
        <v>150000</v>
      </c>
      <c r="D10290" s="1" t="n">
        <v>4242.7</v>
      </c>
      <c r="E10290" s="1" t="n">
        <v>0.0228</v>
      </c>
      <c r="F10290" s="1" t="n">
        <v>0.0759</v>
      </c>
    </row>
    <row r="10291" customFormat="false" ht="15" hidden="false" customHeight="false" outlineLevel="0" collapsed="false">
      <c r="A10291" s="1" t="s">
        <v>10326</v>
      </c>
      <c r="B10291" s="1" t="s">
        <v>88</v>
      </c>
      <c r="C10291" s="1" t="n">
        <v>177000</v>
      </c>
      <c r="D10291" s="1" t="n">
        <v>960.4</v>
      </c>
      <c r="E10291" s="1" t="n">
        <v>0.0266</v>
      </c>
      <c r="F10291" s="1" t="n">
        <v>0.0759</v>
      </c>
    </row>
    <row r="10292" customFormat="false" ht="15" hidden="false" customHeight="false" outlineLevel="0" collapsed="false">
      <c r="A10292" s="1" t="s">
        <v>10327</v>
      </c>
      <c r="B10292" s="1" t="s">
        <v>88</v>
      </c>
      <c r="C10292" s="1" t="n">
        <v>223000</v>
      </c>
      <c r="D10292" s="1" t="n">
        <v>971.1</v>
      </c>
      <c r="E10292" s="1" t="n">
        <v>0.075</v>
      </c>
      <c r="F10292" s="1" t="n">
        <v>0.0938</v>
      </c>
    </row>
    <row r="10293" customFormat="false" ht="15" hidden="false" customHeight="false" outlineLevel="0" collapsed="false">
      <c r="A10293" s="1" t="s">
        <v>10328</v>
      </c>
      <c r="B10293" s="1" t="s">
        <v>26</v>
      </c>
      <c r="C10293" s="1" t="n">
        <v>194000</v>
      </c>
      <c r="D10293" s="1" t="n">
        <v>28234.6</v>
      </c>
      <c r="E10293" s="1" t="n">
        <v>0.0198</v>
      </c>
      <c r="F10293" s="1" t="n">
        <v>0.0854</v>
      </c>
    </row>
    <row r="10294" customFormat="false" ht="15" hidden="false" customHeight="false" outlineLevel="0" collapsed="false">
      <c r="A10294" s="1" t="s">
        <v>10329</v>
      </c>
      <c r="B10294" s="1" t="s">
        <v>74</v>
      </c>
      <c r="C10294" s="1" t="n">
        <v>141000</v>
      </c>
      <c r="D10294" s="1" t="n">
        <v>1346</v>
      </c>
      <c r="E10294" s="1" t="n">
        <v>0.0915</v>
      </c>
      <c r="F10294" s="1" t="n">
        <v>0.0951</v>
      </c>
    </row>
    <row r="10295" customFormat="false" ht="15" hidden="false" customHeight="false" outlineLevel="0" collapsed="false">
      <c r="A10295" s="1" t="s">
        <v>10330</v>
      </c>
      <c r="B10295" s="1" t="s">
        <v>24</v>
      </c>
      <c r="C10295" s="1" t="n">
        <v>221000</v>
      </c>
      <c r="D10295" s="1" t="n">
        <v>2743.5</v>
      </c>
      <c r="E10295" s="1" t="n">
        <v>0.0565</v>
      </c>
      <c r="F10295" s="1" t="n">
        <v>0.0759</v>
      </c>
    </row>
    <row r="10296" customFormat="false" ht="15" hidden="false" customHeight="false" outlineLevel="0" collapsed="false">
      <c r="A10296" s="1" t="s">
        <v>10331</v>
      </c>
      <c r="B10296" s="1" t="s">
        <v>62</v>
      </c>
      <c r="C10296" s="1" t="n">
        <v>136000</v>
      </c>
      <c r="D10296" s="1" t="n">
        <v>1351.5</v>
      </c>
      <c r="E10296" s="1" t="n">
        <v>0.0605</v>
      </c>
      <c r="F10296" s="1" t="n">
        <v>0.0951</v>
      </c>
    </row>
    <row r="10297" customFormat="false" ht="15" hidden="false" customHeight="false" outlineLevel="0" collapsed="false">
      <c r="A10297" s="1" t="s">
        <v>10332</v>
      </c>
      <c r="B10297" s="1" t="s">
        <v>21</v>
      </c>
      <c r="C10297" s="1" t="n">
        <v>146000</v>
      </c>
      <c r="D10297" s="1" t="n">
        <v>9538.8</v>
      </c>
      <c r="E10297" s="1" t="n">
        <v>0.0391</v>
      </c>
      <c r="F10297" s="1" t="n">
        <v>0.0759</v>
      </c>
    </row>
    <row r="10298" customFormat="false" ht="15" hidden="false" customHeight="false" outlineLevel="0" collapsed="false">
      <c r="A10298" s="1" t="s">
        <v>10333</v>
      </c>
      <c r="B10298" s="1" t="s">
        <v>88</v>
      </c>
      <c r="C10298" s="1" t="n">
        <v>147000</v>
      </c>
      <c r="D10298" s="1" t="n">
        <v>3160.6</v>
      </c>
      <c r="E10298" s="1" t="n">
        <v>0.0287</v>
      </c>
      <c r="F10298" s="1" t="n">
        <v>0.0951</v>
      </c>
    </row>
    <row r="10299" customFormat="false" ht="15" hidden="false" customHeight="false" outlineLevel="0" collapsed="false">
      <c r="A10299" s="1" t="s">
        <v>10334</v>
      </c>
      <c r="B10299" s="1" t="s">
        <v>81</v>
      </c>
      <c r="C10299" s="1" t="n">
        <v>204000</v>
      </c>
      <c r="D10299" s="1" t="n">
        <v>56890.7</v>
      </c>
      <c r="E10299" s="1" t="n">
        <v>0.0379</v>
      </c>
      <c r="F10299" s="1" t="n">
        <v>0.1241</v>
      </c>
    </row>
    <row r="10300" customFormat="false" ht="15" hidden="false" customHeight="false" outlineLevel="0" collapsed="false">
      <c r="A10300" s="1" t="s">
        <v>10335</v>
      </c>
      <c r="B10300" s="1" t="s">
        <v>35</v>
      </c>
      <c r="C10300" s="1" t="n">
        <v>133000</v>
      </c>
      <c r="D10300" s="1" t="n">
        <v>2793.3</v>
      </c>
      <c r="E10300" s="1" t="n">
        <v>0.0418</v>
      </c>
      <c r="F10300" s="1" t="n">
        <v>0.0951</v>
      </c>
    </row>
    <row r="10301" customFormat="false" ht="15" hidden="false" customHeight="false" outlineLevel="0" collapsed="false">
      <c r="A10301" s="1" t="s">
        <v>10336</v>
      </c>
      <c r="B10301" s="1" t="s">
        <v>26</v>
      </c>
      <c r="C10301" s="1" t="n">
        <v>137000</v>
      </c>
      <c r="D10301" s="1" t="n">
        <v>2397.4</v>
      </c>
      <c r="E10301" s="1" t="n">
        <v>0.037</v>
      </c>
      <c r="F10301" s="1" t="n">
        <v>0.0951</v>
      </c>
    </row>
    <row r="10302" customFormat="false" ht="15" hidden="false" customHeight="false" outlineLevel="0" collapsed="false">
      <c r="A10302" s="1" t="s">
        <v>10337</v>
      </c>
      <c r="B10302" s="1" t="s">
        <v>35</v>
      </c>
      <c r="C10302" s="1" t="n">
        <v>414000</v>
      </c>
      <c r="D10302" s="1" t="n">
        <v>84268.8</v>
      </c>
      <c r="E10302" s="1" t="n">
        <v>0.031</v>
      </c>
      <c r="F10302" s="1" t="n">
        <v>0.0759</v>
      </c>
    </row>
    <row r="10303" customFormat="false" ht="15" hidden="false" customHeight="false" outlineLevel="0" collapsed="false">
      <c r="A10303" s="1" t="s">
        <v>10338</v>
      </c>
      <c r="B10303" s="1" t="s">
        <v>41</v>
      </c>
      <c r="C10303" s="1" t="n">
        <v>169000</v>
      </c>
      <c r="D10303" s="1" t="n">
        <v>3388.8</v>
      </c>
      <c r="E10303" s="1" t="n">
        <v>0.0115</v>
      </c>
      <c r="F10303" s="1" t="n">
        <v>0.0811</v>
      </c>
    </row>
    <row r="10304" customFormat="false" ht="15" hidden="false" customHeight="false" outlineLevel="0" collapsed="false">
      <c r="A10304" s="1" t="s">
        <v>10339</v>
      </c>
      <c r="B10304" s="1" t="s">
        <v>88</v>
      </c>
      <c r="C10304" s="1" t="n">
        <v>137000</v>
      </c>
      <c r="D10304" s="1" t="n">
        <v>8094.8</v>
      </c>
      <c r="E10304" s="1" t="n">
        <v>0.0419</v>
      </c>
      <c r="F10304" s="1" t="n">
        <v>0.0951</v>
      </c>
    </row>
    <row r="10305" customFormat="false" ht="15" hidden="false" customHeight="false" outlineLevel="0" collapsed="false">
      <c r="A10305" s="1" t="s">
        <v>10340</v>
      </c>
      <c r="B10305" s="1" t="s">
        <v>74</v>
      </c>
      <c r="C10305" s="1" t="n">
        <v>151000</v>
      </c>
      <c r="D10305" s="1" t="n">
        <v>234.7</v>
      </c>
      <c r="E10305" s="1" t="n">
        <v>0.0389</v>
      </c>
      <c r="F10305" s="1" t="n">
        <v>0.0409</v>
      </c>
    </row>
    <row r="10306" customFormat="false" ht="15" hidden="false" customHeight="false" outlineLevel="0" collapsed="false">
      <c r="A10306" s="1" t="s">
        <v>10341</v>
      </c>
      <c r="B10306" s="1" t="s">
        <v>26</v>
      </c>
      <c r="C10306" s="1" t="n">
        <v>531000</v>
      </c>
      <c r="D10306" s="1" t="n">
        <v>6134</v>
      </c>
      <c r="E10306" s="1" t="n">
        <v>0.0106</v>
      </c>
      <c r="F10306" s="1" t="n">
        <v>0.0736</v>
      </c>
    </row>
    <row r="10307" customFormat="false" ht="15" hidden="false" customHeight="false" outlineLevel="0" collapsed="false">
      <c r="A10307" s="1" t="s">
        <v>10342</v>
      </c>
      <c r="B10307" s="1" t="s">
        <v>88</v>
      </c>
      <c r="C10307" s="1" t="n">
        <v>262000</v>
      </c>
      <c r="D10307" s="1" t="n">
        <v>1057.5</v>
      </c>
      <c r="E10307" s="1" t="n">
        <v>0.0257</v>
      </c>
      <c r="F10307" s="1" t="n">
        <v>0.0938</v>
      </c>
    </row>
    <row r="10308" customFormat="false" ht="15" hidden="false" customHeight="false" outlineLevel="0" collapsed="false">
      <c r="A10308" s="1" t="s">
        <v>10343</v>
      </c>
      <c r="B10308" s="1" t="s">
        <v>30</v>
      </c>
      <c r="C10308" s="1" t="n">
        <v>148000</v>
      </c>
      <c r="D10308" s="1" t="n">
        <v>5537.6</v>
      </c>
      <c r="E10308" s="1" t="n">
        <v>0.0339</v>
      </c>
      <c r="F10308" s="1" t="n">
        <v>0.0518</v>
      </c>
    </row>
    <row r="10309" customFormat="false" ht="15" hidden="false" customHeight="false" outlineLevel="0" collapsed="false">
      <c r="A10309" s="1" t="s">
        <v>10344</v>
      </c>
      <c r="B10309" s="1" t="s">
        <v>26</v>
      </c>
      <c r="C10309" s="1" t="n">
        <v>157000</v>
      </c>
      <c r="D10309" s="1" t="n">
        <v>800.1</v>
      </c>
      <c r="E10309" s="1" t="n">
        <v>0.0436</v>
      </c>
      <c r="F10309" s="1" t="n">
        <v>0.0759</v>
      </c>
    </row>
    <row r="10310" customFormat="false" ht="15" hidden="false" customHeight="false" outlineLevel="0" collapsed="false">
      <c r="A10310" s="1" t="s">
        <v>10345</v>
      </c>
      <c r="B10310" s="1" t="s">
        <v>81</v>
      </c>
      <c r="C10310" s="1" t="n">
        <v>167000</v>
      </c>
      <c r="D10310" s="1" t="n">
        <v>1255.9</v>
      </c>
      <c r="E10310" s="1" t="n">
        <v>0.0285</v>
      </c>
      <c r="F10310" s="1" t="n">
        <v>0.0759</v>
      </c>
    </row>
    <row r="10311" customFormat="false" ht="15" hidden="false" customHeight="false" outlineLevel="0" collapsed="false">
      <c r="A10311" s="1" t="s">
        <v>10346</v>
      </c>
      <c r="B10311" s="1" t="s">
        <v>88</v>
      </c>
      <c r="C10311" s="1" t="n">
        <v>378000</v>
      </c>
      <c r="D10311" s="1" t="n">
        <v>378.4</v>
      </c>
      <c r="F10311" s="1" t="n">
        <v>0.051</v>
      </c>
    </row>
    <row r="10312" customFormat="false" ht="15" hidden="false" customHeight="false" outlineLevel="0" collapsed="false">
      <c r="A10312" s="1" t="s">
        <v>10347</v>
      </c>
      <c r="B10312" s="1" t="s">
        <v>24</v>
      </c>
      <c r="C10312" s="1" t="n">
        <v>238000</v>
      </c>
      <c r="D10312" s="1" t="n">
        <v>488.8</v>
      </c>
      <c r="E10312" s="1" t="n">
        <v>0.0265</v>
      </c>
      <c r="F10312" s="1" t="n">
        <v>0.356</v>
      </c>
    </row>
    <row r="10313" customFormat="false" ht="15" hidden="false" customHeight="false" outlineLevel="0" collapsed="false">
      <c r="A10313" s="1" t="s">
        <v>10348</v>
      </c>
      <c r="B10313" s="1" t="s">
        <v>195</v>
      </c>
      <c r="C10313" s="1" t="n">
        <v>312000</v>
      </c>
      <c r="D10313" s="1" t="n">
        <v>143</v>
      </c>
      <c r="E10313" s="1" t="n">
        <v>0.1334</v>
      </c>
      <c r="F10313" s="1" t="n">
        <v>0.1359</v>
      </c>
    </row>
    <row r="10314" customFormat="false" ht="15" hidden="false" customHeight="false" outlineLevel="0" collapsed="false">
      <c r="A10314" s="1" t="s">
        <v>10349</v>
      </c>
      <c r="B10314" s="1" t="s">
        <v>62</v>
      </c>
      <c r="C10314" s="1" t="n">
        <v>185000</v>
      </c>
      <c r="D10314" s="1" t="n">
        <v>4008.2</v>
      </c>
      <c r="E10314" s="1" t="n">
        <v>0.0223</v>
      </c>
      <c r="F10314" s="1" t="n">
        <v>0.0854</v>
      </c>
    </row>
    <row r="10315" customFormat="false" ht="15" hidden="false" customHeight="false" outlineLevel="0" collapsed="false">
      <c r="A10315" s="1" t="s">
        <v>10350</v>
      </c>
      <c r="B10315" s="1" t="s">
        <v>92</v>
      </c>
      <c r="C10315" s="1" t="n">
        <v>186000</v>
      </c>
      <c r="D10315" s="1" t="n">
        <v>5608.8</v>
      </c>
      <c r="E10315" s="1" t="n">
        <v>0.0137</v>
      </c>
      <c r="F10315" s="1" t="n">
        <v>0.0585</v>
      </c>
    </row>
    <row r="10316" customFormat="false" ht="15" hidden="false" customHeight="false" outlineLevel="0" collapsed="false">
      <c r="A10316" s="1" t="s">
        <v>10351</v>
      </c>
      <c r="B10316" s="1" t="s">
        <v>74</v>
      </c>
      <c r="C10316" s="1" t="n">
        <v>135000</v>
      </c>
      <c r="D10316" s="1" t="n">
        <v>425.4</v>
      </c>
      <c r="E10316" s="1" t="n">
        <v>0.0161</v>
      </c>
      <c r="F10316" s="1" t="n">
        <v>0.0585</v>
      </c>
    </row>
    <row r="10317" customFormat="false" ht="15" hidden="false" customHeight="false" outlineLevel="0" collapsed="false">
      <c r="A10317" s="1" t="s">
        <v>10352</v>
      </c>
      <c r="B10317" s="1" t="s">
        <v>214</v>
      </c>
      <c r="C10317" s="1" t="n">
        <v>137000</v>
      </c>
      <c r="D10317" s="1" t="n">
        <v>1864.9</v>
      </c>
      <c r="E10317" s="1" t="n">
        <v>0.0082</v>
      </c>
      <c r="F10317" s="1" t="n">
        <v>0.0822</v>
      </c>
    </row>
    <row r="10318" customFormat="false" ht="15" hidden="false" customHeight="false" outlineLevel="0" collapsed="false">
      <c r="A10318" s="1" t="s">
        <v>10353</v>
      </c>
      <c r="B10318" s="1" t="s">
        <v>26</v>
      </c>
      <c r="C10318" s="1" t="n">
        <v>188000</v>
      </c>
      <c r="D10318" s="1" t="n">
        <v>17633.6</v>
      </c>
      <c r="E10318" s="1" t="n">
        <v>0.0227</v>
      </c>
      <c r="F10318" s="1" t="n">
        <v>0.1053</v>
      </c>
    </row>
    <row r="10319" customFormat="false" ht="15" hidden="false" customHeight="false" outlineLevel="0" collapsed="false">
      <c r="A10319" s="1" t="s">
        <v>10354</v>
      </c>
      <c r="B10319" s="1" t="s">
        <v>214</v>
      </c>
      <c r="C10319" s="1" t="n">
        <v>138000</v>
      </c>
      <c r="D10319" s="1" t="n">
        <v>99.7</v>
      </c>
      <c r="E10319" s="1" t="n">
        <v>0.0071</v>
      </c>
      <c r="F10319" s="1" t="n">
        <v>0.4188</v>
      </c>
    </row>
    <row r="10320" customFormat="false" ht="15" hidden="false" customHeight="false" outlineLevel="0" collapsed="false">
      <c r="A10320" s="1" t="s">
        <v>10355</v>
      </c>
      <c r="B10320" s="1" t="s">
        <v>26</v>
      </c>
      <c r="C10320" s="1" t="n">
        <v>166000</v>
      </c>
      <c r="D10320" s="1" t="n">
        <v>6395.3</v>
      </c>
      <c r="E10320" s="1" t="n">
        <v>0.0488</v>
      </c>
      <c r="F10320" s="1" t="n">
        <v>0.0951</v>
      </c>
    </row>
    <row r="10321" customFormat="false" ht="15" hidden="false" customHeight="false" outlineLevel="0" collapsed="false">
      <c r="A10321" s="1" t="s">
        <v>10356</v>
      </c>
      <c r="B10321" s="1" t="s">
        <v>26</v>
      </c>
      <c r="C10321" s="1" t="n">
        <v>136000</v>
      </c>
      <c r="D10321" s="1" t="n">
        <v>337.3</v>
      </c>
      <c r="E10321" s="1" t="n">
        <v>0.023</v>
      </c>
      <c r="F10321" s="1" t="n">
        <v>0.171</v>
      </c>
    </row>
    <row r="10322" customFormat="false" ht="15" hidden="false" customHeight="false" outlineLevel="0" collapsed="false">
      <c r="A10322" s="1" t="s">
        <v>10357</v>
      </c>
      <c r="B10322" s="1" t="s">
        <v>26</v>
      </c>
      <c r="C10322" s="1" t="n">
        <v>134000</v>
      </c>
      <c r="D10322" s="1" t="n">
        <v>7281.6</v>
      </c>
      <c r="E10322" s="1" t="n">
        <v>0.0981</v>
      </c>
      <c r="F10322" s="1" t="n">
        <v>0.0951</v>
      </c>
    </row>
    <row r="10323" customFormat="false" ht="15" hidden="false" customHeight="false" outlineLevel="0" collapsed="false">
      <c r="A10323" s="1" t="s">
        <v>10358</v>
      </c>
      <c r="B10323" s="1" t="s">
        <v>74</v>
      </c>
      <c r="C10323" s="1" t="n">
        <v>139000</v>
      </c>
      <c r="D10323" s="1" t="n">
        <v>1845.3</v>
      </c>
      <c r="E10323" s="1" t="n">
        <v>0.0574</v>
      </c>
      <c r="F10323" s="1" t="n">
        <v>0.0951</v>
      </c>
    </row>
    <row r="10324" customFormat="false" ht="15" hidden="false" customHeight="false" outlineLevel="0" collapsed="false">
      <c r="A10324" s="1" t="s">
        <v>10359</v>
      </c>
      <c r="B10324" s="1" t="s">
        <v>26</v>
      </c>
      <c r="C10324" s="1" t="n">
        <v>156000</v>
      </c>
      <c r="D10324" s="1" t="n">
        <v>4565.8</v>
      </c>
      <c r="E10324" s="1" t="n">
        <v>0.0395</v>
      </c>
      <c r="F10324" s="1" t="n">
        <v>0.0951</v>
      </c>
    </row>
    <row r="10325" customFormat="false" ht="15" hidden="false" customHeight="false" outlineLevel="0" collapsed="false">
      <c r="A10325" s="1" t="s">
        <v>10360</v>
      </c>
      <c r="B10325" s="1" t="s">
        <v>30</v>
      </c>
      <c r="C10325" s="1" t="n">
        <v>182000</v>
      </c>
      <c r="D10325" s="1" t="n">
        <v>6102.8</v>
      </c>
      <c r="E10325" s="1" t="n">
        <v>0.0167</v>
      </c>
      <c r="F10325" s="1" t="n">
        <v>0.1469</v>
      </c>
    </row>
    <row r="10326" customFormat="false" ht="15" hidden="false" customHeight="false" outlineLevel="0" collapsed="false">
      <c r="A10326" s="1" t="s">
        <v>10361</v>
      </c>
      <c r="B10326" s="1" t="s">
        <v>88</v>
      </c>
      <c r="C10326" s="1" t="n">
        <v>179000</v>
      </c>
      <c r="D10326" s="1" t="n">
        <v>707.2</v>
      </c>
      <c r="E10326" s="1" t="n">
        <v>0.0562</v>
      </c>
      <c r="F10326" s="1" t="n">
        <v>0.0759</v>
      </c>
    </row>
    <row r="10327" customFormat="false" ht="15" hidden="false" customHeight="false" outlineLevel="0" collapsed="false">
      <c r="A10327" s="1" t="s">
        <v>10362</v>
      </c>
      <c r="B10327" s="1" t="s">
        <v>88</v>
      </c>
      <c r="C10327" s="1" t="n">
        <v>310000</v>
      </c>
      <c r="D10327" s="1" t="n">
        <v>23432.9</v>
      </c>
      <c r="E10327" s="1" t="n">
        <v>0.0371</v>
      </c>
      <c r="F10327" s="1" t="n">
        <v>0.0409</v>
      </c>
    </row>
    <row r="10328" customFormat="false" ht="15" hidden="false" customHeight="false" outlineLevel="0" collapsed="false">
      <c r="A10328" s="1" t="s">
        <v>10363</v>
      </c>
      <c r="B10328" s="1" t="s">
        <v>24</v>
      </c>
      <c r="C10328" s="1" t="n">
        <v>136000</v>
      </c>
      <c r="D10328" s="1" t="n">
        <v>5804.2</v>
      </c>
      <c r="E10328" s="1" t="n">
        <v>0.0461</v>
      </c>
      <c r="F10328" s="1" t="n">
        <v>0.0951</v>
      </c>
    </row>
    <row r="10329" customFormat="false" ht="15" hidden="false" customHeight="false" outlineLevel="0" collapsed="false">
      <c r="A10329" s="1" t="s">
        <v>10364</v>
      </c>
      <c r="B10329" s="1" t="s">
        <v>26</v>
      </c>
      <c r="C10329" s="1" t="n">
        <v>191000</v>
      </c>
      <c r="D10329" s="1" t="n">
        <v>3799.4</v>
      </c>
      <c r="E10329" s="1" t="n">
        <v>0.069</v>
      </c>
      <c r="F10329" s="1" t="n">
        <v>0.0759</v>
      </c>
    </row>
    <row r="10330" customFormat="false" ht="15" hidden="false" customHeight="false" outlineLevel="0" collapsed="false">
      <c r="A10330" s="1" t="s">
        <v>10365</v>
      </c>
      <c r="B10330" s="1" t="s">
        <v>92</v>
      </c>
      <c r="C10330" s="1" t="n">
        <v>154000</v>
      </c>
      <c r="D10330" s="1" t="n">
        <v>1653.8</v>
      </c>
      <c r="E10330" s="1" t="n">
        <v>0.0093</v>
      </c>
      <c r="F10330" s="1" t="n">
        <v>0.0822</v>
      </c>
    </row>
    <row r="10331" customFormat="false" ht="15" hidden="false" customHeight="false" outlineLevel="0" collapsed="false">
      <c r="A10331" s="1" t="s">
        <v>10366</v>
      </c>
      <c r="B10331" s="1" t="s">
        <v>88</v>
      </c>
      <c r="C10331" s="1" t="n">
        <v>144000</v>
      </c>
      <c r="D10331" s="1" t="n">
        <v>740.4</v>
      </c>
      <c r="E10331" s="1" t="n">
        <v>0.0854</v>
      </c>
      <c r="F10331" s="1" t="n">
        <v>0.0951</v>
      </c>
    </row>
    <row r="10332" customFormat="false" ht="15" hidden="false" customHeight="false" outlineLevel="0" collapsed="false">
      <c r="A10332" s="1" t="s">
        <v>10367</v>
      </c>
      <c r="B10332" s="1" t="s">
        <v>30</v>
      </c>
      <c r="C10332" s="1" t="n">
        <v>250000</v>
      </c>
      <c r="D10332" s="1" t="n">
        <v>4779.5</v>
      </c>
      <c r="E10332" s="1" t="n">
        <v>0.0382</v>
      </c>
      <c r="F10332" s="1" t="n">
        <v>0.0951</v>
      </c>
    </row>
    <row r="10333" customFormat="false" ht="15" hidden="false" customHeight="false" outlineLevel="0" collapsed="false">
      <c r="A10333" s="1" t="s">
        <v>10368</v>
      </c>
      <c r="B10333" s="1" t="s">
        <v>81</v>
      </c>
      <c r="C10333" s="1" t="n">
        <v>183000</v>
      </c>
      <c r="D10333" s="1" t="n">
        <v>8535.5</v>
      </c>
      <c r="E10333" s="1" t="n">
        <v>0.0237</v>
      </c>
      <c r="F10333" s="1" t="n">
        <v>0.1325</v>
      </c>
    </row>
    <row r="10334" customFormat="false" ht="15" hidden="false" customHeight="false" outlineLevel="0" collapsed="false">
      <c r="A10334" s="1" t="s">
        <v>10369</v>
      </c>
      <c r="B10334" s="1" t="s">
        <v>26</v>
      </c>
      <c r="C10334" s="1" t="n">
        <v>237000</v>
      </c>
      <c r="D10334" s="1" t="n">
        <v>9024.7</v>
      </c>
      <c r="F10334" s="1" t="n">
        <v>0.0518</v>
      </c>
    </row>
    <row r="10335" customFormat="false" ht="15" hidden="false" customHeight="false" outlineLevel="0" collapsed="false">
      <c r="A10335" s="1" t="s">
        <v>10370</v>
      </c>
      <c r="B10335" s="1" t="s">
        <v>214</v>
      </c>
      <c r="C10335" s="1" t="n">
        <v>179000</v>
      </c>
      <c r="D10335" s="1" t="n">
        <v>102.3</v>
      </c>
      <c r="E10335" s="1" t="n">
        <v>0.0184</v>
      </c>
      <c r="F10335" s="1" t="n">
        <v>0.0576</v>
      </c>
    </row>
    <row r="10336" customFormat="false" ht="15" hidden="false" customHeight="false" outlineLevel="0" collapsed="false">
      <c r="A10336" s="1" t="s">
        <v>10371</v>
      </c>
      <c r="B10336" s="1" t="s">
        <v>88</v>
      </c>
      <c r="C10336" s="1" t="n">
        <v>156000</v>
      </c>
      <c r="D10336" s="1" t="n">
        <v>659.7</v>
      </c>
      <c r="E10336" s="1" t="n">
        <v>0.1003</v>
      </c>
      <c r="F10336" s="1" t="n">
        <v>0.0938</v>
      </c>
    </row>
    <row r="10337" customFormat="false" ht="15" hidden="false" customHeight="false" outlineLevel="0" collapsed="false">
      <c r="A10337" s="1" t="s">
        <v>10372</v>
      </c>
      <c r="B10337" s="1" t="s">
        <v>21</v>
      </c>
      <c r="C10337" s="1" t="n">
        <v>241000</v>
      </c>
      <c r="D10337" s="1" t="n">
        <v>810.3</v>
      </c>
      <c r="E10337" s="1" t="n">
        <v>0.0127</v>
      </c>
      <c r="F10337" s="1" t="n">
        <v>0.0736</v>
      </c>
    </row>
    <row r="10338" customFormat="false" ht="15" hidden="false" customHeight="false" outlineLevel="0" collapsed="false">
      <c r="A10338" s="1" t="s">
        <v>10373</v>
      </c>
      <c r="B10338" s="1" t="s">
        <v>88</v>
      </c>
      <c r="C10338" s="1" t="n">
        <v>186000</v>
      </c>
      <c r="D10338" s="1" t="n">
        <v>4862.8</v>
      </c>
      <c r="E10338" s="1" t="n">
        <v>0.0231</v>
      </c>
      <c r="F10338" s="1" t="n">
        <v>0.0951</v>
      </c>
    </row>
    <row r="10339" customFormat="false" ht="15" hidden="false" customHeight="false" outlineLevel="0" collapsed="false">
      <c r="A10339" s="1" t="s">
        <v>10374</v>
      </c>
      <c r="B10339" s="1" t="s">
        <v>53</v>
      </c>
      <c r="C10339" s="1" t="n">
        <v>160000</v>
      </c>
      <c r="D10339" s="1" t="n">
        <v>127.7</v>
      </c>
      <c r="E10339" s="1" t="n">
        <v>0.0206</v>
      </c>
      <c r="F10339" s="1" t="n">
        <v>0.139</v>
      </c>
    </row>
    <row r="10340" customFormat="false" ht="15" hidden="false" customHeight="false" outlineLevel="0" collapsed="false">
      <c r="A10340" s="1" t="s">
        <v>10375</v>
      </c>
      <c r="B10340" s="1" t="s">
        <v>88</v>
      </c>
      <c r="C10340" s="1" t="n">
        <v>482000</v>
      </c>
      <c r="D10340" s="1" t="n">
        <v>39509.4</v>
      </c>
      <c r="E10340" s="1" t="n">
        <v>0.055</v>
      </c>
      <c r="F10340" s="1" t="n">
        <v>0.0759</v>
      </c>
    </row>
    <row r="10341" customFormat="false" ht="15" hidden="false" customHeight="false" outlineLevel="0" collapsed="false">
      <c r="A10341" s="1" t="s">
        <v>10376</v>
      </c>
      <c r="B10341" s="1" t="s">
        <v>287</v>
      </c>
      <c r="C10341" s="1" t="n">
        <v>237000</v>
      </c>
      <c r="D10341" s="1" t="n">
        <v>1322.7</v>
      </c>
      <c r="E10341" s="1" t="n">
        <v>0.0084</v>
      </c>
      <c r="F10341" s="1" t="n">
        <v>0.0654</v>
      </c>
    </row>
    <row r="10342" customFormat="false" ht="15" hidden="false" customHeight="false" outlineLevel="0" collapsed="false">
      <c r="A10342" s="1" t="s">
        <v>10377</v>
      </c>
      <c r="B10342" s="1" t="s">
        <v>490</v>
      </c>
      <c r="C10342" s="1" t="n">
        <v>140000</v>
      </c>
      <c r="D10342" s="1" t="n">
        <v>58867.5</v>
      </c>
      <c r="E10342" s="1" t="n">
        <v>0.0242</v>
      </c>
      <c r="F10342" s="1" t="n">
        <v>0.0518</v>
      </c>
    </row>
    <row r="10343" customFormat="false" ht="15" hidden="false" customHeight="false" outlineLevel="0" collapsed="false">
      <c r="A10343" s="1" t="s">
        <v>10378</v>
      </c>
      <c r="B10343" s="1" t="s">
        <v>92</v>
      </c>
      <c r="C10343" s="1" t="n">
        <v>136000</v>
      </c>
      <c r="D10343" s="1" t="n">
        <v>2545.4</v>
      </c>
      <c r="E10343" s="1" t="n">
        <v>0.0099</v>
      </c>
      <c r="F10343" s="1" t="n">
        <v>0.0822</v>
      </c>
    </row>
    <row r="10344" customFormat="false" ht="15" hidden="false" customHeight="false" outlineLevel="0" collapsed="false">
      <c r="A10344" s="1" t="s">
        <v>10379</v>
      </c>
      <c r="B10344" s="1" t="s">
        <v>195</v>
      </c>
      <c r="C10344" s="1" t="n">
        <v>188000</v>
      </c>
      <c r="D10344" s="1" t="n">
        <v>1157.5</v>
      </c>
      <c r="E10344" s="1" t="n">
        <v>0.0125</v>
      </c>
      <c r="F10344" s="1" t="n">
        <v>0.0689</v>
      </c>
    </row>
    <row r="10345" customFormat="false" ht="15" hidden="false" customHeight="false" outlineLevel="0" collapsed="false">
      <c r="A10345" s="1" t="s">
        <v>10380</v>
      </c>
      <c r="B10345" s="1" t="s">
        <v>32</v>
      </c>
      <c r="C10345" s="1" t="n">
        <v>139000</v>
      </c>
      <c r="D10345" s="1" t="n">
        <v>8874</v>
      </c>
      <c r="E10345" s="1" t="n">
        <v>0.0278</v>
      </c>
      <c r="F10345" s="1" t="n">
        <v>0.0951</v>
      </c>
    </row>
    <row r="10346" customFormat="false" ht="15" hidden="false" customHeight="false" outlineLevel="0" collapsed="false">
      <c r="A10346" s="1" t="s">
        <v>10381</v>
      </c>
      <c r="B10346" s="1" t="s">
        <v>287</v>
      </c>
      <c r="C10346" s="1" t="n">
        <v>163000</v>
      </c>
      <c r="D10346" s="1" t="n">
        <v>1122.1</v>
      </c>
      <c r="E10346" s="1" t="n">
        <v>0.031</v>
      </c>
      <c r="F10346" s="1" t="n">
        <v>0.0759</v>
      </c>
    </row>
    <row r="10347" customFormat="false" ht="15" hidden="false" customHeight="false" outlineLevel="0" collapsed="false">
      <c r="A10347" s="1" t="s">
        <v>10382</v>
      </c>
      <c r="B10347" s="1" t="s">
        <v>53</v>
      </c>
      <c r="C10347" s="1" t="n">
        <v>151000</v>
      </c>
      <c r="D10347" s="1" t="n">
        <v>288.2</v>
      </c>
      <c r="E10347" s="1" t="n">
        <v>0.0027</v>
      </c>
      <c r="F10347" s="1" t="n">
        <v>0.1382</v>
      </c>
    </row>
    <row r="10348" customFormat="false" ht="15" hidden="false" customHeight="false" outlineLevel="0" collapsed="false">
      <c r="A10348" s="1" t="s">
        <v>10383</v>
      </c>
      <c r="B10348" s="1" t="s">
        <v>62</v>
      </c>
      <c r="C10348" s="1" t="n">
        <v>147000</v>
      </c>
      <c r="D10348" s="1" t="n">
        <v>1087.3</v>
      </c>
      <c r="E10348" s="1" t="n">
        <v>0.0196</v>
      </c>
      <c r="F10348" s="1" t="n">
        <v>0.0462</v>
      </c>
    </row>
    <row r="10349" customFormat="false" ht="15" hidden="false" customHeight="false" outlineLevel="0" collapsed="false">
      <c r="A10349" s="1" t="s">
        <v>10384</v>
      </c>
      <c r="B10349" s="1" t="s">
        <v>35</v>
      </c>
      <c r="C10349" s="1" t="n">
        <v>145000</v>
      </c>
      <c r="D10349" s="1" t="n">
        <v>3739.1</v>
      </c>
      <c r="E10349" s="1" t="n">
        <v>0.0213</v>
      </c>
      <c r="F10349" s="1" t="n">
        <v>0.0409</v>
      </c>
    </row>
    <row r="10350" customFormat="false" ht="15" hidden="false" customHeight="false" outlineLevel="0" collapsed="false">
      <c r="A10350" s="1" t="s">
        <v>10385</v>
      </c>
      <c r="B10350" s="1" t="s">
        <v>50</v>
      </c>
      <c r="C10350" s="1" t="n">
        <v>130000</v>
      </c>
      <c r="D10350" s="1" t="n">
        <v>2986.3</v>
      </c>
      <c r="F10350" s="1" t="n">
        <v>0.0951</v>
      </c>
    </row>
    <row r="10351" customFormat="false" ht="15" hidden="false" customHeight="false" outlineLevel="0" collapsed="false">
      <c r="A10351" s="1" t="s">
        <v>10386</v>
      </c>
      <c r="B10351" s="1" t="s">
        <v>88</v>
      </c>
      <c r="C10351" s="1" t="n">
        <v>189000</v>
      </c>
      <c r="D10351" s="1" t="n">
        <v>490</v>
      </c>
      <c r="E10351" s="1" t="n">
        <v>0.0864</v>
      </c>
      <c r="F10351" s="1" t="n">
        <v>0.0517</v>
      </c>
    </row>
    <row r="10352" customFormat="false" ht="15" hidden="false" customHeight="false" outlineLevel="0" collapsed="false">
      <c r="A10352" s="1" t="s">
        <v>10387</v>
      </c>
      <c r="B10352" s="1" t="s">
        <v>41</v>
      </c>
      <c r="C10352" s="1" t="n">
        <v>145000</v>
      </c>
      <c r="D10352" s="1" t="n">
        <v>1879</v>
      </c>
      <c r="E10352" s="1" t="n">
        <v>0.029</v>
      </c>
      <c r="F10352" s="1" t="n">
        <v>0.0938</v>
      </c>
    </row>
    <row r="10353" customFormat="false" ht="15" hidden="false" customHeight="false" outlineLevel="0" collapsed="false">
      <c r="A10353" s="1" t="s">
        <v>10388</v>
      </c>
      <c r="B10353" s="1" t="s">
        <v>24</v>
      </c>
      <c r="C10353" s="1" t="n">
        <v>399000</v>
      </c>
      <c r="D10353" s="1" t="n">
        <v>3193.5</v>
      </c>
      <c r="F10353" s="1" t="n">
        <v>0.0759</v>
      </c>
    </row>
    <row r="10354" customFormat="false" ht="15" hidden="false" customHeight="false" outlineLevel="0" collapsed="false">
      <c r="A10354" s="1" t="s">
        <v>10389</v>
      </c>
      <c r="B10354" s="1" t="s">
        <v>88</v>
      </c>
      <c r="C10354" s="1" t="n">
        <v>238000</v>
      </c>
      <c r="D10354" s="1" t="n">
        <v>3313.9</v>
      </c>
      <c r="E10354" s="1" t="n">
        <v>0.0258</v>
      </c>
      <c r="F10354" s="1" t="n">
        <v>0.0759</v>
      </c>
    </row>
    <row r="10355" customFormat="false" ht="15" hidden="false" customHeight="false" outlineLevel="0" collapsed="false">
      <c r="A10355" s="1" t="s">
        <v>10390</v>
      </c>
      <c r="B10355" s="1" t="s">
        <v>26</v>
      </c>
      <c r="C10355" s="1" t="n">
        <v>160000</v>
      </c>
      <c r="D10355" s="1" t="n">
        <v>733.9</v>
      </c>
      <c r="E10355" s="1" t="n">
        <v>0.052</v>
      </c>
      <c r="F10355" s="1" t="n">
        <v>0.0759</v>
      </c>
    </row>
    <row r="10356" customFormat="false" ht="15" hidden="false" customHeight="false" outlineLevel="0" collapsed="false">
      <c r="A10356" s="1" t="s">
        <v>10391</v>
      </c>
      <c r="B10356" s="1" t="s">
        <v>41</v>
      </c>
      <c r="C10356" s="1" t="n">
        <v>306000</v>
      </c>
      <c r="D10356" s="1" t="n">
        <v>1528.5</v>
      </c>
      <c r="E10356" s="1" t="n">
        <v>0.0152</v>
      </c>
      <c r="F10356" s="1" t="n">
        <v>0.169</v>
      </c>
    </row>
    <row r="10357" customFormat="false" ht="15" hidden="false" customHeight="false" outlineLevel="0" collapsed="false">
      <c r="A10357" s="1" t="s">
        <v>10392</v>
      </c>
      <c r="B10357" s="1" t="s">
        <v>81</v>
      </c>
      <c r="C10357" s="1" t="n">
        <v>137000</v>
      </c>
      <c r="D10357" s="1" t="n">
        <v>2305.3</v>
      </c>
      <c r="E10357" s="1" t="n">
        <v>0.0079</v>
      </c>
      <c r="F10357" s="1" t="n">
        <v>0.0654</v>
      </c>
    </row>
    <row r="10358" customFormat="false" ht="15" hidden="false" customHeight="false" outlineLevel="0" collapsed="false">
      <c r="A10358" s="1" t="s">
        <v>10393</v>
      </c>
      <c r="B10358" s="1" t="s">
        <v>26</v>
      </c>
      <c r="C10358" s="1" t="n">
        <v>193000</v>
      </c>
      <c r="D10358" s="1" t="n">
        <v>4602.9</v>
      </c>
      <c r="E10358" s="1" t="n">
        <v>0.0082</v>
      </c>
      <c r="F10358" s="1" t="n">
        <v>0.1127</v>
      </c>
    </row>
    <row r="10359" customFormat="false" ht="15" hidden="false" customHeight="false" outlineLevel="0" collapsed="false">
      <c r="A10359" s="1" t="s">
        <v>10394</v>
      </c>
      <c r="B10359" s="1" t="s">
        <v>214</v>
      </c>
      <c r="C10359" s="1" t="n">
        <v>156000</v>
      </c>
      <c r="D10359" s="1" t="n">
        <v>5805.6</v>
      </c>
      <c r="E10359" s="1" t="n">
        <v>0.0636</v>
      </c>
      <c r="F10359" s="1" t="n">
        <v>0.0951</v>
      </c>
    </row>
    <row r="10360" customFormat="false" ht="15" hidden="false" customHeight="false" outlineLevel="0" collapsed="false">
      <c r="A10360" s="1" t="s">
        <v>10395</v>
      </c>
      <c r="B10360" s="1" t="s">
        <v>62</v>
      </c>
      <c r="C10360" s="1" t="n">
        <v>131000</v>
      </c>
      <c r="D10360" s="1" t="n">
        <v>1225.6</v>
      </c>
      <c r="E10360" s="1" t="n">
        <v>0.0157</v>
      </c>
      <c r="F10360" s="1" t="n">
        <v>0.2294</v>
      </c>
    </row>
    <row r="10361" customFormat="false" ht="15" hidden="false" customHeight="false" outlineLevel="0" collapsed="false">
      <c r="A10361" s="1" t="s">
        <v>10396</v>
      </c>
      <c r="B10361" s="1" t="s">
        <v>26</v>
      </c>
      <c r="C10361" s="1" t="n">
        <v>129000</v>
      </c>
      <c r="D10361" s="1" t="n">
        <v>4100.5</v>
      </c>
      <c r="F10361" s="1" t="n">
        <v>0.0409</v>
      </c>
    </row>
    <row r="10362" customFormat="false" ht="15" hidden="false" customHeight="false" outlineLevel="0" collapsed="false">
      <c r="A10362" s="1" t="s">
        <v>10397</v>
      </c>
      <c r="B10362" s="1" t="s">
        <v>26</v>
      </c>
      <c r="C10362" s="1" t="n">
        <v>156000</v>
      </c>
      <c r="D10362" s="1" t="n">
        <v>4530.6</v>
      </c>
      <c r="E10362" s="1" t="n">
        <v>0.048</v>
      </c>
      <c r="F10362" s="1" t="n">
        <v>0.0938</v>
      </c>
    </row>
    <row r="10363" customFormat="false" ht="15" hidden="false" customHeight="false" outlineLevel="0" collapsed="false">
      <c r="A10363" s="1" t="s">
        <v>10398</v>
      </c>
      <c r="B10363" s="1" t="s">
        <v>26</v>
      </c>
      <c r="C10363" s="1" t="n">
        <v>140000</v>
      </c>
      <c r="D10363" s="1" t="n">
        <v>28954.9</v>
      </c>
      <c r="E10363" s="1" t="n">
        <v>0.0252</v>
      </c>
      <c r="F10363" s="1" t="n">
        <v>0.0759</v>
      </c>
    </row>
    <row r="10364" customFormat="false" ht="15" hidden="false" customHeight="false" outlineLevel="0" collapsed="false">
      <c r="A10364" s="1" t="s">
        <v>10399</v>
      </c>
      <c r="B10364" s="1" t="s">
        <v>74</v>
      </c>
      <c r="C10364" s="1" t="n">
        <v>126000</v>
      </c>
      <c r="D10364" s="1" t="n">
        <v>2148.7</v>
      </c>
      <c r="E10364" s="1" t="n">
        <v>0.0165</v>
      </c>
      <c r="F10364" s="1" t="n">
        <v>0.0585</v>
      </c>
    </row>
    <row r="10365" customFormat="false" ht="15" hidden="false" customHeight="false" outlineLevel="0" collapsed="false">
      <c r="A10365" s="1" t="s">
        <v>10400</v>
      </c>
      <c r="B10365" s="1" t="s">
        <v>88</v>
      </c>
      <c r="C10365" s="1" t="n">
        <v>131000</v>
      </c>
      <c r="D10365" s="1" t="n">
        <v>65809.2</v>
      </c>
      <c r="E10365" s="1" t="n">
        <v>0.0159</v>
      </c>
      <c r="F10365" s="1" t="n">
        <v>0.0726</v>
      </c>
    </row>
    <row r="10366" customFormat="false" ht="15" hidden="false" customHeight="false" outlineLevel="0" collapsed="false">
      <c r="A10366" s="1" t="s">
        <v>10401</v>
      </c>
      <c r="B10366" s="1" t="s">
        <v>88</v>
      </c>
      <c r="C10366" s="1" t="n">
        <v>150000</v>
      </c>
      <c r="D10366" s="1" t="n">
        <v>724.9</v>
      </c>
      <c r="E10366" s="1" t="n">
        <v>0.0263</v>
      </c>
      <c r="F10366" s="1" t="n">
        <v>0.1226</v>
      </c>
    </row>
    <row r="10367" customFormat="false" ht="15" hidden="false" customHeight="false" outlineLevel="0" collapsed="false">
      <c r="A10367" s="1" t="s">
        <v>10402</v>
      </c>
      <c r="B10367" s="1" t="s">
        <v>26</v>
      </c>
      <c r="C10367" s="1" t="n">
        <v>134000</v>
      </c>
      <c r="D10367" s="1" t="n">
        <v>7221.7</v>
      </c>
      <c r="E10367" s="1" t="n">
        <v>0.0344</v>
      </c>
      <c r="F10367" s="1" t="n">
        <v>0.0951</v>
      </c>
    </row>
    <row r="10368" customFormat="false" ht="15" hidden="false" customHeight="false" outlineLevel="0" collapsed="false">
      <c r="A10368" s="1" t="s">
        <v>10403</v>
      </c>
      <c r="B10368" s="1" t="s">
        <v>214</v>
      </c>
      <c r="C10368" s="1" t="n">
        <v>139000</v>
      </c>
      <c r="D10368" s="1" t="n">
        <v>1525.2</v>
      </c>
      <c r="E10368" s="1" t="n">
        <v>0.0161</v>
      </c>
      <c r="F10368" s="1" t="n">
        <v>0.0616</v>
      </c>
    </row>
    <row r="10369" customFormat="false" ht="15" hidden="false" customHeight="false" outlineLevel="0" collapsed="false">
      <c r="A10369" s="1" t="s">
        <v>10404</v>
      </c>
      <c r="B10369" s="1" t="s">
        <v>41</v>
      </c>
      <c r="C10369" s="1" t="n">
        <v>142000</v>
      </c>
      <c r="D10369" s="1" t="n">
        <v>8061.8</v>
      </c>
      <c r="E10369" s="1" t="n">
        <v>0.0327</v>
      </c>
      <c r="F10369" s="1" t="n">
        <v>0.0938</v>
      </c>
    </row>
    <row r="10370" customFormat="false" ht="15" hidden="false" customHeight="false" outlineLevel="0" collapsed="false">
      <c r="A10370" s="1" t="s">
        <v>10405</v>
      </c>
      <c r="B10370" s="1" t="s">
        <v>26</v>
      </c>
      <c r="C10370" s="1" t="n">
        <v>183000</v>
      </c>
      <c r="D10370" s="1" t="n">
        <v>986.1</v>
      </c>
      <c r="E10370" s="1" t="n">
        <v>0.1232</v>
      </c>
      <c r="F10370" s="1" t="n">
        <v>0.0759</v>
      </c>
    </row>
    <row r="10371" customFormat="false" ht="15" hidden="false" customHeight="false" outlineLevel="0" collapsed="false">
      <c r="A10371" s="1" t="s">
        <v>10406</v>
      </c>
      <c r="B10371" s="1" t="s">
        <v>26</v>
      </c>
      <c r="C10371" s="1" t="n">
        <v>186000</v>
      </c>
      <c r="D10371" s="1" t="n">
        <v>657.4</v>
      </c>
      <c r="E10371" s="1" t="n">
        <v>0.0259</v>
      </c>
      <c r="F10371" s="1" t="n">
        <v>0.1387</v>
      </c>
    </row>
    <row r="10372" customFormat="false" ht="15" hidden="false" customHeight="false" outlineLevel="0" collapsed="false">
      <c r="A10372" s="1" t="s">
        <v>10407</v>
      </c>
      <c r="B10372" s="1" t="s">
        <v>214</v>
      </c>
      <c r="C10372" s="1" t="n">
        <v>149000</v>
      </c>
      <c r="D10372" s="1" t="n">
        <v>4934.2</v>
      </c>
      <c r="E10372" s="1" t="n">
        <v>0.0332</v>
      </c>
      <c r="F10372" s="1" t="n">
        <v>0.0951</v>
      </c>
    </row>
    <row r="10373" customFormat="false" ht="15" hidden="false" customHeight="false" outlineLevel="0" collapsed="false">
      <c r="A10373" s="1" t="s">
        <v>10408</v>
      </c>
      <c r="B10373" s="1" t="s">
        <v>35</v>
      </c>
      <c r="C10373" s="1" t="n">
        <v>133000</v>
      </c>
      <c r="D10373" s="1" t="n">
        <v>434.1</v>
      </c>
      <c r="E10373" s="1" t="n">
        <v>0.0186</v>
      </c>
      <c r="F10373" s="1" t="n">
        <v>0.0735</v>
      </c>
    </row>
    <row r="10374" customFormat="false" ht="15" hidden="false" customHeight="false" outlineLevel="0" collapsed="false">
      <c r="A10374" s="1" t="s">
        <v>10409</v>
      </c>
      <c r="B10374" s="1" t="s">
        <v>195</v>
      </c>
      <c r="C10374" s="1" t="n">
        <v>184000</v>
      </c>
      <c r="D10374" s="1" t="n">
        <v>624</v>
      </c>
      <c r="E10374" s="1" t="n">
        <v>0.0498</v>
      </c>
      <c r="F10374" s="1" t="n">
        <v>0.2309</v>
      </c>
    </row>
    <row r="10375" customFormat="false" ht="15" hidden="false" customHeight="false" outlineLevel="0" collapsed="false">
      <c r="A10375" s="1" t="s">
        <v>10410</v>
      </c>
      <c r="B10375" s="1" t="s">
        <v>88</v>
      </c>
      <c r="C10375" s="1" t="n">
        <v>154000</v>
      </c>
      <c r="D10375" s="1" t="n">
        <v>1071.9</v>
      </c>
      <c r="E10375" s="1" t="n">
        <v>0.028</v>
      </c>
      <c r="F10375" s="1" t="n">
        <v>0.0951</v>
      </c>
    </row>
    <row r="10376" customFormat="false" ht="15" hidden="false" customHeight="false" outlineLevel="0" collapsed="false">
      <c r="A10376" s="1" t="s">
        <v>10411</v>
      </c>
      <c r="B10376" s="1" t="s">
        <v>92</v>
      </c>
      <c r="C10376" s="1" t="n">
        <v>163000</v>
      </c>
      <c r="D10376" s="1" t="n">
        <v>707.8</v>
      </c>
      <c r="E10376" s="1" t="n">
        <v>0.0406</v>
      </c>
      <c r="F10376" s="1" t="n">
        <v>0.0998</v>
      </c>
    </row>
    <row r="10377" customFormat="false" ht="15" hidden="false" customHeight="false" outlineLevel="0" collapsed="false">
      <c r="A10377" s="1" t="s">
        <v>10412</v>
      </c>
      <c r="B10377" s="1" t="s">
        <v>50</v>
      </c>
      <c r="C10377" s="1" t="n">
        <v>132000</v>
      </c>
      <c r="D10377" s="1" t="n">
        <v>806.4</v>
      </c>
      <c r="E10377" s="1" t="n">
        <v>0.0103</v>
      </c>
      <c r="F10377" s="1" t="n">
        <v>0.0822</v>
      </c>
    </row>
    <row r="10378" customFormat="false" ht="15" hidden="false" customHeight="false" outlineLevel="0" collapsed="false">
      <c r="A10378" s="1" t="s">
        <v>10413</v>
      </c>
      <c r="B10378" s="1" t="s">
        <v>53</v>
      </c>
      <c r="C10378" s="1" t="n">
        <v>179000</v>
      </c>
      <c r="D10378" s="1" t="n">
        <v>10997.3</v>
      </c>
      <c r="E10378" s="1" t="n">
        <v>0.0073</v>
      </c>
      <c r="F10378" s="1" t="n">
        <v>0.1013</v>
      </c>
    </row>
    <row r="10379" customFormat="false" ht="15" hidden="false" customHeight="false" outlineLevel="0" collapsed="false">
      <c r="A10379" s="1" t="s">
        <v>10414</v>
      </c>
      <c r="B10379" s="1" t="s">
        <v>74</v>
      </c>
      <c r="C10379" s="1" t="n">
        <v>510000</v>
      </c>
      <c r="D10379" s="1" t="n">
        <v>59.3</v>
      </c>
      <c r="E10379" s="1" t="n">
        <v>0.0149</v>
      </c>
      <c r="F10379" s="1" t="n">
        <v>0.0462</v>
      </c>
    </row>
    <row r="10380" customFormat="false" ht="15" hidden="false" customHeight="false" outlineLevel="0" collapsed="false">
      <c r="A10380" s="1" t="s">
        <v>10415</v>
      </c>
      <c r="B10380" s="1" t="s">
        <v>41</v>
      </c>
      <c r="C10380" s="1" t="n">
        <v>261000</v>
      </c>
      <c r="D10380" s="1" t="n">
        <v>5185.5</v>
      </c>
      <c r="E10380" s="1" t="n">
        <v>0.04</v>
      </c>
      <c r="F10380" s="1" t="n">
        <v>0.0938</v>
      </c>
    </row>
    <row r="10381" customFormat="false" ht="15" hidden="false" customHeight="false" outlineLevel="0" collapsed="false">
      <c r="A10381" s="1" t="s">
        <v>10416</v>
      </c>
      <c r="B10381" s="1" t="s">
        <v>41</v>
      </c>
      <c r="C10381" s="1" t="n">
        <v>156000</v>
      </c>
      <c r="D10381" s="1" t="n">
        <v>2507.6</v>
      </c>
      <c r="E10381" s="1" t="n">
        <v>0.035</v>
      </c>
      <c r="F10381" s="1" t="n">
        <v>0.0938</v>
      </c>
    </row>
    <row r="10382" customFormat="false" ht="15" hidden="false" customHeight="false" outlineLevel="0" collapsed="false">
      <c r="A10382" s="1" t="s">
        <v>10417</v>
      </c>
      <c r="B10382" s="1" t="s">
        <v>53</v>
      </c>
      <c r="C10382" s="1" t="n">
        <v>216000</v>
      </c>
      <c r="D10382" s="1" t="n">
        <v>23612.8</v>
      </c>
      <c r="E10382" s="1" t="n">
        <v>0.0412</v>
      </c>
      <c r="F10382" s="1" t="n">
        <v>0.0938</v>
      </c>
    </row>
    <row r="10383" customFormat="false" ht="15" hidden="false" customHeight="false" outlineLevel="0" collapsed="false">
      <c r="A10383" s="1" t="s">
        <v>10418</v>
      </c>
      <c r="B10383" s="1" t="s">
        <v>41</v>
      </c>
      <c r="C10383" s="1" t="n">
        <v>169000</v>
      </c>
      <c r="D10383" s="1" t="n">
        <v>8989.6</v>
      </c>
      <c r="E10383" s="1" t="n">
        <v>0.0195</v>
      </c>
      <c r="F10383" s="1" t="n">
        <v>0.1067</v>
      </c>
    </row>
    <row r="10384" customFormat="false" ht="15" hidden="false" customHeight="false" outlineLevel="0" collapsed="false">
      <c r="A10384" s="1" t="s">
        <v>10419</v>
      </c>
      <c r="B10384" s="1" t="s">
        <v>88</v>
      </c>
      <c r="C10384" s="1" t="n">
        <v>220000</v>
      </c>
      <c r="D10384" s="1" t="n">
        <v>1202.2</v>
      </c>
      <c r="E10384" s="1" t="n">
        <v>0.0645</v>
      </c>
      <c r="F10384" s="1" t="n">
        <v>0.0938</v>
      </c>
    </row>
    <row r="10385" customFormat="false" ht="15" hidden="false" customHeight="false" outlineLevel="0" collapsed="false">
      <c r="A10385" s="1" t="s">
        <v>10420</v>
      </c>
      <c r="B10385" s="1" t="s">
        <v>88</v>
      </c>
      <c r="C10385" s="1" t="n">
        <v>132000</v>
      </c>
      <c r="D10385" s="1" t="n">
        <v>81.7</v>
      </c>
      <c r="E10385" s="1" t="n">
        <v>0.0323</v>
      </c>
      <c r="F10385" s="1" t="n">
        <v>0.0998</v>
      </c>
    </row>
    <row r="10386" customFormat="false" ht="15" hidden="false" customHeight="false" outlineLevel="0" collapsed="false">
      <c r="A10386" s="1" t="s">
        <v>10421</v>
      </c>
      <c r="B10386" s="1" t="s">
        <v>195</v>
      </c>
      <c r="C10386" s="1" t="n">
        <v>197000</v>
      </c>
      <c r="D10386" s="1" t="n">
        <v>1449.8</v>
      </c>
      <c r="F10386" s="1" t="n">
        <v>0.0432</v>
      </c>
    </row>
    <row r="10387" customFormat="false" ht="15" hidden="false" customHeight="false" outlineLevel="0" collapsed="false">
      <c r="A10387" s="1" t="s">
        <v>10422</v>
      </c>
      <c r="B10387" s="1" t="s">
        <v>26</v>
      </c>
      <c r="C10387" s="1" t="n">
        <v>177000</v>
      </c>
      <c r="D10387" s="1" t="n">
        <v>27604.1</v>
      </c>
      <c r="E10387" s="1" t="n">
        <v>0.0151</v>
      </c>
      <c r="F10387" s="1" t="n">
        <v>0.0854</v>
      </c>
    </row>
    <row r="10388" customFormat="false" ht="15" hidden="false" customHeight="false" outlineLevel="0" collapsed="false">
      <c r="A10388" s="1" t="s">
        <v>10423</v>
      </c>
      <c r="B10388" s="1" t="s">
        <v>26</v>
      </c>
      <c r="C10388" s="1" t="n">
        <v>130000</v>
      </c>
      <c r="D10388" s="1" t="n">
        <v>4379.8</v>
      </c>
      <c r="E10388" s="1" t="n">
        <v>0.1284</v>
      </c>
      <c r="F10388" s="1" t="n">
        <v>0.0951</v>
      </c>
    </row>
    <row r="10389" customFormat="false" ht="15" hidden="false" customHeight="false" outlineLevel="0" collapsed="false">
      <c r="A10389" s="1" t="s">
        <v>10424</v>
      </c>
      <c r="B10389" s="1" t="s">
        <v>26</v>
      </c>
      <c r="C10389" s="1" t="n">
        <v>132000</v>
      </c>
      <c r="D10389" s="1" t="n">
        <v>2928</v>
      </c>
      <c r="E10389" s="1" t="n">
        <v>0.0407</v>
      </c>
      <c r="F10389" s="1" t="n">
        <v>0.0951</v>
      </c>
    </row>
    <row r="10390" customFormat="false" ht="15" hidden="false" customHeight="false" outlineLevel="0" collapsed="false">
      <c r="A10390" s="1" t="s">
        <v>10425</v>
      </c>
      <c r="B10390" s="1" t="s">
        <v>26</v>
      </c>
      <c r="C10390" s="1" t="n">
        <v>132000</v>
      </c>
      <c r="D10390" s="1" t="n">
        <v>2363.7</v>
      </c>
      <c r="F10390" s="1" t="n">
        <v>0.0938</v>
      </c>
    </row>
    <row r="10391" customFormat="false" ht="15" hidden="false" customHeight="false" outlineLevel="0" collapsed="false">
      <c r="A10391" s="1" t="s">
        <v>10426</v>
      </c>
      <c r="B10391" s="1" t="s">
        <v>81</v>
      </c>
      <c r="C10391" s="1" t="n">
        <v>161000</v>
      </c>
      <c r="D10391" s="1" t="n">
        <v>1190.1</v>
      </c>
      <c r="E10391" s="1" t="n">
        <v>0.0112</v>
      </c>
      <c r="F10391" s="1" t="n">
        <v>0.0726</v>
      </c>
    </row>
    <row r="10392" customFormat="false" ht="15" hidden="false" customHeight="false" outlineLevel="0" collapsed="false">
      <c r="A10392" s="1" t="s">
        <v>10427</v>
      </c>
      <c r="B10392" s="1" t="s">
        <v>41</v>
      </c>
      <c r="C10392" s="1" t="n">
        <v>566000</v>
      </c>
      <c r="D10392" s="1" t="n">
        <v>21767.4</v>
      </c>
      <c r="E10392" s="1" t="n">
        <v>0.0339</v>
      </c>
      <c r="F10392" s="1" t="n">
        <v>0.1168</v>
      </c>
    </row>
    <row r="10393" customFormat="false" ht="15" hidden="false" customHeight="false" outlineLevel="0" collapsed="false">
      <c r="A10393" s="1" t="s">
        <v>10428</v>
      </c>
      <c r="B10393" s="1" t="s">
        <v>35</v>
      </c>
      <c r="C10393" s="1" t="n">
        <v>142000</v>
      </c>
      <c r="D10393" s="1" t="n">
        <v>13108.3</v>
      </c>
      <c r="E10393" s="1" t="n">
        <v>0.0285</v>
      </c>
      <c r="F10393" s="1" t="n">
        <v>0.0951</v>
      </c>
    </row>
    <row r="10394" customFormat="false" ht="15" hidden="false" customHeight="false" outlineLevel="0" collapsed="false">
      <c r="A10394" s="1" t="s">
        <v>10429</v>
      </c>
      <c r="B10394" s="1" t="s">
        <v>26</v>
      </c>
      <c r="C10394" s="1" t="n">
        <v>207000</v>
      </c>
      <c r="D10394" s="1" t="n">
        <v>12357</v>
      </c>
      <c r="E10394" s="1" t="n">
        <v>0.0209</v>
      </c>
      <c r="F10394" s="1" t="n">
        <v>0.0462</v>
      </c>
    </row>
    <row r="10395" customFormat="false" ht="15" hidden="false" customHeight="false" outlineLevel="0" collapsed="false">
      <c r="A10395" s="1" t="s">
        <v>10430</v>
      </c>
      <c r="B10395" s="1" t="s">
        <v>81</v>
      </c>
      <c r="C10395" s="1" t="n">
        <v>209000</v>
      </c>
      <c r="D10395" s="1" t="n">
        <v>3579.2</v>
      </c>
      <c r="E10395" s="1" t="n">
        <v>0.0133</v>
      </c>
      <c r="F10395" s="1" t="n">
        <v>0.0757</v>
      </c>
    </row>
    <row r="10396" customFormat="false" ht="15" hidden="false" customHeight="false" outlineLevel="0" collapsed="false">
      <c r="A10396" s="1" t="s">
        <v>10431</v>
      </c>
      <c r="B10396" s="1" t="s">
        <v>71</v>
      </c>
      <c r="C10396" s="1" t="n">
        <v>147000</v>
      </c>
      <c r="D10396" s="1" t="n">
        <v>1068.7</v>
      </c>
      <c r="E10396" s="1" t="n">
        <v>0.0175</v>
      </c>
      <c r="F10396" s="1" t="n">
        <v>0.1067</v>
      </c>
    </row>
    <row r="10397" customFormat="false" ht="15" hidden="false" customHeight="false" outlineLevel="0" collapsed="false">
      <c r="A10397" s="1" t="s">
        <v>10432</v>
      </c>
      <c r="B10397" s="1" t="s">
        <v>32</v>
      </c>
      <c r="C10397" s="1" t="n">
        <v>137000</v>
      </c>
      <c r="D10397" s="1" t="n">
        <v>13594.3</v>
      </c>
      <c r="E10397" s="1" t="n">
        <v>0.0247</v>
      </c>
      <c r="F10397" s="1" t="n">
        <v>0.0951</v>
      </c>
    </row>
    <row r="10398" customFormat="false" ht="15" hidden="false" customHeight="false" outlineLevel="0" collapsed="false">
      <c r="A10398" s="1" t="s">
        <v>10433</v>
      </c>
      <c r="B10398" s="1" t="s">
        <v>50</v>
      </c>
      <c r="C10398" s="1" t="n">
        <v>244000</v>
      </c>
      <c r="D10398" s="1" t="n">
        <v>8698.1</v>
      </c>
      <c r="E10398" s="1" t="n">
        <v>0.0271</v>
      </c>
      <c r="F10398" s="1" t="n">
        <v>0.0759</v>
      </c>
    </row>
    <row r="10399" customFormat="false" ht="15" hidden="false" customHeight="false" outlineLevel="0" collapsed="false">
      <c r="A10399" s="1" t="s">
        <v>10434</v>
      </c>
      <c r="B10399" s="1" t="s">
        <v>50</v>
      </c>
      <c r="C10399" s="1" t="n">
        <v>157000</v>
      </c>
      <c r="D10399" s="1" t="n">
        <v>14024.1</v>
      </c>
      <c r="E10399" s="1" t="n">
        <v>0.0752</v>
      </c>
      <c r="F10399" s="1" t="n">
        <v>0.0759</v>
      </c>
    </row>
    <row r="10400" customFormat="false" ht="15" hidden="false" customHeight="false" outlineLevel="0" collapsed="false">
      <c r="A10400" s="1" t="s">
        <v>10435</v>
      </c>
      <c r="B10400" s="1" t="s">
        <v>41</v>
      </c>
      <c r="C10400" s="1" t="n">
        <v>142000</v>
      </c>
      <c r="D10400" s="1" t="n">
        <v>1455.8</v>
      </c>
      <c r="E10400" s="1" t="n">
        <v>0.0213</v>
      </c>
      <c r="F10400" s="1" t="n">
        <v>0.0938</v>
      </c>
    </row>
    <row r="10401" customFormat="false" ht="15" hidden="false" customHeight="false" outlineLevel="0" collapsed="false">
      <c r="A10401" s="1" t="s">
        <v>10436</v>
      </c>
      <c r="B10401" s="1" t="s">
        <v>88</v>
      </c>
      <c r="C10401" s="1" t="n">
        <v>181000</v>
      </c>
      <c r="D10401" s="1" t="n">
        <v>2157.5</v>
      </c>
      <c r="E10401" s="1" t="n">
        <v>0.0349</v>
      </c>
      <c r="F10401" s="1" t="n">
        <v>0.0759</v>
      </c>
    </row>
    <row r="10402" customFormat="false" ht="15" hidden="false" customHeight="false" outlineLevel="0" collapsed="false">
      <c r="A10402" s="1" t="s">
        <v>10437</v>
      </c>
      <c r="B10402" s="1" t="s">
        <v>81</v>
      </c>
      <c r="C10402" s="1" t="n">
        <v>169000</v>
      </c>
      <c r="D10402" s="1" t="n">
        <v>4419.5</v>
      </c>
      <c r="E10402" s="1" t="n">
        <v>0.022</v>
      </c>
      <c r="F10402" s="1" t="n">
        <v>0.0759</v>
      </c>
    </row>
    <row r="10403" customFormat="false" ht="15" hidden="false" customHeight="false" outlineLevel="0" collapsed="false">
      <c r="A10403" s="1" t="s">
        <v>10438</v>
      </c>
      <c r="B10403" s="1" t="s">
        <v>30</v>
      </c>
      <c r="C10403" s="1" t="n">
        <v>131000</v>
      </c>
      <c r="F10403" s="1" t="n">
        <v>0.0759</v>
      </c>
    </row>
    <row r="10404" customFormat="false" ht="15" hidden="false" customHeight="false" outlineLevel="0" collapsed="false">
      <c r="A10404" s="1" t="s">
        <v>10439</v>
      </c>
      <c r="B10404" s="1" t="s">
        <v>74</v>
      </c>
      <c r="C10404" s="1" t="n">
        <v>155000</v>
      </c>
      <c r="D10404" s="1" t="n">
        <v>618.4</v>
      </c>
      <c r="E10404" s="1" t="n">
        <v>0.0256</v>
      </c>
      <c r="F10404" s="1" t="n">
        <v>0.0951</v>
      </c>
    </row>
    <row r="10405" customFormat="false" ht="15" hidden="false" customHeight="false" outlineLevel="0" collapsed="false">
      <c r="A10405" s="1" t="s">
        <v>10440</v>
      </c>
      <c r="B10405" s="1" t="s">
        <v>88</v>
      </c>
      <c r="C10405" s="1" t="n">
        <v>131000</v>
      </c>
      <c r="D10405" s="1" t="n">
        <v>977.6</v>
      </c>
      <c r="E10405" s="1" t="n">
        <v>0.039</v>
      </c>
      <c r="F10405" s="1" t="n">
        <v>0.0951</v>
      </c>
    </row>
    <row r="10406" customFormat="false" ht="15" hidden="false" customHeight="false" outlineLevel="0" collapsed="false">
      <c r="A10406" s="1" t="s">
        <v>10441</v>
      </c>
      <c r="B10406" s="1" t="s">
        <v>26</v>
      </c>
      <c r="C10406" s="1" t="n">
        <v>156000</v>
      </c>
      <c r="D10406" s="1" t="n">
        <v>1841.1</v>
      </c>
      <c r="E10406" s="1" t="n">
        <v>0.033</v>
      </c>
      <c r="F10406" s="1" t="n">
        <v>0.0759</v>
      </c>
    </row>
    <row r="10407" customFormat="false" ht="15" hidden="false" customHeight="false" outlineLevel="0" collapsed="false">
      <c r="A10407" s="1" t="s">
        <v>10442</v>
      </c>
      <c r="B10407" s="1" t="s">
        <v>21</v>
      </c>
      <c r="C10407" s="1" t="n">
        <v>187000</v>
      </c>
      <c r="D10407" s="1" t="n">
        <v>1060.1</v>
      </c>
      <c r="E10407" s="1" t="n">
        <v>0.0167</v>
      </c>
      <c r="F10407" s="1" t="n">
        <v>0.0726</v>
      </c>
    </row>
    <row r="10408" customFormat="false" ht="15" hidden="false" customHeight="false" outlineLevel="0" collapsed="false">
      <c r="A10408" s="1" t="s">
        <v>10443</v>
      </c>
      <c r="B10408" s="1" t="s">
        <v>24</v>
      </c>
      <c r="C10408" s="1" t="n">
        <v>456000</v>
      </c>
      <c r="D10408" s="1" t="n">
        <v>5009.3</v>
      </c>
      <c r="E10408" s="1" t="n">
        <v>0.0395</v>
      </c>
      <c r="F10408" s="1" t="n">
        <v>0.0759</v>
      </c>
    </row>
    <row r="10409" customFormat="false" ht="15" hidden="false" customHeight="false" outlineLevel="0" collapsed="false">
      <c r="A10409" s="1" t="s">
        <v>10444</v>
      </c>
      <c r="B10409" s="1" t="s">
        <v>88</v>
      </c>
      <c r="C10409" s="1" t="n">
        <v>182000</v>
      </c>
      <c r="D10409" s="1" t="n">
        <v>243.8</v>
      </c>
      <c r="E10409" s="1" t="n">
        <v>0.0095</v>
      </c>
      <c r="F10409" s="1" t="n">
        <v>0.0654</v>
      </c>
    </row>
    <row r="10410" customFormat="false" ht="15" hidden="false" customHeight="false" outlineLevel="0" collapsed="false">
      <c r="A10410" s="1" t="s">
        <v>10445</v>
      </c>
      <c r="B10410" s="1" t="s">
        <v>74</v>
      </c>
      <c r="C10410" s="1" t="n">
        <v>129000</v>
      </c>
      <c r="D10410" s="1" t="n">
        <v>387.4</v>
      </c>
      <c r="E10410" s="1" t="n">
        <v>0.0215</v>
      </c>
      <c r="F10410" s="1" t="n">
        <v>0.171</v>
      </c>
    </row>
    <row r="10411" customFormat="false" ht="15" hidden="false" customHeight="false" outlineLevel="0" collapsed="false">
      <c r="A10411" s="1" t="s">
        <v>10446</v>
      </c>
      <c r="B10411" s="1" t="s">
        <v>26</v>
      </c>
      <c r="C10411" s="1" t="n">
        <v>164000</v>
      </c>
      <c r="D10411" s="1" t="n">
        <v>3148.8</v>
      </c>
      <c r="E10411" s="1" t="n">
        <v>0.0385</v>
      </c>
      <c r="F10411" s="1" t="n">
        <v>0.0938</v>
      </c>
    </row>
    <row r="10412" customFormat="false" ht="15" hidden="false" customHeight="false" outlineLevel="0" collapsed="false">
      <c r="A10412" s="1" t="s">
        <v>10447</v>
      </c>
      <c r="B10412" s="1" t="s">
        <v>81</v>
      </c>
      <c r="C10412" s="1" t="n">
        <v>187000</v>
      </c>
      <c r="D10412" s="1" t="n">
        <v>1292.8</v>
      </c>
      <c r="E10412" s="1" t="n">
        <v>0.0152</v>
      </c>
      <c r="F10412" s="1" t="n">
        <v>0.0647</v>
      </c>
    </row>
    <row r="10413" customFormat="false" ht="15" hidden="false" customHeight="false" outlineLevel="0" collapsed="false">
      <c r="A10413" s="1" t="s">
        <v>10448</v>
      </c>
      <c r="B10413" s="1" t="s">
        <v>92</v>
      </c>
      <c r="C10413" s="1" t="n">
        <v>139000</v>
      </c>
      <c r="D10413" s="1" t="n">
        <v>4265.1</v>
      </c>
      <c r="E10413" s="1" t="n">
        <v>0.034</v>
      </c>
      <c r="F10413" s="1" t="n">
        <v>0.0409</v>
      </c>
    </row>
    <row r="10414" customFormat="false" ht="15" hidden="false" customHeight="false" outlineLevel="0" collapsed="false">
      <c r="A10414" s="1" t="s">
        <v>10449</v>
      </c>
      <c r="B10414" s="1" t="s">
        <v>41</v>
      </c>
      <c r="C10414" s="1" t="n">
        <v>586000</v>
      </c>
      <c r="D10414" s="1" t="n">
        <v>231.7</v>
      </c>
      <c r="E10414" s="1" t="n">
        <v>0.0609</v>
      </c>
      <c r="F10414" s="1" t="n">
        <v>0.1516</v>
      </c>
    </row>
    <row r="10415" customFormat="false" ht="15" hidden="false" customHeight="false" outlineLevel="0" collapsed="false">
      <c r="A10415" s="1" t="s">
        <v>10450</v>
      </c>
      <c r="B10415" s="1" t="s">
        <v>74</v>
      </c>
      <c r="C10415" s="1" t="n">
        <v>167000</v>
      </c>
      <c r="D10415" s="1" t="n">
        <v>384.3</v>
      </c>
      <c r="E10415" s="1" t="n">
        <v>0.0472</v>
      </c>
      <c r="F10415" s="1" t="n">
        <v>0.0938</v>
      </c>
    </row>
    <row r="10416" customFormat="false" ht="15" hidden="false" customHeight="false" outlineLevel="0" collapsed="false">
      <c r="A10416" s="1" t="s">
        <v>10451</v>
      </c>
      <c r="B10416" s="1" t="s">
        <v>92</v>
      </c>
      <c r="C10416" s="1" t="n">
        <v>146000</v>
      </c>
      <c r="D10416" s="1" t="n">
        <v>3541.6</v>
      </c>
      <c r="E10416" s="1" t="n">
        <v>0.0097</v>
      </c>
      <c r="F10416" s="1" t="n">
        <v>0.1187</v>
      </c>
    </row>
    <row r="10417" customFormat="false" ht="15" hidden="false" customHeight="false" outlineLevel="0" collapsed="false">
      <c r="A10417" s="1" t="s">
        <v>10452</v>
      </c>
      <c r="B10417" s="1" t="s">
        <v>21</v>
      </c>
      <c r="C10417" s="1" t="n">
        <v>132000</v>
      </c>
      <c r="D10417" s="1" t="n">
        <v>565.5</v>
      </c>
      <c r="E10417" s="1" t="n">
        <v>0.0165</v>
      </c>
      <c r="F10417" s="1" t="n">
        <v>0.1873</v>
      </c>
    </row>
    <row r="10418" customFormat="false" ht="15" hidden="false" customHeight="false" outlineLevel="0" collapsed="false">
      <c r="A10418" s="1" t="s">
        <v>10453</v>
      </c>
      <c r="B10418" s="1" t="s">
        <v>71</v>
      </c>
      <c r="C10418" s="1" t="n">
        <v>129000</v>
      </c>
      <c r="D10418" s="1" t="n">
        <v>453.4</v>
      </c>
      <c r="E10418" s="1" t="n">
        <v>0.0128</v>
      </c>
      <c r="F10418" s="1" t="n">
        <v>0.1617</v>
      </c>
    </row>
    <row r="10419" customFormat="false" ht="15" hidden="false" customHeight="false" outlineLevel="0" collapsed="false">
      <c r="A10419" s="1" t="s">
        <v>10454</v>
      </c>
      <c r="B10419" s="1" t="s">
        <v>74</v>
      </c>
      <c r="C10419" s="1" t="n">
        <v>167000</v>
      </c>
      <c r="D10419" s="1" t="n">
        <v>17793.1</v>
      </c>
      <c r="E10419" s="1" t="n">
        <v>0.1058</v>
      </c>
      <c r="F10419" s="1" t="n">
        <v>0.0759</v>
      </c>
    </row>
    <row r="10420" customFormat="false" ht="15" hidden="false" customHeight="false" outlineLevel="0" collapsed="false">
      <c r="A10420" s="1" t="s">
        <v>10455</v>
      </c>
      <c r="B10420" s="1" t="s">
        <v>62</v>
      </c>
      <c r="C10420" s="1" t="n">
        <v>132000</v>
      </c>
      <c r="D10420" s="1" t="n">
        <v>4038.1</v>
      </c>
      <c r="E10420" s="1" t="n">
        <v>0.0253</v>
      </c>
      <c r="F10420" s="1" t="n">
        <v>0.0518</v>
      </c>
    </row>
    <row r="10421" customFormat="false" ht="15" hidden="false" customHeight="false" outlineLevel="0" collapsed="false">
      <c r="A10421" s="1" t="s">
        <v>10456</v>
      </c>
      <c r="B10421" s="1" t="s">
        <v>26</v>
      </c>
      <c r="C10421" s="1" t="n">
        <v>228000</v>
      </c>
      <c r="D10421" s="1" t="n">
        <v>6206</v>
      </c>
      <c r="E10421" s="1" t="n">
        <v>0.0027</v>
      </c>
      <c r="F10421" s="1" t="n">
        <v>0.0654</v>
      </c>
    </row>
    <row r="10422" customFormat="false" ht="15" hidden="false" customHeight="false" outlineLevel="0" collapsed="false">
      <c r="A10422" s="1" t="s">
        <v>10457</v>
      </c>
      <c r="B10422" s="1" t="s">
        <v>53</v>
      </c>
      <c r="C10422" s="1" t="n">
        <v>135000</v>
      </c>
      <c r="D10422" s="1" t="n">
        <v>133.8</v>
      </c>
      <c r="E10422" s="1" t="n">
        <v>0.0283</v>
      </c>
      <c r="F10422" s="1" t="n">
        <v>0.0938</v>
      </c>
    </row>
    <row r="10423" customFormat="false" ht="15" hidden="false" customHeight="false" outlineLevel="0" collapsed="false">
      <c r="A10423" s="1" t="s">
        <v>10458</v>
      </c>
      <c r="B10423" s="1" t="s">
        <v>26</v>
      </c>
      <c r="C10423" s="1" t="n">
        <v>608000</v>
      </c>
      <c r="D10423" s="1" t="n">
        <v>61864.1</v>
      </c>
      <c r="E10423" s="1" t="n">
        <v>0.1091</v>
      </c>
      <c r="F10423" s="1" t="n">
        <v>0.0759</v>
      </c>
    </row>
    <row r="10424" customFormat="false" ht="15" hidden="false" customHeight="false" outlineLevel="0" collapsed="false">
      <c r="A10424" s="1" t="s">
        <v>10459</v>
      </c>
      <c r="B10424" s="1" t="s">
        <v>88</v>
      </c>
      <c r="C10424" s="1" t="n">
        <v>230000</v>
      </c>
      <c r="D10424" s="1" t="n">
        <v>3758.1</v>
      </c>
      <c r="E10424" s="1" t="n">
        <v>0.0335</v>
      </c>
      <c r="F10424" s="1" t="n">
        <v>0.0938</v>
      </c>
    </row>
    <row r="10425" customFormat="false" ht="15" hidden="false" customHeight="false" outlineLevel="0" collapsed="false">
      <c r="A10425" s="1" t="s">
        <v>10460</v>
      </c>
      <c r="B10425" s="1" t="s">
        <v>71</v>
      </c>
      <c r="C10425" s="1" t="n">
        <v>151000</v>
      </c>
      <c r="D10425" s="1" t="n">
        <v>189.2</v>
      </c>
      <c r="E10425" s="1" t="n">
        <v>0.0091</v>
      </c>
      <c r="F10425" s="1" t="n">
        <v>0.0726</v>
      </c>
    </row>
    <row r="10426" customFormat="false" ht="15" hidden="false" customHeight="false" outlineLevel="0" collapsed="false">
      <c r="A10426" s="1" t="s">
        <v>10461</v>
      </c>
      <c r="B10426" s="1" t="s">
        <v>26</v>
      </c>
      <c r="C10426" s="1" t="n">
        <v>150000</v>
      </c>
      <c r="D10426" s="1" t="n">
        <v>2543.8</v>
      </c>
      <c r="E10426" s="1" t="n">
        <v>0.0219</v>
      </c>
      <c r="F10426" s="1" t="n">
        <v>0.0854</v>
      </c>
    </row>
    <row r="10427" customFormat="false" ht="15" hidden="false" customHeight="false" outlineLevel="0" collapsed="false">
      <c r="A10427" s="1" t="s">
        <v>10462</v>
      </c>
      <c r="B10427" s="1" t="s">
        <v>287</v>
      </c>
      <c r="C10427" s="1" t="n">
        <v>189000</v>
      </c>
      <c r="D10427" s="1" t="n">
        <v>4404.2</v>
      </c>
      <c r="E10427" s="1" t="n">
        <v>0.0189</v>
      </c>
      <c r="F10427" s="1" t="n">
        <v>0.1053</v>
      </c>
    </row>
    <row r="10428" customFormat="false" ht="15" hidden="false" customHeight="false" outlineLevel="0" collapsed="false">
      <c r="A10428" s="1" t="s">
        <v>10463</v>
      </c>
      <c r="B10428" s="1" t="s">
        <v>50</v>
      </c>
      <c r="C10428" s="1" t="n">
        <v>139000</v>
      </c>
      <c r="D10428" s="1" t="n">
        <v>110681.9</v>
      </c>
      <c r="E10428" s="1" t="n">
        <v>0.0303</v>
      </c>
      <c r="F10428" s="1" t="n">
        <v>0.0951</v>
      </c>
    </row>
    <row r="10429" customFormat="false" ht="15" hidden="false" customHeight="false" outlineLevel="0" collapsed="false">
      <c r="A10429" s="1" t="s">
        <v>10464</v>
      </c>
      <c r="B10429" s="1" t="s">
        <v>41</v>
      </c>
      <c r="C10429" s="1" t="n">
        <v>150000</v>
      </c>
      <c r="D10429" s="1" t="n">
        <v>16093.3</v>
      </c>
      <c r="E10429" s="1" t="n">
        <v>0.0107</v>
      </c>
      <c r="F10429" s="1" t="n">
        <v>0.0849</v>
      </c>
    </row>
    <row r="10430" customFormat="false" ht="15" hidden="false" customHeight="false" outlineLevel="0" collapsed="false">
      <c r="A10430" s="1" t="s">
        <v>10465</v>
      </c>
      <c r="B10430" s="1" t="s">
        <v>53</v>
      </c>
      <c r="C10430" s="1" t="n">
        <v>415000</v>
      </c>
      <c r="D10430" s="1" t="n">
        <v>3779.4</v>
      </c>
      <c r="E10430" s="1" t="n">
        <v>0.0159</v>
      </c>
      <c r="F10430" s="1" t="n">
        <v>0.0585</v>
      </c>
    </row>
    <row r="10431" customFormat="false" ht="15" hidden="false" customHeight="false" outlineLevel="0" collapsed="false">
      <c r="A10431" s="1" t="s">
        <v>10466</v>
      </c>
      <c r="B10431" s="1" t="s">
        <v>26</v>
      </c>
      <c r="C10431" s="1" t="n">
        <v>158000</v>
      </c>
      <c r="D10431" s="1" t="n">
        <v>9602.5</v>
      </c>
      <c r="E10431" s="1" t="n">
        <v>0.0308</v>
      </c>
      <c r="F10431" s="1" t="n">
        <v>0.0759</v>
      </c>
    </row>
    <row r="10432" customFormat="false" ht="15" hidden="false" customHeight="false" outlineLevel="0" collapsed="false">
      <c r="A10432" s="1" t="s">
        <v>10467</v>
      </c>
      <c r="B10432" s="1" t="s">
        <v>50</v>
      </c>
      <c r="C10432" s="1" t="n">
        <v>136000</v>
      </c>
      <c r="F10432" s="1" t="n">
        <v>0.0759</v>
      </c>
    </row>
    <row r="10433" customFormat="false" ht="15" hidden="false" customHeight="false" outlineLevel="0" collapsed="false">
      <c r="A10433" s="1" t="s">
        <v>10468</v>
      </c>
      <c r="B10433" s="1" t="s">
        <v>88</v>
      </c>
      <c r="C10433" s="1" t="n">
        <v>242000</v>
      </c>
      <c r="D10433" s="1" t="n">
        <v>219.4</v>
      </c>
      <c r="E10433" s="1" t="n">
        <v>0.0747</v>
      </c>
      <c r="F10433" s="1" t="n">
        <v>0.0938</v>
      </c>
    </row>
    <row r="10434" customFormat="false" ht="15" hidden="false" customHeight="false" outlineLevel="0" collapsed="false">
      <c r="A10434" s="1" t="s">
        <v>10469</v>
      </c>
      <c r="B10434" s="1" t="s">
        <v>88</v>
      </c>
      <c r="C10434" s="1" t="n">
        <v>359000</v>
      </c>
      <c r="D10434" s="1" t="n">
        <v>15466.4</v>
      </c>
      <c r="F10434" s="1" t="n">
        <v>0.0409</v>
      </c>
    </row>
    <row r="10435" customFormat="false" ht="15" hidden="false" customHeight="false" outlineLevel="0" collapsed="false">
      <c r="A10435" s="1" t="s">
        <v>10470</v>
      </c>
      <c r="B10435" s="1" t="s">
        <v>490</v>
      </c>
      <c r="C10435" s="1" t="n">
        <v>129000</v>
      </c>
      <c r="D10435" s="1" t="n">
        <v>16764.1</v>
      </c>
      <c r="E10435" s="1" t="n">
        <v>0.0305</v>
      </c>
      <c r="F10435" s="1" t="n">
        <v>0.0951</v>
      </c>
    </row>
    <row r="10436" customFormat="false" ht="15" hidden="false" customHeight="false" outlineLevel="0" collapsed="false">
      <c r="A10436" s="1" t="s">
        <v>10471</v>
      </c>
      <c r="B10436" s="1" t="s">
        <v>35</v>
      </c>
      <c r="C10436" s="1" t="n">
        <v>204000</v>
      </c>
      <c r="D10436" s="1" t="n">
        <v>30082.7</v>
      </c>
      <c r="E10436" s="1" t="n">
        <v>0.0187</v>
      </c>
      <c r="F10436" s="1" t="n">
        <v>0.0854</v>
      </c>
    </row>
    <row r="10437" customFormat="false" ht="15" hidden="false" customHeight="false" outlineLevel="0" collapsed="false">
      <c r="A10437" s="1" t="s">
        <v>10472</v>
      </c>
      <c r="B10437" s="1" t="s">
        <v>53</v>
      </c>
      <c r="C10437" s="1" t="n">
        <v>130000</v>
      </c>
      <c r="D10437" s="1" t="n">
        <v>5771817.1</v>
      </c>
      <c r="E10437" s="1" t="n">
        <v>0.0125</v>
      </c>
      <c r="F10437" s="1" t="n">
        <v>0.0775</v>
      </c>
    </row>
    <row r="10438" customFormat="false" ht="15" hidden="false" customHeight="false" outlineLevel="0" collapsed="false">
      <c r="A10438" s="1" t="s">
        <v>10473</v>
      </c>
      <c r="B10438" s="1" t="s">
        <v>88</v>
      </c>
      <c r="C10438" s="1" t="n">
        <v>385000</v>
      </c>
      <c r="D10438" s="1" t="n">
        <v>1895.3</v>
      </c>
      <c r="E10438" s="1" t="n">
        <v>0.027</v>
      </c>
      <c r="F10438" s="1" t="n">
        <v>0.1053</v>
      </c>
    </row>
    <row r="10439" customFormat="false" ht="15" hidden="false" customHeight="false" outlineLevel="0" collapsed="false">
      <c r="A10439" s="1" t="s">
        <v>10474</v>
      </c>
      <c r="B10439" s="1" t="s">
        <v>41</v>
      </c>
      <c r="C10439" s="1" t="n">
        <v>168000</v>
      </c>
      <c r="D10439" s="1" t="n">
        <v>511</v>
      </c>
      <c r="E10439" s="1" t="n">
        <v>0.0303</v>
      </c>
      <c r="F10439" s="1" t="n">
        <v>0.0538</v>
      </c>
    </row>
    <row r="10440" customFormat="false" ht="15" hidden="false" customHeight="false" outlineLevel="0" collapsed="false">
      <c r="A10440" s="1" t="s">
        <v>10475</v>
      </c>
      <c r="B10440" s="1" t="s">
        <v>24</v>
      </c>
      <c r="C10440" s="1" t="n">
        <v>192000</v>
      </c>
      <c r="D10440" s="1" t="n">
        <v>17302.4</v>
      </c>
      <c r="E10440" s="1" t="n">
        <v>0.0336</v>
      </c>
      <c r="F10440" s="1" t="n">
        <v>0.0759</v>
      </c>
    </row>
    <row r="10441" customFormat="false" ht="15" hidden="false" customHeight="false" outlineLevel="0" collapsed="false">
      <c r="A10441" s="1" t="s">
        <v>10476</v>
      </c>
      <c r="B10441" s="1" t="s">
        <v>71</v>
      </c>
      <c r="C10441" s="1" t="n">
        <v>175000</v>
      </c>
      <c r="D10441" s="1" t="n">
        <v>32770.4</v>
      </c>
      <c r="E10441" s="1" t="n">
        <v>0.0302</v>
      </c>
      <c r="F10441" s="1" t="n">
        <v>0.0951</v>
      </c>
    </row>
    <row r="10442" customFormat="false" ht="15" hidden="false" customHeight="false" outlineLevel="0" collapsed="false">
      <c r="A10442" s="1" t="s">
        <v>10477</v>
      </c>
      <c r="B10442" s="1" t="s">
        <v>26</v>
      </c>
      <c r="C10442" s="1" t="n">
        <v>129000</v>
      </c>
      <c r="D10442" s="1" t="n">
        <v>1356.7</v>
      </c>
      <c r="E10442" s="1" t="n">
        <v>0.0296</v>
      </c>
      <c r="F10442" s="1" t="n">
        <v>0.0998</v>
      </c>
    </row>
    <row r="10443" customFormat="false" ht="15" hidden="false" customHeight="false" outlineLevel="0" collapsed="false">
      <c r="A10443" s="1" t="s">
        <v>10478</v>
      </c>
      <c r="B10443" s="1" t="s">
        <v>26</v>
      </c>
      <c r="C10443" s="1" t="n">
        <v>267000</v>
      </c>
      <c r="D10443" s="1" t="n">
        <v>6104.8</v>
      </c>
      <c r="F10443" s="1" t="n">
        <v>0.0759</v>
      </c>
    </row>
    <row r="10444" customFormat="false" ht="15" hidden="false" customHeight="false" outlineLevel="0" collapsed="false">
      <c r="A10444" s="1" t="s">
        <v>10479</v>
      </c>
      <c r="B10444" s="1" t="s">
        <v>50</v>
      </c>
      <c r="C10444" s="1" t="n">
        <v>148000</v>
      </c>
      <c r="D10444" s="1" t="n">
        <v>1439.9</v>
      </c>
      <c r="E10444" s="1" t="n">
        <v>0.0211</v>
      </c>
      <c r="F10444" s="1" t="n">
        <v>0.0937</v>
      </c>
    </row>
    <row r="10445" customFormat="false" ht="15" hidden="false" customHeight="false" outlineLevel="0" collapsed="false">
      <c r="A10445" s="1" t="s">
        <v>10480</v>
      </c>
      <c r="B10445" s="1" t="s">
        <v>88</v>
      </c>
      <c r="C10445" s="1" t="n">
        <v>187000</v>
      </c>
      <c r="D10445" s="1" t="n">
        <v>2145.9</v>
      </c>
      <c r="E10445" s="1" t="n">
        <v>0.0465</v>
      </c>
      <c r="F10445" s="1" t="n">
        <v>0.0951</v>
      </c>
    </row>
    <row r="10446" customFormat="false" ht="15" hidden="false" customHeight="false" outlineLevel="0" collapsed="false">
      <c r="A10446" s="1" t="s">
        <v>10481</v>
      </c>
      <c r="B10446" s="1" t="s">
        <v>74</v>
      </c>
      <c r="C10446" s="1" t="n">
        <v>133000</v>
      </c>
      <c r="D10446" s="1" t="n">
        <v>9584.2</v>
      </c>
      <c r="E10446" s="1" t="n">
        <v>0.025</v>
      </c>
      <c r="F10446" s="1" t="n">
        <v>0.0951</v>
      </c>
    </row>
    <row r="10447" customFormat="false" ht="15" hidden="false" customHeight="false" outlineLevel="0" collapsed="false">
      <c r="A10447" s="1" t="s">
        <v>10482</v>
      </c>
      <c r="B10447" s="1" t="s">
        <v>88</v>
      </c>
      <c r="C10447" s="1" t="n">
        <v>130000</v>
      </c>
      <c r="D10447" s="1" t="n">
        <v>1016.9</v>
      </c>
      <c r="E10447" s="1" t="n">
        <v>0.0517</v>
      </c>
      <c r="F10447" s="1" t="n">
        <v>0.0951</v>
      </c>
    </row>
    <row r="10448" customFormat="false" ht="15" hidden="false" customHeight="false" outlineLevel="0" collapsed="false">
      <c r="A10448" s="1" t="s">
        <v>10483</v>
      </c>
      <c r="B10448" s="1" t="s">
        <v>74</v>
      </c>
      <c r="C10448" s="1" t="n">
        <v>124000</v>
      </c>
      <c r="D10448" s="1" t="n">
        <v>592.3</v>
      </c>
      <c r="E10448" s="1" t="n">
        <v>0.0322</v>
      </c>
      <c r="F10448" s="1" t="n">
        <v>0.171</v>
      </c>
    </row>
    <row r="10449" customFormat="false" ht="15" hidden="false" customHeight="false" outlineLevel="0" collapsed="false">
      <c r="A10449" s="1" t="s">
        <v>10484</v>
      </c>
      <c r="B10449" s="1" t="s">
        <v>71</v>
      </c>
      <c r="C10449" s="1" t="n">
        <v>242000</v>
      </c>
      <c r="D10449" s="1" t="n">
        <v>150910</v>
      </c>
      <c r="E10449" s="1" t="n">
        <v>0.0668</v>
      </c>
      <c r="F10449" s="1" t="n">
        <v>0.0951</v>
      </c>
    </row>
    <row r="10450" customFormat="false" ht="15" hidden="false" customHeight="false" outlineLevel="0" collapsed="false">
      <c r="A10450" s="1" t="s">
        <v>10485</v>
      </c>
      <c r="B10450" s="1" t="s">
        <v>92</v>
      </c>
      <c r="C10450" s="1" t="n">
        <v>152000</v>
      </c>
      <c r="D10450" s="1" t="n">
        <v>93176.4</v>
      </c>
      <c r="E10450" s="1" t="n">
        <v>0.0523</v>
      </c>
      <c r="F10450" s="1" t="n">
        <v>0.0409</v>
      </c>
    </row>
    <row r="10451" customFormat="false" ht="15" hidden="false" customHeight="false" outlineLevel="0" collapsed="false">
      <c r="A10451" s="1" t="s">
        <v>10486</v>
      </c>
      <c r="B10451" s="1" t="s">
        <v>74</v>
      </c>
      <c r="C10451" s="1" t="n">
        <v>180000</v>
      </c>
      <c r="D10451" s="1" t="n">
        <v>0.7</v>
      </c>
      <c r="F10451" s="1" t="n">
        <v>0.0938</v>
      </c>
    </row>
    <row r="10452" customFormat="false" ht="15" hidden="false" customHeight="false" outlineLevel="0" collapsed="false">
      <c r="A10452" s="1" t="s">
        <v>10487</v>
      </c>
      <c r="B10452" s="1" t="s">
        <v>81</v>
      </c>
      <c r="C10452" s="1" t="n">
        <v>135000</v>
      </c>
      <c r="D10452" s="1" t="n">
        <v>1944.1</v>
      </c>
      <c r="F10452" s="1" t="n">
        <v>0.0518</v>
      </c>
    </row>
    <row r="10453" customFormat="false" ht="15" hidden="false" customHeight="false" outlineLevel="0" collapsed="false">
      <c r="A10453" s="1" t="s">
        <v>10488</v>
      </c>
      <c r="B10453" s="1" t="s">
        <v>74</v>
      </c>
      <c r="C10453" s="1" t="n">
        <v>139000</v>
      </c>
      <c r="D10453" s="1" t="n">
        <v>3248.9</v>
      </c>
      <c r="E10453" s="1" t="n">
        <v>0.0421</v>
      </c>
      <c r="F10453" s="1" t="n">
        <v>0.0759</v>
      </c>
    </row>
    <row r="10454" customFormat="false" ht="15" hidden="false" customHeight="false" outlineLevel="0" collapsed="false">
      <c r="A10454" s="1" t="s">
        <v>10489</v>
      </c>
      <c r="B10454" s="1" t="s">
        <v>88</v>
      </c>
      <c r="C10454" s="1" t="n">
        <v>145000</v>
      </c>
      <c r="D10454" s="1" t="n">
        <v>227.5</v>
      </c>
      <c r="E10454" s="1" t="n">
        <v>0.041</v>
      </c>
      <c r="F10454" s="1" t="n">
        <v>0.0938</v>
      </c>
    </row>
    <row r="10455" customFormat="false" ht="15" hidden="false" customHeight="false" outlineLevel="0" collapsed="false">
      <c r="A10455" s="1" t="s">
        <v>10490</v>
      </c>
      <c r="B10455" s="1" t="s">
        <v>81</v>
      </c>
      <c r="C10455" s="1" t="n">
        <v>357000</v>
      </c>
      <c r="D10455" s="1" t="n">
        <v>48133.1</v>
      </c>
      <c r="E10455" s="1" t="n">
        <v>0.0291</v>
      </c>
      <c r="F10455" s="1" t="n">
        <v>0.0759</v>
      </c>
    </row>
    <row r="10456" customFormat="false" ht="15" hidden="false" customHeight="false" outlineLevel="0" collapsed="false">
      <c r="A10456" s="1" t="s">
        <v>10491</v>
      </c>
      <c r="B10456" s="1" t="s">
        <v>26</v>
      </c>
      <c r="C10456" s="1" t="n">
        <v>136000</v>
      </c>
      <c r="D10456" s="1" t="n">
        <v>9040.7</v>
      </c>
      <c r="E10456" s="1" t="n">
        <v>0.0421</v>
      </c>
      <c r="F10456" s="1" t="n">
        <v>0.0938</v>
      </c>
    </row>
    <row r="10457" customFormat="false" ht="15" hidden="false" customHeight="false" outlineLevel="0" collapsed="false">
      <c r="A10457" s="1" t="s">
        <v>10492</v>
      </c>
      <c r="B10457" s="1" t="s">
        <v>50</v>
      </c>
      <c r="C10457" s="1" t="n">
        <v>137000</v>
      </c>
      <c r="D10457" s="1" t="n">
        <v>3347.3</v>
      </c>
      <c r="E10457" s="1" t="n">
        <v>0.0175</v>
      </c>
      <c r="F10457" s="1" t="n">
        <v>0.1067</v>
      </c>
    </row>
    <row r="10458" customFormat="false" ht="15" hidden="false" customHeight="false" outlineLevel="0" collapsed="false">
      <c r="A10458" s="1" t="s">
        <v>10493</v>
      </c>
      <c r="B10458" s="1" t="s">
        <v>88</v>
      </c>
      <c r="C10458" s="1" t="n">
        <v>142000</v>
      </c>
      <c r="D10458" s="1" t="n">
        <v>121.4</v>
      </c>
      <c r="E10458" s="1" t="n">
        <v>0.0079</v>
      </c>
      <c r="F10458" s="1" t="n">
        <v>0.1737</v>
      </c>
    </row>
    <row r="10459" customFormat="false" ht="15" hidden="false" customHeight="false" outlineLevel="0" collapsed="false">
      <c r="A10459" s="1" t="s">
        <v>10494</v>
      </c>
      <c r="B10459" s="1" t="s">
        <v>41</v>
      </c>
      <c r="C10459" s="1" t="n">
        <v>225000</v>
      </c>
      <c r="D10459" s="1" t="n">
        <v>868.3</v>
      </c>
      <c r="E10459" s="1" t="n">
        <v>0.0031</v>
      </c>
      <c r="F10459" s="1" t="n">
        <v>0.2355</v>
      </c>
    </row>
    <row r="10460" customFormat="false" ht="15" hidden="false" customHeight="false" outlineLevel="0" collapsed="false">
      <c r="A10460" s="1" t="s">
        <v>10495</v>
      </c>
      <c r="B10460" s="1" t="s">
        <v>41</v>
      </c>
      <c r="C10460" s="1" t="n">
        <v>270000</v>
      </c>
      <c r="D10460" s="1" t="n">
        <v>1047.1</v>
      </c>
      <c r="E10460" s="1" t="n">
        <v>0.0042</v>
      </c>
      <c r="F10460" s="1" t="n">
        <v>0.0811</v>
      </c>
    </row>
    <row r="10461" customFormat="false" ht="15" hidden="false" customHeight="false" outlineLevel="0" collapsed="false">
      <c r="A10461" s="1" t="s">
        <v>10496</v>
      </c>
      <c r="B10461" s="1" t="s">
        <v>28</v>
      </c>
      <c r="C10461" s="1" t="n">
        <v>150000</v>
      </c>
      <c r="D10461" s="1" t="n">
        <v>1070</v>
      </c>
      <c r="E10461" s="1" t="n">
        <v>0.0359</v>
      </c>
      <c r="F10461" s="1" t="n">
        <v>0.144</v>
      </c>
    </row>
    <row r="10462" customFormat="false" ht="15" hidden="false" customHeight="false" outlineLevel="0" collapsed="false">
      <c r="A10462" s="1" t="s">
        <v>10497</v>
      </c>
      <c r="B10462" s="1" t="s">
        <v>32</v>
      </c>
      <c r="C10462" s="1" t="n">
        <v>234000</v>
      </c>
      <c r="D10462" s="1" t="n">
        <v>141224.8</v>
      </c>
      <c r="E10462" s="1" t="n">
        <v>0.0105</v>
      </c>
      <c r="F10462" s="1" t="n">
        <v>0.0822</v>
      </c>
    </row>
    <row r="10463" customFormat="false" ht="15" hidden="false" customHeight="false" outlineLevel="0" collapsed="false">
      <c r="A10463" s="1" t="s">
        <v>10498</v>
      </c>
      <c r="B10463" s="1" t="s">
        <v>26</v>
      </c>
      <c r="C10463" s="1" t="n">
        <v>125000</v>
      </c>
      <c r="D10463" s="1" t="n">
        <v>7302.9</v>
      </c>
      <c r="F10463" s="1" t="n">
        <v>0.0951</v>
      </c>
    </row>
    <row r="10464" customFormat="false" ht="15" hidden="false" customHeight="false" outlineLevel="0" collapsed="false">
      <c r="A10464" s="1" t="s">
        <v>10499</v>
      </c>
      <c r="B10464" s="1" t="s">
        <v>26</v>
      </c>
      <c r="C10464" s="1" t="n">
        <v>131000</v>
      </c>
      <c r="D10464" s="1" t="n">
        <v>1321.8</v>
      </c>
      <c r="E10464" s="1" t="n">
        <v>0.0342</v>
      </c>
      <c r="F10464" s="1" t="n">
        <v>0.6306</v>
      </c>
    </row>
    <row r="10465" customFormat="false" ht="15" hidden="false" customHeight="false" outlineLevel="0" collapsed="false">
      <c r="A10465" s="1" t="s">
        <v>10500</v>
      </c>
      <c r="B10465" s="1" t="s">
        <v>92</v>
      </c>
      <c r="C10465" s="1" t="n">
        <v>445000</v>
      </c>
      <c r="D10465" s="1" t="n">
        <v>9096.1</v>
      </c>
      <c r="E10465" s="1" t="n">
        <v>0.022</v>
      </c>
      <c r="F10465" s="1" t="n">
        <v>0.3301</v>
      </c>
    </row>
    <row r="10466" customFormat="false" ht="15" hidden="false" customHeight="false" outlineLevel="0" collapsed="false">
      <c r="A10466" s="1" t="s">
        <v>10501</v>
      </c>
      <c r="B10466" s="1" t="s">
        <v>88</v>
      </c>
      <c r="C10466" s="1" t="n">
        <v>203000</v>
      </c>
      <c r="D10466" s="1" t="n">
        <v>6035.8</v>
      </c>
      <c r="E10466" s="1" t="n">
        <v>0.0305</v>
      </c>
      <c r="F10466" s="1" t="n">
        <v>0.0951</v>
      </c>
    </row>
    <row r="10467" customFormat="false" ht="15" hidden="false" customHeight="false" outlineLevel="0" collapsed="false">
      <c r="A10467" s="1" t="s">
        <v>10502</v>
      </c>
      <c r="B10467" s="1" t="s">
        <v>26</v>
      </c>
      <c r="C10467" s="1" t="n">
        <v>189000</v>
      </c>
      <c r="D10467" s="1" t="n">
        <v>24854.2</v>
      </c>
      <c r="E10467" s="1" t="n">
        <v>0.0419</v>
      </c>
      <c r="F10467" s="1" t="n">
        <v>0.0951</v>
      </c>
    </row>
    <row r="10468" customFormat="false" ht="15" hidden="false" customHeight="false" outlineLevel="0" collapsed="false">
      <c r="A10468" s="1" t="s">
        <v>10503</v>
      </c>
      <c r="B10468" s="1" t="s">
        <v>26</v>
      </c>
      <c r="C10468" s="1" t="n">
        <v>167000</v>
      </c>
      <c r="D10468" s="1" t="n">
        <v>410249</v>
      </c>
      <c r="E10468" s="1" t="n">
        <v>0.0527</v>
      </c>
      <c r="F10468" s="1" t="n">
        <v>0.0951</v>
      </c>
    </row>
    <row r="10469" customFormat="false" ht="15" hidden="false" customHeight="false" outlineLevel="0" collapsed="false">
      <c r="A10469" s="1" t="s">
        <v>10504</v>
      </c>
      <c r="B10469" s="1" t="s">
        <v>26</v>
      </c>
      <c r="C10469" s="1" t="n">
        <v>151000</v>
      </c>
      <c r="D10469" s="1" t="n">
        <v>2219.3</v>
      </c>
      <c r="E10469" s="1" t="n">
        <v>0.04</v>
      </c>
      <c r="F10469" s="1" t="n">
        <v>0.0759</v>
      </c>
    </row>
    <row r="10470" customFormat="false" ht="15" hidden="false" customHeight="false" outlineLevel="0" collapsed="false">
      <c r="A10470" s="1" t="s">
        <v>10505</v>
      </c>
      <c r="B10470" s="1" t="s">
        <v>214</v>
      </c>
      <c r="C10470" s="1" t="n">
        <v>133000</v>
      </c>
      <c r="D10470" s="1" t="n">
        <v>658.5</v>
      </c>
      <c r="E10470" s="1" t="n">
        <v>0.0048</v>
      </c>
      <c r="F10470" s="1" t="n">
        <v>0.0822</v>
      </c>
    </row>
    <row r="10471" customFormat="false" ht="15" hidden="false" customHeight="false" outlineLevel="0" collapsed="false">
      <c r="A10471" s="1" t="s">
        <v>10506</v>
      </c>
      <c r="B10471" s="1" t="s">
        <v>53</v>
      </c>
      <c r="C10471" s="1" t="n">
        <v>130000</v>
      </c>
      <c r="D10471" s="1" t="n">
        <v>3268.9</v>
      </c>
      <c r="E10471" s="1" t="n">
        <v>0.1429</v>
      </c>
      <c r="F10471" s="1" t="n">
        <v>0.0518</v>
      </c>
    </row>
    <row r="10472" customFormat="false" ht="15" hidden="false" customHeight="false" outlineLevel="0" collapsed="false">
      <c r="A10472" s="1" t="s">
        <v>10507</v>
      </c>
      <c r="B10472" s="1" t="s">
        <v>71</v>
      </c>
      <c r="C10472" s="1" t="n">
        <v>303000</v>
      </c>
      <c r="D10472" s="1" t="n">
        <v>94012.5</v>
      </c>
      <c r="E10472" s="1" t="n">
        <v>0.0568</v>
      </c>
      <c r="F10472" s="1" t="n">
        <v>0.0759</v>
      </c>
    </row>
    <row r="10473" customFormat="false" ht="15" hidden="false" customHeight="false" outlineLevel="0" collapsed="false">
      <c r="A10473" s="1" t="s">
        <v>10508</v>
      </c>
      <c r="B10473" s="1" t="s">
        <v>26</v>
      </c>
      <c r="C10473" s="1" t="n">
        <v>138000</v>
      </c>
      <c r="D10473" s="1" t="n">
        <v>1228.4</v>
      </c>
      <c r="E10473" s="1" t="n">
        <v>0.0131</v>
      </c>
      <c r="F10473" s="1" t="n">
        <v>0.1889</v>
      </c>
    </row>
    <row r="10474" customFormat="false" ht="15" hidden="false" customHeight="false" outlineLevel="0" collapsed="false">
      <c r="A10474" s="1" t="s">
        <v>10509</v>
      </c>
      <c r="B10474" s="1" t="s">
        <v>26</v>
      </c>
      <c r="C10474" s="1" t="n">
        <v>378000</v>
      </c>
      <c r="D10474" s="1" t="n">
        <v>9874</v>
      </c>
      <c r="E10474" s="1" t="n">
        <v>0.0104</v>
      </c>
      <c r="F10474" s="1" t="n">
        <v>0.0584</v>
      </c>
    </row>
    <row r="10475" customFormat="false" ht="15" hidden="false" customHeight="false" outlineLevel="0" collapsed="false">
      <c r="A10475" s="1" t="s">
        <v>10510</v>
      </c>
      <c r="B10475" s="1" t="s">
        <v>26</v>
      </c>
      <c r="C10475" s="1" t="n">
        <v>135000</v>
      </c>
      <c r="D10475" s="1" t="n">
        <v>1951.7</v>
      </c>
      <c r="E10475" s="1" t="n">
        <v>0.0125</v>
      </c>
      <c r="F10475" s="1" t="n">
        <v>0.1192</v>
      </c>
    </row>
    <row r="10476" customFormat="false" ht="15" hidden="false" customHeight="false" outlineLevel="0" collapsed="false">
      <c r="A10476" s="1" t="s">
        <v>10511</v>
      </c>
      <c r="B10476" s="1" t="s">
        <v>26</v>
      </c>
      <c r="C10476" s="1" t="n">
        <v>132000</v>
      </c>
      <c r="D10476" s="1" t="n">
        <v>16338.6</v>
      </c>
      <c r="E10476" s="1" t="n">
        <v>0.0255</v>
      </c>
      <c r="F10476" s="1" t="n">
        <v>0.0518</v>
      </c>
    </row>
    <row r="10477" customFormat="false" ht="15" hidden="false" customHeight="false" outlineLevel="0" collapsed="false">
      <c r="A10477" s="1" t="s">
        <v>10512</v>
      </c>
      <c r="B10477" s="1" t="s">
        <v>214</v>
      </c>
      <c r="C10477" s="1" t="n">
        <v>142000</v>
      </c>
      <c r="D10477" s="1" t="n">
        <v>1598.3</v>
      </c>
      <c r="E10477" s="1" t="n">
        <v>0.0161</v>
      </c>
      <c r="F10477" s="1" t="n">
        <v>0.2294</v>
      </c>
    </row>
    <row r="10478" customFormat="false" ht="15" hidden="false" customHeight="false" outlineLevel="0" collapsed="false">
      <c r="A10478" s="1" t="s">
        <v>10513</v>
      </c>
      <c r="B10478" s="1" t="s">
        <v>26</v>
      </c>
      <c r="C10478" s="1" t="n">
        <v>231000</v>
      </c>
      <c r="D10478" s="1" t="n">
        <v>3440</v>
      </c>
      <c r="E10478" s="1" t="n">
        <v>0.0712</v>
      </c>
      <c r="F10478" s="1" t="n">
        <v>0.0759</v>
      </c>
    </row>
    <row r="10479" customFormat="false" ht="15" hidden="false" customHeight="false" outlineLevel="0" collapsed="false">
      <c r="A10479" s="1" t="s">
        <v>10514</v>
      </c>
      <c r="B10479" s="1" t="s">
        <v>490</v>
      </c>
      <c r="C10479" s="1" t="n">
        <v>157000</v>
      </c>
      <c r="D10479" s="1" t="n">
        <v>3810.9</v>
      </c>
      <c r="E10479" s="1" t="n">
        <v>0.0197</v>
      </c>
      <c r="F10479" s="1" t="n">
        <v>0.0576</v>
      </c>
    </row>
    <row r="10480" customFormat="false" ht="15" hidden="false" customHeight="false" outlineLevel="0" collapsed="false">
      <c r="A10480" s="1" t="s">
        <v>10515</v>
      </c>
      <c r="B10480" s="1" t="s">
        <v>26</v>
      </c>
      <c r="C10480" s="1" t="n">
        <v>154000</v>
      </c>
      <c r="D10480" s="1" t="n">
        <v>2520.3</v>
      </c>
      <c r="E10480" s="1" t="n">
        <v>0.0159</v>
      </c>
      <c r="F10480" s="1" t="n">
        <v>0.1067</v>
      </c>
    </row>
    <row r="10481" customFormat="false" ht="15" hidden="false" customHeight="false" outlineLevel="0" collapsed="false">
      <c r="A10481" s="1" t="s">
        <v>10516</v>
      </c>
      <c r="B10481" s="1" t="s">
        <v>195</v>
      </c>
      <c r="C10481" s="1" t="n">
        <v>369000</v>
      </c>
      <c r="D10481" s="1" t="n">
        <v>12837.4</v>
      </c>
      <c r="E10481" s="1" t="n">
        <v>0.0127</v>
      </c>
      <c r="F10481" s="1" t="n">
        <v>0.052</v>
      </c>
    </row>
    <row r="10482" customFormat="false" ht="15" hidden="false" customHeight="false" outlineLevel="0" collapsed="false">
      <c r="A10482" s="1" t="s">
        <v>10517</v>
      </c>
      <c r="B10482" s="1" t="s">
        <v>62</v>
      </c>
      <c r="C10482" s="1" t="n">
        <v>147000</v>
      </c>
      <c r="D10482" s="1" t="n">
        <v>2810</v>
      </c>
      <c r="E10482" s="1" t="n">
        <v>0.0376</v>
      </c>
      <c r="F10482" s="1" t="n">
        <v>0.0672</v>
      </c>
    </row>
    <row r="10483" customFormat="false" ht="15" hidden="false" customHeight="false" outlineLevel="0" collapsed="false">
      <c r="A10483" s="1" t="s">
        <v>10518</v>
      </c>
      <c r="B10483" s="1" t="s">
        <v>214</v>
      </c>
      <c r="C10483" s="1" t="n">
        <v>172000</v>
      </c>
      <c r="D10483" s="1" t="n">
        <v>3246.8</v>
      </c>
      <c r="E10483" s="1" t="n">
        <v>0.0093</v>
      </c>
      <c r="F10483" s="1" t="n">
        <v>0.0654</v>
      </c>
    </row>
    <row r="10484" customFormat="false" ht="15" hidden="false" customHeight="false" outlineLevel="0" collapsed="false">
      <c r="A10484" s="1" t="s">
        <v>10519</v>
      </c>
      <c r="B10484" s="1" t="s">
        <v>195</v>
      </c>
      <c r="C10484" s="1" t="n">
        <v>133000</v>
      </c>
      <c r="D10484" s="1" t="n">
        <v>5865.3</v>
      </c>
      <c r="E10484" s="1" t="n">
        <v>0.0156</v>
      </c>
      <c r="F10484" s="1" t="n">
        <v>0.1192</v>
      </c>
    </row>
    <row r="10485" customFormat="false" ht="15" hidden="false" customHeight="false" outlineLevel="0" collapsed="false">
      <c r="A10485" s="1" t="s">
        <v>10520</v>
      </c>
      <c r="B10485" s="1" t="s">
        <v>32</v>
      </c>
      <c r="C10485" s="1" t="n">
        <v>194000</v>
      </c>
      <c r="D10485" s="1" t="n">
        <v>456.9</v>
      </c>
      <c r="E10485" s="1" t="n">
        <v>0.0022</v>
      </c>
      <c r="F10485" s="1" t="n">
        <v>0.1953</v>
      </c>
    </row>
    <row r="10486" customFormat="false" ht="15" hidden="false" customHeight="false" outlineLevel="0" collapsed="false">
      <c r="A10486" s="1" t="s">
        <v>10521</v>
      </c>
      <c r="B10486" s="1" t="s">
        <v>26</v>
      </c>
      <c r="C10486" s="1" t="n">
        <v>144000</v>
      </c>
      <c r="D10486" s="1" t="n">
        <v>1021.4</v>
      </c>
      <c r="E10486" s="1" t="n">
        <v>0.0274</v>
      </c>
      <c r="F10486" s="1" t="n">
        <v>0.0759</v>
      </c>
    </row>
    <row r="10487" customFormat="false" ht="15" hidden="false" customHeight="false" outlineLevel="0" collapsed="false">
      <c r="A10487" s="1" t="s">
        <v>10522</v>
      </c>
      <c r="B10487" s="1" t="s">
        <v>74</v>
      </c>
      <c r="C10487" s="1" t="n">
        <v>120000</v>
      </c>
      <c r="D10487" s="1" t="n">
        <v>46747.1</v>
      </c>
      <c r="E10487" s="1" t="n">
        <v>0.0121</v>
      </c>
      <c r="F10487" s="1" t="n">
        <v>0.2294</v>
      </c>
    </row>
    <row r="10488" customFormat="false" ht="15" hidden="false" customHeight="false" outlineLevel="0" collapsed="false">
      <c r="A10488" s="1" t="s">
        <v>10523</v>
      </c>
      <c r="B10488" s="1" t="s">
        <v>214</v>
      </c>
      <c r="C10488" s="1" t="n">
        <v>134000</v>
      </c>
      <c r="D10488" s="1" t="n">
        <v>11819.2</v>
      </c>
      <c r="E10488" s="1" t="n">
        <v>0.0248</v>
      </c>
      <c r="F10488" s="1" t="n">
        <v>0.0951</v>
      </c>
    </row>
    <row r="10489" customFormat="false" ht="15" hidden="false" customHeight="false" outlineLevel="0" collapsed="false">
      <c r="A10489" s="1" t="s">
        <v>10524</v>
      </c>
      <c r="B10489" s="1" t="s">
        <v>88</v>
      </c>
      <c r="C10489" s="1" t="n">
        <v>219000</v>
      </c>
      <c r="D10489" s="1" t="n">
        <v>32379.9</v>
      </c>
      <c r="E10489" s="1" t="n">
        <v>0.0198</v>
      </c>
      <c r="F10489" s="1" t="n">
        <v>0.0854</v>
      </c>
    </row>
    <row r="10490" customFormat="false" ht="15" hidden="false" customHeight="false" outlineLevel="0" collapsed="false">
      <c r="A10490" s="1" t="s">
        <v>10525</v>
      </c>
      <c r="B10490" s="1" t="s">
        <v>41</v>
      </c>
      <c r="C10490" s="1" t="n">
        <v>143000</v>
      </c>
      <c r="D10490" s="1" t="n">
        <v>10142.4</v>
      </c>
      <c r="E10490" s="1" t="n">
        <v>0.0282</v>
      </c>
      <c r="F10490" s="1" t="n">
        <v>0.0546</v>
      </c>
    </row>
    <row r="10491" customFormat="false" ht="15" hidden="false" customHeight="false" outlineLevel="0" collapsed="false">
      <c r="A10491" s="1" t="s">
        <v>10526</v>
      </c>
      <c r="B10491" s="1" t="s">
        <v>26</v>
      </c>
      <c r="C10491" s="1" t="n">
        <v>148000</v>
      </c>
      <c r="D10491" s="1" t="n">
        <v>24416.4</v>
      </c>
      <c r="E10491" s="1" t="n">
        <v>0.0564</v>
      </c>
      <c r="F10491" s="1" t="n">
        <v>0.0409</v>
      </c>
    </row>
    <row r="10492" customFormat="false" ht="15" hidden="false" customHeight="false" outlineLevel="0" collapsed="false">
      <c r="A10492" s="1" t="s">
        <v>10527</v>
      </c>
      <c r="B10492" s="1" t="s">
        <v>24</v>
      </c>
      <c r="C10492" s="1" t="n">
        <v>130000</v>
      </c>
      <c r="D10492" s="1" t="n">
        <v>1061.2</v>
      </c>
      <c r="E10492" s="1" t="n">
        <v>0.0061</v>
      </c>
      <c r="F10492" s="1" t="n">
        <v>0.0822</v>
      </c>
    </row>
    <row r="10493" customFormat="false" ht="15" hidden="false" customHeight="false" outlineLevel="0" collapsed="false">
      <c r="A10493" s="1" t="s">
        <v>10528</v>
      </c>
      <c r="B10493" s="1" t="s">
        <v>53</v>
      </c>
      <c r="C10493" s="1" t="n">
        <v>189000</v>
      </c>
      <c r="D10493" s="1" t="n">
        <v>39939.3</v>
      </c>
      <c r="F10493" s="1" t="n">
        <v>0.0409</v>
      </c>
    </row>
    <row r="10494" customFormat="false" ht="15" hidden="false" customHeight="false" outlineLevel="0" collapsed="false">
      <c r="A10494" s="1" t="s">
        <v>10529</v>
      </c>
      <c r="B10494" s="1" t="s">
        <v>26</v>
      </c>
      <c r="C10494" s="1" t="n">
        <v>129000</v>
      </c>
      <c r="D10494" s="1" t="n">
        <v>1502.6</v>
      </c>
      <c r="E10494" s="1" t="n">
        <v>0.0251</v>
      </c>
      <c r="F10494" s="1" t="n">
        <v>0.0518</v>
      </c>
    </row>
    <row r="10495" customFormat="false" ht="15" hidden="false" customHeight="false" outlineLevel="0" collapsed="false">
      <c r="A10495" s="1" t="s">
        <v>10530</v>
      </c>
      <c r="B10495" s="1" t="s">
        <v>62</v>
      </c>
      <c r="C10495" s="1" t="n">
        <v>198000</v>
      </c>
      <c r="D10495" s="1" t="n">
        <v>1026.1</v>
      </c>
      <c r="E10495" s="1" t="n">
        <v>0.0239</v>
      </c>
      <c r="F10495" s="1" t="n">
        <v>0.0938</v>
      </c>
    </row>
    <row r="10496" customFormat="false" ht="15" hidden="false" customHeight="false" outlineLevel="0" collapsed="false">
      <c r="A10496" s="1" t="s">
        <v>10531</v>
      </c>
      <c r="B10496" s="1" t="s">
        <v>26</v>
      </c>
      <c r="C10496" s="1" t="n">
        <v>157000</v>
      </c>
      <c r="D10496" s="1" t="n">
        <v>49681</v>
      </c>
      <c r="E10496" s="1" t="n">
        <v>0.0359</v>
      </c>
      <c r="F10496" s="1" t="n">
        <v>0.0951</v>
      </c>
    </row>
    <row r="10497" customFormat="false" ht="15" hidden="false" customHeight="false" outlineLevel="0" collapsed="false">
      <c r="A10497" s="1" t="s">
        <v>10532</v>
      </c>
      <c r="B10497" s="1" t="s">
        <v>81</v>
      </c>
      <c r="C10497" s="1" t="n">
        <v>156000</v>
      </c>
      <c r="D10497" s="1" t="n">
        <v>1037.1</v>
      </c>
      <c r="E10497" s="1" t="n">
        <v>0.0455</v>
      </c>
      <c r="F10497" s="1" t="n">
        <v>0.0759</v>
      </c>
    </row>
    <row r="10498" customFormat="false" ht="15" hidden="false" customHeight="false" outlineLevel="0" collapsed="false">
      <c r="A10498" s="1" t="s">
        <v>10533</v>
      </c>
      <c r="B10498" s="1" t="s">
        <v>92</v>
      </c>
      <c r="C10498" s="1" t="n">
        <v>360000</v>
      </c>
      <c r="D10498" s="1" t="n">
        <v>6500.8</v>
      </c>
      <c r="E10498" s="1" t="n">
        <v>0.0122</v>
      </c>
      <c r="F10498" s="1" t="n">
        <v>0.0949</v>
      </c>
    </row>
    <row r="10499" customFormat="false" ht="15" hidden="false" customHeight="false" outlineLevel="0" collapsed="false">
      <c r="A10499" s="1" t="s">
        <v>10534</v>
      </c>
      <c r="B10499" s="1" t="s">
        <v>26</v>
      </c>
      <c r="C10499" s="1" t="n">
        <v>160000</v>
      </c>
      <c r="D10499" s="1" t="n">
        <v>679.3</v>
      </c>
      <c r="E10499" s="1" t="n">
        <v>0.008</v>
      </c>
      <c r="F10499" s="1" t="n">
        <v>0.0822</v>
      </c>
    </row>
    <row r="10500" customFormat="false" ht="15" hidden="false" customHeight="false" outlineLevel="0" collapsed="false">
      <c r="A10500" s="1" t="s">
        <v>10535</v>
      </c>
      <c r="B10500" s="1" t="s">
        <v>214</v>
      </c>
      <c r="C10500" s="1" t="n">
        <v>138000</v>
      </c>
      <c r="D10500" s="1" t="n">
        <v>4585.9</v>
      </c>
      <c r="E10500" s="1" t="n">
        <v>0.0244</v>
      </c>
      <c r="F10500" s="1" t="n">
        <v>0.0951</v>
      </c>
    </row>
    <row r="10501" customFormat="false" ht="15" hidden="false" customHeight="false" outlineLevel="0" collapsed="false">
      <c r="A10501" s="1" t="s">
        <v>10536</v>
      </c>
      <c r="B10501" s="1" t="s">
        <v>30</v>
      </c>
      <c r="C10501" s="1" t="n">
        <v>517000</v>
      </c>
      <c r="D10501" s="1" t="n">
        <v>210311.9</v>
      </c>
      <c r="E10501" s="1" t="n">
        <v>0.0042</v>
      </c>
      <c r="F10501" s="1" t="n">
        <v>0.0654</v>
      </c>
    </row>
    <row r="10502" customFormat="false" ht="15" hidden="false" customHeight="false" outlineLevel="0" collapsed="false">
      <c r="A10502" s="1" t="s">
        <v>10537</v>
      </c>
      <c r="B10502" s="1" t="s">
        <v>32</v>
      </c>
      <c r="C10502" s="1" t="n">
        <v>181000</v>
      </c>
      <c r="D10502" s="1" t="n">
        <v>1680</v>
      </c>
      <c r="E10502" s="1" t="n">
        <v>0.0292</v>
      </c>
      <c r="F10502" s="1" t="n">
        <v>0.0759</v>
      </c>
    </row>
    <row r="10503" customFormat="false" ht="15" hidden="false" customHeight="false" outlineLevel="0" collapsed="false">
      <c r="A10503" s="1" t="s">
        <v>10538</v>
      </c>
      <c r="B10503" s="1" t="s">
        <v>26</v>
      </c>
      <c r="C10503" s="1" t="n">
        <v>154000</v>
      </c>
      <c r="D10503" s="1" t="n">
        <v>86279.8</v>
      </c>
      <c r="E10503" s="1" t="n">
        <v>0.065</v>
      </c>
      <c r="F10503" s="1" t="n">
        <v>0.0759</v>
      </c>
    </row>
    <row r="10504" customFormat="false" ht="15" hidden="false" customHeight="false" outlineLevel="0" collapsed="false">
      <c r="A10504" s="1" t="s">
        <v>10539</v>
      </c>
      <c r="B10504" s="1" t="s">
        <v>214</v>
      </c>
      <c r="C10504" s="1" t="n">
        <v>247000</v>
      </c>
      <c r="D10504" s="1" t="n">
        <v>485.2</v>
      </c>
      <c r="F10504" s="1" t="n">
        <v>0.0409</v>
      </c>
    </row>
    <row r="10505" customFormat="false" ht="15" hidden="false" customHeight="false" outlineLevel="0" collapsed="false">
      <c r="A10505" s="1" t="s">
        <v>10540</v>
      </c>
      <c r="B10505" s="1" t="s">
        <v>214</v>
      </c>
      <c r="C10505" s="1" t="n">
        <v>331000</v>
      </c>
      <c r="D10505" s="1" t="n">
        <v>17661.3</v>
      </c>
      <c r="E10505" s="1" t="n">
        <v>0.0148</v>
      </c>
      <c r="F10505" s="1" t="n">
        <v>0.073</v>
      </c>
    </row>
    <row r="10506" customFormat="false" ht="15" hidden="false" customHeight="false" outlineLevel="0" collapsed="false">
      <c r="A10506" s="1" t="s">
        <v>10541</v>
      </c>
      <c r="B10506" s="1" t="s">
        <v>71</v>
      </c>
      <c r="C10506" s="1" t="n">
        <v>129000</v>
      </c>
      <c r="D10506" s="1" t="n">
        <v>4131.3</v>
      </c>
      <c r="E10506" s="1" t="n">
        <v>0.0255</v>
      </c>
      <c r="F10506" s="1" t="n">
        <v>0.0951</v>
      </c>
    </row>
    <row r="10507" customFormat="false" ht="15" hidden="false" customHeight="false" outlineLevel="0" collapsed="false">
      <c r="A10507" s="1" t="s">
        <v>10542</v>
      </c>
      <c r="B10507" s="1" t="s">
        <v>81</v>
      </c>
      <c r="C10507" s="1" t="n">
        <v>145000</v>
      </c>
      <c r="D10507" s="1" t="n">
        <v>1929</v>
      </c>
      <c r="E10507" s="1" t="n">
        <v>0.0171</v>
      </c>
      <c r="F10507" s="1" t="n">
        <v>0.1536</v>
      </c>
    </row>
    <row r="10508" customFormat="false" ht="15" hidden="false" customHeight="false" outlineLevel="0" collapsed="false">
      <c r="A10508" s="1" t="s">
        <v>10543</v>
      </c>
      <c r="B10508" s="1" t="s">
        <v>35</v>
      </c>
      <c r="C10508" s="1" t="n">
        <v>133000</v>
      </c>
      <c r="D10508" s="1" t="n">
        <v>1088.4</v>
      </c>
      <c r="E10508" s="1" t="n">
        <v>0.0117</v>
      </c>
      <c r="F10508" s="1" t="n">
        <v>0.0736</v>
      </c>
    </row>
    <row r="10509" customFormat="false" ht="15" hidden="false" customHeight="false" outlineLevel="0" collapsed="false">
      <c r="A10509" s="1" t="s">
        <v>10544</v>
      </c>
      <c r="B10509" s="1" t="s">
        <v>214</v>
      </c>
      <c r="C10509" s="1" t="n">
        <v>129000</v>
      </c>
      <c r="D10509" s="1" t="n">
        <v>18232.1</v>
      </c>
      <c r="E10509" s="1" t="n">
        <v>0.0377</v>
      </c>
      <c r="F10509" s="1" t="n">
        <v>0.0951</v>
      </c>
    </row>
    <row r="10510" customFormat="false" ht="15" hidden="false" customHeight="false" outlineLevel="0" collapsed="false">
      <c r="A10510" s="1" t="s">
        <v>10545</v>
      </c>
      <c r="B10510" s="1" t="s">
        <v>50</v>
      </c>
      <c r="C10510" s="1" t="n">
        <v>139000</v>
      </c>
      <c r="D10510" s="1" t="n">
        <v>899.9</v>
      </c>
      <c r="E10510" s="1" t="n">
        <v>0.0274</v>
      </c>
      <c r="F10510" s="1" t="n">
        <v>0.0951</v>
      </c>
    </row>
    <row r="10511" customFormat="false" ht="15" hidden="false" customHeight="false" outlineLevel="0" collapsed="false">
      <c r="A10511" s="1" t="s">
        <v>10546</v>
      </c>
      <c r="B10511" s="1" t="s">
        <v>195</v>
      </c>
      <c r="C10511" s="1" t="n">
        <v>220000</v>
      </c>
      <c r="D10511" s="1" t="n">
        <v>24327.5</v>
      </c>
      <c r="E10511" s="1" t="n">
        <v>0.0173</v>
      </c>
      <c r="F10511" s="1" t="n">
        <v>0.0854</v>
      </c>
    </row>
    <row r="10512" customFormat="false" ht="15" hidden="false" customHeight="false" outlineLevel="0" collapsed="false">
      <c r="A10512" s="1" t="s">
        <v>10547</v>
      </c>
      <c r="B10512" s="1" t="s">
        <v>92</v>
      </c>
      <c r="C10512" s="1" t="n">
        <v>160000</v>
      </c>
      <c r="D10512" s="1" t="n">
        <v>111.5</v>
      </c>
      <c r="E10512" s="1" t="n">
        <v>0.0563</v>
      </c>
      <c r="F10512" s="1" t="n">
        <v>0.2747</v>
      </c>
    </row>
    <row r="10513" customFormat="false" ht="15" hidden="false" customHeight="false" outlineLevel="0" collapsed="false">
      <c r="A10513" s="1" t="s">
        <v>10548</v>
      </c>
      <c r="B10513" s="1" t="s">
        <v>88</v>
      </c>
      <c r="C10513" s="1" t="n">
        <v>128000</v>
      </c>
      <c r="D10513" s="1" t="n">
        <v>462.2</v>
      </c>
      <c r="E10513" s="1" t="n">
        <v>0.0064</v>
      </c>
      <c r="F10513" s="1" t="n">
        <v>0.0822</v>
      </c>
    </row>
    <row r="10514" customFormat="false" ht="15" hidden="false" customHeight="false" outlineLevel="0" collapsed="false">
      <c r="A10514" s="1" t="s">
        <v>10549</v>
      </c>
      <c r="B10514" s="1" t="s">
        <v>26</v>
      </c>
      <c r="C10514" s="1" t="n">
        <v>353000</v>
      </c>
      <c r="D10514" s="1" t="n">
        <v>787.8</v>
      </c>
      <c r="E10514" s="1" t="n">
        <v>0.0203</v>
      </c>
      <c r="F10514" s="1" t="n">
        <v>0.0909</v>
      </c>
    </row>
    <row r="10515" customFormat="false" ht="15" hidden="false" customHeight="false" outlineLevel="0" collapsed="false">
      <c r="A10515" s="1" t="s">
        <v>10550</v>
      </c>
      <c r="B10515" s="1" t="s">
        <v>26</v>
      </c>
      <c r="C10515" s="1" t="n">
        <v>185000</v>
      </c>
      <c r="D10515" s="1" t="n">
        <v>652416.7</v>
      </c>
      <c r="E10515" s="1" t="n">
        <v>0.0489</v>
      </c>
      <c r="F10515" s="1" t="n">
        <v>0.0672</v>
      </c>
    </row>
    <row r="10516" customFormat="false" ht="15" hidden="false" customHeight="false" outlineLevel="0" collapsed="false">
      <c r="A10516" s="1" t="s">
        <v>10551</v>
      </c>
      <c r="B10516" s="1" t="s">
        <v>71</v>
      </c>
      <c r="C10516" s="1" t="n">
        <v>129000</v>
      </c>
      <c r="D10516" s="1" t="n">
        <v>4076.5</v>
      </c>
      <c r="E10516" s="1" t="n">
        <v>0.0176</v>
      </c>
      <c r="F10516" s="1" t="n">
        <v>0.0585</v>
      </c>
    </row>
    <row r="10517" customFormat="false" ht="15" hidden="false" customHeight="false" outlineLevel="0" collapsed="false">
      <c r="A10517" s="1" t="s">
        <v>10552</v>
      </c>
      <c r="B10517" s="1" t="s">
        <v>26</v>
      </c>
      <c r="C10517" s="1" t="n">
        <v>144000</v>
      </c>
      <c r="D10517" s="1" t="n">
        <v>8632.4</v>
      </c>
      <c r="F10517" s="1" t="n">
        <v>0.0938</v>
      </c>
    </row>
    <row r="10518" customFormat="false" ht="15" hidden="false" customHeight="false" outlineLevel="0" collapsed="false">
      <c r="A10518" s="1" t="s">
        <v>10553</v>
      </c>
      <c r="B10518" s="1" t="s">
        <v>81</v>
      </c>
      <c r="C10518" s="1" t="n">
        <v>168000</v>
      </c>
      <c r="D10518" s="1" t="n">
        <v>3411.6</v>
      </c>
      <c r="E10518" s="1" t="n">
        <v>0.0248</v>
      </c>
      <c r="F10518" s="1" t="n">
        <v>0.0938</v>
      </c>
    </row>
    <row r="10519" customFormat="false" ht="15" hidden="false" customHeight="false" outlineLevel="0" collapsed="false">
      <c r="A10519" s="1" t="s">
        <v>10554</v>
      </c>
      <c r="B10519" s="1" t="s">
        <v>71</v>
      </c>
      <c r="C10519" s="1" t="n">
        <v>144000</v>
      </c>
      <c r="D10519" s="1" t="n">
        <v>110.1</v>
      </c>
      <c r="E10519" s="1" t="n">
        <v>0.0115</v>
      </c>
      <c r="F10519" s="1" t="n">
        <v>0.0736</v>
      </c>
    </row>
    <row r="10520" customFormat="false" ht="15" hidden="false" customHeight="false" outlineLevel="0" collapsed="false">
      <c r="A10520" s="1" t="s">
        <v>10555</v>
      </c>
      <c r="B10520" s="1" t="s">
        <v>32</v>
      </c>
      <c r="C10520" s="1" t="n">
        <v>137000</v>
      </c>
      <c r="D10520" s="1" t="n">
        <v>4063</v>
      </c>
      <c r="E10520" s="1" t="n">
        <v>0.1287</v>
      </c>
      <c r="F10520" s="1" t="n">
        <v>0.5819</v>
      </c>
    </row>
    <row r="10521" customFormat="false" ht="15" hidden="false" customHeight="false" outlineLevel="0" collapsed="false">
      <c r="A10521" s="1" t="s">
        <v>10556</v>
      </c>
      <c r="B10521" s="1" t="s">
        <v>74</v>
      </c>
      <c r="C10521" s="1" t="n">
        <v>183000</v>
      </c>
      <c r="D10521" s="1" t="n">
        <v>8.8</v>
      </c>
      <c r="E10521" s="1" t="n">
        <v>0.02</v>
      </c>
      <c r="F10521" s="1" t="n">
        <v>0.2558</v>
      </c>
    </row>
    <row r="10522" customFormat="false" ht="15" hidden="false" customHeight="false" outlineLevel="0" collapsed="false">
      <c r="A10522" s="1" t="s">
        <v>10557</v>
      </c>
      <c r="B10522" s="1" t="s">
        <v>74</v>
      </c>
      <c r="C10522" s="1" t="n">
        <v>130000</v>
      </c>
      <c r="D10522" s="1" t="n">
        <v>235.7</v>
      </c>
      <c r="F10522" s="1" t="n">
        <v>0.051</v>
      </c>
    </row>
    <row r="10523" customFormat="false" ht="15" hidden="false" customHeight="false" outlineLevel="0" collapsed="false">
      <c r="A10523" s="1" t="s">
        <v>10558</v>
      </c>
      <c r="B10523" s="1" t="s">
        <v>50</v>
      </c>
      <c r="C10523" s="1" t="n">
        <v>152000</v>
      </c>
      <c r="D10523" s="1" t="n">
        <v>11804.2</v>
      </c>
      <c r="E10523" s="1" t="n">
        <v>0.0221</v>
      </c>
      <c r="F10523" s="1" t="n">
        <v>0.0951</v>
      </c>
    </row>
    <row r="10524" customFormat="false" ht="15" hidden="false" customHeight="false" outlineLevel="0" collapsed="false">
      <c r="A10524" s="1" t="s">
        <v>10559</v>
      </c>
      <c r="B10524" s="1" t="s">
        <v>41</v>
      </c>
      <c r="C10524" s="1" t="n">
        <v>277000</v>
      </c>
      <c r="D10524" s="1" t="n">
        <v>680.8</v>
      </c>
      <c r="E10524" s="1" t="n">
        <v>0.0042</v>
      </c>
      <c r="F10524" s="1" t="n">
        <v>0.0811</v>
      </c>
    </row>
    <row r="10525" customFormat="false" ht="15" hidden="false" customHeight="false" outlineLevel="0" collapsed="false">
      <c r="A10525" s="1" t="s">
        <v>10560</v>
      </c>
      <c r="B10525" s="1" t="s">
        <v>21</v>
      </c>
      <c r="C10525" s="1" t="n">
        <v>226000</v>
      </c>
      <c r="D10525" s="1" t="n">
        <v>14757.1</v>
      </c>
      <c r="E10525" s="1" t="n">
        <v>0.0536</v>
      </c>
      <c r="F10525" s="1" t="n">
        <v>0.0759</v>
      </c>
    </row>
    <row r="10526" customFormat="false" ht="15" hidden="false" customHeight="false" outlineLevel="0" collapsed="false">
      <c r="A10526" s="1" t="s">
        <v>10561</v>
      </c>
      <c r="B10526" s="1" t="s">
        <v>24</v>
      </c>
      <c r="C10526" s="1" t="n">
        <v>144000</v>
      </c>
      <c r="D10526" s="1" t="n">
        <v>3968.9</v>
      </c>
      <c r="E10526" s="1" t="n">
        <v>0.0287</v>
      </c>
      <c r="F10526" s="1" t="n">
        <v>0.0518</v>
      </c>
    </row>
    <row r="10527" customFormat="false" ht="15" hidden="false" customHeight="false" outlineLevel="0" collapsed="false">
      <c r="A10527" s="1" t="s">
        <v>10562</v>
      </c>
      <c r="B10527" s="1" t="s">
        <v>74</v>
      </c>
      <c r="C10527" s="1" t="n">
        <v>153000</v>
      </c>
      <c r="D10527" s="1" t="n">
        <v>17235.6</v>
      </c>
      <c r="E10527" s="1" t="n">
        <v>0.0324</v>
      </c>
      <c r="F10527" s="1" t="n">
        <v>0.0951</v>
      </c>
    </row>
    <row r="10528" customFormat="false" ht="15" hidden="false" customHeight="false" outlineLevel="0" collapsed="false">
      <c r="A10528" s="1" t="s">
        <v>10563</v>
      </c>
      <c r="B10528" s="1" t="s">
        <v>41</v>
      </c>
      <c r="C10528" s="1" t="n">
        <v>127000</v>
      </c>
      <c r="D10528" s="1" t="n">
        <v>1689.6</v>
      </c>
      <c r="E10528" s="1" t="n">
        <v>0.0227</v>
      </c>
      <c r="F10528" s="1" t="n">
        <v>0.1067</v>
      </c>
    </row>
    <row r="10529" customFormat="false" ht="15" hidden="false" customHeight="false" outlineLevel="0" collapsed="false">
      <c r="A10529" s="1" t="s">
        <v>10564</v>
      </c>
      <c r="B10529" s="1" t="s">
        <v>71</v>
      </c>
      <c r="C10529" s="1" t="n">
        <v>159000</v>
      </c>
      <c r="D10529" s="1" t="n">
        <v>3005.2</v>
      </c>
      <c r="E10529" s="1" t="n">
        <v>0.0509</v>
      </c>
      <c r="F10529" s="1" t="n">
        <v>0.0759</v>
      </c>
    </row>
    <row r="10530" customFormat="false" ht="15" hidden="false" customHeight="false" outlineLevel="0" collapsed="false">
      <c r="A10530" s="1" t="s">
        <v>10565</v>
      </c>
      <c r="B10530" s="1" t="s">
        <v>81</v>
      </c>
      <c r="C10530" s="1" t="n">
        <v>143000</v>
      </c>
      <c r="D10530" s="1" t="n">
        <v>2979.1</v>
      </c>
      <c r="E10530" s="1" t="n">
        <v>0.0038</v>
      </c>
      <c r="F10530" s="1" t="n">
        <v>0.0811</v>
      </c>
    </row>
    <row r="10531" customFormat="false" ht="15" hidden="false" customHeight="false" outlineLevel="0" collapsed="false">
      <c r="A10531" s="1" t="s">
        <v>10566</v>
      </c>
      <c r="B10531" s="1" t="s">
        <v>71</v>
      </c>
      <c r="C10531" s="1" t="n">
        <v>137000</v>
      </c>
      <c r="D10531" s="1" t="n">
        <v>121</v>
      </c>
      <c r="E10531" s="1" t="n">
        <v>0.061</v>
      </c>
      <c r="F10531" s="1" t="n">
        <v>0.095</v>
      </c>
    </row>
    <row r="10532" customFormat="false" ht="15" hidden="false" customHeight="false" outlineLevel="0" collapsed="false">
      <c r="A10532" s="1" t="s">
        <v>10567</v>
      </c>
      <c r="B10532" s="1" t="s">
        <v>50</v>
      </c>
      <c r="C10532" s="1" t="n">
        <v>144000</v>
      </c>
      <c r="D10532" s="1" t="n">
        <v>584</v>
      </c>
      <c r="E10532" s="1" t="n">
        <v>0.0607</v>
      </c>
      <c r="F10532" s="1" t="n">
        <v>0.0759</v>
      </c>
    </row>
    <row r="10533" customFormat="false" ht="15" hidden="false" customHeight="false" outlineLevel="0" collapsed="false">
      <c r="A10533" s="1" t="s">
        <v>10568</v>
      </c>
      <c r="B10533" s="1" t="s">
        <v>26</v>
      </c>
      <c r="C10533" s="1" t="n">
        <v>160000</v>
      </c>
      <c r="D10533" s="1" t="n">
        <v>21097</v>
      </c>
      <c r="E10533" s="1" t="n">
        <v>0.0018</v>
      </c>
      <c r="F10533" s="1" t="n">
        <v>0.0822</v>
      </c>
    </row>
    <row r="10534" customFormat="false" ht="15" hidden="false" customHeight="false" outlineLevel="0" collapsed="false">
      <c r="A10534" s="1" t="s">
        <v>10569</v>
      </c>
      <c r="B10534" s="1" t="s">
        <v>88</v>
      </c>
      <c r="C10534" s="1" t="n">
        <v>164000</v>
      </c>
      <c r="D10534" s="1" t="n">
        <v>2440.2</v>
      </c>
      <c r="E10534" s="1" t="n">
        <v>0.0149</v>
      </c>
      <c r="F10534" s="1" t="n">
        <v>0.1316</v>
      </c>
    </row>
    <row r="10535" customFormat="false" ht="15" hidden="false" customHeight="false" outlineLevel="0" collapsed="false">
      <c r="A10535" s="1" t="s">
        <v>10570</v>
      </c>
      <c r="B10535" s="1" t="s">
        <v>74</v>
      </c>
      <c r="C10535" s="1" t="n">
        <v>242000</v>
      </c>
      <c r="D10535" s="1" t="n">
        <v>12889.1</v>
      </c>
      <c r="E10535" s="1" t="n">
        <v>0.0541</v>
      </c>
      <c r="F10535" s="1" t="n">
        <v>0.0759</v>
      </c>
    </row>
    <row r="10536" customFormat="false" ht="15" hidden="false" customHeight="false" outlineLevel="0" collapsed="false">
      <c r="A10536" s="1" t="s">
        <v>10571</v>
      </c>
      <c r="B10536" s="1" t="s">
        <v>26</v>
      </c>
      <c r="C10536" s="1" t="n">
        <v>124000</v>
      </c>
      <c r="D10536" s="1" t="n">
        <v>6610.5</v>
      </c>
      <c r="E10536" s="1" t="n">
        <v>0.0553</v>
      </c>
      <c r="F10536" s="1" t="n">
        <v>0.0951</v>
      </c>
    </row>
    <row r="10537" customFormat="false" ht="15" hidden="false" customHeight="false" outlineLevel="0" collapsed="false">
      <c r="A10537" s="1" t="s">
        <v>10572</v>
      </c>
      <c r="B10537" s="1" t="s">
        <v>88</v>
      </c>
      <c r="C10537" s="1" t="n">
        <v>213000</v>
      </c>
      <c r="D10537" s="1" t="n">
        <v>5586.6</v>
      </c>
      <c r="E10537" s="1" t="n">
        <v>0.0479</v>
      </c>
      <c r="F10537" s="1" t="n">
        <v>0.0938</v>
      </c>
    </row>
    <row r="10538" customFormat="false" ht="15" hidden="false" customHeight="false" outlineLevel="0" collapsed="false">
      <c r="A10538" s="1" t="s">
        <v>10573</v>
      </c>
      <c r="B10538" s="1" t="s">
        <v>287</v>
      </c>
      <c r="C10538" s="1" t="n">
        <v>126000</v>
      </c>
      <c r="D10538" s="1" t="n">
        <v>1169.8</v>
      </c>
      <c r="E10538" s="1" t="n">
        <v>0.1608</v>
      </c>
      <c r="F10538" s="1" t="n">
        <v>0.0951</v>
      </c>
    </row>
    <row r="10539" customFormat="false" ht="15" hidden="false" customHeight="false" outlineLevel="0" collapsed="false">
      <c r="A10539" s="1" t="s">
        <v>10574</v>
      </c>
      <c r="B10539" s="1" t="s">
        <v>30</v>
      </c>
      <c r="C10539" s="1" t="n">
        <v>209000</v>
      </c>
      <c r="D10539" s="1" t="n">
        <v>9589</v>
      </c>
      <c r="F10539" s="1" t="n">
        <v>0.0518</v>
      </c>
    </row>
    <row r="10540" customFormat="false" ht="15" hidden="false" customHeight="false" outlineLevel="0" collapsed="false">
      <c r="A10540" s="1" t="s">
        <v>10575</v>
      </c>
      <c r="B10540" s="1" t="s">
        <v>88</v>
      </c>
      <c r="C10540" s="1" t="n">
        <v>145000</v>
      </c>
      <c r="D10540" s="1" t="n">
        <v>521.4</v>
      </c>
      <c r="E10540" s="1" t="n">
        <v>0.0298</v>
      </c>
      <c r="F10540" s="1" t="n">
        <v>0.1514</v>
      </c>
    </row>
    <row r="10541" customFormat="false" ht="15" hidden="false" customHeight="false" outlineLevel="0" collapsed="false">
      <c r="A10541" s="1" t="s">
        <v>10576</v>
      </c>
      <c r="B10541" s="1" t="s">
        <v>26</v>
      </c>
      <c r="C10541" s="1" t="n">
        <v>3430000</v>
      </c>
      <c r="D10541" s="1" t="n">
        <v>9621.5</v>
      </c>
      <c r="E10541" s="1" t="n">
        <v>0.0171</v>
      </c>
      <c r="F10541" s="1" t="n">
        <v>0.0462</v>
      </c>
    </row>
    <row r="10542" customFormat="false" ht="15" hidden="false" customHeight="false" outlineLevel="0" collapsed="false">
      <c r="A10542" s="1" t="s">
        <v>10577</v>
      </c>
      <c r="B10542" s="1" t="s">
        <v>26</v>
      </c>
      <c r="C10542" s="1" t="n">
        <v>133000</v>
      </c>
      <c r="D10542" s="1" t="n">
        <v>76.8</v>
      </c>
      <c r="F10542" s="1" t="n">
        <v>0.0409</v>
      </c>
    </row>
    <row r="10543" customFormat="false" ht="15" hidden="false" customHeight="false" outlineLevel="0" collapsed="false">
      <c r="A10543" s="1" t="s">
        <v>10578</v>
      </c>
      <c r="B10543" s="1" t="s">
        <v>88</v>
      </c>
      <c r="C10543" s="1" t="n">
        <v>172000</v>
      </c>
      <c r="D10543" s="1" t="n">
        <v>1582.1</v>
      </c>
      <c r="E10543" s="1" t="n">
        <v>0.0118</v>
      </c>
      <c r="F10543" s="1" t="n">
        <v>0.1053</v>
      </c>
    </row>
    <row r="10544" customFormat="false" ht="15" hidden="false" customHeight="false" outlineLevel="0" collapsed="false">
      <c r="A10544" s="1" t="s">
        <v>10579</v>
      </c>
      <c r="B10544" s="1" t="s">
        <v>41</v>
      </c>
      <c r="C10544" s="1" t="n">
        <v>144000</v>
      </c>
      <c r="D10544" s="1" t="n">
        <v>8760.5</v>
      </c>
      <c r="E10544" s="1" t="n">
        <v>0.0061</v>
      </c>
      <c r="F10544" s="1" t="n">
        <v>0.1471</v>
      </c>
    </row>
    <row r="10545" customFormat="false" ht="15" hidden="false" customHeight="false" outlineLevel="0" collapsed="false">
      <c r="A10545" s="1" t="s">
        <v>10580</v>
      </c>
      <c r="B10545" s="1" t="s">
        <v>30</v>
      </c>
      <c r="C10545" s="1" t="n">
        <v>237000</v>
      </c>
      <c r="D10545" s="1" t="n">
        <v>37836.4</v>
      </c>
      <c r="E10545" s="1" t="n">
        <v>0.0099</v>
      </c>
      <c r="F10545" s="1" t="n">
        <v>0.0822</v>
      </c>
    </row>
    <row r="10546" customFormat="false" ht="15" hidden="false" customHeight="false" outlineLevel="0" collapsed="false">
      <c r="A10546" s="1" t="s">
        <v>10581</v>
      </c>
      <c r="B10546" s="1" t="s">
        <v>195</v>
      </c>
      <c r="C10546" s="1" t="n">
        <v>134000</v>
      </c>
      <c r="D10546" s="1" t="n">
        <v>5188.3</v>
      </c>
      <c r="E10546" s="1" t="n">
        <v>0.0465</v>
      </c>
      <c r="F10546" s="1" t="n">
        <v>0.0759</v>
      </c>
    </row>
    <row r="10547" customFormat="false" ht="15" hidden="false" customHeight="false" outlineLevel="0" collapsed="false">
      <c r="A10547" s="1" t="s">
        <v>10582</v>
      </c>
      <c r="B10547" s="1" t="s">
        <v>92</v>
      </c>
      <c r="C10547" s="1" t="n">
        <v>132000</v>
      </c>
      <c r="D10547" s="1" t="n">
        <v>1252.5</v>
      </c>
      <c r="E10547" s="1" t="n">
        <v>0.0107</v>
      </c>
      <c r="F10547" s="1" t="n">
        <v>0.0654</v>
      </c>
    </row>
    <row r="10548" customFormat="false" ht="15" hidden="false" customHeight="false" outlineLevel="0" collapsed="false">
      <c r="A10548" s="1" t="s">
        <v>10583</v>
      </c>
      <c r="B10548" s="1" t="s">
        <v>74</v>
      </c>
      <c r="C10548" s="1" t="n">
        <v>926000</v>
      </c>
      <c r="D10548" s="1" t="n">
        <v>1078.6</v>
      </c>
      <c r="E10548" s="1" t="n">
        <v>0.0116</v>
      </c>
      <c r="F10548" s="1" t="n">
        <v>0.2051</v>
      </c>
    </row>
    <row r="10549" customFormat="false" ht="15" hidden="false" customHeight="false" outlineLevel="0" collapsed="false">
      <c r="A10549" s="1" t="s">
        <v>10584</v>
      </c>
      <c r="B10549" s="1" t="s">
        <v>26</v>
      </c>
      <c r="C10549" s="1" t="n">
        <v>156000</v>
      </c>
      <c r="D10549" s="1" t="n">
        <v>11364.3</v>
      </c>
      <c r="E10549" s="1" t="n">
        <v>0.0144</v>
      </c>
      <c r="F10549" s="1" t="n">
        <v>0.0854</v>
      </c>
    </row>
    <row r="10550" customFormat="false" ht="15" hidden="false" customHeight="false" outlineLevel="0" collapsed="false">
      <c r="A10550" s="1" t="s">
        <v>10585</v>
      </c>
      <c r="B10550" s="1" t="s">
        <v>26</v>
      </c>
      <c r="C10550" s="1" t="n">
        <v>128000</v>
      </c>
      <c r="D10550" s="1" t="n">
        <v>732.1</v>
      </c>
      <c r="E10550" s="1" t="n">
        <v>0.0531</v>
      </c>
      <c r="F10550" s="1" t="n">
        <v>0.0951</v>
      </c>
    </row>
    <row r="10551" customFormat="false" ht="15" hidden="false" customHeight="false" outlineLevel="0" collapsed="false">
      <c r="A10551" s="1" t="s">
        <v>10586</v>
      </c>
      <c r="B10551" s="1" t="s">
        <v>214</v>
      </c>
      <c r="C10551" s="1" t="n">
        <v>153000</v>
      </c>
      <c r="D10551" s="1" t="n">
        <v>323.2</v>
      </c>
      <c r="E10551" s="1" t="n">
        <v>0.0155</v>
      </c>
      <c r="F10551" s="1" t="n">
        <v>0.2113</v>
      </c>
    </row>
    <row r="10552" customFormat="false" ht="15" hidden="false" customHeight="false" outlineLevel="0" collapsed="false">
      <c r="A10552" s="1" t="s">
        <v>10587</v>
      </c>
      <c r="B10552" s="1" t="s">
        <v>30</v>
      </c>
      <c r="C10552" s="1" t="n">
        <v>172000</v>
      </c>
      <c r="D10552" s="1" t="n">
        <v>83128.3</v>
      </c>
      <c r="E10552" s="1" t="n">
        <v>0.0158</v>
      </c>
      <c r="F10552" s="1" t="n">
        <v>0.0854</v>
      </c>
    </row>
    <row r="10553" customFormat="false" ht="15" hidden="false" customHeight="false" outlineLevel="0" collapsed="false">
      <c r="A10553" s="1" t="s">
        <v>10588</v>
      </c>
      <c r="B10553" s="1" t="s">
        <v>26</v>
      </c>
      <c r="C10553" s="1" t="n">
        <v>135000</v>
      </c>
      <c r="D10553" s="1" t="n">
        <v>5587.2</v>
      </c>
      <c r="E10553" s="1" t="n">
        <v>0.0405</v>
      </c>
      <c r="F10553" s="1" t="n">
        <v>0.0951</v>
      </c>
    </row>
    <row r="10554" customFormat="false" ht="15" hidden="false" customHeight="false" outlineLevel="0" collapsed="false">
      <c r="A10554" s="1" t="s">
        <v>10589</v>
      </c>
      <c r="B10554" s="1" t="s">
        <v>26</v>
      </c>
      <c r="C10554" s="1" t="n">
        <v>144000</v>
      </c>
      <c r="D10554" s="1" t="n">
        <v>2926</v>
      </c>
      <c r="E10554" s="1" t="n">
        <v>0.0787</v>
      </c>
      <c r="F10554" s="1" t="n">
        <v>0.0759</v>
      </c>
    </row>
    <row r="10555" customFormat="false" ht="15" hidden="false" customHeight="false" outlineLevel="0" collapsed="false">
      <c r="A10555" s="1" t="s">
        <v>10590</v>
      </c>
      <c r="B10555" s="1" t="s">
        <v>24</v>
      </c>
      <c r="C10555" s="1" t="n">
        <v>172000</v>
      </c>
      <c r="D10555" s="1" t="n">
        <v>37513.6</v>
      </c>
      <c r="E10555" s="1" t="n">
        <v>0.0209</v>
      </c>
      <c r="F10555" s="1" t="n">
        <v>0.0546</v>
      </c>
    </row>
    <row r="10556" customFormat="false" ht="15" hidden="false" customHeight="false" outlineLevel="0" collapsed="false">
      <c r="A10556" s="1" t="s">
        <v>10591</v>
      </c>
      <c r="B10556" s="1" t="s">
        <v>62</v>
      </c>
      <c r="C10556" s="1" t="n">
        <v>158000</v>
      </c>
      <c r="D10556" s="1" t="n">
        <v>1957.9</v>
      </c>
      <c r="E10556" s="1" t="n">
        <v>0.0214</v>
      </c>
      <c r="F10556" s="1" t="n">
        <v>0.0759</v>
      </c>
    </row>
    <row r="10557" customFormat="false" ht="15" hidden="false" customHeight="false" outlineLevel="0" collapsed="false">
      <c r="A10557" s="1" t="s">
        <v>10592</v>
      </c>
      <c r="B10557" s="1" t="s">
        <v>88</v>
      </c>
      <c r="C10557" s="1" t="n">
        <v>144000</v>
      </c>
      <c r="D10557" s="1" t="n">
        <v>1144.3</v>
      </c>
      <c r="E10557" s="1" t="n">
        <v>0.036</v>
      </c>
      <c r="F10557" s="1" t="n">
        <v>0.0759</v>
      </c>
    </row>
    <row r="10558" customFormat="false" ht="15" hidden="false" customHeight="false" outlineLevel="0" collapsed="false">
      <c r="A10558" s="1" t="s">
        <v>10593</v>
      </c>
      <c r="B10558" s="1" t="s">
        <v>21</v>
      </c>
      <c r="C10558" s="1" t="n">
        <v>139000</v>
      </c>
      <c r="D10558" s="1" t="n">
        <v>186.4</v>
      </c>
      <c r="E10558" s="1" t="n">
        <v>0.0337</v>
      </c>
      <c r="F10558" s="1" t="n">
        <v>0.0845</v>
      </c>
    </row>
    <row r="10559" customFormat="false" ht="15" hidden="false" customHeight="false" outlineLevel="0" collapsed="false">
      <c r="A10559" s="1" t="s">
        <v>10594</v>
      </c>
      <c r="B10559" s="1" t="s">
        <v>26</v>
      </c>
      <c r="C10559" s="1" t="n">
        <v>130000</v>
      </c>
      <c r="D10559" s="1" t="n">
        <v>1455.6</v>
      </c>
      <c r="E10559" s="1" t="n">
        <v>0.0334</v>
      </c>
      <c r="F10559" s="1" t="n">
        <v>0.0951</v>
      </c>
    </row>
    <row r="10560" customFormat="false" ht="15" hidden="false" customHeight="false" outlineLevel="0" collapsed="false">
      <c r="A10560" s="1" t="s">
        <v>10595</v>
      </c>
      <c r="B10560" s="1" t="s">
        <v>26</v>
      </c>
      <c r="C10560" s="1" t="n">
        <v>169000</v>
      </c>
      <c r="D10560" s="1" t="n">
        <v>70</v>
      </c>
      <c r="E10560" s="1" t="n">
        <v>0.1207</v>
      </c>
      <c r="F10560" s="1" t="n">
        <v>0.0951</v>
      </c>
    </row>
    <row r="10561" customFormat="false" ht="15" hidden="false" customHeight="false" outlineLevel="0" collapsed="false">
      <c r="A10561" s="1" t="s">
        <v>10596</v>
      </c>
      <c r="B10561" s="1" t="s">
        <v>214</v>
      </c>
      <c r="C10561" s="1" t="n">
        <v>298000</v>
      </c>
      <c r="D10561" s="1" t="n">
        <v>164175.8</v>
      </c>
      <c r="E10561" s="1" t="n">
        <v>0.0099</v>
      </c>
      <c r="F10561" s="1" t="n">
        <v>0.0822</v>
      </c>
    </row>
    <row r="10562" customFormat="false" ht="15" hidden="false" customHeight="false" outlineLevel="0" collapsed="false">
      <c r="A10562" s="1" t="s">
        <v>10597</v>
      </c>
      <c r="B10562" s="1" t="s">
        <v>26</v>
      </c>
      <c r="C10562" s="1" t="n">
        <v>133000</v>
      </c>
      <c r="D10562" s="1" t="n">
        <v>3805.9</v>
      </c>
      <c r="E10562" s="1" t="n">
        <v>0.0303</v>
      </c>
      <c r="F10562" s="1" t="n">
        <v>0.0759</v>
      </c>
    </row>
    <row r="10563" customFormat="false" ht="15" hidden="false" customHeight="false" outlineLevel="0" collapsed="false">
      <c r="A10563" s="1" t="s">
        <v>10598</v>
      </c>
      <c r="B10563" s="1" t="s">
        <v>74</v>
      </c>
      <c r="C10563" s="1" t="n">
        <v>146000</v>
      </c>
      <c r="D10563" s="1" t="n">
        <v>16076.4</v>
      </c>
      <c r="E10563" s="1" t="n">
        <v>0.0947</v>
      </c>
      <c r="F10563" s="1" t="n">
        <v>0.0759</v>
      </c>
    </row>
    <row r="10564" customFormat="false" ht="15" hidden="false" customHeight="false" outlineLevel="0" collapsed="false">
      <c r="A10564" s="1" t="s">
        <v>10599</v>
      </c>
      <c r="B10564" s="1" t="s">
        <v>287</v>
      </c>
      <c r="C10564" s="1" t="n">
        <v>353000</v>
      </c>
      <c r="D10564" s="1" t="n">
        <v>232198.6</v>
      </c>
      <c r="E10564" s="1" t="n">
        <v>0.022</v>
      </c>
      <c r="F10564" s="1" t="n">
        <v>0.0409</v>
      </c>
    </row>
    <row r="10565" customFormat="false" ht="15" hidden="false" customHeight="false" outlineLevel="0" collapsed="false">
      <c r="A10565" s="1" t="s">
        <v>10600</v>
      </c>
      <c r="B10565" s="1" t="s">
        <v>41</v>
      </c>
      <c r="C10565" s="1" t="n">
        <v>166000</v>
      </c>
      <c r="D10565" s="1" t="n">
        <v>10922.3</v>
      </c>
      <c r="E10565" s="1" t="n">
        <v>0.0398</v>
      </c>
      <c r="F10565" s="1" t="n">
        <v>0.095</v>
      </c>
    </row>
    <row r="10566" customFormat="false" ht="15" hidden="false" customHeight="false" outlineLevel="0" collapsed="false">
      <c r="A10566" s="1" t="s">
        <v>10601</v>
      </c>
      <c r="B10566" s="1" t="s">
        <v>53</v>
      </c>
      <c r="C10566" s="1" t="n">
        <v>126000</v>
      </c>
      <c r="D10566" s="1" t="n">
        <v>568</v>
      </c>
      <c r="E10566" s="1" t="n">
        <v>0.0452</v>
      </c>
      <c r="F10566" s="1" t="n">
        <v>0.0951</v>
      </c>
    </row>
    <row r="10567" customFormat="false" ht="15" hidden="false" customHeight="false" outlineLevel="0" collapsed="false">
      <c r="A10567" s="1" t="s">
        <v>10602</v>
      </c>
      <c r="B10567" s="1" t="s">
        <v>26</v>
      </c>
      <c r="C10567" s="1" t="n">
        <v>123000</v>
      </c>
      <c r="D10567" s="1" t="n">
        <v>824.9</v>
      </c>
      <c r="E10567" s="1" t="n">
        <v>0.0253</v>
      </c>
      <c r="F10567" s="1" t="n">
        <v>0.0735</v>
      </c>
    </row>
    <row r="10568" customFormat="false" ht="15" hidden="false" customHeight="false" outlineLevel="0" collapsed="false">
      <c r="A10568" s="1" t="s">
        <v>10603</v>
      </c>
      <c r="B10568" s="1" t="s">
        <v>53</v>
      </c>
      <c r="C10568" s="1" t="n">
        <v>131000</v>
      </c>
      <c r="D10568" s="1" t="n">
        <v>5502.3</v>
      </c>
      <c r="E10568" s="1" t="n">
        <v>0.0127</v>
      </c>
      <c r="F10568" s="1" t="n">
        <v>0.1187</v>
      </c>
    </row>
    <row r="10569" customFormat="false" ht="15" hidden="false" customHeight="false" outlineLevel="0" collapsed="false">
      <c r="A10569" s="1" t="s">
        <v>10604</v>
      </c>
      <c r="B10569" s="1" t="s">
        <v>490</v>
      </c>
      <c r="C10569" s="1" t="n">
        <v>152000</v>
      </c>
      <c r="D10569" s="1" t="n">
        <v>9790.5</v>
      </c>
      <c r="E10569" s="1" t="n">
        <v>0.0355</v>
      </c>
      <c r="F10569" s="1" t="n">
        <v>0.0412</v>
      </c>
    </row>
    <row r="10570" customFormat="false" ht="15" hidden="false" customHeight="false" outlineLevel="0" collapsed="false">
      <c r="A10570" s="1" t="s">
        <v>10605</v>
      </c>
      <c r="B10570" s="1" t="s">
        <v>62</v>
      </c>
      <c r="C10570" s="1" t="n">
        <v>152000</v>
      </c>
      <c r="D10570" s="1" t="n">
        <v>857.3</v>
      </c>
      <c r="E10570" s="1" t="n">
        <v>0.0275</v>
      </c>
      <c r="F10570" s="1" t="n">
        <v>0.1533</v>
      </c>
    </row>
    <row r="10571" customFormat="false" ht="15" hidden="false" customHeight="false" outlineLevel="0" collapsed="false">
      <c r="A10571" s="1" t="s">
        <v>10606</v>
      </c>
      <c r="B10571" s="1" t="s">
        <v>74</v>
      </c>
      <c r="C10571" s="1" t="n">
        <v>124000</v>
      </c>
      <c r="D10571" s="1" t="n">
        <v>488</v>
      </c>
      <c r="E10571" s="1" t="n">
        <v>0.0644</v>
      </c>
      <c r="F10571" s="1" t="n">
        <v>0.0409</v>
      </c>
    </row>
    <row r="10572" customFormat="false" ht="15" hidden="false" customHeight="false" outlineLevel="0" collapsed="false">
      <c r="A10572" s="1" t="s">
        <v>10607</v>
      </c>
      <c r="B10572" s="1" t="s">
        <v>88</v>
      </c>
      <c r="C10572" s="1" t="n">
        <v>203000</v>
      </c>
      <c r="D10572" s="1" t="n">
        <v>10756.8</v>
      </c>
      <c r="E10572" s="1" t="n">
        <v>0.0194</v>
      </c>
      <c r="F10572" s="1" t="n">
        <v>0.2267</v>
      </c>
    </row>
    <row r="10573" customFormat="false" ht="15" hidden="false" customHeight="false" outlineLevel="0" collapsed="false">
      <c r="A10573" s="1" t="s">
        <v>10608</v>
      </c>
      <c r="B10573" s="1" t="s">
        <v>26</v>
      </c>
      <c r="C10573" s="1" t="n">
        <v>122000</v>
      </c>
      <c r="D10573" s="1" t="n">
        <v>15414.8</v>
      </c>
      <c r="E10573" s="1" t="n">
        <v>0.0163</v>
      </c>
      <c r="F10573" s="1" t="n">
        <v>0.2294</v>
      </c>
    </row>
    <row r="10574" customFormat="false" ht="15" hidden="false" customHeight="false" outlineLevel="0" collapsed="false">
      <c r="A10574" s="1" t="s">
        <v>10609</v>
      </c>
      <c r="B10574" s="1" t="s">
        <v>71</v>
      </c>
      <c r="C10574" s="1" t="n">
        <v>126000</v>
      </c>
      <c r="D10574" s="1" t="n">
        <v>6691.3</v>
      </c>
      <c r="E10574" s="1" t="n">
        <v>0.0635</v>
      </c>
      <c r="F10574" s="1" t="n">
        <v>0.0951</v>
      </c>
    </row>
    <row r="10575" customFormat="false" ht="15" hidden="false" customHeight="false" outlineLevel="0" collapsed="false">
      <c r="A10575" s="1" t="s">
        <v>10610</v>
      </c>
      <c r="B10575" s="1" t="s">
        <v>26</v>
      </c>
      <c r="C10575" s="1" t="n">
        <v>135000</v>
      </c>
      <c r="D10575" s="1" t="n">
        <v>23512.3</v>
      </c>
      <c r="E10575" s="1" t="n">
        <v>0.0056</v>
      </c>
      <c r="F10575" s="1" t="n">
        <v>0.0822</v>
      </c>
    </row>
    <row r="10576" customFormat="false" ht="15" hidden="false" customHeight="false" outlineLevel="0" collapsed="false">
      <c r="A10576" s="1" t="s">
        <v>10611</v>
      </c>
      <c r="B10576" s="1" t="s">
        <v>26</v>
      </c>
      <c r="C10576" s="1" t="n">
        <v>132000</v>
      </c>
      <c r="D10576" s="1" t="n">
        <v>297.2</v>
      </c>
      <c r="E10576" s="1" t="n">
        <v>0.0407</v>
      </c>
      <c r="F10576" s="1" t="n">
        <v>0.1862</v>
      </c>
    </row>
    <row r="10577" customFormat="false" ht="15" hidden="false" customHeight="false" outlineLevel="0" collapsed="false">
      <c r="A10577" s="1" t="s">
        <v>10612</v>
      </c>
      <c r="B10577" s="1" t="s">
        <v>88</v>
      </c>
      <c r="C10577" s="1" t="n">
        <v>126000</v>
      </c>
      <c r="D10577" s="1" t="n">
        <v>785.9</v>
      </c>
      <c r="F10577" s="1" t="n">
        <v>0.117</v>
      </c>
    </row>
    <row r="10578" customFormat="false" ht="15" hidden="false" customHeight="false" outlineLevel="0" collapsed="false">
      <c r="A10578" s="1" t="s">
        <v>10613</v>
      </c>
      <c r="B10578" s="1" t="s">
        <v>88</v>
      </c>
      <c r="C10578" s="1" t="n">
        <v>130000</v>
      </c>
      <c r="D10578" s="1" t="n">
        <v>1.3</v>
      </c>
      <c r="E10578" s="1" t="n">
        <v>0.0286</v>
      </c>
      <c r="F10578" s="1" t="n">
        <v>0.228</v>
      </c>
    </row>
    <row r="10579" customFormat="false" ht="15" hidden="false" customHeight="false" outlineLevel="0" collapsed="false">
      <c r="A10579" s="1" t="s">
        <v>10614</v>
      </c>
      <c r="B10579" s="1" t="s">
        <v>41</v>
      </c>
      <c r="C10579" s="1" t="n">
        <v>137000</v>
      </c>
      <c r="D10579" s="1" t="n">
        <v>609.1</v>
      </c>
      <c r="E10579" s="1" t="n">
        <v>0.0691</v>
      </c>
      <c r="F10579" s="1" t="n">
        <v>0.0951</v>
      </c>
    </row>
    <row r="10580" customFormat="false" ht="15" hidden="false" customHeight="false" outlineLevel="0" collapsed="false">
      <c r="A10580" s="1" t="s">
        <v>10615</v>
      </c>
      <c r="B10580" s="1" t="s">
        <v>30</v>
      </c>
      <c r="C10580" s="1" t="n">
        <v>399000</v>
      </c>
      <c r="D10580" s="1" t="n">
        <v>300236.6</v>
      </c>
      <c r="E10580" s="1" t="n">
        <v>0.0291</v>
      </c>
      <c r="F10580" s="1" t="n">
        <v>0.051</v>
      </c>
    </row>
    <row r="10581" customFormat="false" ht="15" hidden="false" customHeight="false" outlineLevel="0" collapsed="false">
      <c r="A10581" s="1" t="s">
        <v>10616</v>
      </c>
      <c r="B10581" s="1" t="s">
        <v>26</v>
      </c>
      <c r="C10581" s="1" t="n">
        <v>126000</v>
      </c>
      <c r="D10581" s="1" t="n">
        <v>2171.3</v>
      </c>
      <c r="E10581" s="1" t="n">
        <v>0.0534</v>
      </c>
      <c r="F10581" s="1" t="n">
        <v>0.0951</v>
      </c>
    </row>
    <row r="10582" customFormat="false" ht="15" hidden="false" customHeight="false" outlineLevel="0" collapsed="false">
      <c r="A10582" s="1" t="s">
        <v>10617</v>
      </c>
      <c r="B10582" s="1" t="s">
        <v>88</v>
      </c>
      <c r="C10582" s="1" t="n">
        <v>143000</v>
      </c>
      <c r="D10582" s="1" t="n">
        <v>1641.1</v>
      </c>
      <c r="F10582" s="1" t="n">
        <v>0.0938</v>
      </c>
    </row>
    <row r="10583" customFormat="false" ht="15" hidden="false" customHeight="false" outlineLevel="0" collapsed="false">
      <c r="A10583" s="1" t="s">
        <v>10618</v>
      </c>
      <c r="B10583" s="1" t="s">
        <v>21</v>
      </c>
      <c r="C10583" s="1" t="n">
        <v>155000</v>
      </c>
      <c r="D10583" s="1" t="n">
        <v>148908.9</v>
      </c>
      <c r="E10583" s="1" t="n">
        <v>0.0331</v>
      </c>
      <c r="F10583" s="1" t="n">
        <v>0.0951</v>
      </c>
    </row>
    <row r="10584" customFormat="false" ht="15" hidden="false" customHeight="false" outlineLevel="0" collapsed="false">
      <c r="A10584" s="1" t="s">
        <v>10619</v>
      </c>
      <c r="B10584" s="1" t="s">
        <v>26</v>
      </c>
      <c r="C10584" s="1" t="n">
        <v>133000</v>
      </c>
      <c r="D10584" s="1" t="n">
        <v>1803.3</v>
      </c>
      <c r="E10584" s="1" t="n">
        <v>0.033</v>
      </c>
      <c r="F10584" s="1" t="n">
        <v>0.0759</v>
      </c>
    </row>
    <row r="10585" customFormat="false" ht="15" hidden="false" customHeight="false" outlineLevel="0" collapsed="false">
      <c r="A10585" s="1" t="s">
        <v>10620</v>
      </c>
      <c r="B10585" s="1" t="s">
        <v>32</v>
      </c>
      <c r="C10585" s="1" t="n">
        <v>144000</v>
      </c>
      <c r="D10585" s="1" t="n">
        <v>1731.2</v>
      </c>
      <c r="E10585" s="1" t="n">
        <v>0.0339</v>
      </c>
      <c r="F10585" s="1" t="n">
        <v>0.1243</v>
      </c>
    </row>
    <row r="10586" customFormat="false" ht="15" hidden="false" customHeight="false" outlineLevel="0" collapsed="false">
      <c r="A10586" s="1" t="s">
        <v>10621</v>
      </c>
      <c r="B10586" s="1" t="s">
        <v>26</v>
      </c>
      <c r="C10586" s="1" t="n">
        <v>207000</v>
      </c>
      <c r="D10586" s="1" t="n">
        <v>78713.6</v>
      </c>
      <c r="E10586" s="1" t="n">
        <v>0.0078</v>
      </c>
      <c r="F10586" s="1" t="n">
        <v>0.0654</v>
      </c>
    </row>
    <row r="10587" customFormat="false" ht="15" hidden="false" customHeight="false" outlineLevel="0" collapsed="false">
      <c r="A10587" s="1" t="s">
        <v>10622</v>
      </c>
      <c r="B10587" s="1" t="s">
        <v>81</v>
      </c>
      <c r="C10587" s="1" t="n">
        <v>154000</v>
      </c>
      <c r="D10587" s="1" t="n">
        <v>1374.8</v>
      </c>
      <c r="E10587" s="1" t="n">
        <v>0.041</v>
      </c>
      <c r="F10587" s="1" t="n">
        <v>0.1241</v>
      </c>
    </row>
    <row r="10588" customFormat="false" ht="15" hidden="false" customHeight="false" outlineLevel="0" collapsed="false">
      <c r="A10588" s="1" t="s">
        <v>10623</v>
      </c>
      <c r="B10588" s="1" t="s">
        <v>214</v>
      </c>
      <c r="C10588" s="1" t="n">
        <v>175000</v>
      </c>
      <c r="D10588" s="1" t="n">
        <v>12385.4</v>
      </c>
      <c r="E10588" s="1" t="n">
        <v>0.0025</v>
      </c>
      <c r="F10588" s="1" t="n">
        <v>0.0822</v>
      </c>
    </row>
    <row r="10589" customFormat="false" ht="15" hidden="false" customHeight="false" outlineLevel="0" collapsed="false">
      <c r="A10589" s="1" t="s">
        <v>10624</v>
      </c>
      <c r="B10589" s="1" t="s">
        <v>41</v>
      </c>
      <c r="C10589" s="1" t="n">
        <v>128000</v>
      </c>
      <c r="D10589" s="1" t="n">
        <v>3792.2</v>
      </c>
      <c r="E10589" s="1" t="n">
        <v>0.024</v>
      </c>
      <c r="F10589" s="1" t="n">
        <v>0.1119</v>
      </c>
    </row>
    <row r="10590" customFormat="false" ht="15" hidden="false" customHeight="false" outlineLevel="0" collapsed="false">
      <c r="A10590" s="1" t="s">
        <v>10625</v>
      </c>
      <c r="B10590" s="1" t="s">
        <v>88</v>
      </c>
      <c r="C10590" s="1" t="n">
        <v>149000</v>
      </c>
      <c r="D10590" s="1" t="n">
        <v>231.6</v>
      </c>
      <c r="E10590" s="1" t="n">
        <v>0.0213</v>
      </c>
      <c r="F10590" s="1" t="n">
        <v>0.0759</v>
      </c>
    </row>
    <row r="10591" customFormat="false" ht="15" hidden="false" customHeight="false" outlineLevel="0" collapsed="false">
      <c r="A10591" s="1" t="s">
        <v>10626</v>
      </c>
      <c r="B10591" s="1" t="s">
        <v>88</v>
      </c>
      <c r="C10591" s="1" t="n">
        <v>131000</v>
      </c>
      <c r="D10591" s="1" t="n">
        <v>851</v>
      </c>
      <c r="E10591" s="1" t="n">
        <v>0.0051</v>
      </c>
      <c r="F10591" s="1" t="n">
        <v>0.0822</v>
      </c>
    </row>
    <row r="10592" customFormat="false" ht="15" hidden="false" customHeight="false" outlineLevel="0" collapsed="false">
      <c r="A10592" s="1" t="s">
        <v>10627</v>
      </c>
      <c r="B10592" s="1" t="s">
        <v>30</v>
      </c>
      <c r="C10592" s="1" t="n">
        <v>154000</v>
      </c>
      <c r="D10592" s="1" t="n">
        <v>5965.5</v>
      </c>
      <c r="E10592" s="1" t="n">
        <v>0.0231</v>
      </c>
      <c r="F10592" s="1" t="n">
        <v>0.0854</v>
      </c>
    </row>
    <row r="10593" customFormat="false" ht="15" hidden="false" customHeight="false" outlineLevel="0" collapsed="false">
      <c r="A10593" s="1" t="s">
        <v>10628</v>
      </c>
      <c r="B10593" s="1" t="s">
        <v>62</v>
      </c>
      <c r="C10593" s="1" t="n">
        <v>157000</v>
      </c>
      <c r="D10593" s="1" t="n">
        <v>1325.2</v>
      </c>
      <c r="E10593" s="1" t="n">
        <v>0.0635</v>
      </c>
      <c r="F10593" s="1" t="n">
        <v>0.0759</v>
      </c>
    </row>
    <row r="10594" customFormat="false" ht="15" hidden="false" customHeight="false" outlineLevel="0" collapsed="false">
      <c r="A10594" s="1" t="s">
        <v>10629</v>
      </c>
      <c r="B10594" s="1" t="s">
        <v>28</v>
      </c>
      <c r="C10594" s="1" t="n">
        <v>208000</v>
      </c>
      <c r="D10594" s="1" t="n">
        <v>755</v>
      </c>
      <c r="E10594" s="1" t="n">
        <v>0.0116</v>
      </c>
      <c r="F10594" s="1" t="n">
        <v>0.1013</v>
      </c>
    </row>
    <row r="10595" customFormat="false" ht="15" hidden="false" customHeight="false" outlineLevel="0" collapsed="false">
      <c r="A10595" s="1" t="s">
        <v>10630</v>
      </c>
      <c r="B10595" s="1" t="s">
        <v>287</v>
      </c>
      <c r="C10595" s="1" t="n">
        <v>136000</v>
      </c>
      <c r="D10595" s="1" t="n">
        <v>76592.4</v>
      </c>
      <c r="E10595" s="1" t="n">
        <v>0.0033</v>
      </c>
      <c r="F10595" s="1" t="n">
        <v>0.3966</v>
      </c>
    </row>
    <row r="10596" customFormat="false" ht="15" hidden="false" customHeight="false" outlineLevel="0" collapsed="false">
      <c r="A10596" s="1" t="s">
        <v>10631</v>
      </c>
      <c r="B10596" s="1" t="s">
        <v>88</v>
      </c>
      <c r="C10596" s="1" t="n">
        <v>173000</v>
      </c>
      <c r="D10596" s="1" t="n">
        <v>4165.1</v>
      </c>
      <c r="E10596" s="1" t="n">
        <v>0.0418</v>
      </c>
      <c r="F10596" s="1" t="n">
        <v>0.0759</v>
      </c>
    </row>
    <row r="10597" customFormat="false" ht="15" hidden="false" customHeight="false" outlineLevel="0" collapsed="false">
      <c r="A10597" s="1" t="s">
        <v>10632</v>
      </c>
      <c r="B10597" s="1" t="s">
        <v>92</v>
      </c>
      <c r="C10597" s="1" t="n">
        <v>140000</v>
      </c>
      <c r="D10597" s="1" t="n">
        <v>132.8</v>
      </c>
      <c r="E10597" s="1" t="n">
        <v>0.0656</v>
      </c>
      <c r="F10597" s="1" t="n">
        <v>0.0759</v>
      </c>
    </row>
    <row r="10598" customFormat="false" ht="15" hidden="false" customHeight="false" outlineLevel="0" collapsed="false">
      <c r="A10598" s="1" t="s">
        <v>10633</v>
      </c>
      <c r="B10598" s="1" t="s">
        <v>92</v>
      </c>
      <c r="C10598" s="1" t="n">
        <v>285000</v>
      </c>
      <c r="D10598" s="1" t="n">
        <v>1071.7</v>
      </c>
      <c r="E10598" s="1" t="n">
        <v>0.0518</v>
      </c>
      <c r="F10598" s="1" t="n">
        <v>0.0951</v>
      </c>
    </row>
    <row r="10599" customFormat="false" ht="15" hidden="false" customHeight="false" outlineLevel="0" collapsed="false">
      <c r="A10599" s="1" t="s">
        <v>10634</v>
      </c>
      <c r="B10599" s="1" t="s">
        <v>26</v>
      </c>
      <c r="C10599" s="1" t="n">
        <v>194000</v>
      </c>
      <c r="D10599" s="1" t="n">
        <v>66096.5</v>
      </c>
      <c r="E10599" s="1" t="n">
        <v>0.008</v>
      </c>
      <c r="F10599" s="1" t="n">
        <v>0.0822</v>
      </c>
    </row>
    <row r="10600" customFormat="false" ht="15" hidden="false" customHeight="false" outlineLevel="0" collapsed="false">
      <c r="A10600" s="1" t="s">
        <v>10635</v>
      </c>
      <c r="B10600" s="1" t="s">
        <v>26</v>
      </c>
      <c r="C10600" s="1" t="n">
        <v>165000</v>
      </c>
      <c r="D10600" s="1" t="n">
        <v>9225.6</v>
      </c>
      <c r="E10600" s="1" t="n">
        <v>0.0218</v>
      </c>
      <c r="F10600" s="1" t="n">
        <v>0.051</v>
      </c>
    </row>
    <row r="10601" customFormat="false" ht="15" hidden="false" customHeight="false" outlineLevel="0" collapsed="false">
      <c r="A10601" s="1" t="s">
        <v>10636</v>
      </c>
      <c r="B10601" s="1" t="s">
        <v>195</v>
      </c>
      <c r="C10601" s="1" t="n">
        <v>130000</v>
      </c>
      <c r="D10601" s="1" t="n">
        <v>3701.5</v>
      </c>
      <c r="E10601" s="1" t="n">
        <v>0.0477</v>
      </c>
      <c r="F10601" s="1" t="n">
        <v>0.0759</v>
      </c>
    </row>
    <row r="10602" customFormat="false" ht="15" hidden="false" customHeight="false" outlineLevel="0" collapsed="false">
      <c r="A10602" s="1" t="s">
        <v>10637</v>
      </c>
      <c r="B10602" s="1" t="s">
        <v>26</v>
      </c>
      <c r="C10602" s="1" t="n">
        <v>130000</v>
      </c>
      <c r="D10602" s="1" t="n">
        <v>945.9</v>
      </c>
      <c r="E10602" s="1" t="n">
        <v>0.0363</v>
      </c>
      <c r="F10602" s="1" t="n">
        <v>0.1359</v>
      </c>
    </row>
    <row r="10603" customFormat="false" ht="15" hidden="false" customHeight="false" outlineLevel="0" collapsed="false">
      <c r="A10603" s="1" t="s">
        <v>10638</v>
      </c>
      <c r="B10603" s="1" t="s">
        <v>214</v>
      </c>
      <c r="C10603" s="1" t="n">
        <v>149000</v>
      </c>
      <c r="D10603" s="1" t="n">
        <v>1281.2</v>
      </c>
      <c r="E10603" s="1" t="n">
        <v>0.0317</v>
      </c>
      <c r="F10603" s="1" t="n">
        <v>0.1243</v>
      </c>
    </row>
    <row r="10604" customFormat="false" ht="15" hidden="false" customHeight="false" outlineLevel="0" collapsed="false">
      <c r="A10604" s="1" t="s">
        <v>10639</v>
      </c>
      <c r="B10604" s="1" t="s">
        <v>92</v>
      </c>
      <c r="C10604" s="1" t="n">
        <v>127000</v>
      </c>
      <c r="D10604" s="1" t="n">
        <v>146027.6</v>
      </c>
      <c r="E10604" s="1" t="n">
        <v>0.0123</v>
      </c>
      <c r="F10604" s="1" t="n">
        <v>0.1327</v>
      </c>
    </row>
    <row r="10605" customFormat="false" ht="15" hidden="false" customHeight="false" outlineLevel="0" collapsed="false">
      <c r="A10605" s="1" t="s">
        <v>10640</v>
      </c>
      <c r="B10605" s="1" t="s">
        <v>50</v>
      </c>
      <c r="C10605" s="1" t="n">
        <v>227000</v>
      </c>
      <c r="D10605" s="1" t="n">
        <v>3237.4</v>
      </c>
      <c r="E10605" s="1" t="n">
        <v>0.0361</v>
      </c>
      <c r="F10605" s="1" t="n">
        <v>0.0938</v>
      </c>
    </row>
    <row r="10606" customFormat="false" ht="15" hidden="false" customHeight="false" outlineLevel="0" collapsed="false">
      <c r="A10606" s="1" t="s">
        <v>10641</v>
      </c>
      <c r="B10606" s="1" t="s">
        <v>81</v>
      </c>
      <c r="C10606" s="1" t="n">
        <v>141000</v>
      </c>
      <c r="D10606" s="1" t="n">
        <v>1133</v>
      </c>
      <c r="E10606" s="1" t="n">
        <v>0.0498</v>
      </c>
      <c r="F10606" s="1" t="n">
        <v>0.1243</v>
      </c>
    </row>
    <row r="10607" customFormat="false" ht="15" hidden="false" customHeight="false" outlineLevel="0" collapsed="false">
      <c r="A10607" s="1" t="s">
        <v>10642</v>
      </c>
      <c r="B10607" s="1" t="s">
        <v>26</v>
      </c>
      <c r="C10607" s="1" t="n">
        <v>174000</v>
      </c>
      <c r="D10607" s="1" t="n">
        <v>598532.6</v>
      </c>
      <c r="E10607" s="1" t="n">
        <v>0.0267</v>
      </c>
      <c r="F10607" s="1" t="n">
        <v>0.0518</v>
      </c>
    </row>
    <row r="10608" customFormat="false" ht="15" hidden="false" customHeight="false" outlineLevel="0" collapsed="false">
      <c r="A10608" s="1" t="s">
        <v>10643</v>
      </c>
      <c r="B10608" s="1" t="s">
        <v>71</v>
      </c>
      <c r="C10608" s="1" t="n">
        <v>133000</v>
      </c>
      <c r="D10608" s="1" t="n">
        <v>1177.5</v>
      </c>
      <c r="E10608" s="1" t="n">
        <v>0.0127</v>
      </c>
      <c r="F10608" s="1" t="n">
        <v>0.0584</v>
      </c>
    </row>
    <row r="10609" customFormat="false" ht="15" hidden="false" customHeight="false" outlineLevel="0" collapsed="false">
      <c r="A10609" s="1" t="s">
        <v>10644</v>
      </c>
      <c r="B10609" s="1" t="s">
        <v>287</v>
      </c>
      <c r="C10609" s="1" t="n">
        <v>126000</v>
      </c>
      <c r="D10609" s="1" t="n">
        <v>39448.2</v>
      </c>
      <c r="E10609" s="1" t="n">
        <v>0.0135</v>
      </c>
      <c r="F10609" s="1" t="n">
        <v>0.0585</v>
      </c>
    </row>
    <row r="10610" customFormat="false" ht="15" hidden="false" customHeight="false" outlineLevel="0" collapsed="false">
      <c r="A10610" s="1" t="s">
        <v>10645</v>
      </c>
      <c r="B10610" s="1" t="s">
        <v>74</v>
      </c>
      <c r="C10610" s="1" t="n">
        <v>183000</v>
      </c>
      <c r="D10610" s="1" t="n">
        <v>21054.9</v>
      </c>
      <c r="E10610" s="1" t="n">
        <v>0.0709</v>
      </c>
      <c r="F10610" s="1" t="n">
        <v>0.0759</v>
      </c>
    </row>
    <row r="10611" customFormat="false" ht="15" hidden="false" customHeight="false" outlineLevel="0" collapsed="false">
      <c r="A10611" s="1" t="s">
        <v>10646</v>
      </c>
      <c r="B10611" s="1" t="s">
        <v>21</v>
      </c>
      <c r="C10611" s="1" t="n">
        <v>147000</v>
      </c>
      <c r="D10611" s="1" t="n">
        <v>8018.5</v>
      </c>
      <c r="E10611" s="1" t="n">
        <v>0.0093</v>
      </c>
      <c r="F10611" s="1" t="n">
        <v>0.0654</v>
      </c>
    </row>
    <row r="10612" customFormat="false" ht="15" hidden="false" customHeight="false" outlineLevel="0" collapsed="false">
      <c r="A10612" s="1" t="s">
        <v>10647</v>
      </c>
      <c r="B10612" s="1" t="s">
        <v>88</v>
      </c>
      <c r="C10612" s="1" t="n">
        <v>142000</v>
      </c>
      <c r="D10612" s="1" t="n">
        <v>4969.6</v>
      </c>
      <c r="E10612" s="1" t="n">
        <v>0.0462</v>
      </c>
      <c r="F10612" s="1" t="n">
        <v>0.0759</v>
      </c>
    </row>
    <row r="10613" customFormat="false" ht="15" hidden="false" customHeight="false" outlineLevel="0" collapsed="false">
      <c r="A10613" s="1" t="s">
        <v>10648</v>
      </c>
      <c r="B10613" s="1" t="s">
        <v>26</v>
      </c>
      <c r="C10613" s="1" t="n">
        <v>133000</v>
      </c>
      <c r="D10613" s="1" t="n">
        <v>33422.3</v>
      </c>
      <c r="E10613" s="1" t="n">
        <v>0.0927</v>
      </c>
      <c r="F10613" s="1" t="n">
        <v>0.0951</v>
      </c>
    </row>
    <row r="10614" customFormat="false" ht="15" hidden="false" customHeight="false" outlineLevel="0" collapsed="false">
      <c r="A10614" s="1" t="s">
        <v>10649</v>
      </c>
      <c r="B10614" s="1" t="s">
        <v>62</v>
      </c>
      <c r="C10614" s="1" t="n">
        <v>184000</v>
      </c>
      <c r="D10614" s="1" t="n">
        <v>1655</v>
      </c>
      <c r="E10614" s="1" t="n">
        <v>0.014</v>
      </c>
      <c r="F10614" s="1" t="n">
        <v>0.0822</v>
      </c>
    </row>
    <row r="10615" customFormat="false" ht="15" hidden="false" customHeight="false" outlineLevel="0" collapsed="false">
      <c r="A10615" s="1" t="s">
        <v>10650</v>
      </c>
      <c r="B10615" s="1" t="s">
        <v>81</v>
      </c>
      <c r="C10615" s="1" t="n">
        <v>158000</v>
      </c>
      <c r="D10615" s="1" t="n">
        <v>402.7</v>
      </c>
      <c r="E10615" s="1" t="n">
        <v>0.0296</v>
      </c>
      <c r="F10615" s="1" t="n">
        <v>0.1226</v>
      </c>
    </row>
    <row r="10616" customFormat="false" ht="15" hidden="false" customHeight="false" outlineLevel="0" collapsed="false">
      <c r="A10616" s="1" t="s">
        <v>10651</v>
      </c>
      <c r="B10616" s="1" t="s">
        <v>81</v>
      </c>
      <c r="C10616" s="1" t="n">
        <v>151000</v>
      </c>
      <c r="D10616" s="1" t="n">
        <v>22715.9</v>
      </c>
      <c r="E10616" s="1" t="n">
        <v>0.02</v>
      </c>
      <c r="F10616" s="1" t="n">
        <v>0.0854</v>
      </c>
    </row>
    <row r="10617" customFormat="false" ht="15" hidden="false" customHeight="false" outlineLevel="0" collapsed="false">
      <c r="A10617" s="1" t="s">
        <v>10652</v>
      </c>
      <c r="B10617" s="1" t="s">
        <v>32</v>
      </c>
      <c r="C10617" s="1" t="n">
        <v>188000</v>
      </c>
      <c r="D10617" s="1" t="n">
        <v>3044.1</v>
      </c>
      <c r="E10617" s="1" t="n">
        <v>0.0206</v>
      </c>
      <c r="F10617" s="1" t="n">
        <v>0.0409</v>
      </c>
    </row>
    <row r="10618" customFormat="false" ht="15" hidden="false" customHeight="false" outlineLevel="0" collapsed="false">
      <c r="A10618" s="1" t="s">
        <v>10653</v>
      </c>
      <c r="B10618" s="1" t="s">
        <v>74</v>
      </c>
      <c r="C10618" s="1" t="n">
        <v>128000</v>
      </c>
      <c r="D10618" s="1" t="n">
        <v>1224.3</v>
      </c>
      <c r="E10618" s="1" t="n">
        <v>0.0587</v>
      </c>
      <c r="F10618" s="1" t="n">
        <v>0.0759</v>
      </c>
    </row>
    <row r="10619" customFormat="false" ht="15" hidden="false" customHeight="false" outlineLevel="0" collapsed="false">
      <c r="A10619" s="1" t="s">
        <v>10654</v>
      </c>
      <c r="B10619" s="1" t="s">
        <v>26</v>
      </c>
      <c r="C10619" s="1" t="n">
        <v>124000</v>
      </c>
      <c r="D10619" s="1" t="n">
        <v>293.2</v>
      </c>
      <c r="E10619" s="1" t="n">
        <v>0.0199</v>
      </c>
      <c r="F10619" s="1" t="n">
        <v>0.0585</v>
      </c>
    </row>
    <row r="10620" customFormat="false" ht="15" hidden="false" customHeight="false" outlineLevel="0" collapsed="false">
      <c r="A10620" s="1" t="s">
        <v>10655</v>
      </c>
      <c r="B10620" s="1" t="s">
        <v>32</v>
      </c>
      <c r="C10620" s="1" t="n">
        <v>148000</v>
      </c>
      <c r="D10620" s="1" t="n">
        <v>558.3</v>
      </c>
      <c r="E10620" s="1" t="n">
        <v>0.019</v>
      </c>
      <c r="F10620" s="1" t="n">
        <v>0.0585</v>
      </c>
    </row>
    <row r="10621" customFormat="false" ht="15" hidden="false" customHeight="false" outlineLevel="0" collapsed="false">
      <c r="A10621" s="1" t="s">
        <v>10656</v>
      </c>
      <c r="B10621" s="1" t="s">
        <v>62</v>
      </c>
      <c r="C10621" s="1" t="n">
        <v>131000</v>
      </c>
      <c r="D10621" s="1" t="n">
        <v>612.2</v>
      </c>
      <c r="E10621" s="1" t="n">
        <v>0.0108</v>
      </c>
      <c r="F10621" s="1" t="n">
        <v>0.0654</v>
      </c>
    </row>
    <row r="10622" customFormat="false" ht="15" hidden="false" customHeight="false" outlineLevel="0" collapsed="false">
      <c r="A10622" s="1" t="s">
        <v>10657</v>
      </c>
      <c r="B10622" s="1" t="s">
        <v>26</v>
      </c>
      <c r="C10622" s="1" t="n">
        <v>201000</v>
      </c>
      <c r="D10622" s="1" t="n">
        <v>2257.8</v>
      </c>
      <c r="E10622" s="1" t="n">
        <v>0.0493</v>
      </c>
      <c r="F10622" s="1" t="n">
        <v>0.0759</v>
      </c>
    </row>
    <row r="10623" customFormat="false" ht="15" hidden="false" customHeight="false" outlineLevel="0" collapsed="false">
      <c r="A10623" s="1" t="s">
        <v>10658</v>
      </c>
      <c r="B10623" s="1" t="s">
        <v>195</v>
      </c>
      <c r="C10623" s="1" t="n">
        <v>205000</v>
      </c>
      <c r="D10623" s="1" t="n">
        <v>948.3</v>
      </c>
      <c r="E10623" s="1" t="n">
        <v>0.0074</v>
      </c>
      <c r="F10623" s="1" t="n">
        <v>0.1015</v>
      </c>
    </row>
    <row r="10624" customFormat="false" ht="15" hidden="false" customHeight="false" outlineLevel="0" collapsed="false">
      <c r="A10624" s="1" t="s">
        <v>10659</v>
      </c>
      <c r="B10624" s="1" t="s">
        <v>88</v>
      </c>
      <c r="C10624" s="1" t="n">
        <v>128000</v>
      </c>
      <c r="D10624" s="1" t="n">
        <v>261.7</v>
      </c>
      <c r="E10624" s="1" t="n">
        <v>0.0177</v>
      </c>
      <c r="F10624" s="1" t="n">
        <v>0.0585</v>
      </c>
    </row>
    <row r="10625" customFormat="false" ht="15" hidden="false" customHeight="false" outlineLevel="0" collapsed="false">
      <c r="A10625" s="1" t="s">
        <v>10660</v>
      </c>
      <c r="B10625" s="1" t="s">
        <v>88</v>
      </c>
      <c r="C10625" s="1" t="n">
        <v>331000</v>
      </c>
      <c r="D10625" s="1" t="n">
        <v>147087.3</v>
      </c>
      <c r="E10625" s="1" t="n">
        <v>0.0344</v>
      </c>
      <c r="F10625" s="1" t="n">
        <v>0.0759</v>
      </c>
    </row>
    <row r="10626" customFormat="false" ht="15" hidden="false" customHeight="false" outlineLevel="0" collapsed="false">
      <c r="A10626" s="1" t="s">
        <v>10661</v>
      </c>
      <c r="B10626" s="1" t="s">
        <v>74</v>
      </c>
      <c r="C10626" s="1" t="n">
        <v>141000</v>
      </c>
      <c r="D10626" s="1" t="n">
        <v>520.3</v>
      </c>
      <c r="E10626" s="1" t="n">
        <v>0.1172</v>
      </c>
      <c r="F10626" s="1" t="n">
        <v>0.3325</v>
      </c>
    </row>
    <row r="10627" customFormat="false" ht="15" hidden="false" customHeight="false" outlineLevel="0" collapsed="false">
      <c r="A10627" s="1" t="s">
        <v>10662</v>
      </c>
      <c r="B10627" s="1" t="s">
        <v>74</v>
      </c>
      <c r="C10627" s="1" t="n">
        <v>120000</v>
      </c>
      <c r="D10627" s="1" t="n">
        <v>1605.8</v>
      </c>
      <c r="E10627" s="1" t="n">
        <v>0.0319</v>
      </c>
      <c r="F10627" s="1" t="n">
        <v>0.0759</v>
      </c>
    </row>
    <row r="10628" customFormat="false" ht="15" hidden="false" customHeight="false" outlineLevel="0" collapsed="false">
      <c r="A10628" s="1" t="s">
        <v>10663</v>
      </c>
      <c r="B10628" s="1" t="s">
        <v>74</v>
      </c>
      <c r="C10628" s="1" t="n">
        <v>142000</v>
      </c>
      <c r="D10628" s="1" t="n">
        <v>9828.8</v>
      </c>
      <c r="E10628" s="1" t="n">
        <v>0.0654</v>
      </c>
      <c r="F10628" s="1" t="n">
        <v>0.0951</v>
      </c>
    </row>
    <row r="10629" customFormat="false" ht="15" hidden="false" customHeight="false" outlineLevel="0" collapsed="false">
      <c r="A10629" s="1" t="s">
        <v>10664</v>
      </c>
      <c r="B10629" s="1" t="s">
        <v>26</v>
      </c>
      <c r="C10629" s="1" t="n">
        <v>486000</v>
      </c>
      <c r="D10629" s="1" t="n">
        <v>53899.8</v>
      </c>
      <c r="E10629" s="1" t="n">
        <v>0.0096</v>
      </c>
      <c r="F10629" s="1" t="n">
        <v>0.0654</v>
      </c>
    </row>
    <row r="10630" customFormat="false" ht="15" hidden="false" customHeight="false" outlineLevel="0" collapsed="false">
      <c r="A10630" s="1" t="s">
        <v>10665</v>
      </c>
      <c r="B10630" s="1" t="s">
        <v>28</v>
      </c>
      <c r="C10630" s="1" t="n">
        <v>151000</v>
      </c>
      <c r="D10630" s="1" t="n">
        <v>3425.3</v>
      </c>
      <c r="E10630" s="1" t="n">
        <v>0.0142</v>
      </c>
      <c r="F10630" s="1" t="n">
        <v>0.0854</v>
      </c>
    </row>
    <row r="10631" customFormat="false" ht="15" hidden="false" customHeight="false" outlineLevel="0" collapsed="false">
      <c r="A10631" s="1" t="s">
        <v>10666</v>
      </c>
      <c r="B10631" s="1" t="s">
        <v>32</v>
      </c>
      <c r="C10631" s="1" t="n">
        <v>204000</v>
      </c>
      <c r="D10631" s="1" t="n">
        <v>3899.1</v>
      </c>
      <c r="E10631" s="1" t="n">
        <v>0.0145</v>
      </c>
      <c r="F10631" s="1" t="n">
        <v>0.0585</v>
      </c>
    </row>
    <row r="10632" customFormat="false" ht="15" hidden="false" customHeight="false" outlineLevel="0" collapsed="false">
      <c r="A10632" s="1" t="s">
        <v>10667</v>
      </c>
      <c r="B10632" s="1" t="s">
        <v>88</v>
      </c>
      <c r="C10632" s="1" t="n">
        <v>126000</v>
      </c>
      <c r="D10632" s="1" t="n">
        <v>289.8</v>
      </c>
      <c r="E10632" s="1" t="n">
        <v>0.0385</v>
      </c>
      <c r="F10632" s="1" t="n">
        <v>0.1243</v>
      </c>
    </row>
    <row r="10633" customFormat="false" ht="15" hidden="false" customHeight="false" outlineLevel="0" collapsed="false">
      <c r="A10633" s="1" t="s">
        <v>10668</v>
      </c>
      <c r="B10633" s="1" t="s">
        <v>74</v>
      </c>
      <c r="C10633" s="1" t="n">
        <v>162000</v>
      </c>
      <c r="D10633" s="1" t="n">
        <v>4510.9</v>
      </c>
      <c r="E10633" s="1" t="n">
        <v>0.0185</v>
      </c>
      <c r="F10633" s="1" t="n">
        <v>0.1067</v>
      </c>
    </row>
    <row r="10634" customFormat="false" ht="15" hidden="false" customHeight="false" outlineLevel="0" collapsed="false">
      <c r="A10634" s="1" t="s">
        <v>10669</v>
      </c>
      <c r="B10634" s="1" t="s">
        <v>214</v>
      </c>
      <c r="C10634" s="1" t="n">
        <v>144000</v>
      </c>
      <c r="D10634" s="1" t="n">
        <v>28090.6</v>
      </c>
      <c r="E10634" s="1" t="n">
        <v>0.0651</v>
      </c>
      <c r="F10634" s="1" t="n">
        <v>0.0518</v>
      </c>
    </row>
    <row r="10635" customFormat="false" ht="15" hidden="false" customHeight="false" outlineLevel="0" collapsed="false">
      <c r="A10635" s="1" t="s">
        <v>10670</v>
      </c>
      <c r="B10635" s="1" t="s">
        <v>26</v>
      </c>
      <c r="C10635" s="1" t="n">
        <v>236000</v>
      </c>
      <c r="D10635" s="1" t="n">
        <v>6754.5</v>
      </c>
      <c r="E10635" s="1" t="n">
        <v>0.0282</v>
      </c>
      <c r="F10635" s="1" t="n">
        <v>0.0759</v>
      </c>
    </row>
    <row r="10636" customFormat="false" ht="15" hidden="false" customHeight="false" outlineLevel="0" collapsed="false">
      <c r="A10636" s="1" t="s">
        <v>10671</v>
      </c>
      <c r="B10636" s="1" t="s">
        <v>74</v>
      </c>
      <c r="C10636" s="1" t="n">
        <v>180000</v>
      </c>
      <c r="D10636" s="1" t="n">
        <v>13899.4</v>
      </c>
      <c r="E10636" s="1" t="n">
        <v>0.0353</v>
      </c>
      <c r="F10636" s="1" t="n">
        <v>0.0672</v>
      </c>
    </row>
    <row r="10637" customFormat="false" ht="15" hidden="false" customHeight="false" outlineLevel="0" collapsed="false">
      <c r="A10637" s="1" t="s">
        <v>10672</v>
      </c>
      <c r="B10637" s="1" t="s">
        <v>28</v>
      </c>
      <c r="C10637" s="1" t="n">
        <v>124000</v>
      </c>
      <c r="D10637" s="1" t="n">
        <v>6887.2</v>
      </c>
      <c r="E10637" s="1" t="n">
        <v>0.0129</v>
      </c>
      <c r="F10637" s="1" t="n">
        <v>0.1067</v>
      </c>
    </row>
    <row r="10638" customFormat="false" ht="15" hidden="false" customHeight="false" outlineLevel="0" collapsed="false">
      <c r="A10638" s="1" t="s">
        <v>10673</v>
      </c>
      <c r="B10638" s="1" t="s">
        <v>287</v>
      </c>
      <c r="C10638" s="1" t="n">
        <v>159000</v>
      </c>
      <c r="D10638" s="1" t="n">
        <v>3372.1</v>
      </c>
      <c r="E10638" s="1" t="n">
        <v>0.0628</v>
      </c>
      <c r="F10638" s="1" t="n">
        <v>0.0845</v>
      </c>
    </row>
    <row r="10639" customFormat="false" ht="15" hidden="false" customHeight="false" outlineLevel="0" collapsed="false">
      <c r="A10639" s="1" t="s">
        <v>10674</v>
      </c>
      <c r="B10639" s="1" t="s">
        <v>26</v>
      </c>
      <c r="C10639" s="1" t="n">
        <v>202000</v>
      </c>
      <c r="D10639" s="1" t="n">
        <v>22818.2</v>
      </c>
      <c r="E10639" s="1" t="n">
        <v>0.0435</v>
      </c>
      <c r="F10639" s="1" t="n">
        <v>0.0759</v>
      </c>
    </row>
    <row r="10640" customFormat="false" ht="15" hidden="false" customHeight="false" outlineLevel="0" collapsed="false">
      <c r="A10640" s="1" t="s">
        <v>10675</v>
      </c>
      <c r="B10640" s="1" t="s">
        <v>53</v>
      </c>
      <c r="C10640" s="1" t="n">
        <v>135000</v>
      </c>
      <c r="D10640" s="1" t="n">
        <v>1696.1</v>
      </c>
      <c r="E10640" s="1" t="n">
        <v>0.0238</v>
      </c>
      <c r="F10640" s="1" t="n">
        <v>0.0735</v>
      </c>
    </row>
    <row r="10641" customFormat="false" ht="15" hidden="false" customHeight="false" outlineLevel="0" collapsed="false">
      <c r="A10641" s="1" t="s">
        <v>10676</v>
      </c>
      <c r="B10641" s="1" t="s">
        <v>88</v>
      </c>
      <c r="C10641" s="1" t="n">
        <v>156000</v>
      </c>
      <c r="D10641" s="1" t="n">
        <v>2575.4</v>
      </c>
      <c r="E10641" s="1" t="n">
        <v>0.0563</v>
      </c>
      <c r="F10641" s="1" t="n">
        <v>0.0759</v>
      </c>
    </row>
    <row r="10642" customFormat="false" ht="15" hidden="false" customHeight="false" outlineLevel="0" collapsed="false">
      <c r="A10642" s="1" t="s">
        <v>10677</v>
      </c>
      <c r="B10642" s="1" t="s">
        <v>62</v>
      </c>
      <c r="C10642" s="1" t="n">
        <v>155000</v>
      </c>
      <c r="D10642" s="1" t="n">
        <v>2439.5</v>
      </c>
      <c r="E10642" s="1" t="n">
        <v>0.0223</v>
      </c>
      <c r="F10642" s="1" t="n">
        <v>0.0759</v>
      </c>
    </row>
    <row r="10643" customFormat="false" ht="15" hidden="false" customHeight="false" outlineLevel="0" collapsed="false">
      <c r="A10643" s="1" t="s">
        <v>10678</v>
      </c>
      <c r="B10643" s="1" t="s">
        <v>81</v>
      </c>
      <c r="C10643" s="1" t="n">
        <v>151000</v>
      </c>
      <c r="D10643" s="1" t="n">
        <v>4614.3</v>
      </c>
      <c r="E10643" s="1" t="n">
        <v>0.0095</v>
      </c>
      <c r="F10643" s="1" t="n">
        <v>0.0811</v>
      </c>
    </row>
    <row r="10644" customFormat="false" ht="15" hidden="false" customHeight="false" outlineLevel="0" collapsed="false">
      <c r="A10644" s="1" t="s">
        <v>10679</v>
      </c>
      <c r="B10644" s="1" t="s">
        <v>24</v>
      </c>
      <c r="C10644" s="1" t="n">
        <v>163000</v>
      </c>
      <c r="D10644" s="1" t="n">
        <v>1062.3</v>
      </c>
      <c r="E10644" s="1" t="n">
        <v>0.0121</v>
      </c>
      <c r="F10644" s="1" t="n">
        <v>0.1471</v>
      </c>
    </row>
    <row r="10645" customFormat="false" ht="15" hidden="false" customHeight="false" outlineLevel="0" collapsed="false">
      <c r="A10645" s="1" t="s">
        <v>10680</v>
      </c>
      <c r="B10645" s="1" t="s">
        <v>92</v>
      </c>
      <c r="C10645" s="1" t="n">
        <v>241000</v>
      </c>
      <c r="D10645" s="1" t="n">
        <v>8427.7</v>
      </c>
      <c r="E10645" s="1" t="n">
        <v>0.0103</v>
      </c>
      <c r="F10645" s="1" t="n">
        <v>0.0654</v>
      </c>
    </row>
    <row r="10646" customFormat="false" ht="15" hidden="false" customHeight="false" outlineLevel="0" collapsed="false">
      <c r="A10646" s="1" t="s">
        <v>10681</v>
      </c>
      <c r="B10646" s="1" t="s">
        <v>41</v>
      </c>
      <c r="C10646" s="1" t="n">
        <v>230000</v>
      </c>
      <c r="D10646" s="1" t="n">
        <v>131691.3</v>
      </c>
      <c r="E10646" s="1" t="n">
        <v>0.0665</v>
      </c>
      <c r="F10646" s="1" t="n">
        <v>0.0951</v>
      </c>
    </row>
    <row r="10647" customFormat="false" ht="15" hidden="false" customHeight="false" outlineLevel="0" collapsed="false">
      <c r="A10647" s="1" t="s">
        <v>10682</v>
      </c>
      <c r="B10647" s="1" t="s">
        <v>88</v>
      </c>
      <c r="C10647" s="1" t="n">
        <v>198000</v>
      </c>
      <c r="D10647" s="1" t="n">
        <v>1455.7</v>
      </c>
      <c r="E10647" s="1" t="n">
        <v>0.0404</v>
      </c>
      <c r="F10647" s="1" t="n">
        <v>0.0951</v>
      </c>
    </row>
    <row r="10648" customFormat="false" ht="15" hidden="false" customHeight="false" outlineLevel="0" collapsed="false">
      <c r="A10648" s="1" t="s">
        <v>10683</v>
      </c>
      <c r="B10648" s="1" t="s">
        <v>26</v>
      </c>
      <c r="C10648" s="1" t="n">
        <v>227000</v>
      </c>
      <c r="D10648" s="1" t="n">
        <v>184.4</v>
      </c>
      <c r="E10648" s="1" t="n">
        <v>0.0041</v>
      </c>
      <c r="F10648" s="1" t="n">
        <v>0.2095</v>
      </c>
    </row>
    <row r="10649" customFormat="false" ht="15" hidden="false" customHeight="false" outlineLevel="0" collapsed="false">
      <c r="A10649" s="1" t="s">
        <v>10684</v>
      </c>
      <c r="B10649" s="1" t="s">
        <v>92</v>
      </c>
      <c r="C10649" s="1" t="n">
        <v>136000</v>
      </c>
      <c r="D10649" s="1" t="n">
        <v>1230.5</v>
      </c>
      <c r="E10649" s="1" t="n">
        <v>0.0159</v>
      </c>
      <c r="F10649" s="1" t="n">
        <v>0.1886</v>
      </c>
    </row>
    <row r="10650" customFormat="false" ht="15" hidden="false" customHeight="false" outlineLevel="0" collapsed="false">
      <c r="A10650" s="1" t="s">
        <v>10685</v>
      </c>
      <c r="B10650" s="1" t="s">
        <v>26</v>
      </c>
      <c r="C10650" s="1" t="n">
        <v>137000</v>
      </c>
      <c r="D10650" s="1" t="n">
        <v>4128.9</v>
      </c>
      <c r="E10650" s="1" t="n">
        <v>0.0366</v>
      </c>
      <c r="F10650" s="1" t="n">
        <v>0.0759</v>
      </c>
    </row>
    <row r="10651" customFormat="false" ht="15" hidden="false" customHeight="false" outlineLevel="0" collapsed="false">
      <c r="A10651" s="1" t="s">
        <v>10686</v>
      </c>
      <c r="B10651" s="1" t="s">
        <v>26</v>
      </c>
      <c r="C10651" s="1" t="n">
        <v>125000</v>
      </c>
      <c r="D10651" s="1" t="n">
        <v>2008.5</v>
      </c>
      <c r="E10651" s="1" t="n">
        <v>0.0406</v>
      </c>
      <c r="F10651" s="1" t="n">
        <v>0.0951</v>
      </c>
    </row>
    <row r="10652" customFormat="false" ht="15" hidden="false" customHeight="false" outlineLevel="0" collapsed="false">
      <c r="A10652" s="1" t="s">
        <v>10687</v>
      </c>
      <c r="B10652" s="1" t="s">
        <v>88</v>
      </c>
      <c r="C10652" s="1" t="n">
        <v>208000</v>
      </c>
      <c r="D10652" s="1" t="n">
        <v>1572.7</v>
      </c>
      <c r="E10652" s="1" t="n">
        <v>0.0381</v>
      </c>
      <c r="F10652" s="1" t="n">
        <v>0.0938</v>
      </c>
    </row>
    <row r="10653" customFormat="false" ht="15" hidden="false" customHeight="false" outlineLevel="0" collapsed="false">
      <c r="A10653" s="1" t="s">
        <v>10688</v>
      </c>
      <c r="B10653" s="1" t="s">
        <v>74</v>
      </c>
      <c r="C10653" s="1" t="n">
        <v>542000</v>
      </c>
      <c r="D10653" s="1" t="n">
        <v>15134.9</v>
      </c>
      <c r="E10653" s="1" t="n">
        <v>0.0452</v>
      </c>
      <c r="F10653" s="1" t="n">
        <v>0.0759</v>
      </c>
    </row>
    <row r="10654" customFormat="false" ht="15" hidden="false" customHeight="false" outlineLevel="0" collapsed="false">
      <c r="A10654" s="1" t="s">
        <v>10689</v>
      </c>
      <c r="B10654" s="1" t="s">
        <v>88</v>
      </c>
      <c r="C10654" s="1" t="n">
        <v>163000</v>
      </c>
      <c r="D10654" s="1" t="n">
        <v>307.8</v>
      </c>
      <c r="E10654" s="1" t="n">
        <v>0.0425</v>
      </c>
      <c r="F10654" s="1" t="n">
        <v>0.095</v>
      </c>
    </row>
    <row r="10655" customFormat="false" ht="15" hidden="false" customHeight="false" outlineLevel="0" collapsed="false">
      <c r="A10655" s="1" t="s">
        <v>10690</v>
      </c>
      <c r="B10655" s="1" t="s">
        <v>24</v>
      </c>
      <c r="C10655" s="1" t="n">
        <v>208000</v>
      </c>
      <c r="D10655" s="1" t="n">
        <v>5963.1</v>
      </c>
      <c r="E10655" s="1" t="n">
        <v>0.0384</v>
      </c>
      <c r="F10655" s="1" t="n">
        <v>0.0938</v>
      </c>
    </row>
    <row r="10656" customFormat="false" ht="15" hidden="false" customHeight="false" outlineLevel="0" collapsed="false">
      <c r="A10656" s="1" t="s">
        <v>10691</v>
      </c>
      <c r="B10656" s="1" t="s">
        <v>92</v>
      </c>
      <c r="C10656" s="1" t="n">
        <v>129000</v>
      </c>
      <c r="D10656" s="1" t="n">
        <v>1177930.6</v>
      </c>
      <c r="F10656" s="1" t="n">
        <v>0.0951</v>
      </c>
    </row>
    <row r="10657" customFormat="false" ht="15" hidden="false" customHeight="false" outlineLevel="0" collapsed="false">
      <c r="A10657" s="1" t="s">
        <v>10692</v>
      </c>
      <c r="B10657" s="1" t="s">
        <v>88</v>
      </c>
      <c r="C10657" s="1" t="n">
        <v>141000</v>
      </c>
      <c r="D10657" s="1" t="n">
        <v>4777</v>
      </c>
      <c r="E10657" s="1" t="n">
        <v>0.0145</v>
      </c>
      <c r="F10657" s="1" t="n">
        <v>0.2729</v>
      </c>
    </row>
    <row r="10658" customFormat="false" ht="15" hidden="false" customHeight="false" outlineLevel="0" collapsed="false">
      <c r="A10658" s="1" t="s">
        <v>10693</v>
      </c>
      <c r="B10658" s="1" t="s">
        <v>88</v>
      </c>
      <c r="C10658" s="1" t="n">
        <v>301000</v>
      </c>
      <c r="D10658" s="1" t="n">
        <v>584</v>
      </c>
      <c r="E10658" s="1" t="n">
        <v>0.0378</v>
      </c>
      <c r="F10658" s="1" t="n">
        <v>0.051</v>
      </c>
    </row>
    <row r="10659" customFormat="false" ht="15" hidden="false" customHeight="false" outlineLevel="0" collapsed="false">
      <c r="A10659" s="1" t="s">
        <v>10694</v>
      </c>
      <c r="B10659" s="1" t="s">
        <v>26</v>
      </c>
      <c r="C10659" s="1" t="n">
        <v>125000</v>
      </c>
      <c r="D10659" s="1" t="n">
        <v>659.5</v>
      </c>
      <c r="E10659" s="1" t="n">
        <v>0.0058</v>
      </c>
      <c r="F10659" s="1" t="n">
        <v>0.0654</v>
      </c>
    </row>
    <row r="10660" customFormat="false" ht="15" hidden="false" customHeight="false" outlineLevel="0" collapsed="false">
      <c r="A10660" s="1" t="s">
        <v>10695</v>
      </c>
      <c r="B10660" s="1" t="s">
        <v>26</v>
      </c>
      <c r="C10660" s="1" t="n">
        <v>259000</v>
      </c>
      <c r="D10660" s="1" t="n">
        <v>156215.4</v>
      </c>
      <c r="E10660" s="1" t="n">
        <v>0.0251</v>
      </c>
      <c r="F10660" s="1" t="n">
        <v>0.0409</v>
      </c>
    </row>
    <row r="10661" customFormat="false" ht="15" hidden="false" customHeight="false" outlineLevel="0" collapsed="false">
      <c r="A10661" s="1" t="s">
        <v>10696</v>
      </c>
      <c r="B10661" s="1" t="s">
        <v>24</v>
      </c>
      <c r="C10661" s="1" t="n">
        <v>142000</v>
      </c>
      <c r="D10661" s="1" t="n">
        <v>549.2</v>
      </c>
      <c r="E10661" s="1" t="n">
        <v>0.0151</v>
      </c>
      <c r="F10661" s="1" t="n">
        <v>0.0736</v>
      </c>
    </row>
    <row r="10662" customFormat="false" ht="15" hidden="false" customHeight="false" outlineLevel="0" collapsed="false">
      <c r="A10662" s="1" t="s">
        <v>10697</v>
      </c>
      <c r="B10662" s="1" t="s">
        <v>21</v>
      </c>
      <c r="C10662" s="1" t="n">
        <v>276000</v>
      </c>
      <c r="D10662" s="1" t="n">
        <v>10728.9</v>
      </c>
      <c r="E10662" s="1" t="n">
        <v>0.0501</v>
      </c>
      <c r="F10662" s="1" t="n">
        <v>0.0951</v>
      </c>
    </row>
    <row r="10663" customFormat="false" ht="15" hidden="false" customHeight="false" outlineLevel="0" collapsed="false">
      <c r="A10663" s="1" t="s">
        <v>10698</v>
      </c>
      <c r="B10663" s="1" t="s">
        <v>92</v>
      </c>
      <c r="C10663" s="1" t="n">
        <v>137000</v>
      </c>
      <c r="D10663" s="1" t="n">
        <v>2163.4</v>
      </c>
      <c r="E10663" s="1" t="n">
        <v>0.0232</v>
      </c>
      <c r="F10663" s="1" t="n">
        <v>0.3675</v>
      </c>
    </row>
    <row r="10664" customFormat="false" ht="15" hidden="false" customHeight="false" outlineLevel="0" collapsed="false">
      <c r="A10664" s="1" t="s">
        <v>10699</v>
      </c>
      <c r="B10664" s="1" t="s">
        <v>24</v>
      </c>
      <c r="C10664" s="1" t="n">
        <v>157000</v>
      </c>
      <c r="D10664" s="1" t="n">
        <v>3429.7</v>
      </c>
      <c r="E10664" s="1" t="n">
        <v>0.0512</v>
      </c>
      <c r="F10664" s="1" t="n">
        <v>0.0951</v>
      </c>
    </row>
    <row r="10665" customFormat="false" ht="15" hidden="false" customHeight="false" outlineLevel="0" collapsed="false">
      <c r="A10665" s="1" t="s">
        <v>10700</v>
      </c>
      <c r="B10665" s="1" t="s">
        <v>88</v>
      </c>
      <c r="C10665" s="1" t="n">
        <v>163000</v>
      </c>
      <c r="D10665" s="1" t="n">
        <v>28890.3</v>
      </c>
      <c r="E10665" s="1" t="n">
        <v>0.0362</v>
      </c>
      <c r="F10665" s="1" t="n">
        <v>0.0938</v>
      </c>
    </row>
    <row r="10666" customFormat="false" ht="15" hidden="false" customHeight="false" outlineLevel="0" collapsed="false">
      <c r="A10666" s="1" t="s">
        <v>10701</v>
      </c>
      <c r="B10666" s="1" t="s">
        <v>88</v>
      </c>
      <c r="C10666" s="1" t="n">
        <v>150000</v>
      </c>
      <c r="D10666" s="1" t="n">
        <v>670.7</v>
      </c>
      <c r="E10666" s="1" t="n">
        <v>0.0911</v>
      </c>
      <c r="F10666" s="1" t="n">
        <v>0.1226</v>
      </c>
    </row>
    <row r="10667" customFormat="false" ht="15" hidden="false" customHeight="false" outlineLevel="0" collapsed="false">
      <c r="A10667" s="1" t="s">
        <v>10702</v>
      </c>
      <c r="B10667" s="1" t="s">
        <v>74</v>
      </c>
      <c r="C10667" s="1" t="n">
        <v>150000</v>
      </c>
      <c r="D10667" s="1" t="n">
        <v>1169</v>
      </c>
      <c r="E10667" s="1" t="n">
        <v>0.0233</v>
      </c>
      <c r="F10667" s="1" t="n">
        <v>0.0759</v>
      </c>
    </row>
    <row r="10668" customFormat="false" ht="15" hidden="false" customHeight="false" outlineLevel="0" collapsed="false">
      <c r="A10668" s="1" t="s">
        <v>10703</v>
      </c>
      <c r="B10668" s="1" t="s">
        <v>81</v>
      </c>
      <c r="C10668" s="1" t="n">
        <v>125000</v>
      </c>
      <c r="D10668" s="1" t="n">
        <v>1448.5</v>
      </c>
      <c r="E10668" s="1" t="n">
        <v>0.0146</v>
      </c>
      <c r="F10668" s="1" t="n">
        <v>0.0854</v>
      </c>
    </row>
    <row r="10669" customFormat="false" ht="15" hidden="false" customHeight="false" outlineLevel="0" collapsed="false">
      <c r="A10669" s="1" t="s">
        <v>10704</v>
      </c>
      <c r="B10669" s="1" t="s">
        <v>62</v>
      </c>
      <c r="C10669" s="1" t="n">
        <v>131000</v>
      </c>
      <c r="D10669" s="1" t="n">
        <v>965.4</v>
      </c>
      <c r="E10669" s="1" t="n">
        <v>0.0101</v>
      </c>
      <c r="F10669" s="1" t="n">
        <v>0.0822</v>
      </c>
    </row>
    <row r="10670" customFormat="false" ht="15" hidden="false" customHeight="false" outlineLevel="0" collapsed="false">
      <c r="A10670" s="1" t="s">
        <v>10705</v>
      </c>
      <c r="B10670" s="1" t="s">
        <v>24</v>
      </c>
      <c r="C10670" s="1" t="n">
        <v>743000</v>
      </c>
      <c r="D10670" s="1" t="n">
        <v>25392.4</v>
      </c>
      <c r="F10670" s="1" t="n">
        <v>0.0759</v>
      </c>
    </row>
    <row r="10671" customFormat="false" ht="15" hidden="false" customHeight="false" outlineLevel="0" collapsed="false">
      <c r="A10671" s="1" t="s">
        <v>10706</v>
      </c>
      <c r="B10671" s="1" t="s">
        <v>74</v>
      </c>
      <c r="C10671" s="1" t="n">
        <v>135000</v>
      </c>
      <c r="D10671" s="1" t="n">
        <v>1687.8</v>
      </c>
      <c r="E10671" s="1" t="n">
        <v>0.0221</v>
      </c>
      <c r="F10671" s="1" t="n">
        <v>0.1067</v>
      </c>
    </row>
    <row r="10672" customFormat="false" ht="15" hidden="false" customHeight="false" outlineLevel="0" collapsed="false">
      <c r="A10672" s="1" t="s">
        <v>10707</v>
      </c>
      <c r="B10672" s="1" t="s">
        <v>21</v>
      </c>
      <c r="C10672" s="1" t="n">
        <v>205000</v>
      </c>
      <c r="D10672" s="1" t="n">
        <v>91.7</v>
      </c>
      <c r="E10672" s="1" t="n">
        <v>0.0163</v>
      </c>
      <c r="F10672" s="1" t="n">
        <v>0.1119</v>
      </c>
    </row>
    <row r="10673" customFormat="false" ht="15" hidden="false" customHeight="false" outlineLevel="0" collapsed="false">
      <c r="A10673" s="1" t="s">
        <v>10708</v>
      </c>
      <c r="B10673" s="1" t="s">
        <v>71</v>
      </c>
      <c r="C10673" s="1" t="n">
        <v>312000</v>
      </c>
      <c r="D10673" s="1" t="n">
        <v>15267.4</v>
      </c>
      <c r="E10673" s="1" t="n">
        <v>0.0234</v>
      </c>
      <c r="F10673" s="1" t="n">
        <v>0.0759</v>
      </c>
    </row>
    <row r="10674" customFormat="false" ht="15" hidden="false" customHeight="false" outlineLevel="0" collapsed="false">
      <c r="A10674" s="1" t="s">
        <v>10709</v>
      </c>
      <c r="B10674" s="1" t="s">
        <v>35</v>
      </c>
      <c r="C10674" s="1" t="n">
        <v>181000</v>
      </c>
      <c r="D10674" s="1" t="n">
        <v>6863</v>
      </c>
      <c r="E10674" s="1" t="n">
        <v>0.0333</v>
      </c>
      <c r="F10674" s="1" t="n">
        <v>0.0759</v>
      </c>
    </row>
    <row r="10675" customFormat="false" ht="15" hidden="false" customHeight="false" outlineLevel="0" collapsed="false">
      <c r="A10675" s="1" t="s">
        <v>10710</v>
      </c>
      <c r="B10675" s="1" t="s">
        <v>88</v>
      </c>
      <c r="C10675" s="1" t="n">
        <v>265000</v>
      </c>
      <c r="D10675" s="1" t="n">
        <v>3071.8</v>
      </c>
      <c r="E10675" s="1" t="n">
        <v>0.0124</v>
      </c>
      <c r="F10675" s="1" t="n">
        <v>0.1309</v>
      </c>
    </row>
    <row r="10676" customFormat="false" ht="15" hidden="false" customHeight="false" outlineLevel="0" collapsed="false">
      <c r="A10676" s="1" t="s">
        <v>10711</v>
      </c>
      <c r="B10676" s="1" t="s">
        <v>74</v>
      </c>
      <c r="C10676" s="1" t="n">
        <v>152000</v>
      </c>
      <c r="D10676" s="1" t="n">
        <v>4129.8</v>
      </c>
      <c r="E10676" s="1" t="n">
        <v>0.036</v>
      </c>
      <c r="F10676" s="1" t="n">
        <v>0.0759</v>
      </c>
    </row>
    <row r="10677" customFormat="false" ht="15" hidden="false" customHeight="false" outlineLevel="0" collapsed="false">
      <c r="A10677" s="1" t="s">
        <v>10712</v>
      </c>
      <c r="B10677" s="1" t="s">
        <v>88</v>
      </c>
      <c r="C10677" s="1" t="n">
        <v>169000</v>
      </c>
      <c r="D10677" s="1" t="n">
        <v>2112.5</v>
      </c>
      <c r="E10677" s="1" t="n">
        <v>0.0299</v>
      </c>
      <c r="F10677" s="1" t="n">
        <v>0.2545</v>
      </c>
    </row>
    <row r="10678" customFormat="false" ht="15" hidden="false" customHeight="false" outlineLevel="0" collapsed="false">
      <c r="A10678" s="1" t="s">
        <v>10713</v>
      </c>
      <c r="B10678" s="1" t="s">
        <v>92</v>
      </c>
      <c r="C10678" s="1" t="n">
        <v>144000</v>
      </c>
      <c r="D10678" s="1" t="n">
        <v>15969.5</v>
      </c>
      <c r="E10678" s="1" t="n">
        <v>0.029</v>
      </c>
      <c r="F10678" s="1" t="n">
        <v>0.0518</v>
      </c>
    </row>
    <row r="10679" customFormat="false" ht="15" hidden="false" customHeight="false" outlineLevel="0" collapsed="false">
      <c r="A10679" s="1" t="s">
        <v>10714</v>
      </c>
      <c r="B10679" s="1" t="s">
        <v>74</v>
      </c>
      <c r="C10679" s="1" t="n">
        <v>135000</v>
      </c>
      <c r="D10679" s="1" t="n">
        <v>10645.6</v>
      </c>
      <c r="E10679" s="1" t="n">
        <v>0.0321</v>
      </c>
      <c r="F10679" s="1" t="n">
        <v>0.0951</v>
      </c>
    </row>
    <row r="10680" customFormat="false" ht="15" hidden="false" customHeight="false" outlineLevel="0" collapsed="false">
      <c r="A10680" s="1" t="s">
        <v>10715</v>
      </c>
      <c r="B10680" s="1" t="s">
        <v>71</v>
      </c>
      <c r="C10680" s="1" t="n">
        <v>224000</v>
      </c>
      <c r="D10680" s="1" t="n">
        <v>658.3</v>
      </c>
      <c r="E10680" s="1" t="n">
        <v>0.0233</v>
      </c>
      <c r="F10680" s="1" t="n">
        <v>0.051</v>
      </c>
    </row>
    <row r="10681" customFormat="false" ht="15" hidden="false" customHeight="false" outlineLevel="0" collapsed="false">
      <c r="A10681" s="1" t="s">
        <v>10716</v>
      </c>
      <c r="B10681" s="1" t="s">
        <v>88</v>
      </c>
      <c r="C10681" s="1" t="n">
        <v>129000</v>
      </c>
      <c r="D10681" s="1" t="n">
        <v>525.6</v>
      </c>
      <c r="E10681" s="1" t="n">
        <v>0.0384</v>
      </c>
      <c r="F10681" s="1" t="n">
        <v>0.0644</v>
      </c>
    </row>
    <row r="10682" customFormat="false" ht="15" hidden="false" customHeight="false" outlineLevel="0" collapsed="false">
      <c r="A10682" s="1" t="s">
        <v>10717</v>
      </c>
      <c r="B10682" s="1" t="s">
        <v>81</v>
      </c>
      <c r="C10682" s="1" t="n">
        <v>125000</v>
      </c>
      <c r="D10682" s="1" t="n">
        <v>1492</v>
      </c>
      <c r="E10682" s="1" t="n">
        <v>0.0331</v>
      </c>
      <c r="F10682" s="1" t="n">
        <v>0.0938</v>
      </c>
    </row>
    <row r="10683" customFormat="false" ht="15" hidden="false" customHeight="false" outlineLevel="0" collapsed="false">
      <c r="A10683" s="1" t="s">
        <v>10718</v>
      </c>
      <c r="B10683" s="1" t="s">
        <v>26</v>
      </c>
      <c r="C10683" s="1" t="n">
        <v>129000</v>
      </c>
      <c r="D10683" s="1" t="n">
        <v>6353.9</v>
      </c>
      <c r="E10683" s="1" t="n">
        <v>0.0096</v>
      </c>
      <c r="F10683" s="1" t="n">
        <v>0.0822</v>
      </c>
    </row>
    <row r="10684" customFormat="false" ht="15" hidden="false" customHeight="false" outlineLevel="0" collapsed="false">
      <c r="A10684" s="1" t="s">
        <v>10719</v>
      </c>
      <c r="B10684" s="1" t="s">
        <v>26</v>
      </c>
      <c r="C10684" s="1" t="n">
        <v>167000</v>
      </c>
      <c r="D10684" s="1" t="n">
        <v>1423.6</v>
      </c>
      <c r="E10684" s="1" t="n">
        <v>0.0336</v>
      </c>
      <c r="F10684" s="1" t="n">
        <v>0.0759</v>
      </c>
    </row>
    <row r="10685" customFormat="false" ht="15" hidden="false" customHeight="false" outlineLevel="0" collapsed="false">
      <c r="A10685" s="1" t="s">
        <v>10720</v>
      </c>
      <c r="B10685" s="1" t="s">
        <v>32</v>
      </c>
      <c r="C10685" s="1" t="n">
        <v>304000</v>
      </c>
      <c r="D10685" s="1" t="n">
        <v>13191.9</v>
      </c>
      <c r="E10685" s="1" t="n">
        <v>0.0126</v>
      </c>
      <c r="F10685" s="1" t="n">
        <v>0.1327</v>
      </c>
    </row>
    <row r="10686" customFormat="false" ht="15" hidden="false" customHeight="false" outlineLevel="0" collapsed="false">
      <c r="A10686" s="1" t="s">
        <v>10721</v>
      </c>
      <c r="B10686" s="1" t="s">
        <v>35</v>
      </c>
      <c r="C10686" s="1" t="n">
        <v>131000</v>
      </c>
      <c r="D10686" s="1" t="n">
        <v>1105.1</v>
      </c>
      <c r="E10686" s="1" t="n">
        <v>0.0075</v>
      </c>
      <c r="F10686" s="1" t="n">
        <v>0.0654</v>
      </c>
    </row>
    <row r="10687" customFormat="false" ht="15" hidden="false" customHeight="false" outlineLevel="0" collapsed="false">
      <c r="A10687" s="1" t="s">
        <v>10722</v>
      </c>
      <c r="B10687" s="1" t="s">
        <v>88</v>
      </c>
      <c r="C10687" s="1" t="n">
        <v>564000</v>
      </c>
      <c r="D10687" s="1" t="n">
        <v>866.4</v>
      </c>
      <c r="E10687" s="1" t="n">
        <v>0.1118</v>
      </c>
      <c r="F10687" s="1" t="n">
        <v>0.0938</v>
      </c>
    </row>
    <row r="10688" customFormat="false" ht="15" hidden="false" customHeight="false" outlineLevel="0" collapsed="false">
      <c r="A10688" s="1" t="s">
        <v>10723</v>
      </c>
      <c r="B10688" s="1" t="s">
        <v>26</v>
      </c>
      <c r="C10688" s="1" t="n">
        <v>470000</v>
      </c>
      <c r="D10688" s="1" t="n">
        <v>243871</v>
      </c>
      <c r="F10688" s="1" t="n">
        <v>0.0938</v>
      </c>
    </row>
    <row r="10689" customFormat="false" ht="15" hidden="false" customHeight="false" outlineLevel="0" collapsed="false">
      <c r="A10689" s="1" t="s">
        <v>10724</v>
      </c>
      <c r="B10689" s="1" t="s">
        <v>71</v>
      </c>
      <c r="C10689" s="1" t="n">
        <v>124000</v>
      </c>
      <c r="D10689" s="1" t="n">
        <v>179.5</v>
      </c>
      <c r="E10689" s="1" t="n">
        <v>0.0512</v>
      </c>
      <c r="F10689" s="1" t="n">
        <v>0.6911</v>
      </c>
    </row>
    <row r="10690" customFormat="false" ht="15" hidden="false" customHeight="false" outlineLevel="0" collapsed="false">
      <c r="A10690" s="1" t="s">
        <v>10725</v>
      </c>
      <c r="B10690" s="1" t="s">
        <v>74</v>
      </c>
      <c r="C10690" s="1" t="n">
        <v>229000</v>
      </c>
      <c r="D10690" s="1" t="n">
        <v>21975.8</v>
      </c>
      <c r="E10690" s="1" t="n">
        <v>0.0525</v>
      </c>
      <c r="F10690" s="1" t="n">
        <v>0.0409</v>
      </c>
    </row>
    <row r="10691" customFormat="false" ht="15" hidden="false" customHeight="false" outlineLevel="0" collapsed="false">
      <c r="A10691" s="1" t="s">
        <v>10726</v>
      </c>
      <c r="B10691" s="1" t="s">
        <v>74</v>
      </c>
      <c r="C10691" s="1" t="n">
        <v>304000</v>
      </c>
      <c r="D10691" s="1" t="n">
        <v>174524.5</v>
      </c>
      <c r="E10691" s="1" t="n">
        <v>0.0645</v>
      </c>
      <c r="F10691" s="1" t="n">
        <v>0.1184</v>
      </c>
    </row>
    <row r="10692" customFormat="false" ht="15" hidden="false" customHeight="false" outlineLevel="0" collapsed="false">
      <c r="A10692" s="1" t="s">
        <v>10727</v>
      </c>
      <c r="B10692" s="1" t="s">
        <v>21</v>
      </c>
      <c r="C10692" s="1" t="n">
        <v>193000</v>
      </c>
      <c r="D10692" s="1" t="n">
        <v>5536.1</v>
      </c>
      <c r="E10692" s="1" t="n">
        <v>0.0158</v>
      </c>
      <c r="F10692" s="1" t="n">
        <v>0.0775</v>
      </c>
    </row>
    <row r="10693" customFormat="false" ht="15" hidden="false" customHeight="false" outlineLevel="0" collapsed="false">
      <c r="A10693" s="1" t="s">
        <v>10728</v>
      </c>
      <c r="B10693" s="1" t="s">
        <v>81</v>
      </c>
      <c r="C10693" s="1" t="n">
        <v>185000</v>
      </c>
      <c r="D10693" s="1" t="n">
        <v>8744.4</v>
      </c>
      <c r="E10693" s="1" t="n">
        <v>0.0229</v>
      </c>
      <c r="F10693" s="1" t="n">
        <v>0.0759</v>
      </c>
    </row>
    <row r="10694" customFormat="false" ht="15" hidden="false" customHeight="false" outlineLevel="0" collapsed="false">
      <c r="A10694" s="1" t="s">
        <v>10729</v>
      </c>
      <c r="B10694" s="1" t="s">
        <v>92</v>
      </c>
      <c r="C10694" s="1" t="n">
        <v>235000</v>
      </c>
      <c r="D10694" s="1" t="n">
        <v>29755.3</v>
      </c>
      <c r="E10694" s="1" t="n">
        <v>0.0262</v>
      </c>
      <c r="F10694" s="1" t="n">
        <v>0.0951</v>
      </c>
    </row>
    <row r="10695" customFormat="false" ht="15" hidden="false" customHeight="false" outlineLevel="0" collapsed="false">
      <c r="A10695" s="1" t="s">
        <v>10730</v>
      </c>
      <c r="B10695" s="1" t="s">
        <v>71</v>
      </c>
      <c r="C10695" s="1" t="n">
        <v>135000</v>
      </c>
      <c r="D10695" s="1" t="n">
        <v>933.5</v>
      </c>
      <c r="E10695" s="1" t="n">
        <v>0.0255</v>
      </c>
      <c r="F10695" s="1" t="n">
        <v>0.0759</v>
      </c>
    </row>
    <row r="10696" customFormat="false" ht="15" hidden="false" customHeight="false" outlineLevel="0" collapsed="false">
      <c r="A10696" s="1" t="s">
        <v>10731</v>
      </c>
      <c r="B10696" s="1" t="s">
        <v>26</v>
      </c>
      <c r="C10696" s="1" t="n">
        <v>137000</v>
      </c>
      <c r="D10696" s="1" t="n">
        <v>1375</v>
      </c>
      <c r="E10696" s="1" t="n">
        <v>0.0291</v>
      </c>
      <c r="F10696" s="1" t="n">
        <v>0.5715</v>
      </c>
    </row>
    <row r="10697" customFormat="false" ht="15" hidden="false" customHeight="false" outlineLevel="0" collapsed="false">
      <c r="A10697" s="1" t="s">
        <v>10732</v>
      </c>
      <c r="B10697" s="1" t="s">
        <v>32</v>
      </c>
      <c r="C10697" s="1" t="n">
        <v>134000</v>
      </c>
      <c r="D10697" s="1" t="n">
        <v>42220.1</v>
      </c>
      <c r="E10697" s="1" t="n">
        <v>0.082</v>
      </c>
      <c r="F10697" s="1" t="n">
        <v>0.0951</v>
      </c>
    </row>
    <row r="10698" customFormat="false" ht="15" hidden="false" customHeight="false" outlineLevel="0" collapsed="false">
      <c r="A10698" s="1" t="s">
        <v>10733</v>
      </c>
      <c r="B10698" s="1" t="s">
        <v>28</v>
      </c>
      <c r="C10698" s="1" t="n">
        <v>984000</v>
      </c>
      <c r="D10698" s="1" t="n">
        <v>8525.1</v>
      </c>
      <c r="E10698" s="1" t="n">
        <v>0.0073</v>
      </c>
      <c r="F10698" s="1" t="n">
        <v>0.0811</v>
      </c>
    </row>
    <row r="10699" customFormat="false" ht="15" hidden="false" customHeight="false" outlineLevel="0" collapsed="false">
      <c r="A10699" s="1" t="s">
        <v>10734</v>
      </c>
      <c r="B10699" s="1" t="s">
        <v>26</v>
      </c>
      <c r="C10699" s="1" t="n">
        <v>194000</v>
      </c>
      <c r="D10699" s="1" t="n">
        <v>355.2</v>
      </c>
      <c r="E10699" s="1" t="n">
        <v>0.0059</v>
      </c>
      <c r="F10699" s="1" t="n">
        <v>0.0822</v>
      </c>
    </row>
    <row r="10700" customFormat="false" ht="15" hidden="false" customHeight="false" outlineLevel="0" collapsed="false">
      <c r="A10700" s="1" t="s">
        <v>10735</v>
      </c>
      <c r="B10700" s="1" t="s">
        <v>41</v>
      </c>
      <c r="C10700" s="1" t="n">
        <v>170000</v>
      </c>
      <c r="D10700" s="1" t="n">
        <v>1602.7</v>
      </c>
      <c r="E10700" s="1" t="n">
        <v>0.0165</v>
      </c>
      <c r="F10700" s="1" t="n">
        <v>0.0854</v>
      </c>
    </row>
    <row r="10701" customFormat="false" ht="15" hidden="false" customHeight="false" outlineLevel="0" collapsed="false">
      <c r="A10701" s="1" t="s">
        <v>10736</v>
      </c>
      <c r="B10701" s="1" t="s">
        <v>88</v>
      </c>
      <c r="C10701" s="1" t="n">
        <v>254000</v>
      </c>
      <c r="D10701" s="1" t="n">
        <v>2402.4</v>
      </c>
      <c r="E10701" s="1" t="n">
        <v>0.0298</v>
      </c>
      <c r="F10701" s="1" t="n">
        <v>0.0938</v>
      </c>
    </row>
    <row r="10702" customFormat="false" ht="15" hidden="false" customHeight="false" outlineLevel="0" collapsed="false">
      <c r="A10702" s="1" t="s">
        <v>10737</v>
      </c>
      <c r="B10702" s="1" t="s">
        <v>26</v>
      </c>
      <c r="C10702" s="1" t="n">
        <v>179000</v>
      </c>
      <c r="D10702" s="1" t="n">
        <v>124183.8</v>
      </c>
      <c r="E10702" s="1" t="n">
        <v>0.0321</v>
      </c>
      <c r="F10702" s="1" t="n">
        <v>0.0518</v>
      </c>
    </row>
    <row r="10703" customFormat="false" ht="15" hidden="false" customHeight="false" outlineLevel="0" collapsed="false">
      <c r="A10703" s="1" t="s">
        <v>10738</v>
      </c>
      <c r="B10703" s="1" t="s">
        <v>88</v>
      </c>
      <c r="C10703" s="1" t="n">
        <v>150000</v>
      </c>
      <c r="D10703" s="1" t="n">
        <v>889.7</v>
      </c>
      <c r="E10703" s="1" t="n">
        <v>0.0303</v>
      </c>
      <c r="F10703" s="1" t="n">
        <v>0.117</v>
      </c>
    </row>
    <row r="10704" customFormat="false" ht="15" hidden="false" customHeight="false" outlineLevel="0" collapsed="false">
      <c r="A10704" s="1" t="s">
        <v>10739</v>
      </c>
      <c r="B10704" s="1" t="s">
        <v>214</v>
      </c>
      <c r="C10704" s="1" t="n">
        <v>136000</v>
      </c>
      <c r="D10704" s="1" t="n">
        <v>4356.4</v>
      </c>
      <c r="E10704" s="1" t="n">
        <v>0.0132</v>
      </c>
      <c r="F10704" s="1" t="n">
        <v>0.1067</v>
      </c>
    </row>
    <row r="10705" customFormat="false" ht="15" hidden="false" customHeight="false" outlineLevel="0" collapsed="false">
      <c r="A10705" s="1" t="s">
        <v>10740</v>
      </c>
      <c r="B10705" s="1" t="s">
        <v>26</v>
      </c>
      <c r="C10705" s="1" t="n">
        <v>148000</v>
      </c>
      <c r="D10705" s="1" t="n">
        <v>681506.8</v>
      </c>
      <c r="E10705" s="1" t="n">
        <v>0.0287</v>
      </c>
      <c r="F10705" s="1" t="n">
        <v>0.0518</v>
      </c>
    </row>
    <row r="10706" customFormat="false" ht="15" hidden="false" customHeight="false" outlineLevel="0" collapsed="false">
      <c r="A10706" s="1" t="s">
        <v>10741</v>
      </c>
      <c r="B10706" s="1" t="s">
        <v>26</v>
      </c>
      <c r="C10706" s="1" t="n">
        <v>176000</v>
      </c>
      <c r="D10706" s="1" t="n">
        <v>81465</v>
      </c>
      <c r="E10706" s="1" t="n">
        <v>0.0443</v>
      </c>
      <c r="F10706" s="1" t="n">
        <v>0.0759</v>
      </c>
    </row>
    <row r="10707" customFormat="false" ht="15" hidden="false" customHeight="false" outlineLevel="0" collapsed="false">
      <c r="A10707" s="1" t="s">
        <v>10742</v>
      </c>
      <c r="B10707" s="1" t="s">
        <v>26</v>
      </c>
      <c r="C10707" s="1" t="n">
        <v>187000</v>
      </c>
      <c r="D10707" s="1" t="n">
        <v>16595.5</v>
      </c>
      <c r="E10707" s="1" t="n">
        <v>0.0288</v>
      </c>
      <c r="F10707" s="1" t="n">
        <v>0.0759</v>
      </c>
    </row>
    <row r="10708" customFormat="false" ht="15" hidden="false" customHeight="false" outlineLevel="0" collapsed="false">
      <c r="A10708" s="1" t="s">
        <v>10743</v>
      </c>
      <c r="B10708" s="1" t="s">
        <v>88</v>
      </c>
      <c r="C10708" s="1" t="n">
        <v>255000</v>
      </c>
      <c r="D10708" s="1" t="n">
        <v>845.8</v>
      </c>
      <c r="E10708" s="1" t="n">
        <v>0.022</v>
      </c>
      <c r="F10708" s="1" t="n">
        <v>0.0462</v>
      </c>
    </row>
    <row r="10709" customFormat="false" ht="15" hidden="false" customHeight="false" outlineLevel="0" collapsed="false">
      <c r="A10709" s="1" t="s">
        <v>10744</v>
      </c>
      <c r="B10709" s="1" t="s">
        <v>92</v>
      </c>
      <c r="C10709" s="1" t="n">
        <v>147000</v>
      </c>
      <c r="D10709" s="1" t="n">
        <v>4773.2</v>
      </c>
      <c r="E10709" s="1" t="n">
        <v>0.0071</v>
      </c>
      <c r="F10709" s="1" t="n">
        <v>0.0654</v>
      </c>
    </row>
    <row r="10710" customFormat="false" ht="15" hidden="false" customHeight="false" outlineLevel="0" collapsed="false">
      <c r="A10710" s="1" t="s">
        <v>10745</v>
      </c>
      <c r="B10710" s="1" t="s">
        <v>41</v>
      </c>
      <c r="C10710" s="1" t="n">
        <v>129000</v>
      </c>
      <c r="D10710" s="1" t="n">
        <v>583.6</v>
      </c>
      <c r="E10710" s="1" t="n">
        <v>0.0553</v>
      </c>
      <c r="F10710" s="1" t="n">
        <v>0.0951</v>
      </c>
    </row>
    <row r="10711" customFormat="false" ht="15" hidden="false" customHeight="false" outlineLevel="0" collapsed="false">
      <c r="A10711" s="1" t="s">
        <v>10746</v>
      </c>
      <c r="B10711" s="1" t="s">
        <v>74</v>
      </c>
      <c r="C10711" s="1" t="n">
        <v>216000</v>
      </c>
      <c r="D10711" s="1" t="n">
        <v>63.8</v>
      </c>
      <c r="E10711" s="1" t="n">
        <v>0.0283</v>
      </c>
      <c r="F10711" s="1" t="n">
        <v>0.1688</v>
      </c>
    </row>
    <row r="10712" customFormat="false" ht="15" hidden="false" customHeight="false" outlineLevel="0" collapsed="false">
      <c r="A10712" s="1" t="s">
        <v>10747</v>
      </c>
      <c r="B10712" s="1" t="s">
        <v>26</v>
      </c>
      <c r="C10712" s="1" t="n">
        <v>231000</v>
      </c>
      <c r="D10712" s="1" t="n">
        <v>6056.5</v>
      </c>
      <c r="E10712" s="1" t="n">
        <v>0.0415</v>
      </c>
      <c r="F10712" s="1" t="n">
        <v>0.0938</v>
      </c>
    </row>
    <row r="10713" customFormat="false" ht="15" hidden="false" customHeight="false" outlineLevel="0" collapsed="false">
      <c r="A10713" s="1" t="s">
        <v>10748</v>
      </c>
      <c r="B10713" s="1" t="s">
        <v>88</v>
      </c>
      <c r="C10713" s="1" t="n">
        <v>138000</v>
      </c>
      <c r="D10713" s="1" t="n">
        <v>41.7</v>
      </c>
      <c r="E10713" s="1" t="n">
        <v>0.013</v>
      </c>
      <c r="F10713" s="1" t="n">
        <v>0.1592</v>
      </c>
    </row>
    <row r="10714" customFormat="false" ht="15" hidden="false" customHeight="false" outlineLevel="0" collapsed="false">
      <c r="A10714" s="1" t="s">
        <v>10749</v>
      </c>
      <c r="B10714" s="1" t="s">
        <v>195</v>
      </c>
      <c r="C10714" s="1" t="n">
        <v>125000</v>
      </c>
      <c r="D10714" s="1" t="n">
        <v>12814.5</v>
      </c>
      <c r="E10714" s="1" t="n">
        <v>0.0129</v>
      </c>
      <c r="F10714" s="1" t="n">
        <v>0.052</v>
      </c>
    </row>
    <row r="10715" customFormat="false" ht="15" hidden="false" customHeight="false" outlineLevel="0" collapsed="false">
      <c r="A10715" s="1" t="s">
        <v>10750</v>
      </c>
      <c r="B10715" s="1" t="s">
        <v>26</v>
      </c>
      <c r="C10715" s="1" t="n">
        <v>153000</v>
      </c>
      <c r="D10715" s="1" t="n">
        <v>1944.3</v>
      </c>
      <c r="E10715" s="1" t="n">
        <v>0.07</v>
      </c>
      <c r="F10715" s="1" t="n">
        <v>0.0759</v>
      </c>
    </row>
    <row r="10716" customFormat="false" ht="15" hidden="false" customHeight="false" outlineLevel="0" collapsed="false">
      <c r="A10716" s="1" t="s">
        <v>10751</v>
      </c>
      <c r="B10716" s="1" t="s">
        <v>32</v>
      </c>
      <c r="C10716" s="1" t="n">
        <v>159000</v>
      </c>
      <c r="D10716" s="1" t="n">
        <v>946106.4</v>
      </c>
      <c r="E10716" s="1" t="n">
        <v>0.0323</v>
      </c>
      <c r="F10716" s="1" t="n">
        <v>0.1243</v>
      </c>
    </row>
    <row r="10717" customFormat="false" ht="15" hidden="false" customHeight="false" outlineLevel="0" collapsed="false">
      <c r="A10717" s="1" t="s">
        <v>10752</v>
      </c>
      <c r="B10717" s="1" t="s">
        <v>214</v>
      </c>
      <c r="C10717" s="1" t="n">
        <v>162000</v>
      </c>
      <c r="D10717" s="1" t="n">
        <v>7337.3</v>
      </c>
      <c r="E10717" s="1" t="n">
        <v>0.0142</v>
      </c>
      <c r="F10717" s="1" t="n">
        <v>0.0462</v>
      </c>
    </row>
    <row r="10718" customFormat="false" ht="15" hidden="false" customHeight="false" outlineLevel="0" collapsed="false">
      <c r="A10718" s="1" t="s">
        <v>10753</v>
      </c>
      <c r="B10718" s="1" t="s">
        <v>26</v>
      </c>
      <c r="C10718" s="1" t="n">
        <v>175000</v>
      </c>
      <c r="D10718" s="1" t="n">
        <v>28365.6</v>
      </c>
      <c r="E10718" s="1" t="n">
        <v>0.025</v>
      </c>
      <c r="F10718" s="1" t="n">
        <v>0.0412</v>
      </c>
    </row>
    <row r="10719" customFormat="false" ht="15" hidden="false" customHeight="false" outlineLevel="0" collapsed="false">
      <c r="A10719" s="1" t="s">
        <v>10754</v>
      </c>
      <c r="B10719" s="1" t="s">
        <v>88</v>
      </c>
      <c r="C10719" s="1" t="n">
        <v>143000</v>
      </c>
      <c r="D10719" s="1" t="n">
        <v>720.4</v>
      </c>
      <c r="E10719" s="1" t="n">
        <v>0.0314</v>
      </c>
      <c r="F10719" s="1" t="n">
        <v>0.2545</v>
      </c>
    </row>
    <row r="10720" customFormat="false" ht="15" hidden="false" customHeight="false" outlineLevel="0" collapsed="false">
      <c r="A10720" s="1" t="s">
        <v>10755</v>
      </c>
      <c r="B10720" s="1" t="s">
        <v>92</v>
      </c>
      <c r="C10720" s="1" t="n">
        <v>167000</v>
      </c>
      <c r="D10720" s="1" t="n">
        <v>86985.3</v>
      </c>
      <c r="E10720" s="1" t="n">
        <v>0.0017</v>
      </c>
      <c r="F10720" s="1" t="n">
        <v>0.0654</v>
      </c>
    </row>
    <row r="10721" customFormat="false" ht="15" hidden="false" customHeight="false" outlineLevel="0" collapsed="false">
      <c r="A10721" s="1" t="s">
        <v>10756</v>
      </c>
      <c r="B10721" s="1" t="s">
        <v>214</v>
      </c>
      <c r="C10721" s="1" t="n">
        <v>501000</v>
      </c>
      <c r="D10721" s="1" t="n">
        <v>3203.2</v>
      </c>
      <c r="E10721" s="1" t="n">
        <v>0.0068</v>
      </c>
      <c r="F10721" s="1" t="n">
        <v>0.0822</v>
      </c>
    </row>
    <row r="10722" customFormat="false" ht="15" hidden="false" customHeight="false" outlineLevel="0" collapsed="false">
      <c r="A10722" s="1" t="s">
        <v>10757</v>
      </c>
      <c r="B10722" s="1" t="s">
        <v>88</v>
      </c>
      <c r="C10722" s="1" t="n">
        <v>264000</v>
      </c>
      <c r="D10722" s="1" t="n">
        <v>11374.3</v>
      </c>
      <c r="E10722" s="1" t="n">
        <v>0.0264</v>
      </c>
      <c r="F10722" s="1" t="n">
        <v>0.0938</v>
      </c>
    </row>
    <row r="10723" customFormat="false" ht="15" hidden="false" customHeight="false" outlineLevel="0" collapsed="false">
      <c r="A10723" s="1" t="s">
        <v>10758</v>
      </c>
      <c r="B10723" s="1" t="s">
        <v>88</v>
      </c>
      <c r="C10723" s="1" t="n">
        <v>126000</v>
      </c>
      <c r="D10723" s="1" t="n">
        <v>5269.5</v>
      </c>
      <c r="E10723" s="1" t="n">
        <v>0.0098</v>
      </c>
      <c r="F10723" s="1" t="n">
        <v>0.1471</v>
      </c>
    </row>
    <row r="10724" customFormat="false" ht="15" hidden="false" customHeight="false" outlineLevel="0" collapsed="false">
      <c r="A10724" s="1" t="s">
        <v>10759</v>
      </c>
      <c r="B10724" s="1" t="s">
        <v>26</v>
      </c>
      <c r="C10724" s="1" t="n">
        <v>267000</v>
      </c>
      <c r="D10724" s="1" t="n">
        <v>1004.6</v>
      </c>
      <c r="E10724" s="1" t="n">
        <v>0.0737</v>
      </c>
      <c r="F10724" s="1" t="n">
        <v>0.0759</v>
      </c>
    </row>
    <row r="10725" customFormat="false" ht="15" hidden="false" customHeight="false" outlineLevel="0" collapsed="false">
      <c r="A10725" s="1" t="s">
        <v>10760</v>
      </c>
      <c r="B10725" s="1" t="s">
        <v>81</v>
      </c>
      <c r="C10725" s="1" t="n">
        <v>147000</v>
      </c>
      <c r="D10725" s="1" t="n">
        <v>494802.8</v>
      </c>
      <c r="E10725" s="1" t="n">
        <v>0.0154</v>
      </c>
      <c r="F10725" s="1" t="n">
        <v>0.0585</v>
      </c>
    </row>
    <row r="10726" customFormat="false" ht="15" hidden="false" customHeight="false" outlineLevel="0" collapsed="false">
      <c r="A10726" s="1" t="s">
        <v>10761</v>
      </c>
      <c r="B10726" s="1" t="s">
        <v>92</v>
      </c>
      <c r="C10726" s="1" t="n">
        <v>132000</v>
      </c>
      <c r="D10726" s="1" t="n">
        <v>5141.5</v>
      </c>
      <c r="E10726" s="1" t="n">
        <v>0.0388</v>
      </c>
      <c r="F10726" s="1" t="n">
        <v>0.0759</v>
      </c>
    </row>
    <row r="10727" customFormat="false" ht="15" hidden="false" customHeight="false" outlineLevel="0" collapsed="false">
      <c r="A10727" s="1" t="s">
        <v>10762</v>
      </c>
      <c r="B10727" s="1" t="s">
        <v>26</v>
      </c>
      <c r="C10727" s="1" t="n">
        <v>142000</v>
      </c>
      <c r="D10727" s="1" t="n">
        <v>620.3</v>
      </c>
      <c r="E10727" s="1" t="n">
        <v>0.0236</v>
      </c>
      <c r="F10727" s="1" t="n">
        <v>0.2089</v>
      </c>
    </row>
    <row r="10728" customFormat="false" ht="15" hidden="false" customHeight="false" outlineLevel="0" collapsed="false">
      <c r="A10728" s="1" t="s">
        <v>10763</v>
      </c>
      <c r="B10728" s="1" t="s">
        <v>74</v>
      </c>
      <c r="C10728" s="1" t="n">
        <v>139000</v>
      </c>
      <c r="D10728" s="1" t="n">
        <v>793.5</v>
      </c>
      <c r="E10728" s="1" t="n">
        <v>0.0178</v>
      </c>
      <c r="F10728" s="1" t="n">
        <v>0.1053</v>
      </c>
    </row>
    <row r="10729" customFormat="false" ht="15" hidden="false" customHeight="false" outlineLevel="0" collapsed="false">
      <c r="A10729" s="1" t="s">
        <v>10764</v>
      </c>
      <c r="B10729" s="1" t="s">
        <v>41</v>
      </c>
      <c r="C10729" s="1" t="n">
        <v>135000</v>
      </c>
      <c r="D10729" s="1" t="n">
        <v>401</v>
      </c>
      <c r="E10729" s="1" t="n">
        <v>0.0202</v>
      </c>
      <c r="F10729" s="1" t="n">
        <v>0.131</v>
      </c>
    </row>
    <row r="10730" customFormat="false" ht="15" hidden="false" customHeight="false" outlineLevel="0" collapsed="false">
      <c r="A10730" s="1" t="s">
        <v>10765</v>
      </c>
      <c r="B10730" s="1" t="s">
        <v>35</v>
      </c>
      <c r="C10730" s="1" t="n">
        <v>151000</v>
      </c>
      <c r="D10730" s="1" t="n">
        <v>2943.7</v>
      </c>
      <c r="E10730" s="1" t="n">
        <v>0.0183</v>
      </c>
      <c r="F10730" s="1" t="n">
        <v>0.0488</v>
      </c>
    </row>
    <row r="10731" customFormat="false" ht="15" hidden="false" customHeight="false" outlineLevel="0" collapsed="false">
      <c r="A10731" s="1" t="s">
        <v>10766</v>
      </c>
      <c r="B10731" s="1" t="s">
        <v>30</v>
      </c>
      <c r="C10731" s="1" t="n">
        <v>132000</v>
      </c>
      <c r="D10731" s="1" t="n">
        <v>411595.2</v>
      </c>
      <c r="E10731" s="1" t="n">
        <v>0.032</v>
      </c>
      <c r="F10731" s="1" t="n">
        <v>0.0951</v>
      </c>
    </row>
    <row r="10732" customFormat="false" ht="15" hidden="false" customHeight="false" outlineLevel="0" collapsed="false">
      <c r="A10732" s="1" t="s">
        <v>10767</v>
      </c>
      <c r="B10732" s="1" t="s">
        <v>214</v>
      </c>
      <c r="C10732" s="1" t="n">
        <v>138000</v>
      </c>
      <c r="D10732" s="1" t="n">
        <v>973.5</v>
      </c>
      <c r="E10732" s="1" t="n">
        <v>0.0256</v>
      </c>
      <c r="F10732" s="1" t="n">
        <v>0.0735</v>
      </c>
    </row>
    <row r="10733" customFormat="false" ht="15" hidden="false" customHeight="false" outlineLevel="0" collapsed="false">
      <c r="A10733" s="1" t="s">
        <v>10768</v>
      </c>
      <c r="B10733" s="1" t="s">
        <v>62</v>
      </c>
      <c r="C10733" s="1" t="n">
        <v>327000</v>
      </c>
      <c r="D10733" s="1" t="n">
        <v>4246.2</v>
      </c>
      <c r="E10733" s="1" t="n">
        <v>0.0299</v>
      </c>
      <c r="F10733" s="1" t="n">
        <v>0.0759</v>
      </c>
    </row>
    <row r="10734" customFormat="false" ht="15" hidden="false" customHeight="false" outlineLevel="0" collapsed="false">
      <c r="A10734" s="1" t="s">
        <v>10769</v>
      </c>
      <c r="B10734" s="1" t="s">
        <v>26</v>
      </c>
      <c r="C10734" s="1" t="n">
        <v>133000</v>
      </c>
      <c r="D10734" s="1" t="n">
        <v>1439.1</v>
      </c>
      <c r="E10734" s="1" t="n">
        <v>0.0239</v>
      </c>
      <c r="F10734" s="1" t="n">
        <v>0.0648</v>
      </c>
    </row>
    <row r="10735" customFormat="false" ht="15" hidden="false" customHeight="false" outlineLevel="0" collapsed="false">
      <c r="A10735" s="1" t="s">
        <v>10770</v>
      </c>
      <c r="B10735" s="1" t="s">
        <v>26</v>
      </c>
      <c r="C10735" s="1" t="n">
        <v>772000</v>
      </c>
      <c r="D10735" s="1" t="n">
        <v>1020466.9</v>
      </c>
      <c r="E10735" s="1" t="n">
        <v>0.0193</v>
      </c>
      <c r="F10735" s="1" t="n">
        <v>0.0462</v>
      </c>
    </row>
    <row r="10736" customFormat="false" ht="15" hidden="false" customHeight="false" outlineLevel="0" collapsed="false">
      <c r="A10736" s="1" t="s">
        <v>10771</v>
      </c>
      <c r="B10736" s="1" t="s">
        <v>41</v>
      </c>
      <c r="C10736" s="1" t="n">
        <v>130000</v>
      </c>
      <c r="D10736" s="1" t="n">
        <v>289817.5</v>
      </c>
      <c r="E10736" s="1" t="n">
        <v>0.0097</v>
      </c>
      <c r="F10736" s="1" t="n">
        <v>0.2479</v>
      </c>
    </row>
    <row r="10737" customFormat="false" ht="15" hidden="false" customHeight="false" outlineLevel="0" collapsed="false">
      <c r="A10737" s="1" t="s">
        <v>10772</v>
      </c>
      <c r="B10737" s="1" t="s">
        <v>26</v>
      </c>
      <c r="C10737" s="1" t="n">
        <v>140000</v>
      </c>
      <c r="D10737" s="1" t="n">
        <v>13558.8</v>
      </c>
      <c r="E10737" s="1" t="n">
        <v>0.0148</v>
      </c>
      <c r="F10737" s="1" t="n">
        <v>0.0949</v>
      </c>
    </row>
    <row r="10738" customFormat="false" ht="15" hidden="false" customHeight="false" outlineLevel="0" collapsed="false">
      <c r="A10738" s="1" t="s">
        <v>10773</v>
      </c>
      <c r="B10738" s="1" t="s">
        <v>28</v>
      </c>
      <c r="C10738" s="1" t="n">
        <v>122000</v>
      </c>
      <c r="D10738" s="1" t="n">
        <v>21448.9</v>
      </c>
      <c r="E10738" s="1" t="n">
        <v>0.0021</v>
      </c>
      <c r="F10738" s="1" t="n">
        <v>0.0822</v>
      </c>
    </row>
    <row r="10739" customFormat="false" ht="15" hidden="false" customHeight="false" outlineLevel="0" collapsed="false">
      <c r="A10739" s="1" t="s">
        <v>10774</v>
      </c>
      <c r="B10739" s="1" t="s">
        <v>50</v>
      </c>
      <c r="C10739" s="1" t="n">
        <v>266000</v>
      </c>
      <c r="D10739" s="1" t="n">
        <v>24851.8</v>
      </c>
      <c r="E10739" s="1" t="n">
        <v>0.0331</v>
      </c>
      <c r="F10739" s="1" t="n">
        <v>0.0951</v>
      </c>
    </row>
    <row r="10740" customFormat="false" ht="15" hidden="false" customHeight="false" outlineLevel="0" collapsed="false">
      <c r="A10740" s="1" t="s">
        <v>10775</v>
      </c>
      <c r="B10740" s="1" t="s">
        <v>287</v>
      </c>
      <c r="C10740" s="1" t="n">
        <v>135000</v>
      </c>
      <c r="D10740" s="1" t="n">
        <v>5788.4</v>
      </c>
      <c r="E10740" s="1" t="n">
        <v>0.0139</v>
      </c>
      <c r="F10740" s="1" t="n">
        <v>0.0585</v>
      </c>
    </row>
    <row r="10741" customFormat="false" ht="15" hidden="false" customHeight="false" outlineLevel="0" collapsed="false">
      <c r="A10741" s="1" t="s">
        <v>10776</v>
      </c>
      <c r="B10741" s="1" t="s">
        <v>53</v>
      </c>
      <c r="C10741" s="1" t="n">
        <v>147000</v>
      </c>
      <c r="D10741" s="1" t="n">
        <v>26684.7</v>
      </c>
      <c r="E10741" s="1" t="n">
        <v>0.0206</v>
      </c>
      <c r="F10741" s="1" t="n">
        <v>0.0518</v>
      </c>
    </row>
    <row r="10742" customFormat="false" ht="15" hidden="false" customHeight="false" outlineLevel="0" collapsed="false">
      <c r="A10742" s="1" t="s">
        <v>10777</v>
      </c>
      <c r="B10742" s="1" t="s">
        <v>74</v>
      </c>
      <c r="C10742" s="1" t="n">
        <v>127000</v>
      </c>
      <c r="D10742" s="1" t="n">
        <v>458.8</v>
      </c>
      <c r="E10742" s="1" t="n">
        <v>0.0212</v>
      </c>
      <c r="F10742" s="1" t="n">
        <v>0.0518</v>
      </c>
    </row>
    <row r="10743" customFormat="false" ht="15" hidden="false" customHeight="false" outlineLevel="0" collapsed="false">
      <c r="A10743" s="1" t="s">
        <v>10778</v>
      </c>
      <c r="B10743" s="1" t="s">
        <v>41</v>
      </c>
      <c r="C10743" s="1" t="n">
        <v>207000</v>
      </c>
      <c r="D10743" s="1" t="n">
        <v>1063701.6</v>
      </c>
      <c r="E10743" s="1" t="n">
        <v>0.0188</v>
      </c>
      <c r="F10743" s="1" t="n">
        <v>0.095</v>
      </c>
    </row>
    <row r="10744" customFormat="false" ht="15" hidden="false" customHeight="false" outlineLevel="0" collapsed="false">
      <c r="A10744" s="1" t="s">
        <v>10779</v>
      </c>
      <c r="B10744" s="1" t="s">
        <v>26</v>
      </c>
      <c r="C10744" s="1" t="n">
        <v>182000</v>
      </c>
      <c r="D10744" s="1" t="n">
        <v>42200.6</v>
      </c>
      <c r="E10744" s="1" t="n">
        <v>0.0204</v>
      </c>
      <c r="F10744" s="1" t="n">
        <v>0.1067</v>
      </c>
    </row>
    <row r="10745" customFormat="false" ht="15" hidden="false" customHeight="false" outlineLevel="0" collapsed="false">
      <c r="A10745" s="1" t="s">
        <v>10780</v>
      </c>
      <c r="B10745" s="1" t="s">
        <v>21</v>
      </c>
      <c r="C10745" s="1" t="n">
        <v>129000</v>
      </c>
      <c r="D10745" s="1" t="n">
        <v>715.9</v>
      </c>
      <c r="E10745" s="1" t="n">
        <v>0.0519</v>
      </c>
      <c r="F10745" s="1" t="n">
        <v>0.0938</v>
      </c>
    </row>
    <row r="10746" customFormat="false" ht="15" hidden="false" customHeight="false" outlineLevel="0" collapsed="false">
      <c r="A10746" s="1" t="s">
        <v>10781</v>
      </c>
      <c r="B10746" s="1" t="s">
        <v>71</v>
      </c>
      <c r="C10746" s="1" t="n">
        <v>122000</v>
      </c>
      <c r="D10746" s="1" t="n">
        <v>30895443</v>
      </c>
      <c r="F10746" s="1" t="n">
        <v>0.0951</v>
      </c>
    </row>
    <row r="10747" customFormat="false" ht="15" hidden="false" customHeight="false" outlineLevel="0" collapsed="false">
      <c r="A10747" s="1" t="s">
        <v>10782</v>
      </c>
      <c r="B10747" s="1" t="s">
        <v>53</v>
      </c>
      <c r="C10747" s="1" t="n">
        <v>224000</v>
      </c>
      <c r="D10747" s="1" t="n">
        <v>18083.8</v>
      </c>
      <c r="E10747" s="1" t="n">
        <v>0.0683</v>
      </c>
      <c r="F10747" s="1" t="n">
        <v>0.0951</v>
      </c>
    </row>
    <row r="10748" customFormat="false" ht="15" hidden="false" customHeight="false" outlineLevel="0" collapsed="false">
      <c r="A10748" s="1" t="s">
        <v>10783</v>
      </c>
      <c r="B10748" s="1" t="s">
        <v>26</v>
      </c>
      <c r="C10748" s="1" t="n">
        <v>144000</v>
      </c>
      <c r="D10748" s="1" t="n">
        <v>1445.4</v>
      </c>
      <c r="E10748" s="1" t="n">
        <v>0.0116</v>
      </c>
      <c r="F10748" s="1" t="n">
        <v>0.1471</v>
      </c>
    </row>
    <row r="10749" customFormat="false" ht="15" hidden="false" customHeight="false" outlineLevel="0" collapsed="false">
      <c r="A10749" s="1" t="s">
        <v>10784</v>
      </c>
      <c r="B10749" s="1" t="s">
        <v>88</v>
      </c>
      <c r="C10749" s="1" t="n">
        <v>146000</v>
      </c>
      <c r="D10749" s="1" t="n">
        <v>1647.3</v>
      </c>
      <c r="E10749" s="1" t="n">
        <v>0.0435</v>
      </c>
      <c r="F10749" s="1" t="n">
        <v>0.0759</v>
      </c>
    </row>
    <row r="10750" customFormat="false" ht="15" hidden="false" customHeight="false" outlineLevel="0" collapsed="false">
      <c r="A10750" s="1" t="s">
        <v>10785</v>
      </c>
      <c r="B10750" s="1" t="s">
        <v>26</v>
      </c>
      <c r="C10750" s="1" t="n">
        <v>233000</v>
      </c>
      <c r="D10750" s="1" t="n">
        <v>18289.7</v>
      </c>
      <c r="E10750" s="1" t="n">
        <v>0.0148</v>
      </c>
      <c r="F10750" s="1" t="n">
        <v>0.0576</v>
      </c>
    </row>
    <row r="10751" customFormat="false" ht="15" hidden="false" customHeight="false" outlineLevel="0" collapsed="false">
      <c r="A10751" s="1" t="s">
        <v>10786</v>
      </c>
      <c r="B10751" s="1" t="s">
        <v>214</v>
      </c>
      <c r="C10751" s="1" t="n">
        <v>495000</v>
      </c>
      <c r="D10751" s="1" t="n">
        <v>19392.6</v>
      </c>
      <c r="E10751" s="1" t="n">
        <v>0.0044</v>
      </c>
      <c r="F10751" s="1" t="n">
        <v>0.0654</v>
      </c>
    </row>
    <row r="10752" customFormat="false" ht="15" hidden="false" customHeight="false" outlineLevel="0" collapsed="false">
      <c r="A10752" s="1" t="s">
        <v>10787</v>
      </c>
      <c r="B10752" s="1" t="s">
        <v>50</v>
      </c>
      <c r="C10752" s="1" t="n">
        <v>651000</v>
      </c>
      <c r="D10752" s="1" t="n">
        <v>37625.7</v>
      </c>
      <c r="F10752" s="1" t="n">
        <v>0.0409</v>
      </c>
    </row>
    <row r="10753" customFormat="false" ht="15" hidden="false" customHeight="false" outlineLevel="0" collapsed="false">
      <c r="A10753" s="1" t="s">
        <v>10788</v>
      </c>
      <c r="B10753" s="1" t="s">
        <v>26</v>
      </c>
      <c r="C10753" s="1" t="n">
        <v>130000</v>
      </c>
      <c r="D10753" s="1" t="n">
        <v>134.8</v>
      </c>
      <c r="E10753" s="1" t="n">
        <v>0.0148</v>
      </c>
      <c r="F10753" s="1" t="n">
        <v>0.1525</v>
      </c>
    </row>
    <row r="10754" customFormat="false" ht="15" hidden="false" customHeight="false" outlineLevel="0" collapsed="false">
      <c r="A10754" s="1" t="s">
        <v>10789</v>
      </c>
      <c r="B10754" s="1" t="s">
        <v>26</v>
      </c>
      <c r="C10754" s="1" t="n">
        <v>127000</v>
      </c>
      <c r="D10754" s="1" t="n">
        <v>4551</v>
      </c>
      <c r="E10754" s="1" t="n">
        <v>0.0321</v>
      </c>
      <c r="F10754" s="1" t="n">
        <v>0.0951</v>
      </c>
    </row>
    <row r="10755" customFormat="false" ht="15" hidden="false" customHeight="false" outlineLevel="0" collapsed="false">
      <c r="A10755" s="1" t="s">
        <v>10790</v>
      </c>
      <c r="B10755" s="1" t="s">
        <v>71</v>
      </c>
      <c r="C10755" s="1" t="n">
        <v>147000</v>
      </c>
      <c r="D10755" s="1" t="n">
        <v>119.6</v>
      </c>
      <c r="E10755" s="1" t="n">
        <v>0.012</v>
      </c>
      <c r="F10755" s="1" t="n">
        <v>0.0576</v>
      </c>
    </row>
    <row r="10756" customFormat="false" ht="15" hidden="false" customHeight="false" outlineLevel="0" collapsed="false">
      <c r="A10756" s="1" t="s">
        <v>10791</v>
      </c>
      <c r="B10756" s="1" t="s">
        <v>88</v>
      </c>
      <c r="C10756" s="1" t="n">
        <v>257000</v>
      </c>
      <c r="D10756" s="1" t="n">
        <v>374.4</v>
      </c>
      <c r="E10756" s="1" t="n">
        <v>0.0531</v>
      </c>
      <c r="F10756" s="1" t="n">
        <v>0.0938</v>
      </c>
    </row>
    <row r="10757" customFormat="false" ht="15" hidden="false" customHeight="false" outlineLevel="0" collapsed="false">
      <c r="A10757" s="1" t="s">
        <v>10792</v>
      </c>
      <c r="B10757" s="1" t="s">
        <v>26</v>
      </c>
      <c r="C10757" s="1" t="n">
        <v>126000</v>
      </c>
      <c r="D10757" s="1" t="n">
        <v>6867.2</v>
      </c>
      <c r="E10757" s="1" t="n">
        <v>0.0341</v>
      </c>
      <c r="F10757" s="1" t="n">
        <v>0.0951</v>
      </c>
    </row>
    <row r="10758" customFormat="false" ht="15" hidden="false" customHeight="false" outlineLevel="0" collapsed="false">
      <c r="A10758" s="1" t="s">
        <v>10793</v>
      </c>
      <c r="B10758" s="1" t="s">
        <v>26</v>
      </c>
      <c r="C10758" s="1" t="n">
        <v>673000</v>
      </c>
      <c r="D10758" s="1" t="n">
        <v>59584.2</v>
      </c>
      <c r="E10758" s="1" t="n">
        <v>0.0171</v>
      </c>
      <c r="F10758" s="1" t="n">
        <v>0.0576</v>
      </c>
    </row>
    <row r="10759" customFormat="false" ht="15" hidden="false" customHeight="false" outlineLevel="0" collapsed="false">
      <c r="A10759" s="1" t="s">
        <v>10794</v>
      </c>
      <c r="B10759" s="1" t="s">
        <v>62</v>
      </c>
      <c r="C10759" s="1" t="n">
        <v>136000</v>
      </c>
      <c r="D10759" s="1" t="n">
        <v>323.2</v>
      </c>
      <c r="E10759" s="1" t="n">
        <v>0.0513</v>
      </c>
      <c r="F10759" s="1" t="n">
        <v>0.0518</v>
      </c>
    </row>
    <row r="10760" customFormat="false" ht="15" hidden="false" customHeight="false" outlineLevel="0" collapsed="false">
      <c r="A10760" s="1" t="s">
        <v>10795</v>
      </c>
      <c r="B10760" s="1" t="s">
        <v>195</v>
      </c>
      <c r="C10760" s="1" t="n">
        <v>186000</v>
      </c>
      <c r="D10760" s="1" t="n">
        <v>36386.2</v>
      </c>
      <c r="E10760" s="1" t="n">
        <v>0.0202</v>
      </c>
      <c r="F10760" s="1" t="n">
        <v>0.0759</v>
      </c>
    </row>
    <row r="10761" customFormat="false" ht="15" hidden="false" customHeight="false" outlineLevel="0" collapsed="false">
      <c r="A10761" s="1" t="s">
        <v>10796</v>
      </c>
      <c r="B10761" s="1" t="s">
        <v>26</v>
      </c>
      <c r="C10761" s="1" t="n">
        <v>132000</v>
      </c>
      <c r="D10761" s="1" t="n">
        <v>8226.3</v>
      </c>
      <c r="E10761" s="1" t="n">
        <v>0.0259</v>
      </c>
      <c r="F10761" s="1" t="n">
        <v>0.0951</v>
      </c>
    </row>
    <row r="10762" customFormat="false" ht="15" hidden="false" customHeight="false" outlineLevel="0" collapsed="false">
      <c r="A10762" s="1" t="s">
        <v>10797</v>
      </c>
      <c r="B10762" s="1" t="s">
        <v>41</v>
      </c>
      <c r="C10762" s="1" t="n">
        <v>127000</v>
      </c>
      <c r="D10762" s="1" t="n">
        <v>1001.3</v>
      </c>
      <c r="E10762" s="1" t="n">
        <v>0.035</v>
      </c>
      <c r="F10762" s="1" t="n">
        <v>0.0938</v>
      </c>
    </row>
    <row r="10763" customFormat="false" ht="15" hidden="false" customHeight="false" outlineLevel="0" collapsed="false">
      <c r="A10763" s="1" t="s">
        <v>10798</v>
      </c>
      <c r="B10763" s="1" t="s">
        <v>88</v>
      </c>
      <c r="C10763" s="1" t="n">
        <v>151000</v>
      </c>
      <c r="D10763" s="1" t="n">
        <v>422.6</v>
      </c>
      <c r="E10763" s="1" t="n">
        <v>0.0385</v>
      </c>
      <c r="F10763" s="1" t="n">
        <v>0.0833</v>
      </c>
    </row>
    <row r="10764" customFormat="false" ht="15" hidden="false" customHeight="false" outlineLevel="0" collapsed="false">
      <c r="A10764" s="1" t="s">
        <v>10799</v>
      </c>
      <c r="B10764" s="1" t="s">
        <v>88</v>
      </c>
      <c r="C10764" s="1" t="n">
        <v>136000</v>
      </c>
      <c r="D10764" s="1" t="n">
        <v>760.9</v>
      </c>
      <c r="E10764" s="1" t="n">
        <v>0.0568</v>
      </c>
      <c r="F10764" s="1" t="n">
        <v>0.0759</v>
      </c>
    </row>
    <row r="10765" customFormat="false" ht="15" hidden="false" customHeight="false" outlineLevel="0" collapsed="false">
      <c r="A10765" s="1" t="s">
        <v>10800</v>
      </c>
      <c r="B10765" s="1" t="s">
        <v>88</v>
      </c>
      <c r="C10765" s="1" t="n">
        <v>129000</v>
      </c>
      <c r="D10765" s="1" t="n">
        <v>3828</v>
      </c>
      <c r="E10765" s="1" t="n">
        <v>0.0158</v>
      </c>
      <c r="F10765" s="1" t="n">
        <v>0.1067</v>
      </c>
    </row>
    <row r="10766" customFormat="false" ht="15" hidden="false" customHeight="false" outlineLevel="0" collapsed="false">
      <c r="A10766" s="1" t="s">
        <v>10801</v>
      </c>
      <c r="B10766" s="1" t="s">
        <v>214</v>
      </c>
      <c r="C10766" s="1" t="n">
        <v>165000</v>
      </c>
      <c r="D10766" s="1" t="n">
        <v>5893.1</v>
      </c>
      <c r="E10766" s="1" t="n">
        <v>0.0437</v>
      </c>
      <c r="F10766" s="1" t="n">
        <v>0.0759</v>
      </c>
    </row>
    <row r="10767" customFormat="false" ht="15" hidden="false" customHeight="false" outlineLevel="0" collapsed="false">
      <c r="A10767" s="1" t="s">
        <v>10802</v>
      </c>
      <c r="B10767" s="1" t="s">
        <v>88</v>
      </c>
      <c r="C10767" s="1" t="n">
        <v>155000</v>
      </c>
      <c r="D10767" s="1" t="n">
        <v>56513.6</v>
      </c>
      <c r="F10767" s="1" t="n">
        <v>0.0518</v>
      </c>
    </row>
    <row r="10768" customFormat="false" ht="15" hidden="false" customHeight="false" outlineLevel="0" collapsed="false">
      <c r="A10768" s="1" t="s">
        <v>10803</v>
      </c>
      <c r="B10768" s="1" t="s">
        <v>490</v>
      </c>
      <c r="C10768" s="1" t="n">
        <v>162000</v>
      </c>
      <c r="D10768" s="1" t="n">
        <v>744.4</v>
      </c>
      <c r="E10768" s="1" t="n">
        <v>0.0027</v>
      </c>
      <c r="F10768" s="1" t="n">
        <v>0.0822</v>
      </c>
    </row>
    <row r="10769" customFormat="false" ht="15" hidden="false" customHeight="false" outlineLevel="0" collapsed="false">
      <c r="A10769" s="1" t="s">
        <v>10804</v>
      </c>
      <c r="B10769" s="1" t="s">
        <v>26</v>
      </c>
      <c r="C10769" s="1" t="n">
        <v>140000</v>
      </c>
      <c r="D10769" s="1" t="n">
        <v>5478.9</v>
      </c>
      <c r="E10769" s="1" t="n">
        <v>0.0362</v>
      </c>
      <c r="F10769" s="1" t="n">
        <v>0.0951</v>
      </c>
    </row>
    <row r="10770" customFormat="false" ht="15" hidden="false" customHeight="false" outlineLevel="0" collapsed="false">
      <c r="A10770" s="1" t="s">
        <v>10805</v>
      </c>
      <c r="B10770" s="1" t="s">
        <v>74</v>
      </c>
      <c r="C10770" s="1" t="n">
        <v>121000</v>
      </c>
      <c r="D10770" s="1" t="n">
        <v>371.8</v>
      </c>
      <c r="E10770" s="1" t="n">
        <v>0.074</v>
      </c>
      <c r="F10770" s="1" t="n">
        <v>0.0518</v>
      </c>
    </row>
    <row r="10771" customFormat="false" ht="15" hidden="false" customHeight="false" outlineLevel="0" collapsed="false">
      <c r="A10771" s="1" t="s">
        <v>10806</v>
      </c>
      <c r="B10771" s="1" t="s">
        <v>26</v>
      </c>
      <c r="C10771" s="1" t="n">
        <v>122000</v>
      </c>
      <c r="D10771" s="1" t="n">
        <v>2175.9</v>
      </c>
      <c r="E10771" s="1" t="n">
        <v>0.0339</v>
      </c>
      <c r="F10771" s="1" t="n">
        <v>0.0951</v>
      </c>
    </row>
    <row r="10772" customFormat="false" ht="15" hidden="false" customHeight="false" outlineLevel="0" collapsed="false">
      <c r="A10772" s="1" t="s">
        <v>10807</v>
      </c>
      <c r="B10772" s="1" t="s">
        <v>26</v>
      </c>
      <c r="C10772" s="1" t="n">
        <v>125000</v>
      </c>
      <c r="D10772" s="1" t="n">
        <v>2005.5</v>
      </c>
      <c r="E10772" s="1" t="n">
        <v>0.0034</v>
      </c>
      <c r="F10772" s="1" t="n">
        <v>0.0654</v>
      </c>
    </row>
    <row r="10773" customFormat="false" ht="15" hidden="false" customHeight="false" outlineLevel="0" collapsed="false">
      <c r="A10773" s="1" t="s">
        <v>10808</v>
      </c>
      <c r="B10773" s="1" t="s">
        <v>21</v>
      </c>
      <c r="C10773" s="1" t="n">
        <v>179000</v>
      </c>
      <c r="D10773" s="1" t="n">
        <v>17081.1</v>
      </c>
      <c r="E10773" s="1" t="n">
        <v>0.0191</v>
      </c>
      <c r="F10773" s="1" t="n">
        <v>0.0409</v>
      </c>
    </row>
    <row r="10774" customFormat="false" ht="15" hidden="false" customHeight="false" outlineLevel="0" collapsed="false">
      <c r="A10774" s="1" t="s">
        <v>10809</v>
      </c>
      <c r="B10774" s="1" t="s">
        <v>53</v>
      </c>
      <c r="C10774" s="1" t="n">
        <v>136000</v>
      </c>
      <c r="D10774" s="1" t="n">
        <v>34889.9</v>
      </c>
      <c r="E10774" s="1" t="n">
        <v>0.0433</v>
      </c>
      <c r="F10774" s="1" t="n">
        <v>0.0951</v>
      </c>
    </row>
    <row r="10775" customFormat="false" ht="15" hidden="false" customHeight="false" outlineLevel="0" collapsed="false">
      <c r="A10775" s="1" t="s">
        <v>10810</v>
      </c>
      <c r="B10775" s="1" t="s">
        <v>92</v>
      </c>
      <c r="C10775" s="1" t="n">
        <v>123000</v>
      </c>
      <c r="D10775" s="1" t="n">
        <v>534.9</v>
      </c>
      <c r="E10775" s="1" t="n">
        <v>0.0212</v>
      </c>
      <c r="F10775" s="1" t="n">
        <v>0.1067</v>
      </c>
    </row>
    <row r="10776" customFormat="false" ht="15" hidden="false" customHeight="false" outlineLevel="0" collapsed="false">
      <c r="A10776" s="1" t="s">
        <v>10811</v>
      </c>
      <c r="B10776" s="1" t="s">
        <v>74</v>
      </c>
      <c r="C10776" s="1" t="n">
        <v>187000</v>
      </c>
      <c r="D10776" s="1" t="n">
        <v>3550.1</v>
      </c>
      <c r="E10776" s="1" t="n">
        <v>0.0618</v>
      </c>
      <c r="F10776" s="1" t="n">
        <v>0.0759</v>
      </c>
    </row>
    <row r="10777" customFormat="false" ht="15" hidden="false" customHeight="false" outlineLevel="0" collapsed="false">
      <c r="A10777" s="1" t="s">
        <v>10812</v>
      </c>
      <c r="B10777" s="1" t="s">
        <v>214</v>
      </c>
      <c r="C10777" s="1" t="n">
        <v>129000</v>
      </c>
      <c r="D10777" s="1" t="n">
        <v>2161.5</v>
      </c>
      <c r="E10777" s="1" t="n">
        <v>0.0175</v>
      </c>
      <c r="F10777" s="1" t="n">
        <v>0.0412</v>
      </c>
    </row>
    <row r="10778" customFormat="false" ht="15" hidden="false" customHeight="false" outlineLevel="0" collapsed="false">
      <c r="A10778" s="1" t="s">
        <v>10813</v>
      </c>
      <c r="B10778" s="1" t="s">
        <v>26</v>
      </c>
      <c r="C10778" s="1" t="n">
        <v>142000</v>
      </c>
      <c r="D10778" s="1" t="n">
        <v>1324.6</v>
      </c>
      <c r="E10778" s="1" t="n">
        <v>0.0155</v>
      </c>
      <c r="F10778" s="1" t="n">
        <v>0.0576</v>
      </c>
    </row>
    <row r="10779" customFormat="false" ht="15" hidden="false" customHeight="false" outlineLevel="0" collapsed="false">
      <c r="A10779" s="1" t="s">
        <v>10814</v>
      </c>
      <c r="B10779" s="1" t="s">
        <v>88</v>
      </c>
      <c r="C10779" s="1" t="n">
        <v>296000</v>
      </c>
      <c r="D10779" s="1" t="n">
        <v>1661.6</v>
      </c>
      <c r="E10779" s="1" t="n">
        <v>0.0563</v>
      </c>
      <c r="F10779" s="1" t="n">
        <v>0.0938</v>
      </c>
    </row>
    <row r="10780" customFormat="false" ht="15" hidden="false" customHeight="false" outlineLevel="0" collapsed="false">
      <c r="A10780" s="1" t="s">
        <v>10815</v>
      </c>
      <c r="B10780" s="1" t="s">
        <v>26</v>
      </c>
      <c r="C10780" s="1" t="n">
        <v>274000</v>
      </c>
      <c r="D10780" s="1" t="n">
        <v>172.2</v>
      </c>
      <c r="E10780" s="1" t="n">
        <v>0.037</v>
      </c>
      <c r="F10780" s="1" t="n">
        <v>0.0938</v>
      </c>
    </row>
    <row r="10781" customFormat="false" ht="15" hidden="false" customHeight="false" outlineLevel="0" collapsed="false">
      <c r="A10781" s="1" t="s">
        <v>10816</v>
      </c>
      <c r="B10781" s="1" t="s">
        <v>26</v>
      </c>
      <c r="C10781" s="1" t="n">
        <v>141000</v>
      </c>
      <c r="D10781" s="1" t="n">
        <v>4155</v>
      </c>
      <c r="E10781" s="1" t="n">
        <v>0.0156</v>
      </c>
      <c r="F10781" s="1" t="n">
        <v>0.2294</v>
      </c>
    </row>
    <row r="10782" customFormat="false" ht="15" hidden="false" customHeight="false" outlineLevel="0" collapsed="false">
      <c r="A10782" s="1" t="s">
        <v>10817</v>
      </c>
      <c r="B10782" s="1" t="s">
        <v>26</v>
      </c>
      <c r="C10782" s="1" t="n">
        <v>122000</v>
      </c>
      <c r="D10782" s="1" t="n">
        <v>5877.3</v>
      </c>
      <c r="E10782" s="1" t="n">
        <v>0.0072</v>
      </c>
      <c r="F10782" s="1" t="n">
        <v>0.1471</v>
      </c>
    </row>
    <row r="10783" customFormat="false" ht="15" hidden="false" customHeight="false" outlineLevel="0" collapsed="false">
      <c r="A10783" s="1" t="s">
        <v>10818</v>
      </c>
      <c r="B10783" s="1" t="s">
        <v>92</v>
      </c>
      <c r="C10783" s="1" t="n">
        <v>123000</v>
      </c>
      <c r="D10783" s="1" t="n">
        <v>8688.9</v>
      </c>
      <c r="E10783" s="1" t="n">
        <v>0.0504</v>
      </c>
      <c r="F10783" s="1" t="n">
        <v>0.0951</v>
      </c>
    </row>
    <row r="10784" customFormat="false" ht="15" hidden="false" customHeight="false" outlineLevel="0" collapsed="false">
      <c r="A10784" s="1" t="s">
        <v>10819</v>
      </c>
      <c r="B10784" s="1" t="s">
        <v>53</v>
      </c>
      <c r="C10784" s="1" t="n">
        <v>190000</v>
      </c>
      <c r="D10784" s="1" t="n">
        <v>22884.5</v>
      </c>
      <c r="E10784" s="1" t="n">
        <v>0.0388</v>
      </c>
      <c r="F10784" s="1" t="n">
        <v>0.0759</v>
      </c>
    </row>
    <row r="10785" customFormat="false" ht="15" hidden="false" customHeight="false" outlineLevel="0" collapsed="false">
      <c r="A10785" s="1" t="s">
        <v>10820</v>
      </c>
      <c r="B10785" s="1" t="s">
        <v>88</v>
      </c>
      <c r="C10785" s="1" t="n">
        <v>169000</v>
      </c>
      <c r="D10785" s="1" t="n">
        <v>13889.2</v>
      </c>
      <c r="E10785" s="1" t="n">
        <v>0.0371</v>
      </c>
      <c r="F10785" s="1" t="n">
        <v>0.0951</v>
      </c>
    </row>
    <row r="10786" customFormat="false" ht="15" hidden="false" customHeight="false" outlineLevel="0" collapsed="false">
      <c r="A10786" s="1" t="s">
        <v>10821</v>
      </c>
      <c r="B10786" s="1" t="s">
        <v>71</v>
      </c>
      <c r="C10786" s="1" t="n">
        <v>130000</v>
      </c>
      <c r="D10786" s="1" t="n">
        <v>445.3</v>
      </c>
      <c r="E10786" s="1" t="n">
        <v>0.0152</v>
      </c>
      <c r="F10786" s="1" t="n">
        <v>0.1067</v>
      </c>
    </row>
    <row r="10787" customFormat="false" ht="15" hidden="false" customHeight="false" outlineLevel="0" collapsed="false">
      <c r="A10787" s="1" t="s">
        <v>10822</v>
      </c>
      <c r="B10787" s="1" t="s">
        <v>26</v>
      </c>
      <c r="C10787" s="1" t="n">
        <v>163000</v>
      </c>
      <c r="D10787" s="1" t="n">
        <v>86611.2</v>
      </c>
      <c r="E10787" s="1" t="n">
        <v>0.0137</v>
      </c>
      <c r="F10787" s="1" t="n">
        <v>0.0616</v>
      </c>
    </row>
    <row r="10788" customFormat="false" ht="15" hidden="false" customHeight="false" outlineLevel="0" collapsed="false">
      <c r="A10788" s="1" t="s">
        <v>10823</v>
      </c>
      <c r="B10788" s="1" t="s">
        <v>50</v>
      </c>
      <c r="C10788" s="1" t="n">
        <v>134000</v>
      </c>
      <c r="D10788" s="1" t="n">
        <v>29700.6</v>
      </c>
      <c r="E10788" s="1" t="n">
        <v>0.0319</v>
      </c>
      <c r="F10788" s="1" t="n">
        <v>0.0951</v>
      </c>
    </row>
    <row r="10789" customFormat="false" ht="15" hidden="false" customHeight="false" outlineLevel="0" collapsed="false">
      <c r="A10789" s="1" t="s">
        <v>10824</v>
      </c>
      <c r="B10789" s="1" t="s">
        <v>26</v>
      </c>
      <c r="C10789" s="1" t="n">
        <v>128000</v>
      </c>
      <c r="D10789" s="1" t="n">
        <v>13243.3</v>
      </c>
      <c r="E10789" s="1" t="n">
        <v>0.0376</v>
      </c>
      <c r="F10789" s="1" t="n">
        <v>0.0951</v>
      </c>
    </row>
    <row r="10790" customFormat="false" ht="15" hidden="false" customHeight="false" outlineLevel="0" collapsed="false">
      <c r="A10790" s="1" t="s">
        <v>10825</v>
      </c>
      <c r="B10790" s="1" t="s">
        <v>214</v>
      </c>
      <c r="C10790" s="1" t="n">
        <v>129000</v>
      </c>
      <c r="D10790" s="1" t="n">
        <v>3197.8</v>
      </c>
      <c r="E10790" s="1" t="n">
        <v>0.022</v>
      </c>
      <c r="F10790" s="1" t="n">
        <v>0.0585</v>
      </c>
    </row>
    <row r="10791" customFormat="false" ht="15" hidden="false" customHeight="false" outlineLevel="0" collapsed="false">
      <c r="A10791" s="1" t="s">
        <v>10826</v>
      </c>
      <c r="B10791" s="1" t="s">
        <v>214</v>
      </c>
      <c r="C10791" s="1" t="n">
        <v>122000</v>
      </c>
      <c r="D10791" s="1" t="n">
        <v>9365.4</v>
      </c>
      <c r="E10791" s="1" t="n">
        <v>0.0195</v>
      </c>
      <c r="F10791" s="1" t="n">
        <v>0.0824</v>
      </c>
    </row>
    <row r="10792" customFormat="false" ht="15" hidden="false" customHeight="false" outlineLevel="0" collapsed="false">
      <c r="A10792" s="1" t="s">
        <v>10827</v>
      </c>
      <c r="B10792" s="1" t="s">
        <v>53</v>
      </c>
      <c r="C10792" s="1" t="n">
        <v>136000</v>
      </c>
      <c r="D10792" s="1" t="n">
        <v>418.8</v>
      </c>
      <c r="E10792" s="1" t="n">
        <v>0.0331</v>
      </c>
      <c r="F10792" s="1" t="n">
        <v>0.0759</v>
      </c>
    </row>
    <row r="10793" customFormat="false" ht="15" hidden="false" customHeight="false" outlineLevel="0" collapsed="false">
      <c r="A10793" s="1" t="s">
        <v>10828</v>
      </c>
      <c r="B10793" s="1" t="s">
        <v>41</v>
      </c>
      <c r="C10793" s="1" t="n">
        <v>289000</v>
      </c>
      <c r="D10793" s="1" t="n">
        <v>73396.9</v>
      </c>
      <c r="E10793" s="1" t="n">
        <v>0.0342</v>
      </c>
      <c r="F10793" s="1" t="n">
        <v>0.0409</v>
      </c>
    </row>
    <row r="10794" customFormat="false" ht="15" hidden="false" customHeight="false" outlineLevel="0" collapsed="false">
      <c r="A10794" s="1" t="s">
        <v>10829</v>
      </c>
      <c r="B10794" s="1" t="s">
        <v>88</v>
      </c>
      <c r="C10794" s="1" t="n">
        <v>145000</v>
      </c>
      <c r="D10794" s="1" t="n">
        <v>5462.2</v>
      </c>
      <c r="E10794" s="1" t="n">
        <v>0.0538</v>
      </c>
      <c r="F10794" s="1" t="n">
        <v>0.0759</v>
      </c>
    </row>
    <row r="10795" customFormat="false" ht="15" hidden="false" customHeight="false" outlineLevel="0" collapsed="false">
      <c r="A10795" s="1" t="s">
        <v>10830</v>
      </c>
      <c r="B10795" s="1" t="s">
        <v>214</v>
      </c>
      <c r="C10795" s="1" t="n">
        <v>134000</v>
      </c>
      <c r="D10795" s="1" t="n">
        <v>842.2</v>
      </c>
      <c r="E10795" s="1" t="n">
        <v>0.0238</v>
      </c>
      <c r="F10795" s="1" t="n">
        <v>0.0409</v>
      </c>
    </row>
    <row r="10796" customFormat="false" ht="15" hidden="false" customHeight="false" outlineLevel="0" collapsed="false">
      <c r="A10796" s="1" t="s">
        <v>10831</v>
      </c>
      <c r="B10796" s="1" t="s">
        <v>287</v>
      </c>
      <c r="C10796" s="1" t="n">
        <v>163000</v>
      </c>
      <c r="D10796" s="1" t="n">
        <v>983</v>
      </c>
      <c r="E10796" s="1" t="n">
        <v>0.0231</v>
      </c>
      <c r="F10796" s="1" t="n">
        <v>0.1387</v>
      </c>
    </row>
    <row r="10797" customFormat="false" ht="15" hidden="false" customHeight="false" outlineLevel="0" collapsed="false">
      <c r="A10797" s="1" t="s">
        <v>10832</v>
      </c>
      <c r="B10797" s="1" t="s">
        <v>214</v>
      </c>
      <c r="C10797" s="1" t="n">
        <v>140000</v>
      </c>
      <c r="D10797" s="1" t="n">
        <v>1685.8</v>
      </c>
      <c r="E10797" s="1" t="n">
        <v>0.012</v>
      </c>
      <c r="F10797" s="1" t="n">
        <v>0.0757</v>
      </c>
    </row>
    <row r="10798" customFormat="false" ht="15" hidden="false" customHeight="false" outlineLevel="0" collapsed="false">
      <c r="A10798" s="1" t="s">
        <v>10833</v>
      </c>
      <c r="B10798" s="1" t="s">
        <v>26</v>
      </c>
      <c r="C10798" s="1" t="n">
        <v>120000</v>
      </c>
      <c r="D10798" s="1" t="n">
        <v>32338.5</v>
      </c>
      <c r="E10798" s="1" t="n">
        <v>0.0337</v>
      </c>
      <c r="F10798" s="1" t="n">
        <v>0.0951</v>
      </c>
    </row>
    <row r="10799" customFormat="false" ht="15" hidden="false" customHeight="false" outlineLevel="0" collapsed="false">
      <c r="A10799" s="1" t="s">
        <v>10834</v>
      </c>
      <c r="B10799" s="1" t="s">
        <v>71</v>
      </c>
      <c r="C10799" s="1" t="n">
        <v>123000</v>
      </c>
      <c r="D10799" s="1" t="n">
        <v>16146.3</v>
      </c>
      <c r="E10799" s="1" t="n">
        <v>0.0457</v>
      </c>
      <c r="F10799" s="1" t="n">
        <v>0.0951</v>
      </c>
    </row>
    <row r="10800" customFormat="false" ht="15" hidden="false" customHeight="false" outlineLevel="0" collapsed="false">
      <c r="A10800" s="1" t="s">
        <v>10835</v>
      </c>
      <c r="B10800" s="1" t="s">
        <v>88</v>
      </c>
      <c r="C10800" s="1" t="n">
        <v>335000</v>
      </c>
      <c r="D10800" s="1" t="n">
        <v>48336.3</v>
      </c>
      <c r="E10800" s="1" t="n">
        <v>0.0144</v>
      </c>
      <c r="F10800" s="1" t="n">
        <v>0.0585</v>
      </c>
    </row>
    <row r="10801" customFormat="false" ht="15" hidden="false" customHeight="false" outlineLevel="0" collapsed="false">
      <c r="A10801" s="1" t="s">
        <v>10836</v>
      </c>
      <c r="B10801" s="1" t="s">
        <v>214</v>
      </c>
      <c r="C10801" s="1" t="n">
        <v>124000</v>
      </c>
      <c r="D10801" s="1" t="n">
        <v>11909.9</v>
      </c>
      <c r="E10801" s="1" t="n">
        <v>0.0451</v>
      </c>
      <c r="F10801" s="1" t="n">
        <v>0.0951</v>
      </c>
    </row>
    <row r="10802" customFormat="false" ht="15" hidden="false" customHeight="false" outlineLevel="0" collapsed="false">
      <c r="A10802" s="1" t="s">
        <v>10837</v>
      </c>
      <c r="B10802" s="1" t="s">
        <v>26</v>
      </c>
      <c r="C10802" s="1" t="n">
        <v>136000</v>
      </c>
      <c r="D10802" s="1" t="n">
        <v>17457.2</v>
      </c>
      <c r="E10802" s="1" t="n">
        <v>0.0698</v>
      </c>
      <c r="F10802" s="1" t="n">
        <v>0.0951</v>
      </c>
    </row>
    <row r="10803" customFormat="false" ht="15" hidden="false" customHeight="false" outlineLevel="0" collapsed="false">
      <c r="A10803" s="1" t="s">
        <v>10838</v>
      </c>
      <c r="B10803" s="1" t="s">
        <v>26</v>
      </c>
      <c r="C10803" s="1" t="n">
        <v>433000</v>
      </c>
      <c r="D10803" s="1" t="n">
        <v>6105.8</v>
      </c>
      <c r="E10803" s="1" t="n">
        <v>0.0429</v>
      </c>
      <c r="F10803" s="1" t="n">
        <v>0.0938</v>
      </c>
    </row>
    <row r="10804" customFormat="false" ht="15" hidden="false" customHeight="false" outlineLevel="0" collapsed="false">
      <c r="A10804" s="1" t="s">
        <v>10839</v>
      </c>
      <c r="B10804" s="1" t="s">
        <v>26</v>
      </c>
      <c r="C10804" s="1" t="n">
        <v>127000</v>
      </c>
      <c r="D10804" s="1" t="n">
        <v>3823.3</v>
      </c>
      <c r="E10804" s="1" t="n">
        <v>0.035</v>
      </c>
      <c r="F10804" s="1" t="n">
        <v>0.0759</v>
      </c>
    </row>
    <row r="10805" customFormat="false" ht="15" hidden="false" customHeight="false" outlineLevel="0" collapsed="false">
      <c r="A10805" s="1" t="s">
        <v>10840</v>
      </c>
      <c r="B10805" s="1" t="s">
        <v>92</v>
      </c>
      <c r="C10805" s="1" t="n">
        <v>129000</v>
      </c>
      <c r="D10805" s="1" t="n">
        <v>763.4</v>
      </c>
      <c r="E10805" s="1" t="n">
        <v>0.0257</v>
      </c>
      <c r="F10805" s="1" t="n">
        <v>0.171</v>
      </c>
    </row>
    <row r="10806" customFormat="false" ht="15" hidden="false" customHeight="false" outlineLevel="0" collapsed="false">
      <c r="A10806" s="1" t="s">
        <v>10841</v>
      </c>
      <c r="B10806" s="1" t="s">
        <v>35</v>
      </c>
      <c r="C10806" s="1" t="n">
        <v>188000</v>
      </c>
      <c r="D10806" s="1" t="n">
        <v>24218.2</v>
      </c>
      <c r="E10806" s="1" t="n">
        <v>0.0114</v>
      </c>
      <c r="F10806" s="1" t="n">
        <v>0.1539</v>
      </c>
    </row>
    <row r="10807" customFormat="false" ht="15" hidden="false" customHeight="false" outlineLevel="0" collapsed="false">
      <c r="A10807" s="1" t="s">
        <v>10842</v>
      </c>
      <c r="B10807" s="1" t="s">
        <v>24</v>
      </c>
      <c r="C10807" s="1" t="n">
        <v>152000</v>
      </c>
      <c r="D10807" s="1" t="n">
        <v>8903.8</v>
      </c>
      <c r="E10807" s="1" t="n">
        <v>0.0586</v>
      </c>
      <c r="F10807" s="1" t="n">
        <v>0.0759</v>
      </c>
    </row>
    <row r="10808" customFormat="false" ht="15" hidden="false" customHeight="false" outlineLevel="0" collapsed="false">
      <c r="A10808" s="1" t="s">
        <v>10843</v>
      </c>
      <c r="B10808" s="1" t="s">
        <v>26</v>
      </c>
      <c r="C10808" s="1" t="n">
        <v>182000</v>
      </c>
      <c r="D10808" s="1" t="n">
        <v>654.9</v>
      </c>
      <c r="E10808" s="1" t="n">
        <v>0.0214</v>
      </c>
      <c r="F10808" s="1" t="n">
        <v>0.0938</v>
      </c>
    </row>
    <row r="10809" customFormat="false" ht="15" hidden="false" customHeight="false" outlineLevel="0" collapsed="false">
      <c r="A10809" s="1" t="s">
        <v>10844</v>
      </c>
      <c r="B10809" s="1" t="s">
        <v>26</v>
      </c>
      <c r="C10809" s="1" t="n">
        <v>205000</v>
      </c>
      <c r="D10809" s="1" t="n">
        <v>2031.1</v>
      </c>
      <c r="E10809" s="1" t="n">
        <v>0.0124</v>
      </c>
      <c r="F10809" s="1" t="n">
        <v>0.0822</v>
      </c>
    </row>
    <row r="10810" customFormat="false" ht="15" hidden="false" customHeight="false" outlineLevel="0" collapsed="false">
      <c r="A10810" s="1" t="s">
        <v>10845</v>
      </c>
      <c r="B10810" s="1" t="s">
        <v>24</v>
      </c>
      <c r="C10810" s="1" t="n">
        <v>148000</v>
      </c>
      <c r="D10810" s="1" t="n">
        <v>1765.5</v>
      </c>
      <c r="E10810" s="1" t="n">
        <v>0.0188</v>
      </c>
      <c r="F10810" s="1" t="n">
        <v>0.1067</v>
      </c>
    </row>
    <row r="10811" customFormat="false" ht="15" hidden="false" customHeight="false" outlineLevel="0" collapsed="false">
      <c r="A10811" s="1" t="s">
        <v>10846</v>
      </c>
      <c r="B10811" s="1" t="s">
        <v>92</v>
      </c>
      <c r="C10811" s="1" t="n">
        <v>131000</v>
      </c>
      <c r="D10811" s="1" t="n">
        <v>83572</v>
      </c>
      <c r="E10811" s="1" t="n">
        <v>0.03</v>
      </c>
      <c r="F10811" s="1" t="n">
        <v>0.0546</v>
      </c>
    </row>
    <row r="10812" customFormat="false" ht="15" hidden="false" customHeight="false" outlineLevel="0" collapsed="false">
      <c r="A10812" s="1" t="s">
        <v>10847</v>
      </c>
      <c r="B10812" s="1" t="s">
        <v>26</v>
      </c>
      <c r="C10812" s="1" t="n">
        <v>159000</v>
      </c>
      <c r="D10812" s="1" t="n">
        <v>1735.7</v>
      </c>
      <c r="E10812" s="1" t="n">
        <v>0.0296</v>
      </c>
      <c r="F10812" s="1" t="n">
        <v>0.0938</v>
      </c>
    </row>
    <row r="10813" customFormat="false" ht="15" hidden="false" customHeight="false" outlineLevel="0" collapsed="false">
      <c r="A10813" s="1" t="s">
        <v>10848</v>
      </c>
      <c r="B10813" s="1" t="s">
        <v>53</v>
      </c>
      <c r="C10813" s="1" t="n">
        <v>123000</v>
      </c>
      <c r="D10813" s="1" t="n">
        <v>12349.8</v>
      </c>
      <c r="E10813" s="1" t="n">
        <v>0.0496</v>
      </c>
      <c r="F10813" s="1" t="n">
        <v>0.0951</v>
      </c>
    </row>
    <row r="10814" customFormat="false" ht="15" hidden="false" customHeight="false" outlineLevel="0" collapsed="false">
      <c r="A10814" s="1" t="s">
        <v>10849</v>
      </c>
      <c r="B10814" s="1" t="s">
        <v>50</v>
      </c>
      <c r="C10814" s="1" t="n">
        <v>135000</v>
      </c>
      <c r="D10814" s="1" t="n">
        <v>671.7</v>
      </c>
      <c r="E10814" s="1" t="n">
        <v>0.0372</v>
      </c>
      <c r="F10814" s="1" t="n">
        <v>0.0517</v>
      </c>
    </row>
    <row r="10815" customFormat="false" ht="15" hidden="false" customHeight="false" outlineLevel="0" collapsed="false">
      <c r="A10815" s="1" t="s">
        <v>10850</v>
      </c>
      <c r="B10815" s="1" t="s">
        <v>26</v>
      </c>
      <c r="C10815" s="1" t="n">
        <v>123000</v>
      </c>
      <c r="D10815" s="1" t="n">
        <v>237054.8</v>
      </c>
      <c r="E10815" s="1" t="n">
        <v>0.0086</v>
      </c>
      <c r="F10815" s="1" t="n">
        <v>0.1471</v>
      </c>
    </row>
    <row r="10816" customFormat="false" ht="15" hidden="false" customHeight="false" outlineLevel="0" collapsed="false">
      <c r="A10816" s="1" t="s">
        <v>10851</v>
      </c>
      <c r="B10816" s="1" t="s">
        <v>88</v>
      </c>
      <c r="C10816" s="1" t="n">
        <v>407000</v>
      </c>
      <c r="D10816" s="1" t="n">
        <v>1748.2</v>
      </c>
      <c r="E10816" s="1" t="n">
        <v>0.0643</v>
      </c>
      <c r="F10816" s="1" t="n">
        <v>0.0938</v>
      </c>
    </row>
    <row r="10817" customFormat="false" ht="15" hidden="false" customHeight="false" outlineLevel="0" collapsed="false">
      <c r="A10817" s="1" t="s">
        <v>10852</v>
      </c>
      <c r="B10817" s="1" t="s">
        <v>71</v>
      </c>
      <c r="C10817" s="1" t="n">
        <v>129000</v>
      </c>
      <c r="D10817" s="1" t="n">
        <v>561.4</v>
      </c>
      <c r="E10817" s="1" t="n">
        <v>0.0215</v>
      </c>
      <c r="F10817" s="1" t="n">
        <v>0.0735</v>
      </c>
    </row>
    <row r="10818" customFormat="false" ht="15" hidden="false" customHeight="false" outlineLevel="0" collapsed="false">
      <c r="A10818" s="1" t="s">
        <v>10853</v>
      </c>
      <c r="B10818" s="1" t="s">
        <v>88</v>
      </c>
      <c r="C10818" s="1" t="n">
        <v>123000</v>
      </c>
      <c r="D10818" s="1" t="n">
        <v>8804.9</v>
      </c>
      <c r="E10818" s="1" t="n">
        <v>0.0116</v>
      </c>
      <c r="F10818" s="1" t="n">
        <v>0.1603</v>
      </c>
    </row>
    <row r="10819" customFormat="false" ht="15" hidden="false" customHeight="false" outlineLevel="0" collapsed="false">
      <c r="A10819" s="1" t="s">
        <v>10854</v>
      </c>
      <c r="B10819" s="1" t="s">
        <v>41</v>
      </c>
      <c r="C10819" s="1" t="n">
        <v>122000</v>
      </c>
      <c r="D10819" s="1" t="n">
        <v>5922.3</v>
      </c>
      <c r="E10819" s="1" t="n">
        <v>0.0184</v>
      </c>
      <c r="F10819" s="1" t="n">
        <v>0.1067</v>
      </c>
    </row>
    <row r="10820" customFormat="false" ht="15" hidden="false" customHeight="false" outlineLevel="0" collapsed="false">
      <c r="A10820" s="1" t="s">
        <v>10855</v>
      </c>
      <c r="B10820" s="1" t="s">
        <v>88</v>
      </c>
      <c r="C10820" s="1" t="n">
        <v>209000</v>
      </c>
      <c r="D10820" s="1" t="n">
        <v>4983.6</v>
      </c>
      <c r="E10820" s="1" t="n">
        <v>0.031</v>
      </c>
      <c r="F10820" s="1" t="n">
        <v>0.117</v>
      </c>
    </row>
    <row r="10821" customFormat="false" ht="15" hidden="false" customHeight="false" outlineLevel="0" collapsed="false">
      <c r="A10821" s="1" t="s">
        <v>10856</v>
      </c>
      <c r="B10821" s="1" t="s">
        <v>92</v>
      </c>
      <c r="C10821" s="1" t="n">
        <v>153000</v>
      </c>
      <c r="D10821" s="1" t="n">
        <v>29107.9</v>
      </c>
      <c r="E10821" s="1" t="n">
        <v>0.0171</v>
      </c>
      <c r="F10821" s="1" t="n">
        <v>0.0585</v>
      </c>
    </row>
    <row r="10822" customFormat="false" ht="15" hidden="false" customHeight="false" outlineLevel="0" collapsed="false">
      <c r="A10822" s="1" t="s">
        <v>10857</v>
      </c>
      <c r="B10822" s="1" t="s">
        <v>26</v>
      </c>
      <c r="C10822" s="1" t="n">
        <v>176000</v>
      </c>
      <c r="D10822" s="1" t="n">
        <v>73022.4</v>
      </c>
      <c r="E10822" s="1" t="n">
        <v>0.0256</v>
      </c>
      <c r="F10822" s="1" t="n">
        <v>0.0951</v>
      </c>
    </row>
    <row r="10823" customFormat="false" ht="15" hidden="false" customHeight="false" outlineLevel="0" collapsed="false">
      <c r="A10823" s="1" t="s">
        <v>10858</v>
      </c>
      <c r="B10823" s="1" t="s">
        <v>26</v>
      </c>
      <c r="C10823" s="1" t="n">
        <v>147000</v>
      </c>
      <c r="D10823" s="1" t="n">
        <v>41197.4</v>
      </c>
      <c r="E10823" s="1" t="n">
        <v>0.0219</v>
      </c>
      <c r="F10823" s="1" t="n">
        <v>0.0951</v>
      </c>
    </row>
    <row r="10824" customFormat="false" ht="15" hidden="false" customHeight="false" outlineLevel="0" collapsed="false">
      <c r="A10824" s="1" t="s">
        <v>10859</v>
      </c>
      <c r="B10824" s="1" t="s">
        <v>195</v>
      </c>
      <c r="C10824" s="1" t="n">
        <v>121000</v>
      </c>
      <c r="D10824" s="1" t="n">
        <v>1096</v>
      </c>
      <c r="E10824" s="1" t="n">
        <v>0.0065</v>
      </c>
      <c r="F10824" s="1" t="n">
        <v>0.0822</v>
      </c>
    </row>
    <row r="10825" customFormat="false" ht="15" hidden="false" customHeight="false" outlineLevel="0" collapsed="false">
      <c r="A10825" s="1" t="s">
        <v>10860</v>
      </c>
      <c r="B10825" s="1" t="s">
        <v>74</v>
      </c>
      <c r="C10825" s="1" t="n">
        <v>143000</v>
      </c>
      <c r="D10825" s="1" t="n">
        <v>1327.9</v>
      </c>
      <c r="E10825" s="1" t="n">
        <v>0.015</v>
      </c>
      <c r="F10825" s="1" t="n">
        <v>0.052</v>
      </c>
    </row>
    <row r="10826" customFormat="false" ht="15" hidden="false" customHeight="false" outlineLevel="0" collapsed="false">
      <c r="A10826" s="1" t="s">
        <v>10861</v>
      </c>
      <c r="B10826" s="1" t="s">
        <v>26</v>
      </c>
      <c r="C10826" s="1" t="n">
        <v>123000</v>
      </c>
      <c r="D10826" s="1" t="n">
        <v>24598</v>
      </c>
      <c r="E10826" s="1" t="n">
        <v>0.0259</v>
      </c>
      <c r="F10826" s="1" t="n">
        <v>0.1108</v>
      </c>
    </row>
    <row r="10827" customFormat="false" ht="15" hidden="false" customHeight="false" outlineLevel="0" collapsed="false">
      <c r="A10827" s="1" t="s">
        <v>10862</v>
      </c>
      <c r="B10827" s="1" t="s">
        <v>24</v>
      </c>
      <c r="C10827" s="1" t="n">
        <v>168000</v>
      </c>
      <c r="D10827" s="1" t="n">
        <v>18372.9</v>
      </c>
      <c r="E10827" s="1" t="n">
        <v>0.0485</v>
      </c>
      <c r="F10827" s="1" t="n">
        <v>0.0672</v>
      </c>
    </row>
    <row r="10828" customFormat="false" ht="15" hidden="false" customHeight="false" outlineLevel="0" collapsed="false">
      <c r="A10828" s="1" t="s">
        <v>10863</v>
      </c>
      <c r="B10828" s="1" t="s">
        <v>214</v>
      </c>
      <c r="C10828" s="1" t="n">
        <v>121000</v>
      </c>
      <c r="D10828" s="1" t="n">
        <v>445.2</v>
      </c>
      <c r="E10828" s="1" t="n">
        <v>0.1023</v>
      </c>
      <c r="F10828" s="1" t="n">
        <v>0.0759</v>
      </c>
    </row>
    <row r="10829" customFormat="false" ht="15" hidden="false" customHeight="false" outlineLevel="0" collapsed="false">
      <c r="A10829" s="1" t="s">
        <v>10864</v>
      </c>
      <c r="B10829" s="1" t="s">
        <v>74</v>
      </c>
      <c r="C10829" s="1" t="n">
        <v>130000</v>
      </c>
      <c r="D10829" s="1" t="n">
        <v>28373.3</v>
      </c>
      <c r="E10829" s="1" t="n">
        <v>0.0216</v>
      </c>
      <c r="F10829" s="1" t="n">
        <v>0.1533</v>
      </c>
    </row>
    <row r="10830" customFormat="false" ht="15" hidden="false" customHeight="false" outlineLevel="0" collapsed="false">
      <c r="A10830" s="1" t="s">
        <v>10865</v>
      </c>
      <c r="B10830" s="1" t="s">
        <v>24</v>
      </c>
      <c r="C10830" s="1" t="n">
        <v>191000</v>
      </c>
      <c r="D10830" s="1" t="n">
        <v>7199</v>
      </c>
      <c r="E10830" s="1" t="n">
        <v>0.1333</v>
      </c>
      <c r="F10830" s="1" t="n">
        <v>0.0833</v>
      </c>
    </row>
    <row r="10831" customFormat="false" ht="15" hidden="false" customHeight="false" outlineLevel="0" collapsed="false">
      <c r="A10831" s="1" t="s">
        <v>10866</v>
      </c>
      <c r="B10831" s="1" t="s">
        <v>26</v>
      </c>
      <c r="C10831" s="1" t="n">
        <v>187000</v>
      </c>
      <c r="D10831" s="1" t="n">
        <v>22575.2</v>
      </c>
      <c r="E10831" s="1" t="n">
        <v>0.0379</v>
      </c>
      <c r="F10831" s="1" t="n">
        <v>0.0759</v>
      </c>
    </row>
    <row r="10832" customFormat="false" ht="15" hidden="false" customHeight="false" outlineLevel="0" collapsed="false">
      <c r="A10832" s="1" t="s">
        <v>10867</v>
      </c>
      <c r="B10832" s="1" t="s">
        <v>50</v>
      </c>
      <c r="C10832" s="1" t="n">
        <v>146000</v>
      </c>
      <c r="D10832" s="1" t="n">
        <v>5097.4</v>
      </c>
      <c r="E10832" s="1" t="n">
        <v>0.0377</v>
      </c>
      <c r="F10832" s="1" t="n">
        <v>0.0951</v>
      </c>
    </row>
    <row r="10833" customFormat="false" ht="15" hidden="false" customHeight="false" outlineLevel="0" collapsed="false">
      <c r="A10833" s="1" t="s">
        <v>10868</v>
      </c>
      <c r="B10833" s="1" t="s">
        <v>41</v>
      </c>
      <c r="C10833" s="1" t="n">
        <v>136000</v>
      </c>
      <c r="D10833" s="1" t="n">
        <v>3713.5</v>
      </c>
      <c r="E10833" s="1" t="n">
        <v>0.0061</v>
      </c>
      <c r="F10833" s="1" t="n">
        <v>0.0654</v>
      </c>
    </row>
    <row r="10834" customFormat="false" ht="15" hidden="false" customHeight="false" outlineLevel="0" collapsed="false">
      <c r="A10834" s="1" t="s">
        <v>10869</v>
      </c>
      <c r="B10834" s="1" t="s">
        <v>26</v>
      </c>
      <c r="C10834" s="1" t="n">
        <v>131000</v>
      </c>
      <c r="D10834" s="1" t="n">
        <v>3110.3</v>
      </c>
      <c r="E10834" s="1" t="n">
        <v>0.0305</v>
      </c>
      <c r="F10834" s="1" t="n">
        <v>0.0759</v>
      </c>
    </row>
    <row r="10835" customFormat="false" ht="15" hidden="false" customHeight="false" outlineLevel="0" collapsed="false">
      <c r="A10835" s="1" t="s">
        <v>10870</v>
      </c>
      <c r="B10835" s="1" t="s">
        <v>214</v>
      </c>
      <c r="C10835" s="1" t="n">
        <v>136000</v>
      </c>
      <c r="D10835" s="1" t="n">
        <v>1268</v>
      </c>
      <c r="E10835" s="1" t="n">
        <v>0.0076</v>
      </c>
      <c r="F10835" s="1" t="n">
        <v>0.0822</v>
      </c>
    </row>
    <row r="10836" customFormat="false" ht="15" hidden="false" customHeight="false" outlineLevel="0" collapsed="false">
      <c r="A10836" s="1" t="s">
        <v>10871</v>
      </c>
      <c r="B10836" s="1" t="s">
        <v>92</v>
      </c>
      <c r="C10836" s="1" t="n">
        <v>122000</v>
      </c>
      <c r="D10836" s="1" t="n">
        <v>1054.3</v>
      </c>
      <c r="E10836" s="1" t="n">
        <v>0.0159</v>
      </c>
      <c r="F10836" s="1" t="n">
        <v>0.2076</v>
      </c>
    </row>
    <row r="10837" customFormat="false" ht="15" hidden="false" customHeight="false" outlineLevel="0" collapsed="false">
      <c r="A10837" s="1" t="s">
        <v>10872</v>
      </c>
      <c r="B10837" s="1" t="s">
        <v>88</v>
      </c>
      <c r="C10837" s="1" t="n">
        <v>188000</v>
      </c>
      <c r="D10837" s="1" t="n">
        <v>26279.3</v>
      </c>
      <c r="E10837" s="1" t="n">
        <v>0.0653</v>
      </c>
      <c r="F10837" s="1" t="n">
        <v>0.0759</v>
      </c>
    </row>
    <row r="10838" customFormat="false" ht="15" hidden="false" customHeight="false" outlineLevel="0" collapsed="false">
      <c r="A10838" s="1" t="s">
        <v>10873</v>
      </c>
      <c r="B10838" s="1" t="s">
        <v>26</v>
      </c>
      <c r="C10838" s="1" t="n">
        <v>226000</v>
      </c>
      <c r="D10838" s="1" t="n">
        <v>15792.1</v>
      </c>
      <c r="E10838" s="1" t="n">
        <v>0.0616</v>
      </c>
      <c r="F10838" s="1" t="n">
        <v>0.0759</v>
      </c>
    </row>
    <row r="10839" customFormat="false" ht="15" hidden="false" customHeight="false" outlineLevel="0" collapsed="false">
      <c r="A10839" s="1" t="s">
        <v>10874</v>
      </c>
      <c r="B10839" s="1" t="s">
        <v>214</v>
      </c>
      <c r="C10839" s="1" t="n">
        <v>134000</v>
      </c>
      <c r="D10839" s="1" t="n">
        <v>941</v>
      </c>
      <c r="E10839" s="1" t="n">
        <v>0.0207</v>
      </c>
      <c r="F10839" s="1" t="n">
        <v>0.1053</v>
      </c>
    </row>
    <row r="10840" customFormat="false" ht="15" hidden="false" customHeight="false" outlineLevel="0" collapsed="false">
      <c r="A10840" s="1" t="s">
        <v>10875</v>
      </c>
      <c r="B10840" s="1" t="s">
        <v>74</v>
      </c>
      <c r="C10840" s="1" t="n">
        <v>152000</v>
      </c>
      <c r="D10840" s="1" t="n">
        <v>860.7</v>
      </c>
      <c r="E10840" s="1" t="n">
        <v>0.0248</v>
      </c>
      <c r="F10840" s="1" t="n">
        <v>0.051</v>
      </c>
    </row>
    <row r="10841" customFormat="false" ht="15" hidden="false" customHeight="false" outlineLevel="0" collapsed="false">
      <c r="A10841" s="1" t="s">
        <v>10876</v>
      </c>
      <c r="B10841" s="1" t="s">
        <v>195</v>
      </c>
      <c r="C10841" s="1" t="n">
        <v>226000</v>
      </c>
      <c r="D10841" s="1" t="n">
        <v>1577.8</v>
      </c>
      <c r="E10841" s="1" t="n">
        <v>0.0267</v>
      </c>
      <c r="F10841" s="1" t="n">
        <v>0.0759</v>
      </c>
    </row>
    <row r="10842" customFormat="false" ht="15" hidden="false" customHeight="false" outlineLevel="0" collapsed="false">
      <c r="A10842" s="1" t="s">
        <v>10877</v>
      </c>
      <c r="B10842" s="1" t="s">
        <v>24</v>
      </c>
      <c r="C10842" s="1" t="n">
        <v>351000</v>
      </c>
      <c r="D10842" s="1" t="n">
        <v>16838.9</v>
      </c>
      <c r="E10842" s="1" t="n">
        <v>0.1183</v>
      </c>
      <c r="F10842" s="1" t="n">
        <v>0.0938</v>
      </c>
    </row>
    <row r="10843" customFormat="false" ht="15" hidden="false" customHeight="false" outlineLevel="0" collapsed="false">
      <c r="A10843" s="1" t="s">
        <v>10878</v>
      </c>
      <c r="B10843" s="1" t="s">
        <v>88</v>
      </c>
      <c r="C10843" s="1" t="n">
        <v>151000</v>
      </c>
      <c r="D10843" s="1" t="n">
        <v>1408.2</v>
      </c>
      <c r="E10843" s="1" t="n">
        <v>0.0803</v>
      </c>
      <c r="F10843" s="1" t="n">
        <v>0.0951</v>
      </c>
    </row>
    <row r="10844" customFormat="false" ht="15" hidden="false" customHeight="false" outlineLevel="0" collapsed="false">
      <c r="A10844" s="1" t="s">
        <v>10879</v>
      </c>
      <c r="B10844" s="1" t="s">
        <v>71</v>
      </c>
      <c r="C10844" s="1" t="n">
        <v>153000</v>
      </c>
      <c r="D10844" s="1" t="n">
        <v>1273.8</v>
      </c>
      <c r="E10844" s="1" t="n">
        <v>0.0114</v>
      </c>
      <c r="F10844" s="1" t="n">
        <v>0.1539</v>
      </c>
    </row>
    <row r="10845" customFormat="false" ht="15" hidden="false" customHeight="false" outlineLevel="0" collapsed="false">
      <c r="A10845" s="1" t="s">
        <v>10880</v>
      </c>
      <c r="B10845" s="1" t="s">
        <v>88</v>
      </c>
      <c r="C10845" s="1" t="n">
        <v>138000</v>
      </c>
      <c r="D10845" s="1" t="n">
        <v>202.7</v>
      </c>
      <c r="E10845" s="1" t="n">
        <v>0.0816</v>
      </c>
      <c r="F10845" s="1" t="n">
        <v>0.0759</v>
      </c>
    </row>
    <row r="10846" customFormat="false" ht="15" hidden="false" customHeight="false" outlineLevel="0" collapsed="false">
      <c r="A10846" s="1" t="s">
        <v>10881</v>
      </c>
      <c r="B10846" s="1" t="s">
        <v>490</v>
      </c>
      <c r="C10846" s="1" t="n">
        <v>120000</v>
      </c>
      <c r="D10846" s="1" t="n">
        <v>518.5</v>
      </c>
      <c r="E10846" s="1" t="n">
        <v>0.0348</v>
      </c>
      <c r="F10846" s="1" t="n">
        <v>0.0951</v>
      </c>
    </row>
    <row r="10847" customFormat="false" ht="15" hidden="false" customHeight="false" outlineLevel="0" collapsed="false">
      <c r="A10847" s="1" t="s">
        <v>10882</v>
      </c>
      <c r="B10847" s="1" t="s">
        <v>71</v>
      </c>
      <c r="C10847" s="1" t="n">
        <v>157000</v>
      </c>
      <c r="D10847" s="1" t="n">
        <v>21071.4</v>
      </c>
      <c r="E10847" s="1" t="n">
        <v>0.0764</v>
      </c>
      <c r="F10847" s="1" t="n">
        <v>0.0759</v>
      </c>
    </row>
    <row r="10848" customFormat="false" ht="15" hidden="false" customHeight="false" outlineLevel="0" collapsed="false">
      <c r="A10848" s="1" t="s">
        <v>10883</v>
      </c>
      <c r="B10848" s="1" t="s">
        <v>26</v>
      </c>
      <c r="C10848" s="1" t="n">
        <v>128000</v>
      </c>
      <c r="D10848" s="1" t="n">
        <v>10310.8</v>
      </c>
      <c r="E10848" s="1" t="n">
        <v>0.0424</v>
      </c>
      <c r="F10848" s="1" t="n">
        <v>0.0951</v>
      </c>
    </row>
    <row r="10849" customFormat="false" ht="15" hidden="false" customHeight="false" outlineLevel="0" collapsed="false">
      <c r="A10849" s="1" t="s">
        <v>10884</v>
      </c>
      <c r="B10849" s="1" t="s">
        <v>53</v>
      </c>
      <c r="C10849" s="1" t="n">
        <v>127000</v>
      </c>
      <c r="D10849" s="1" t="n">
        <v>1913.2</v>
      </c>
      <c r="E10849" s="1" t="n">
        <v>0.0985</v>
      </c>
      <c r="F10849" s="1" t="n">
        <v>0.0938</v>
      </c>
    </row>
    <row r="10850" customFormat="false" ht="15" hidden="false" customHeight="false" outlineLevel="0" collapsed="false">
      <c r="A10850" s="1" t="s">
        <v>10885</v>
      </c>
      <c r="B10850" s="1" t="s">
        <v>26</v>
      </c>
      <c r="C10850" s="1" t="n">
        <v>181000</v>
      </c>
      <c r="D10850" s="1" t="n">
        <v>13126.3</v>
      </c>
      <c r="E10850" s="1" t="n">
        <v>0.0119</v>
      </c>
      <c r="F10850" s="1" t="n">
        <v>0.0736</v>
      </c>
    </row>
    <row r="10851" customFormat="false" ht="15" hidden="false" customHeight="false" outlineLevel="0" collapsed="false">
      <c r="A10851" s="1" t="s">
        <v>10886</v>
      </c>
      <c r="B10851" s="1" t="s">
        <v>88</v>
      </c>
      <c r="C10851" s="1" t="n">
        <v>120000</v>
      </c>
      <c r="D10851" s="1" t="n">
        <v>672.7</v>
      </c>
      <c r="E10851" s="1" t="n">
        <v>0.0383</v>
      </c>
      <c r="F10851" s="1" t="n">
        <v>0.0998</v>
      </c>
    </row>
    <row r="10852" customFormat="false" ht="15" hidden="false" customHeight="false" outlineLevel="0" collapsed="false">
      <c r="A10852" s="1" t="s">
        <v>10887</v>
      </c>
      <c r="B10852" s="1" t="s">
        <v>26</v>
      </c>
      <c r="C10852" s="1" t="n">
        <v>124000</v>
      </c>
      <c r="D10852" s="1" t="n">
        <v>18209.4</v>
      </c>
      <c r="E10852" s="1" t="n">
        <v>0.0361</v>
      </c>
      <c r="F10852" s="1" t="n">
        <v>0.0951</v>
      </c>
    </row>
    <row r="10853" customFormat="false" ht="15" hidden="false" customHeight="false" outlineLevel="0" collapsed="false">
      <c r="A10853" s="1" t="s">
        <v>10888</v>
      </c>
      <c r="B10853" s="1" t="s">
        <v>71</v>
      </c>
      <c r="C10853" s="1" t="n">
        <v>118000</v>
      </c>
      <c r="D10853" s="1" t="n">
        <v>11620.6</v>
      </c>
      <c r="E10853" s="1" t="n">
        <v>0.0074</v>
      </c>
      <c r="F10853" s="1" t="n">
        <v>0.0822</v>
      </c>
    </row>
    <row r="10854" customFormat="false" ht="15" hidden="false" customHeight="false" outlineLevel="0" collapsed="false">
      <c r="A10854" s="1" t="s">
        <v>10889</v>
      </c>
      <c r="B10854" s="1" t="s">
        <v>74</v>
      </c>
      <c r="C10854" s="1" t="n">
        <v>132000</v>
      </c>
      <c r="D10854" s="1" t="n">
        <v>1453.5</v>
      </c>
      <c r="E10854" s="1" t="n">
        <v>0.0222</v>
      </c>
      <c r="F10854" s="1" t="n">
        <v>0.0584</v>
      </c>
    </row>
    <row r="10855" customFormat="false" ht="15" hidden="false" customHeight="false" outlineLevel="0" collapsed="false">
      <c r="A10855" s="1" t="s">
        <v>10890</v>
      </c>
      <c r="B10855" s="1" t="s">
        <v>41</v>
      </c>
      <c r="C10855" s="1" t="n">
        <v>205000</v>
      </c>
      <c r="D10855" s="1" t="n">
        <v>8258</v>
      </c>
      <c r="E10855" s="1" t="n">
        <v>0.0232</v>
      </c>
      <c r="F10855" s="1" t="n">
        <v>0.095</v>
      </c>
    </row>
    <row r="10856" customFormat="false" ht="15" hidden="false" customHeight="false" outlineLevel="0" collapsed="false">
      <c r="A10856" s="1" t="s">
        <v>10891</v>
      </c>
      <c r="B10856" s="1" t="s">
        <v>88</v>
      </c>
      <c r="C10856" s="1" t="n">
        <v>126000</v>
      </c>
      <c r="D10856" s="1" t="n">
        <v>380.3</v>
      </c>
      <c r="E10856" s="1" t="n">
        <v>0.0184</v>
      </c>
      <c r="F10856" s="1" t="n">
        <v>0.0951</v>
      </c>
    </row>
    <row r="10857" customFormat="false" ht="15" hidden="false" customHeight="false" outlineLevel="0" collapsed="false">
      <c r="A10857" s="1" t="s">
        <v>10892</v>
      </c>
      <c r="B10857" s="1" t="s">
        <v>195</v>
      </c>
      <c r="C10857" s="1" t="n">
        <v>121000</v>
      </c>
      <c r="D10857" s="1" t="n">
        <v>70210</v>
      </c>
      <c r="E10857" s="1" t="n">
        <v>0.0229</v>
      </c>
      <c r="F10857" s="1" t="n">
        <v>0.0585</v>
      </c>
    </row>
    <row r="10858" customFormat="false" ht="15" hidden="false" customHeight="false" outlineLevel="0" collapsed="false">
      <c r="A10858" s="1" t="s">
        <v>10893</v>
      </c>
      <c r="B10858" s="1" t="s">
        <v>26</v>
      </c>
      <c r="C10858" s="1" t="n">
        <v>208000</v>
      </c>
      <c r="D10858" s="1" t="n">
        <v>22826.7</v>
      </c>
      <c r="E10858" s="1" t="n">
        <v>0.033</v>
      </c>
      <c r="F10858" s="1" t="n">
        <v>0.0759</v>
      </c>
    </row>
    <row r="10859" customFormat="false" ht="15" hidden="false" customHeight="false" outlineLevel="0" collapsed="false">
      <c r="A10859" s="1" t="s">
        <v>10894</v>
      </c>
      <c r="B10859" s="1" t="s">
        <v>26</v>
      </c>
      <c r="C10859" s="1" t="n">
        <v>139000</v>
      </c>
      <c r="D10859" s="1" t="n">
        <v>123.4</v>
      </c>
      <c r="E10859" s="1" t="n">
        <v>0.0301</v>
      </c>
      <c r="F10859" s="1" t="n">
        <v>0.1161</v>
      </c>
    </row>
    <row r="10860" customFormat="false" ht="15" hidden="false" customHeight="false" outlineLevel="0" collapsed="false">
      <c r="A10860" s="1" t="s">
        <v>10895</v>
      </c>
      <c r="B10860" s="1" t="s">
        <v>92</v>
      </c>
      <c r="C10860" s="1" t="n">
        <v>157000</v>
      </c>
      <c r="D10860" s="1" t="n">
        <v>7113.9</v>
      </c>
      <c r="E10860" s="1" t="n">
        <v>0.0188</v>
      </c>
      <c r="F10860" s="1" t="n">
        <v>0.0462</v>
      </c>
    </row>
    <row r="10861" customFormat="false" ht="15" hidden="false" customHeight="false" outlineLevel="0" collapsed="false">
      <c r="A10861" s="1" t="s">
        <v>10896</v>
      </c>
      <c r="B10861" s="1" t="s">
        <v>41</v>
      </c>
      <c r="C10861" s="1" t="n">
        <v>182000</v>
      </c>
      <c r="D10861" s="1" t="n">
        <v>640.4</v>
      </c>
      <c r="E10861" s="1" t="n">
        <v>0.0324</v>
      </c>
      <c r="F10861" s="1" t="n">
        <v>0.0938</v>
      </c>
    </row>
    <row r="10862" customFormat="false" ht="15" hidden="false" customHeight="false" outlineLevel="0" collapsed="false">
      <c r="A10862" s="1" t="s">
        <v>10897</v>
      </c>
      <c r="B10862" s="1" t="s">
        <v>26</v>
      </c>
      <c r="C10862" s="1" t="n">
        <v>336000</v>
      </c>
      <c r="D10862" s="1" t="n">
        <v>20012.5</v>
      </c>
      <c r="E10862" s="1" t="n">
        <v>0.0676</v>
      </c>
      <c r="F10862" s="1" t="n">
        <v>0.0938</v>
      </c>
    </row>
    <row r="10863" customFormat="false" ht="15" hidden="false" customHeight="false" outlineLevel="0" collapsed="false">
      <c r="A10863" s="1" t="s">
        <v>10898</v>
      </c>
      <c r="B10863" s="1" t="s">
        <v>74</v>
      </c>
      <c r="C10863" s="1" t="n">
        <v>168000</v>
      </c>
      <c r="D10863" s="1" t="n">
        <v>3588.5</v>
      </c>
      <c r="E10863" s="1" t="n">
        <v>0.0441</v>
      </c>
      <c r="F10863" s="1" t="n">
        <v>0.0759</v>
      </c>
    </row>
    <row r="10864" customFormat="false" ht="15" hidden="false" customHeight="false" outlineLevel="0" collapsed="false">
      <c r="A10864" s="1" t="s">
        <v>10899</v>
      </c>
      <c r="B10864" s="1" t="s">
        <v>88</v>
      </c>
      <c r="C10864" s="1" t="n">
        <v>138000</v>
      </c>
      <c r="D10864" s="1" t="n">
        <v>4751.3</v>
      </c>
      <c r="E10864" s="1" t="n">
        <v>0.011</v>
      </c>
      <c r="F10864" s="1" t="n">
        <v>0.0866</v>
      </c>
    </row>
    <row r="10865" customFormat="false" ht="15" hidden="false" customHeight="false" outlineLevel="0" collapsed="false">
      <c r="A10865" s="1" t="s">
        <v>10900</v>
      </c>
      <c r="B10865" s="1" t="s">
        <v>81</v>
      </c>
      <c r="C10865" s="1" t="n">
        <v>212000</v>
      </c>
      <c r="D10865" s="1" t="n">
        <v>21134.9</v>
      </c>
      <c r="E10865" s="1" t="n">
        <v>0.0243</v>
      </c>
      <c r="F10865" s="1" t="n">
        <v>0.0759</v>
      </c>
    </row>
    <row r="10866" customFormat="false" ht="15" hidden="false" customHeight="false" outlineLevel="0" collapsed="false">
      <c r="A10866" s="1" t="s">
        <v>10901</v>
      </c>
      <c r="B10866" s="1" t="s">
        <v>26</v>
      </c>
      <c r="C10866" s="1" t="n">
        <v>144000</v>
      </c>
      <c r="D10866" s="1" t="n">
        <v>5049.5</v>
      </c>
      <c r="E10866" s="1" t="n">
        <v>0.0183</v>
      </c>
      <c r="F10866" s="1" t="n">
        <v>0.0409</v>
      </c>
    </row>
    <row r="10867" customFormat="false" ht="15" hidden="false" customHeight="false" outlineLevel="0" collapsed="false">
      <c r="A10867" s="1" t="s">
        <v>10902</v>
      </c>
      <c r="B10867" s="1" t="s">
        <v>81</v>
      </c>
      <c r="C10867" s="1" t="n">
        <v>178000</v>
      </c>
      <c r="D10867" s="1" t="n">
        <v>21127</v>
      </c>
      <c r="E10867" s="1" t="n">
        <v>0.0251</v>
      </c>
      <c r="F10867" s="1" t="n">
        <v>0.0672</v>
      </c>
    </row>
    <row r="10868" customFormat="false" ht="15" hidden="false" customHeight="false" outlineLevel="0" collapsed="false">
      <c r="A10868" s="1" t="s">
        <v>10903</v>
      </c>
      <c r="B10868" s="1" t="s">
        <v>92</v>
      </c>
      <c r="C10868" s="1" t="n">
        <v>305000</v>
      </c>
      <c r="D10868" s="1" t="n">
        <v>63164.3</v>
      </c>
      <c r="E10868" s="1" t="n">
        <v>0.0104</v>
      </c>
      <c r="F10868" s="1" t="n">
        <v>0.0689</v>
      </c>
    </row>
    <row r="10869" customFormat="false" ht="15" hidden="false" customHeight="false" outlineLevel="0" collapsed="false">
      <c r="A10869" s="1" t="s">
        <v>10904</v>
      </c>
      <c r="B10869" s="1" t="s">
        <v>26</v>
      </c>
      <c r="C10869" s="1" t="n">
        <v>165000</v>
      </c>
      <c r="D10869" s="1" t="n">
        <v>47364.7</v>
      </c>
      <c r="E10869" s="1" t="n">
        <v>0.0468</v>
      </c>
      <c r="F10869" s="1" t="n">
        <v>0.0759</v>
      </c>
    </row>
    <row r="10870" customFormat="false" ht="15" hidden="false" customHeight="false" outlineLevel="0" collapsed="false">
      <c r="A10870" s="1" t="s">
        <v>10905</v>
      </c>
      <c r="B10870" s="1" t="s">
        <v>74</v>
      </c>
      <c r="C10870" s="1" t="n">
        <v>172000</v>
      </c>
      <c r="D10870" s="1" t="n">
        <v>5242.4</v>
      </c>
      <c r="E10870" s="1" t="n">
        <v>0.0658</v>
      </c>
      <c r="F10870" s="1" t="n">
        <v>0.0951</v>
      </c>
    </row>
    <row r="10871" customFormat="false" ht="15" hidden="false" customHeight="false" outlineLevel="0" collapsed="false">
      <c r="A10871" s="1" t="s">
        <v>10906</v>
      </c>
      <c r="B10871" s="1" t="s">
        <v>26</v>
      </c>
      <c r="C10871" s="1" t="n">
        <v>135000</v>
      </c>
      <c r="D10871" s="1" t="n">
        <v>481559.9</v>
      </c>
      <c r="E10871" s="1" t="n">
        <v>0.0422</v>
      </c>
      <c r="F10871" s="1" t="n">
        <v>0.0951</v>
      </c>
    </row>
    <row r="10872" customFormat="false" ht="15" hidden="false" customHeight="false" outlineLevel="0" collapsed="false">
      <c r="A10872" s="1" t="s">
        <v>10907</v>
      </c>
      <c r="B10872" s="1" t="s">
        <v>41</v>
      </c>
      <c r="C10872" s="1" t="n">
        <v>313000</v>
      </c>
      <c r="D10872" s="1" t="n">
        <v>137.3</v>
      </c>
      <c r="E10872" s="1" t="n">
        <v>0.0249</v>
      </c>
      <c r="F10872" s="1" t="n">
        <v>0.1372</v>
      </c>
    </row>
    <row r="10873" customFormat="false" ht="15" hidden="false" customHeight="false" outlineLevel="0" collapsed="false">
      <c r="A10873" s="1" t="s">
        <v>10908</v>
      </c>
      <c r="B10873" s="1" t="s">
        <v>81</v>
      </c>
      <c r="C10873" s="1" t="n">
        <v>202000</v>
      </c>
      <c r="D10873" s="1" t="n">
        <v>1644.9</v>
      </c>
      <c r="E10873" s="1" t="n">
        <v>0.0466</v>
      </c>
      <c r="F10873" s="1" t="n">
        <v>0.0759</v>
      </c>
    </row>
    <row r="10874" customFormat="false" ht="15" hidden="false" customHeight="false" outlineLevel="0" collapsed="false">
      <c r="A10874" s="1" t="s">
        <v>10909</v>
      </c>
      <c r="B10874" s="1" t="s">
        <v>41</v>
      </c>
      <c r="C10874" s="1" t="n">
        <v>129000</v>
      </c>
      <c r="D10874" s="1" t="n">
        <v>352932.4</v>
      </c>
      <c r="F10874" s="1" t="n">
        <v>0.0518</v>
      </c>
    </row>
    <row r="10875" customFormat="false" ht="15" hidden="false" customHeight="false" outlineLevel="0" collapsed="false">
      <c r="A10875" s="1" t="s">
        <v>10910</v>
      </c>
      <c r="B10875" s="1" t="s">
        <v>74</v>
      </c>
      <c r="C10875" s="1" t="n">
        <v>124000</v>
      </c>
      <c r="D10875" s="1" t="n">
        <v>1209.6</v>
      </c>
      <c r="E10875" s="1" t="n">
        <v>0.1102</v>
      </c>
      <c r="F10875" s="1" t="n">
        <v>0.0409</v>
      </c>
    </row>
    <row r="10876" customFormat="false" ht="15" hidden="false" customHeight="false" outlineLevel="0" collapsed="false">
      <c r="A10876" s="1" t="s">
        <v>10911</v>
      </c>
      <c r="B10876" s="1" t="s">
        <v>74</v>
      </c>
      <c r="C10876" s="1" t="n">
        <v>509000</v>
      </c>
      <c r="D10876" s="1" t="n">
        <v>44741.4</v>
      </c>
      <c r="E10876" s="1" t="n">
        <v>0.0543</v>
      </c>
      <c r="F10876" s="1" t="n">
        <v>0.0759</v>
      </c>
    </row>
    <row r="10877" customFormat="false" ht="15" hidden="false" customHeight="false" outlineLevel="0" collapsed="false">
      <c r="A10877" s="1" t="s">
        <v>10912</v>
      </c>
      <c r="B10877" s="1" t="s">
        <v>26</v>
      </c>
      <c r="C10877" s="1" t="n">
        <v>119000</v>
      </c>
      <c r="D10877" s="1" t="n">
        <v>373.3</v>
      </c>
      <c r="E10877" s="1" t="n">
        <v>0.0299</v>
      </c>
      <c r="F10877" s="1" t="n">
        <v>0.0951</v>
      </c>
    </row>
    <row r="10878" customFormat="false" ht="15" hidden="false" customHeight="false" outlineLevel="0" collapsed="false">
      <c r="A10878" s="1" t="s">
        <v>10913</v>
      </c>
      <c r="B10878" s="1" t="s">
        <v>26</v>
      </c>
      <c r="C10878" s="1" t="n">
        <v>280000</v>
      </c>
      <c r="D10878" s="1" t="n">
        <v>5866.2</v>
      </c>
      <c r="F10878" s="1" t="n">
        <v>0.0409</v>
      </c>
    </row>
    <row r="10879" customFormat="false" ht="15" hidden="false" customHeight="false" outlineLevel="0" collapsed="false">
      <c r="A10879" s="1" t="s">
        <v>10914</v>
      </c>
      <c r="B10879" s="1" t="s">
        <v>88</v>
      </c>
      <c r="C10879" s="1" t="n">
        <v>180000</v>
      </c>
      <c r="D10879" s="1" t="n">
        <v>5075.6</v>
      </c>
      <c r="E10879" s="1" t="n">
        <v>0.0262</v>
      </c>
      <c r="F10879" s="1" t="n">
        <v>0.0951</v>
      </c>
    </row>
    <row r="10880" customFormat="false" ht="15" hidden="false" customHeight="false" outlineLevel="0" collapsed="false">
      <c r="A10880" s="1" t="s">
        <v>10915</v>
      </c>
      <c r="B10880" s="1" t="s">
        <v>50</v>
      </c>
      <c r="C10880" s="1" t="n">
        <v>136000</v>
      </c>
      <c r="D10880" s="1" t="n">
        <v>9397.7</v>
      </c>
      <c r="E10880" s="1" t="n">
        <v>0.0278</v>
      </c>
      <c r="F10880" s="1" t="n">
        <v>0.0759</v>
      </c>
    </row>
    <row r="10881" customFormat="false" ht="15" hidden="false" customHeight="false" outlineLevel="0" collapsed="false">
      <c r="A10881" s="1" t="s">
        <v>10916</v>
      </c>
      <c r="B10881" s="1" t="s">
        <v>71</v>
      </c>
      <c r="C10881" s="1" t="n">
        <v>120000</v>
      </c>
      <c r="D10881" s="1" t="n">
        <v>343.6</v>
      </c>
      <c r="E10881" s="1" t="n">
        <v>0.0193</v>
      </c>
      <c r="F10881" s="1" t="n">
        <v>0.0585</v>
      </c>
    </row>
    <row r="10882" customFormat="false" ht="15" hidden="false" customHeight="false" outlineLevel="0" collapsed="false">
      <c r="A10882" s="1" t="s">
        <v>10917</v>
      </c>
      <c r="B10882" s="1" t="s">
        <v>88</v>
      </c>
      <c r="C10882" s="1" t="n">
        <v>138000</v>
      </c>
      <c r="D10882" s="1" t="n">
        <v>485.9</v>
      </c>
      <c r="E10882" s="1" t="n">
        <v>0.0202</v>
      </c>
      <c r="F10882" s="1" t="n">
        <v>0.0854</v>
      </c>
    </row>
    <row r="10883" customFormat="false" ht="15" hidden="false" customHeight="false" outlineLevel="0" collapsed="false">
      <c r="A10883" s="1" t="s">
        <v>10918</v>
      </c>
      <c r="B10883" s="1" t="s">
        <v>26</v>
      </c>
      <c r="C10883" s="1" t="n">
        <v>133000</v>
      </c>
      <c r="D10883" s="1" t="n">
        <v>123970.8</v>
      </c>
      <c r="E10883" s="1" t="n">
        <v>0.0253</v>
      </c>
      <c r="F10883" s="1" t="n">
        <v>0.0522</v>
      </c>
    </row>
    <row r="10884" customFormat="false" ht="15" hidden="false" customHeight="false" outlineLevel="0" collapsed="false">
      <c r="A10884" s="1" t="s">
        <v>10919</v>
      </c>
      <c r="B10884" s="1" t="s">
        <v>195</v>
      </c>
      <c r="C10884" s="1" t="n">
        <v>124000</v>
      </c>
      <c r="D10884" s="1" t="n">
        <v>975.1</v>
      </c>
      <c r="E10884" s="1" t="n">
        <v>0.046</v>
      </c>
      <c r="F10884" s="1" t="n">
        <v>0.0951</v>
      </c>
    </row>
    <row r="10885" customFormat="false" ht="15" hidden="false" customHeight="false" outlineLevel="0" collapsed="false">
      <c r="A10885" s="1" t="s">
        <v>10920</v>
      </c>
      <c r="B10885" s="1" t="s">
        <v>214</v>
      </c>
      <c r="C10885" s="1" t="n">
        <v>163000</v>
      </c>
      <c r="D10885" s="1" t="n">
        <v>23467.4</v>
      </c>
      <c r="E10885" s="1" t="n">
        <v>0.0189</v>
      </c>
      <c r="F10885" s="1" t="n">
        <v>0.0854</v>
      </c>
    </row>
    <row r="10886" customFormat="false" ht="15" hidden="false" customHeight="false" outlineLevel="0" collapsed="false">
      <c r="A10886" s="1" t="s">
        <v>10921</v>
      </c>
      <c r="B10886" s="1" t="s">
        <v>214</v>
      </c>
      <c r="C10886" s="1" t="n">
        <v>126000</v>
      </c>
      <c r="D10886" s="1" t="n">
        <v>51.9</v>
      </c>
      <c r="E10886" s="1" t="n">
        <v>0.015</v>
      </c>
      <c r="F10886" s="1" t="n">
        <v>0.139</v>
      </c>
    </row>
    <row r="10887" customFormat="false" ht="15" hidden="false" customHeight="false" outlineLevel="0" collapsed="false">
      <c r="A10887" s="1" t="s">
        <v>10922</v>
      </c>
      <c r="B10887" s="1" t="s">
        <v>62</v>
      </c>
      <c r="C10887" s="1" t="n">
        <v>639000</v>
      </c>
      <c r="D10887" s="1" t="n">
        <v>162039.8</v>
      </c>
      <c r="E10887" s="1" t="n">
        <v>0.0264</v>
      </c>
      <c r="F10887" s="1" t="n">
        <v>0.0409</v>
      </c>
    </row>
    <row r="10888" customFormat="false" ht="15" hidden="false" customHeight="false" outlineLevel="0" collapsed="false">
      <c r="A10888" s="1" t="s">
        <v>10923</v>
      </c>
      <c r="B10888" s="1" t="s">
        <v>287</v>
      </c>
      <c r="C10888" s="1" t="n">
        <v>126000</v>
      </c>
      <c r="D10888" s="1" t="n">
        <v>7633.7</v>
      </c>
      <c r="E10888" s="1" t="n">
        <v>0.0274</v>
      </c>
      <c r="F10888" s="1" t="n">
        <v>0.0951</v>
      </c>
    </row>
    <row r="10889" customFormat="false" ht="15" hidden="false" customHeight="false" outlineLevel="0" collapsed="false">
      <c r="A10889" s="1" t="s">
        <v>10924</v>
      </c>
      <c r="B10889" s="1" t="s">
        <v>26</v>
      </c>
      <c r="C10889" s="1" t="n">
        <v>148000</v>
      </c>
      <c r="D10889" s="1" t="n">
        <v>560.3</v>
      </c>
      <c r="E10889" s="1" t="n">
        <v>0.021</v>
      </c>
      <c r="F10889" s="1" t="n">
        <v>0.1119</v>
      </c>
    </row>
    <row r="10890" customFormat="false" ht="15" hidden="false" customHeight="false" outlineLevel="0" collapsed="false">
      <c r="A10890" s="1" t="s">
        <v>10925</v>
      </c>
      <c r="B10890" s="1" t="s">
        <v>50</v>
      </c>
      <c r="C10890" s="1" t="n">
        <v>125000</v>
      </c>
      <c r="D10890" s="1" t="n">
        <v>81198</v>
      </c>
      <c r="E10890" s="1" t="n">
        <v>0.0529</v>
      </c>
      <c r="F10890" s="1" t="n">
        <v>0.0951</v>
      </c>
    </row>
    <row r="10891" customFormat="false" ht="15" hidden="false" customHeight="false" outlineLevel="0" collapsed="false">
      <c r="A10891" s="1" t="s">
        <v>10926</v>
      </c>
      <c r="B10891" s="1" t="s">
        <v>26</v>
      </c>
      <c r="C10891" s="1" t="n">
        <v>136000</v>
      </c>
      <c r="D10891" s="1" t="n">
        <v>8722.9</v>
      </c>
      <c r="E10891" s="1" t="n">
        <v>0.0433</v>
      </c>
      <c r="F10891" s="1" t="n">
        <v>0.0951</v>
      </c>
    </row>
    <row r="10892" customFormat="false" ht="15" hidden="false" customHeight="false" outlineLevel="0" collapsed="false">
      <c r="A10892" s="1" t="s">
        <v>10927</v>
      </c>
      <c r="B10892" s="1" t="s">
        <v>26</v>
      </c>
      <c r="C10892" s="1" t="n">
        <v>135000</v>
      </c>
      <c r="D10892" s="1" t="n">
        <v>1763.8</v>
      </c>
      <c r="E10892" s="1" t="n">
        <v>0.0199</v>
      </c>
      <c r="F10892" s="1" t="n">
        <v>0.1067</v>
      </c>
    </row>
    <row r="10893" customFormat="false" ht="15" hidden="false" customHeight="false" outlineLevel="0" collapsed="false">
      <c r="A10893" s="1" t="s">
        <v>10928</v>
      </c>
      <c r="B10893" s="1" t="s">
        <v>50</v>
      </c>
      <c r="C10893" s="1" t="n">
        <v>185000</v>
      </c>
      <c r="D10893" s="1" t="n">
        <v>264.4</v>
      </c>
      <c r="E10893" s="1" t="n">
        <v>0.0244</v>
      </c>
      <c r="F10893" s="1" t="n">
        <v>0.0951</v>
      </c>
    </row>
    <row r="10894" customFormat="false" ht="15" hidden="false" customHeight="false" outlineLevel="0" collapsed="false">
      <c r="A10894" s="1" t="s">
        <v>10929</v>
      </c>
      <c r="B10894" s="1" t="s">
        <v>50</v>
      </c>
      <c r="C10894" s="1" t="n">
        <v>126000</v>
      </c>
      <c r="D10894" s="1" t="n">
        <v>768.8</v>
      </c>
      <c r="F10894" s="1" t="n">
        <v>0.0759</v>
      </c>
    </row>
    <row r="10895" customFormat="false" ht="15" hidden="false" customHeight="false" outlineLevel="0" collapsed="false">
      <c r="A10895" s="1" t="s">
        <v>10930</v>
      </c>
      <c r="B10895" s="1" t="s">
        <v>41</v>
      </c>
      <c r="C10895" s="1" t="n">
        <v>159000</v>
      </c>
      <c r="D10895" s="1" t="n">
        <v>1342.4</v>
      </c>
      <c r="E10895" s="1" t="n">
        <v>0.0146</v>
      </c>
      <c r="F10895" s="1" t="n">
        <v>0.0584</v>
      </c>
    </row>
    <row r="10896" customFormat="false" ht="15" hidden="false" customHeight="false" outlineLevel="0" collapsed="false">
      <c r="A10896" s="1" t="s">
        <v>10931</v>
      </c>
      <c r="B10896" s="1" t="s">
        <v>92</v>
      </c>
      <c r="C10896" s="1" t="n">
        <v>143000</v>
      </c>
      <c r="D10896" s="1" t="n">
        <v>24597.8</v>
      </c>
      <c r="E10896" s="1" t="n">
        <v>0.0195</v>
      </c>
      <c r="F10896" s="1" t="n">
        <v>0.1067</v>
      </c>
    </row>
    <row r="10897" customFormat="false" ht="15" hidden="false" customHeight="false" outlineLevel="0" collapsed="false">
      <c r="A10897" s="1" t="s">
        <v>10932</v>
      </c>
      <c r="B10897" s="1" t="s">
        <v>26</v>
      </c>
      <c r="C10897" s="1" t="n">
        <v>165000</v>
      </c>
      <c r="D10897" s="1" t="n">
        <v>17564.1</v>
      </c>
      <c r="E10897" s="1" t="n">
        <v>0.0323</v>
      </c>
      <c r="F10897" s="1" t="n">
        <v>0.0759</v>
      </c>
    </row>
    <row r="10898" customFormat="false" ht="15" hidden="false" customHeight="false" outlineLevel="0" collapsed="false">
      <c r="A10898" s="1" t="s">
        <v>10933</v>
      </c>
      <c r="B10898" s="1" t="s">
        <v>24</v>
      </c>
      <c r="C10898" s="1" t="n">
        <v>142000</v>
      </c>
      <c r="D10898" s="1" t="n">
        <v>3403.3</v>
      </c>
      <c r="E10898" s="1" t="n">
        <v>0.0251</v>
      </c>
      <c r="F10898" s="1" t="n">
        <v>0.0951</v>
      </c>
    </row>
    <row r="10899" customFormat="false" ht="15" hidden="false" customHeight="false" outlineLevel="0" collapsed="false">
      <c r="A10899" s="1" t="s">
        <v>10934</v>
      </c>
      <c r="B10899" s="1" t="s">
        <v>74</v>
      </c>
      <c r="C10899" s="1" t="n">
        <v>122000</v>
      </c>
      <c r="D10899" s="1" t="n">
        <v>413</v>
      </c>
      <c r="F10899" s="1" t="n">
        <v>0.0951</v>
      </c>
    </row>
    <row r="10900" customFormat="false" ht="15" hidden="false" customHeight="false" outlineLevel="0" collapsed="false">
      <c r="A10900" s="1" t="s">
        <v>10935</v>
      </c>
      <c r="B10900" s="1" t="s">
        <v>53</v>
      </c>
      <c r="C10900" s="1" t="n">
        <v>143000</v>
      </c>
      <c r="D10900" s="1" t="n">
        <v>5051.1</v>
      </c>
      <c r="E10900" s="1" t="n">
        <v>0.0818</v>
      </c>
      <c r="F10900" s="1" t="n">
        <v>0.0759</v>
      </c>
    </row>
    <row r="10901" customFormat="false" ht="15" hidden="false" customHeight="false" outlineLevel="0" collapsed="false">
      <c r="A10901" s="1" t="s">
        <v>10936</v>
      </c>
      <c r="B10901" s="1" t="s">
        <v>26</v>
      </c>
      <c r="C10901" s="1" t="n">
        <v>226000</v>
      </c>
      <c r="D10901" s="1" t="n">
        <v>138574.2</v>
      </c>
      <c r="E10901" s="1" t="n">
        <v>0.0254</v>
      </c>
      <c r="F10901" s="1" t="n">
        <v>0.0409</v>
      </c>
    </row>
    <row r="10902" customFormat="false" ht="15" hidden="false" customHeight="false" outlineLevel="0" collapsed="false">
      <c r="A10902" s="1" t="s">
        <v>10937</v>
      </c>
      <c r="B10902" s="1" t="s">
        <v>24</v>
      </c>
      <c r="C10902" s="1" t="n">
        <v>121000</v>
      </c>
      <c r="D10902" s="1" t="n">
        <v>434022</v>
      </c>
      <c r="E10902" s="1" t="n">
        <v>0.038</v>
      </c>
      <c r="F10902" s="1" t="n">
        <v>0.0951</v>
      </c>
    </row>
    <row r="10903" customFormat="false" ht="15" hidden="false" customHeight="false" outlineLevel="0" collapsed="false">
      <c r="A10903" s="1" t="s">
        <v>10938</v>
      </c>
      <c r="B10903" s="1" t="s">
        <v>26</v>
      </c>
      <c r="C10903" s="1" t="n">
        <v>133000</v>
      </c>
      <c r="D10903" s="1" t="n">
        <v>17314.4</v>
      </c>
      <c r="E10903" s="1" t="n">
        <v>0.0666</v>
      </c>
      <c r="F10903" s="1" t="n">
        <v>0.0951</v>
      </c>
    </row>
    <row r="10904" customFormat="false" ht="15" hidden="false" customHeight="false" outlineLevel="0" collapsed="false">
      <c r="A10904" s="1" t="s">
        <v>10939</v>
      </c>
      <c r="B10904" s="1" t="s">
        <v>88</v>
      </c>
      <c r="C10904" s="1" t="n">
        <v>119000</v>
      </c>
      <c r="D10904" s="1" t="n">
        <v>374.7</v>
      </c>
      <c r="E10904" s="1" t="n">
        <v>0.0471</v>
      </c>
      <c r="F10904" s="1" t="n">
        <v>0.0951</v>
      </c>
    </row>
    <row r="10905" customFormat="false" ht="15" hidden="false" customHeight="false" outlineLevel="0" collapsed="false">
      <c r="A10905" s="1" t="s">
        <v>10940</v>
      </c>
      <c r="B10905" s="1" t="s">
        <v>26</v>
      </c>
      <c r="C10905" s="1" t="n">
        <v>137000</v>
      </c>
      <c r="D10905" s="1" t="n">
        <v>668</v>
      </c>
      <c r="E10905" s="1" t="n">
        <v>0.01</v>
      </c>
      <c r="F10905" s="1" t="n">
        <v>0.1866</v>
      </c>
    </row>
    <row r="10906" customFormat="false" ht="15" hidden="false" customHeight="false" outlineLevel="0" collapsed="false">
      <c r="A10906" s="1" t="s">
        <v>10941</v>
      </c>
      <c r="B10906" s="1" t="s">
        <v>214</v>
      </c>
      <c r="C10906" s="1" t="n">
        <v>166000</v>
      </c>
      <c r="D10906" s="1" t="n">
        <v>30406.5</v>
      </c>
      <c r="F10906" s="1" t="n">
        <v>0.0409</v>
      </c>
    </row>
    <row r="10907" customFormat="false" ht="15" hidden="false" customHeight="false" outlineLevel="0" collapsed="false">
      <c r="A10907" s="1" t="s">
        <v>10942</v>
      </c>
      <c r="B10907" s="1" t="s">
        <v>30</v>
      </c>
      <c r="C10907" s="1" t="n">
        <v>186000</v>
      </c>
      <c r="D10907" s="1" t="n">
        <v>105053.2</v>
      </c>
      <c r="E10907" s="1" t="n">
        <v>0.0129</v>
      </c>
      <c r="F10907" s="1" t="n">
        <v>0.0584</v>
      </c>
    </row>
    <row r="10908" customFormat="false" ht="15" hidden="false" customHeight="false" outlineLevel="0" collapsed="false">
      <c r="A10908" s="1" t="s">
        <v>10943</v>
      </c>
      <c r="B10908" s="1" t="s">
        <v>21</v>
      </c>
      <c r="C10908" s="1" t="n">
        <v>249000</v>
      </c>
      <c r="D10908" s="1" t="n">
        <v>8860.1</v>
      </c>
      <c r="E10908" s="1" t="n">
        <v>0.0324</v>
      </c>
      <c r="F10908" s="1" t="n">
        <v>0.0951</v>
      </c>
    </row>
    <row r="10909" customFormat="false" ht="15" hidden="false" customHeight="false" outlineLevel="0" collapsed="false">
      <c r="A10909" s="1" t="s">
        <v>10944</v>
      </c>
      <c r="B10909" s="1" t="s">
        <v>74</v>
      </c>
      <c r="C10909" s="1" t="n">
        <v>195000</v>
      </c>
      <c r="D10909" s="1" t="n">
        <v>9600.4</v>
      </c>
      <c r="E10909" s="1" t="n">
        <v>0.0346</v>
      </c>
      <c r="F10909" s="1" t="n">
        <v>0.0759</v>
      </c>
    </row>
    <row r="10910" customFormat="false" ht="15" hidden="false" customHeight="false" outlineLevel="0" collapsed="false">
      <c r="A10910" s="1" t="s">
        <v>10945</v>
      </c>
      <c r="B10910" s="1" t="s">
        <v>287</v>
      </c>
      <c r="C10910" s="1" t="n">
        <v>122000</v>
      </c>
      <c r="D10910" s="1" t="n">
        <v>76741</v>
      </c>
      <c r="E10910" s="1" t="n">
        <v>0.0458</v>
      </c>
      <c r="F10910" s="1" t="n">
        <v>0.0951</v>
      </c>
    </row>
    <row r="10911" customFormat="false" ht="15" hidden="false" customHeight="false" outlineLevel="0" collapsed="false">
      <c r="A10911" s="1" t="s">
        <v>10946</v>
      </c>
      <c r="B10911" s="1" t="s">
        <v>490</v>
      </c>
      <c r="C10911" s="1" t="n">
        <v>128000</v>
      </c>
      <c r="D10911" s="1" t="n">
        <v>17753.2</v>
      </c>
      <c r="E10911" s="1" t="n">
        <v>0.0209</v>
      </c>
      <c r="F10911" s="1" t="n">
        <v>0.0585</v>
      </c>
    </row>
    <row r="10912" customFormat="false" ht="15" hidden="false" customHeight="false" outlineLevel="0" collapsed="false">
      <c r="A10912" s="1" t="s">
        <v>10947</v>
      </c>
      <c r="B10912" s="1" t="s">
        <v>490</v>
      </c>
      <c r="C10912" s="1" t="n">
        <v>146000</v>
      </c>
      <c r="D10912" s="1" t="n">
        <v>741.6</v>
      </c>
      <c r="E10912" s="1" t="n">
        <v>0.007</v>
      </c>
      <c r="F10912" s="1" t="n">
        <v>0.0821</v>
      </c>
    </row>
    <row r="10913" customFormat="false" ht="15" hidden="false" customHeight="false" outlineLevel="0" collapsed="false">
      <c r="A10913" s="1" t="s">
        <v>10948</v>
      </c>
      <c r="B10913" s="1" t="s">
        <v>92</v>
      </c>
      <c r="C10913" s="1" t="n">
        <v>135000</v>
      </c>
      <c r="D10913" s="1" t="n">
        <v>5971.7</v>
      </c>
      <c r="E10913" s="1" t="n">
        <v>0.0034</v>
      </c>
      <c r="F10913" s="1" t="n">
        <v>0.0822</v>
      </c>
    </row>
    <row r="10914" customFormat="false" ht="15" hidden="false" customHeight="false" outlineLevel="0" collapsed="false">
      <c r="A10914" s="1" t="s">
        <v>10949</v>
      </c>
      <c r="B10914" s="1" t="s">
        <v>195</v>
      </c>
      <c r="C10914" s="1" t="n">
        <v>199000</v>
      </c>
      <c r="D10914" s="1" t="n">
        <v>1850.4</v>
      </c>
      <c r="E10914" s="1" t="n">
        <v>0.0106</v>
      </c>
      <c r="F10914" s="1" t="n">
        <v>0.0811</v>
      </c>
    </row>
    <row r="10915" customFormat="false" ht="15" hidden="false" customHeight="false" outlineLevel="0" collapsed="false">
      <c r="A10915" s="1" t="s">
        <v>10950</v>
      </c>
      <c r="B10915" s="1" t="s">
        <v>81</v>
      </c>
      <c r="C10915" s="1" t="n">
        <v>125000</v>
      </c>
      <c r="D10915" s="1" t="n">
        <v>31878.1</v>
      </c>
      <c r="E10915" s="1" t="n">
        <v>0.0212</v>
      </c>
      <c r="F10915" s="1" t="n">
        <v>0.0951</v>
      </c>
    </row>
    <row r="10916" customFormat="false" ht="15" hidden="false" customHeight="false" outlineLevel="0" collapsed="false">
      <c r="A10916" s="1" t="s">
        <v>10951</v>
      </c>
      <c r="B10916" s="1" t="s">
        <v>195</v>
      </c>
      <c r="C10916" s="1" t="n">
        <v>126000</v>
      </c>
      <c r="D10916" s="1" t="n">
        <v>17228</v>
      </c>
      <c r="E10916" s="1" t="n">
        <v>0.0164</v>
      </c>
      <c r="F10916" s="1" t="n">
        <v>0.0585</v>
      </c>
    </row>
    <row r="10917" customFormat="false" ht="15" hidden="false" customHeight="false" outlineLevel="0" collapsed="false">
      <c r="A10917" s="1" t="s">
        <v>10952</v>
      </c>
      <c r="B10917" s="1" t="s">
        <v>26</v>
      </c>
      <c r="C10917" s="1" t="n">
        <v>466000</v>
      </c>
      <c r="D10917" s="1" t="n">
        <v>179315.5</v>
      </c>
      <c r="E10917" s="1" t="n">
        <v>0.0898</v>
      </c>
      <c r="F10917" s="1" t="n">
        <v>0.0759</v>
      </c>
    </row>
    <row r="10918" customFormat="false" ht="15" hidden="false" customHeight="false" outlineLevel="0" collapsed="false">
      <c r="A10918" s="1" t="s">
        <v>10953</v>
      </c>
      <c r="B10918" s="1" t="s">
        <v>62</v>
      </c>
      <c r="C10918" s="1" t="n">
        <v>119000</v>
      </c>
      <c r="D10918" s="1" t="n">
        <v>1311.3</v>
      </c>
      <c r="E10918" s="1" t="n">
        <v>0.0114</v>
      </c>
      <c r="F10918" s="1" t="n">
        <v>0.1471</v>
      </c>
    </row>
    <row r="10919" customFormat="false" ht="15" hidden="false" customHeight="false" outlineLevel="0" collapsed="false">
      <c r="A10919" s="1" t="s">
        <v>10954</v>
      </c>
      <c r="B10919" s="1" t="s">
        <v>30</v>
      </c>
      <c r="C10919" s="1" t="n">
        <v>198000</v>
      </c>
      <c r="D10919" s="1" t="n">
        <v>39702.2</v>
      </c>
      <c r="E10919" s="1" t="n">
        <v>0.0333</v>
      </c>
      <c r="F10919" s="1" t="n">
        <v>0.0951</v>
      </c>
    </row>
    <row r="10920" customFormat="false" ht="15" hidden="false" customHeight="false" outlineLevel="0" collapsed="false">
      <c r="A10920" s="1" t="s">
        <v>10955</v>
      </c>
      <c r="B10920" s="1" t="s">
        <v>88</v>
      </c>
      <c r="C10920" s="1" t="n">
        <v>121000</v>
      </c>
      <c r="D10920" s="1" t="n">
        <v>293.2</v>
      </c>
      <c r="E10920" s="1" t="n">
        <v>0.0175</v>
      </c>
      <c r="F10920" s="1" t="n">
        <v>0.1119</v>
      </c>
    </row>
    <row r="10921" customFormat="false" ht="15" hidden="false" customHeight="false" outlineLevel="0" collapsed="false">
      <c r="A10921" s="1" t="s">
        <v>10956</v>
      </c>
      <c r="B10921" s="1" t="s">
        <v>62</v>
      </c>
      <c r="C10921" s="1" t="n">
        <v>181000</v>
      </c>
      <c r="D10921" s="1" t="n">
        <v>1328.3</v>
      </c>
      <c r="E10921" s="1" t="n">
        <v>0.0191</v>
      </c>
      <c r="F10921" s="1" t="n">
        <v>0.1066</v>
      </c>
    </row>
    <row r="10922" customFormat="false" ht="15" hidden="false" customHeight="false" outlineLevel="0" collapsed="false">
      <c r="A10922" s="1" t="s">
        <v>10957</v>
      </c>
      <c r="B10922" s="1" t="s">
        <v>287</v>
      </c>
      <c r="C10922" s="1" t="n">
        <v>996000</v>
      </c>
      <c r="D10922" s="1" t="n">
        <v>18017.9</v>
      </c>
      <c r="E10922" s="1" t="n">
        <v>0.0108</v>
      </c>
      <c r="F10922" s="1" t="n">
        <v>0.0584</v>
      </c>
    </row>
    <row r="10923" customFormat="false" ht="15" hidden="false" customHeight="false" outlineLevel="0" collapsed="false">
      <c r="A10923" s="1" t="s">
        <v>10958</v>
      </c>
      <c r="B10923" s="1" t="s">
        <v>71</v>
      </c>
      <c r="C10923" s="1" t="n">
        <v>122000</v>
      </c>
      <c r="D10923" s="1" t="n">
        <v>10509.4</v>
      </c>
      <c r="E10923" s="1" t="n">
        <v>0.0152</v>
      </c>
      <c r="F10923" s="1" t="n">
        <v>0.1067</v>
      </c>
    </row>
    <row r="10924" customFormat="false" ht="15" hidden="false" customHeight="false" outlineLevel="0" collapsed="false">
      <c r="A10924" s="1" t="s">
        <v>10959</v>
      </c>
      <c r="B10924" s="1" t="s">
        <v>88</v>
      </c>
      <c r="C10924" s="1" t="n">
        <v>221000</v>
      </c>
      <c r="D10924" s="1" t="n">
        <v>6206</v>
      </c>
      <c r="E10924" s="1" t="n">
        <v>0.0239</v>
      </c>
      <c r="F10924" s="1" t="n">
        <v>0.0938</v>
      </c>
    </row>
    <row r="10925" customFormat="false" ht="15" hidden="false" customHeight="false" outlineLevel="0" collapsed="false">
      <c r="A10925" s="1" t="s">
        <v>10960</v>
      </c>
      <c r="B10925" s="1" t="s">
        <v>81</v>
      </c>
      <c r="C10925" s="1" t="n">
        <v>122000</v>
      </c>
      <c r="D10925" s="1" t="n">
        <v>732.8</v>
      </c>
      <c r="E10925" s="1" t="n">
        <v>0.0205</v>
      </c>
      <c r="F10925" s="1" t="n">
        <v>0.1067</v>
      </c>
    </row>
    <row r="10926" customFormat="false" ht="15" hidden="false" customHeight="false" outlineLevel="0" collapsed="false">
      <c r="A10926" s="1" t="s">
        <v>10961</v>
      </c>
      <c r="B10926" s="1" t="s">
        <v>490</v>
      </c>
      <c r="C10926" s="1" t="n">
        <v>209000</v>
      </c>
      <c r="D10926" s="1" t="n">
        <v>6269.7</v>
      </c>
      <c r="E10926" s="1" t="n">
        <v>0.0066</v>
      </c>
      <c r="F10926" s="1" t="n">
        <v>0.0654</v>
      </c>
    </row>
    <row r="10927" customFormat="false" ht="15" hidden="false" customHeight="false" outlineLevel="0" collapsed="false">
      <c r="A10927" s="1" t="s">
        <v>10962</v>
      </c>
      <c r="B10927" s="1" t="s">
        <v>92</v>
      </c>
      <c r="C10927" s="1" t="n">
        <v>133000</v>
      </c>
      <c r="D10927" s="1" t="n">
        <v>9183.6</v>
      </c>
      <c r="E10927" s="1" t="n">
        <v>0.0123</v>
      </c>
      <c r="F10927" s="1" t="n">
        <v>0.1327</v>
      </c>
    </row>
    <row r="10928" customFormat="false" ht="15" hidden="false" customHeight="false" outlineLevel="0" collapsed="false">
      <c r="A10928" s="1" t="s">
        <v>10963</v>
      </c>
      <c r="B10928" s="1" t="s">
        <v>74</v>
      </c>
      <c r="C10928" s="1" t="n">
        <v>221000</v>
      </c>
      <c r="D10928" s="1" t="n">
        <v>1031.9</v>
      </c>
      <c r="E10928" s="1" t="n">
        <v>0.069</v>
      </c>
      <c r="F10928" s="1" t="n">
        <v>0.0409</v>
      </c>
    </row>
    <row r="10929" customFormat="false" ht="15" hidden="false" customHeight="false" outlineLevel="0" collapsed="false">
      <c r="A10929" s="1" t="s">
        <v>10964</v>
      </c>
      <c r="B10929" s="1" t="s">
        <v>81</v>
      </c>
      <c r="C10929" s="1" t="n">
        <v>143000</v>
      </c>
      <c r="D10929" s="1" t="n">
        <v>9079.4</v>
      </c>
      <c r="E10929" s="1" t="n">
        <v>0.0123</v>
      </c>
      <c r="F10929" s="1" t="n">
        <v>0.1469</v>
      </c>
    </row>
    <row r="10930" customFormat="false" ht="15" hidden="false" customHeight="false" outlineLevel="0" collapsed="false">
      <c r="A10930" s="1" t="s">
        <v>10965</v>
      </c>
      <c r="B10930" s="1" t="s">
        <v>24</v>
      </c>
      <c r="C10930" s="1" t="n">
        <v>161000</v>
      </c>
      <c r="D10930" s="1" t="n">
        <v>446.3</v>
      </c>
      <c r="E10930" s="1" t="n">
        <v>0.0094</v>
      </c>
      <c r="F10930" s="1" t="n">
        <v>0.1027</v>
      </c>
    </row>
    <row r="10931" customFormat="false" ht="15" hidden="false" customHeight="false" outlineLevel="0" collapsed="false">
      <c r="A10931" s="1" t="s">
        <v>10966</v>
      </c>
      <c r="B10931" s="1" t="s">
        <v>92</v>
      </c>
      <c r="C10931" s="1" t="n">
        <v>121000</v>
      </c>
      <c r="D10931" s="1" t="n">
        <v>10827.3</v>
      </c>
      <c r="E10931" s="1" t="n">
        <v>0.0163</v>
      </c>
      <c r="F10931" s="1" t="n">
        <v>0.1067</v>
      </c>
    </row>
    <row r="10932" customFormat="false" ht="15" hidden="false" customHeight="false" outlineLevel="0" collapsed="false">
      <c r="A10932" s="1" t="s">
        <v>10967</v>
      </c>
      <c r="B10932" s="1" t="s">
        <v>26</v>
      </c>
      <c r="C10932" s="1" t="n">
        <v>177000</v>
      </c>
      <c r="D10932" s="1" t="n">
        <v>264.1</v>
      </c>
      <c r="E10932" s="1" t="n">
        <v>0.0163</v>
      </c>
      <c r="F10932" s="1" t="n">
        <v>0.1119</v>
      </c>
    </row>
    <row r="10933" customFormat="false" ht="15" hidden="false" customHeight="false" outlineLevel="0" collapsed="false">
      <c r="A10933" s="1" t="s">
        <v>10968</v>
      </c>
      <c r="B10933" s="1" t="s">
        <v>32</v>
      </c>
      <c r="C10933" s="1" t="n">
        <v>131000</v>
      </c>
      <c r="D10933" s="1" t="n">
        <v>251043.1</v>
      </c>
      <c r="E10933" s="1" t="n">
        <v>0.0282</v>
      </c>
      <c r="F10933" s="1" t="n">
        <v>0.0951</v>
      </c>
    </row>
    <row r="10934" customFormat="false" ht="15" hidden="false" customHeight="false" outlineLevel="0" collapsed="false">
      <c r="A10934" s="1" t="s">
        <v>10969</v>
      </c>
      <c r="B10934" s="1" t="s">
        <v>287</v>
      </c>
      <c r="C10934" s="1" t="n">
        <v>121000</v>
      </c>
      <c r="D10934" s="1" t="n">
        <v>54356.8</v>
      </c>
      <c r="E10934" s="1" t="n">
        <v>0.0214</v>
      </c>
      <c r="F10934" s="1" t="n">
        <v>0.0546</v>
      </c>
    </row>
    <row r="10935" customFormat="false" ht="15" hidden="false" customHeight="false" outlineLevel="0" collapsed="false">
      <c r="A10935" s="1" t="s">
        <v>10970</v>
      </c>
      <c r="B10935" s="1" t="s">
        <v>26</v>
      </c>
      <c r="C10935" s="1" t="n">
        <v>137000</v>
      </c>
      <c r="D10935" s="1" t="n">
        <v>1441.6</v>
      </c>
      <c r="E10935" s="1" t="n">
        <v>0.0422</v>
      </c>
      <c r="F10935" s="1" t="n">
        <v>0.0951</v>
      </c>
    </row>
    <row r="10936" customFormat="false" ht="15" hidden="false" customHeight="false" outlineLevel="0" collapsed="false">
      <c r="A10936" s="1" t="s">
        <v>10971</v>
      </c>
      <c r="B10936" s="1" t="s">
        <v>88</v>
      </c>
      <c r="C10936" s="1" t="n">
        <v>156000</v>
      </c>
      <c r="D10936" s="1" t="n">
        <v>3176.8</v>
      </c>
      <c r="E10936" s="1" t="n">
        <v>0.0425</v>
      </c>
      <c r="F10936" s="1" t="n">
        <v>0.0951</v>
      </c>
    </row>
    <row r="10937" customFormat="false" ht="15" hidden="false" customHeight="false" outlineLevel="0" collapsed="false">
      <c r="A10937" s="1" t="s">
        <v>10972</v>
      </c>
      <c r="B10937" s="1" t="s">
        <v>88</v>
      </c>
      <c r="C10937" s="1" t="n">
        <v>148000</v>
      </c>
      <c r="D10937" s="1" t="n">
        <v>1156.7</v>
      </c>
      <c r="E10937" s="1" t="n">
        <v>0.0581</v>
      </c>
      <c r="F10937" s="1" t="n">
        <v>0.2747</v>
      </c>
    </row>
    <row r="10938" customFormat="false" ht="15" hidden="false" customHeight="false" outlineLevel="0" collapsed="false">
      <c r="A10938" s="1" t="s">
        <v>10973</v>
      </c>
      <c r="B10938" s="1" t="s">
        <v>71</v>
      </c>
      <c r="C10938" s="1" t="n">
        <v>145000</v>
      </c>
      <c r="D10938" s="1" t="n">
        <v>173713.4</v>
      </c>
      <c r="E10938" s="1" t="n">
        <v>0.0529</v>
      </c>
      <c r="F10938" s="1" t="n">
        <v>0.1184</v>
      </c>
    </row>
    <row r="10939" customFormat="false" ht="15" hidden="false" customHeight="false" outlineLevel="0" collapsed="false">
      <c r="A10939" s="1" t="s">
        <v>10974</v>
      </c>
      <c r="B10939" s="1" t="s">
        <v>26</v>
      </c>
      <c r="C10939" s="1" t="n">
        <v>171000</v>
      </c>
      <c r="D10939" s="1" t="n">
        <v>5325.6</v>
      </c>
      <c r="E10939" s="1" t="n">
        <v>0.0148</v>
      </c>
      <c r="F10939" s="1" t="n">
        <v>0.0736</v>
      </c>
    </row>
    <row r="10940" customFormat="false" ht="15" hidden="false" customHeight="false" outlineLevel="0" collapsed="false">
      <c r="A10940" s="1" t="s">
        <v>10975</v>
      </c>
      <c r="B10940" s="1" t="s">
        <v>53</v>
      </c>
      <c r="C10940" s="1" t="n">
        <v>125000</v>
      </c>
      <c r="D10940" s="1" t="n">
        <v>25484.1</v>
      </c>
      <c r="E10940" s="1" t="n">
        <v>0.0289</v>
      </c>
      <c r="F10940" s="1" t="n">
        <v>0.0759</v>
      </c>
    </row>
    <row r="10941" customFormat="false" ht="15" hidden="false" customHeight="false" outlineLevel="0" collapsed="false">
      <c r="A10941" s="1" t="s">
        <v>10976</v>
      </c>
      <c r="B10941" s="1" t="s">
        <v>26</v>
      </c>
      <c r="C10941" s="1" t="n">
        <v>139000</v>
      </c>
      <c r="D10941" s="1" t="n">
        <v>2207.1</v>
      </c>
      <c r="E10941" s="1" t="n">
        <v>0.0338</v>
      </c>
      <c r="F10941" s="1" t="n">
        <v>0.0951</v>
      </c>
    </row>
    <row r="10942" customFormat="false" ht="15" hidden="false" customHeight="false" outlineLevel="0" collapsed="false">
      <c r="A10942" s="1" t="s">
        <v>10977</v>
      </c>
      <c r="B10942" s="1" t="s">
        <v>88</v>
      </c>
      <c r="C10942" s="1" t="n">
        <v>149000</v>
      </c>
      <c r="D10942" s="1" t="n">
        <v>1530.1</v>
      </c>
      <c r="E10942" s="1" t="n">
        <v>0.0104</v>
      </c>
      <c r="F10942" s="1" t="n">
        <v>0.1015</v>
      </c>
    </row>
    <row r="10943" customFormat="false" ht="15" hidden="false" customHeight="false" outlineLevel="0" collapsed="false">
      <c r="A10943" s="1" t="s">
        <v>10978</v>
      </c>
      <c r="B10943" s="1" t="s">
        <v>195</v>
      </c>
      <c r="C10943" s="1" t="n">
        <v>136000</v>
      </c>
      <c r="D10943" s="1" t="n">
        <v>2512.3</v>
      </c>
      <c r="E10943" s="1" t="n">
        <v>0.0064</v>
      </c>
      <c r="F10943" s="1" t="n">
        <v>0.0654</v>
      </c>
    </row>
    <row r="10944" customFormat="false" ht="15" hidden="false" customHeight="false" outlineLevel="0" collapsed="false">
      <c r="A10944" s="1" t="s">
        <v>10979</v>
      </c>
      <c r="B10944" s="1" t="s">
        <v>26</v>
      </c>
      <c r="C10944" s="1" t="n">
        <v>129000</v>
      </c>
      <c r="D10944" s="1" t="n">
        <v>10968.4</v>
      </c>
      <c r="F10944" s="1" t="n">
        <v>0.0951</v>
      </c>
    </row>
    <row r="10945" customFormat="false" ht="15" hidden="false" customHeight="false" outlineLevel="0" collapsed="false">
      <c r="A10945" s="1" t="s">
        <v>10980</v>
      </c>
      <c r="B10945" s="1" t="s">
        <v>30</v>
      </c>
      <c r="C10945" s="1" t="n">
        <v>301000</v>
      </c>
      <c r="D10945" s="1" t="n">
        <v>24204.4</v>
      </c>
      <c r="E10945" s="1" t="n">
        <v>0.0521</v>
      </c>
      <c r="F10945" s="1" t="n">
        <v>0.0938</v>
      </c>
    </row>
    <row r="10946" customFormat="false" ht="15" hidden="false" customHeight="false" outlineLevel="0" collapsed="false">
      <c r="A10946" s="1" t="s">
        <v>10981</v>
      </c>
      <c r="B10946" s="1" t="s">
        <v>24</v>
      </c>
      <c r="C10946" s="1" t="n">
        <v>998000</v>
      </c>
      <c r="D10946" s="1" t="n">
        <v>227000.9</v>
      </c>
      <c r="E10946" s="1" t="n">
        <v>0.0282</v>
      </c>
      <c r="F10946" s="1" t="n">
        <v>0.0938</v>
      </c>
    </row>
    <row r="10947" customFormat="false" ht="15" hidden="false" customHeight="false" outlineLevel="0" collapsed="false">
      <c r="A10947" s="1" t="s">
        <v>10982</v>
      </c>
      <c r="B10947" s="1" t="s">
        <v>88</v>
      </c>
      <c r="C10947" s="1" t="n">
        <v>305000</v>
      </c>
      <c r="D10947" s="1" t="n">
        <v>285.3</v>
      </c>
      <c r="E10947" s="1" t="n">
        <v>0.068</v>
      </c>
      <c r="F10947" s="1" t="n">
        <v>0.0938</v>
      </c>
    </row>
    <row r="10948" customFormat="false" ht="15" hidden="false" customHeight="false" outlineLevel="0" collapsed="false">
      <c r="A10948" s="1" t="s">
        <v>10983</v>
      </c>
      <c r="B10948" s="1" t="s">
        <v>195</v>
      </c>
      <c r="C10948" s="1" t="n">
        <v>165000</v>
      </c>
      <c r="D10948" s="1" t="n">
        <v>1003317.3</v>
      </c>
      <c r="E10948" s="1" t="n">
        <v>0.0143</v>
      </c>
      <c r="F10948" s="1" t="n">
        <v>0.6203</v>
      </c>
    </row>
    <row r="10949" customFormat="false" ht="15" hidden="false" customHeight="false" outlineLevel="0" collapsed="false">
      <c r="A10949" s="1" t="s">
        <v>10984</v>
      </c>
      <c r="B10949" s="1" t="s">
        <v>88</v>
      </c>
      <c r="C10949" s="1" t="n">
        <v>118000</v>
      </c>
      <c r="D10949" s="1" t="n">
        <v>732.8</v>
      </c>
      <c r="E10949" s="1" t="n">
        <v>0.0303</v>
      </c>
      <c r="F10949" s="1" t="n">
        <v>0.0518</v>
      </c>
    </row>
    <row r="10950" customFormat="false" ht="15" hidden="false" customHeight="false" outlineLevel="0" collapsed="false">
      <c r="A10950" s="1" t="s">
        <v>10985</v>
      </c>
      <c r="B10950" s="1" t="s">
        <v>88</v>
      </c>
      <c r="C10950" s="1" t="n">
        <v>120000</v>
      </c>
      <c r="D10950" s="1" t="n">
        <v>515.9</v>
      </c>
      <c r="E10950" s="1" t="n">
        <v>0.0323</v>
      </c>
      <c r="F10950" s="1" t="n">
        <v>0.117</v>
      </c>
    </row>
    <row r="10951" customFormat="false" ht="15" hidden="false" customHeight="false" outlineLevel="0" collapsed="false">
      <c r="A10951" s="1" t="s">
        <v>10986</v>
      </c>
      <c r="B10951" s="1" t="s">
        <v>88</v>
      </c>
      <c r="C10951" s="1" t="n">
        <v>118000</v>
      </c>
      <c r="D10951" s="1" t="n">
        <v>553.4</v>
      </c>
      <c r="E10951" s="1" t="n">
        <v>0.024</v>
      </c>
      <c r="F10951" s="1" t="n">
        <v>0.2064</v>
      </c>
    </row>
    <row r="10952" customFormat="false" ht="15" hidden="false" customHeight="false" outlineLevel="0" collapsed="false">
      <c r="A10952" s="1" t="s">
        <v>10987</v>
      </c>
      <c r="B10952" s="1" t="s">
        <v>92</v>
      </c>
      <c r="C10952" s="1" t="n">
        <v>148000</v>
      </c>
      <c r="D10952" s="1" t="n">
        <v>23904.1</v>
      </c>
      <c r="E10952" s="1" t="n">
        <v>0.0108</v>
      </c>
      <c r="F10952" s="1" t="n">
        <v>0.1471</v>
      </c>
    </row>
    <row r="10953" customFormat="false" ht="15" hidden="false" customHeight="false" outlineLevel="0" collapsed="false">
      <c r="A10953" s="1" t="s">
        <v>10988</v>
      </c>
      <c r="B10953" s="1" t="s">
        <v>26</v>
      </c>
      <c r="C10953" s="1" t="n">
        <v>358000</v>
      </c>
      <c r="D10953" s="1" t="n">
        <v>190377.4</v>
      </c>
      <c r="E10953" s="1" t="n">
        <v>0.0572</v>
      </c>
      <c r="F10953" s="1" t="n">
        <v>0.0409</v>
      </c>
    </row>
    <row r="10954" customFormat="false" ht="15" hidden="false" customHeight="false" outlineLevel="0" collapsed="false">
      <c r="A10954" s="1" t="s">
        <v>10989</v>
      </c>
      <c r="B10954" s="1" t="s">
        <v>32</v>
      </c>
      <c r="C10954" s="1" t="n">
        <v>128000</v>
      </c>
      <c r="D10954" s="1" t="n">
        <v>3931.3</v>
      </c>
      <c r="E10954" s="1" t="n">
        <v>0.0685</v>
      </c>
      <c r="F10954" s="1" t="n">
        <v>0.0951</v>
      </c>
    </row>
    <row r="10955" customFormat="false" ht="15" hidden="false" customHeight="false" outlineLevel="0" collapsed="false">
      <c r="A10955" s="1" t="s">
        <v>10990</v>
      </c>
      <c r="B10955" s="1" t="s">
        <v>26</v>
      </c>
      <c r="C10955" s="1" t="n">
        <v>115000</v>
      </c>
      <c r="D10955" s="1" t="n">
        <v>983</v>
      </c>
      <c r="E10955" s="1" t="n">
        <v>0.027</v>
      </c>
      <c r="F10955" s="1" t="n">
        <v>0.0951</v>
      </c>
    </row>
    <row r="10956" customFormat="false" ht="15" hidden="false" customHeight="false" outlineLevel="0" collapsed="false">
      <c r="A10956" s="1" t="s">
        <v>10991</v>
      </c>
      <c r="B10956" s="1" t="s">
        <v>28</v>
      </c>
      <c r="C10956" s="1" t="n">
        <v>137000</v>
      </c>
      <c r="D10956" s="1" t="n">
        <v>200.8</v>
      </c>
      <c r="E10956" s="1" t="n">
        <v>0.0107</v>
      </c>
      <c r="F10956" s="1" t="n">
        <v>0.2267</v>
      </c>
    </row>
    <row r="10957" customFormat="false" ht="15" hidden="false" customHeight="false" outlineLevel="0" collapsed="false">
      <c r="A10957" s="1" t="s">
        <v>10992</v>
      </c>
      <c r="B10957" s="1" t="s">
        <v>26</v>
      </c>
      <c r="C10957" s="1" t="n">
        <v>124000</v>
      </c>
      <c r="D10957" s="1" t="n">
        <v>624.2</v>
      </c>
      <c r="E10957" s="1" t="n">
        <v>0.0305</v>
      </c>
      <c r="F10957" s="1" t="n">
        <v>0.0759</v>
      </c>
    </row>
    <row r="10958" customFormat="false" ht="15" hidden="false" customHeight="false" outlineLevel="0" collapsed="false">
      <c r="A10958" s="1" t="s">
        <v>10993</v>
      </c>
      <c r="B10958" s="1" t="s">
        <v>92</v>
      </c>
      <c r="C10958" s="1" t="n">
        <v>118000</v>
      </c>
      <c r="D10958" s="1" t="n">
        <v>4616.5</v>
      </c>
      <c r="E10958" s="1" t="n">
        <v>0.0136</v>
      </c>
      <c r="F10958" s="1" t="n">
        <v>0.0692</v>
      </c>
    </row>
    <row r="10959" customFormat="false" ht="15" hidden="false" customHeight="false" outlineLevel="0" collapsed="false">
      <c r="A10959" s="1" t="s">
        <v>10994</v>
      </c>
      <c r="B10959" s="1" t="s">
        <v>287</v>
      </c>
      <c r="C10959" s="1" t="n">
        <v>123000</v>
      </c>
      <c r="D10959" s="1" t="n">
        <v>1037163.2</v>
      </c>
      <c r="E10959" s="1" t="n">
        <v>0.0513</v>
      </c>
      <c r="F10959" s="1" t="n">
        <v>0.0998</v>
      </c>
    </row>
    <row r="10960" customFormat="false" ht="15" hidden="false" customHeight="false" outlineLevel="0" collapsed="false">
      <c r="A10960" s="1" t="s">
        <v>10995</v>
      </c>
      <c r="B10960" s="1" t="s">
        <v>88</v>
      </c>
      <c r="C10960" s="1" t="n">
        <v>266000</v>
      </c>
      <c r="D10960" s="1" t="n">
        <v>1253.3</v>
      </c>
      <c r="E10960" s="1" t="n">
        <v>0.0801</v>
      </c>
      <c r="F10960" s="1" t="n">
        <v>0.0938</v>
      </c>
    </row>
    <row r="10961" customFormat="false" ht="15" hidden="false" customHeight="false" outlineLevel="0" collapsed="false">
      <c r="A10961" s="1" t="s">
        <v>10996</v>
      </c>
      <c r="B10961" s="1" t="s">
        <v>195</v>
      </c>
      <c r="C10961" s="1" t="n">
        <v>135000</v>
      </c>
      <c r="D10961" s="1" t="n">
        <v>1188.7</v>
      </c>
      <c r="E10961" s="1" t="n">
        <v>0.012</v>
      </c>
      <c r="F10961" s="1" t="n">
        <v>0.0654</v>
      </c>
    </row>
    <row r="10962" customFormat="false" ht="15" hidden="false" customHeight="false" outlineLevel="0" collapsed="false">
      <c r="A10962" s="1" t="s">
        <v>10997</v>
      </c>
      <c r="B10962" s="1" t="s">
        <v>50</v>
      </c>
      <c r="C10962" s="1" t="n">
        <v>124000</v>
      </c>
      <c r="D10962" s="1" t="n">
        <v>2788.8</v>
      </c>
      <c r="E10962" s="1" t="n">
        <v>0.0098</v>
      </c>
      <c r="F10962" s="1" t="n">
        <v>0.0822</v>
      </c>
    </row>
    <row r="10963" customFormat="false" ht="15" hidden="false" customHeight="false" outlineLevel="0" collapsed="false">
      <c r="A10963" s="1" t="s">
        <v>10998</v>
      </c>
      <c r="B10963" s="1" t="s">
        <v>32</v>
      </c>
      <c r="C10963" s="1" t="n">
        <v>119000</v>
      </c>
      <c r="D10963" s="1" t="n">
        <v>45793.5</v>
      </c>
      <c r="E10963" s="1" t="n">
        <v>0.0824</v>
      </c>
      <c r="F10963" s="1" t="n">
        <v>0.0951</v>
      </c>
    </row>
    <row r="10964" customFormat="false" ht="15" hidden="false" customHeight="false" outlineLevel="0" collapsed="false">
      <c r="A10964" s="1" t="s">
        <v>10999</v>
      </c>
      <c r="B10964" s="1" t="s">
        <v>71</v>
      </c>
      <c r="C10964" s="1" t="n">
        <v>119000</v>
      </c>
      <c r="D10964" s="1" t="n">
        <v>1527.3</v>
      </c>
      <c r="E10964" s="1" t="n">
        <v>0.02</v>
      </c>
      <c r="F10964" s="1" t="n">
        <v>0.1893</v>
      </c>
    </row>
    <row r="10965" customFormat="false" ht="15" hidden="false" customHeight="false" outlineLevel="0" collapsed="false">
      <c r="A10965" s="1" t="s">
        <v>11000</v>
      </c>
      <c r="B10965" s="1" t="s">
        <v>41</v>
      </c>
      <c r="C10965" s="1" t="n">
        <v>372000</v>
      </c>
      <c r="D10965" s="1" t="n">
        <v>99.5</v>
      </c>
      <c r="E10965" s="1" t="n">
        <v>0.022</v>
      </c>
      <c r="F10965" s="1" t="n">
        <v>0.1592</v>
      </c>
    </row>
    <row r="10966" customFormat="false" ht="15" hidden="false" customHeight="false" outlineLevel="0" collapsed="false">
      <c r="A10966" s="1" t="s">
        <v>11001</v>
      </c>
      <c r="B10966" s="1" t="s">
        <v>26</v>
      </c>
      <c r="C10966" s="1" t="n">
        <v>161000</v>
      </c>
      <c r="D10966" s="1" t="n">
        <v>3733.5</v>
      </c>
      <c r="E10966" s="1" t="n">
        <v>0.0321</v>
      </c>
      <c r="F10966" s="1" t="n">
        <v>0.0759</v>
      </c>
    </row>
    <row r="10967" customFormat="false" ht="15" hidden="false" customHeight="false" outlineLevel="0" collapsed="false">
      <c r="A10967" s="1" t="s">
        <v>11002</v>
      </c>
      <c r="B10967" s="1" t="s">
        <v>26</v>
      </c>
      <c r="C10967" s="1" t="n">
        <v>143000</v>
      </c>
      <c r="D10967" s="1" t="n">
        <v>11933.7</v>
      </c>
      <c r="E10967" s="1" t="n">
        <v>0.0471</v>
      </c>
      <c r="F10967" s="1" t="n">
        <v>0.0951</v>
      </c>
    </row>
    <row r="10968" customFormat="false" ht="15" hidden="false" customHeight="false" outlineLevel="0" collapsed="false">
      <c r="A10968" s="1" t="s">
        <v>11003</v>
      </c>
      <c r="B10968" s="1" t="s">
        <v>88</v>
      </c>
      <c r="C10968" s="1" t="n">
        <v>119000</v>
      </c>
      <c r="D10968" s="1" t="n">
        <v>260.7</v>
      </c>
      <c r="E10968" s="1" t="n">
        <v>0.0434</v>
      </c>
      <c r="F10968" s="1" t="n">
        <v>0.117</v>
      </c>
    </row>
    <row r="10969" customFormat="false" ht="15" hidden="false" customHeight="false" outlineLevel="0" collapsed="false">
      <c r="A10969" s="1" t="s">
        <v>11004</v>
      </c>
      <c r="B10969" s="1" t="s">
        <v>88</v>
      </c>
      <c r="C10969" s="1" t="n">
        <v>136000</v>
      </c>
      <c r="D10969" s="1" t="n">
        <v>1823.7</v>
      </c>
      <c r="E10969" s="1" t="n">
        <v>0.0139</v>
      </c>
      <c r="F10969" s="1" t="n">
        <v>0.1067</v>
      </c>
    </row>
    <row r="10970" customFormat="false" ht="15" hidden="false" customHeight="false" outlineLevel="0" collapsed="false">
      <c r="A10970" s="1" t="s">
        <v>11005</v>
      </c>
      <c r="B10970" s="1" t="s">
        <v>26</v>
      </c>
      <c r="C10970" s="1" t="n">
        <v>248000</v>
      </c>
      <c r="D10970" s="1" t="n">
        <v>359.6</v>
      </c>
      <c r="E10970" s="1" t="n">
        <v>0.0684</v>
      </c>
      <c r="F10970" s="1" t="n">
        <v>0.0938</v>
      </c>
    </row>
    <row r="10971" customFormat="false" ht="15" hidden="false" customHeight="false" outlineLevel="0" collapsed="false">
      <c r="A10971" s="1" t="s">
        <v>11006</v>
      </c>
      <c r="B10971" s="1" t="s">
        <v>26</v>
      </c>
      <c r="C10971" s="1" t="n">
        <v>147000</v>
      </c>
      <c r="D10971" s="1" t="n">
        <v>21639.9</v>
      </c>
      <c r="E10971" s="1" t="n">
        <v>0.0458</v>
      </c>
      <c r="F10971" s="1" t="n">
        <v>0.0409</v>
      </c>
    </row>
    <row r="10972" customFormat="false" ht="15" hidden="false" customHeight="false" outlineLevel="0" collapsed="false">
      <c r="A10972" s="1" t="s">
        <v>11007</v>
      </c>
      <c r="B10972" s="1" t="s">
        <v>287</v>
      </c>
      <c r="C10972" s="1" t="n">
        <v>130000</v>
      </c>
      <c r="D10972" s="1" t="n">
        <v>6787.3</v>
      </c>
      <c r="E10972" s="1" t="n">
        <v>0.0248</v>
      </c>
      <c r="F10972" s="1" t="n">
        <v>0.0759</v>
      </c>
    </row>
    <row r="10973" customFormat="false" ht="15" hidden="false" customHeight="false" outlineLevel="0" collapsed="false">
      <c r="A10973" s="1" t="s">
        <v>11008</v>
      </c>
      <c r="B10973" s="1" t="s">
        <v>92</v>
      </c>
      <c r="C10973" s="1" t="n">
        <v>118000</v>
      </c>
      <c r="D10973" s="1" t="n">
        <v>18973.8</v>
      </c>
      <c r="E10973" s="1" t="n">
        <v>0.0263</v>
      </c>
      <c r="F10973" s="1" t="n">
        <v>0.0951</v>
      </c>
    </row>
    <row r="10974" customFormat="false" ht="15" hidden="false" customHeight="false" outlineLevel="0" collapsed="false">
      <c r="A10974" s="1" t="s">
        <v>11009</v>
      </c>
      <c r="B10974" s="1" t="s">
        <v>26</v>
      </c>
      <c r="C10974" s="1" t="n">
        <v>127000</v>
      </c>
      <c r="D10974" s="1" t="n">
        <v>742.8</v>
      </c>
      <c r="E10974" s="1" t="n">
        <v>0.0169</v>
      </c>
      <c r="F10974" s="1" t="n">
        <v>0.0647</v>
      </c>
    </row>
    <row r="10975" customFormat="false" ht="15" hidden="false" customHeight="false" outlineLevel="0" collapsed="false">
      <c r="A10975" s="1" t="s">
        <v>11010</v>
      </c>
      <c r="B10975" s="1" t="s">
        <v>92</v>
      </c>
      <c r="C10975" s="1" t="n">
        <v>148000</v>
      </c>
      <c r="D10975" s="1" t="n">
        <v>48230.4</v>
      </c>
      <c r="E10975" s="1" t="n">
        <v>0.0255</v>
      </c>
      <c r="F10975" s="1" t="n">
        <v>0.0759</v>
      </c>
    </row>
    <row r="10976" customFormat="false" ht="15" hidden="false" customHeight="false" outlineLevel="0" collapsed="false">
      <c r="A10976" s="1" t="s">
        <v>11011</v>
      </c>
      <c r="B10976" s="1" t="s">
        <v>24</v>
      </c>
      <c r="C10976" s="1" t="n">
        <v>138000</v>
      </c>
      <c r="D10976" s="1" t="n">
        <v>38202.4</v>
      </c>
      <c r="E10976" s="1" t="n">
        <v>0.0442</v>
      </c>
      <c r="F10976" s="1" t="n">
        <v>0.0951</v>
      </c>
    </row>
    <row r="10977" customFormat="false" ht="15" hidden="false" customHeight="false" outlineLevel="0" collapsed="false">
      <c r="A10977" s="1" t="s">
        <v>11012</v>
      </c>
      <c r="B10977" s="1" t="s">
        <v>214</v>
      </c>
      <c r="C10977" s="1" t="n">
        <v>119000</v>
      </c>
      <c r="D10977" s="1" t="n">
        <v>1119.8</v>
      </c>
      <c r="E10977" s="1" t="n">
        <v>0.0149</v>
      </c>
      <c r="F10977" s="1" t="n">
        <v>0.0585</v>
      </c>
    </row>
    <row r="10978" customFormat="false" ht="15" hidden="false" customHeight="false" outlineLevel="0" collapsed="false">
      <c r="A10978" s="1" t="s">
        <v>11013</v>
      </c>
      <c r="B10978" s="1" t="s">
        <v>26</v>
      </c>
      <c r="C10978" s="1" t="n">
        <v>131000</v>
      </c>
      <c r="D10978" s="1" t="n">
        <v>39724.9</v>
      </c>
      <c r="E10978" s="1" t="n">
        <v>0.0473</v>
      </c>
      <c r="F10978" s="1" t="n">
        <v>0.0951</v>
      </c>
    </row>
    <row r="10979" customFormat="false" ht="15" hidden="false" customHeight="false" outlineLevel="0" collapsed="false">
      <c r="A10979" s="1" t="s">
        <v>11014</v>
      </c>
      <c r="B10979" s="1" t="s">
        <v>88</v>
      </c>
      <c r="C10979" s="1" t="n">
        <v>130000</v>
      </c>
      <c r="D10979" s="1" t="n">
        <v>7259.8</v>
      </c>
      <c r="E10979" s="1" t="n">
        <v>0.0459</v>
      </c>
      <c r="F10979" s="1" t="n">
        <v>0.0951</v>
      </c>
    </row>
    <row r="10980" customFormat="false" ht="15" hidden="false" customHeight="false" outlineLevel="0" collapsed="false">
      <c r="A10980" s="1" t="s">
        <v>11015</v>
      </c>
      <c r="B10980" s="1" t="s">
        <v>88</v>
      </c>
      <c r="C10980" s="1" t="n">
        <v>212000</v>
      </c>
      <c r="D10980" s="1" t="n">
        <v>29651.8</v>
      </c>
      <c r="E10980" s="1" t="n">
        <v>0.0267</v>
      </c>
      <c r="F10980" s="1" t="n">
        <v>0.0951</v>
      </c>
    </row>
    <row r="10981" customFormat="false" ht="15" hidden="false" customHeight="false" outlineLevel="0" collapsed="false">
      <c r="A10981" s="1" t="s">
        <v>11016</v>
      </c>
      <c r="B10981" s="1" t="s">
        <v>30</v>
      </c>
      <c r="C10981" s="1" t="n">
        <v>164000</v>
      </c>
      <c r="D10981" s="1" t="n">
        <v>107200</v>
      </c>
      <c r="E10981" s="1" t="n">
        <v>0.0307</v>
      </c>
      <c r="F10981" s="1" t="n">
        <v>0.0409</v>
      </c>
    </row>
    <row r="10982" customFormat="false" ht="15" hidden="false" customHeight="false" outlineLevel="0" collapsed="false">
      <c r="A10982" s="1" t="s">
        <v>11017</v>
      </c>
      <c r="B10982" s="1" t="s">
        <v>26</v>
      </c>
      <c r="C10982" s="1" t="n">
        <v>207000</v>
      </c>
      <c r="D10982" s="1" t="n">
        <v>11109.6</v>
      </c>
      <c r="E10982" s="1" t="n">
        <v>0.0142</v>
      </c>
      <c r="F10982" s="1" t="n">
        <v>0.1067</v>
      </c>
    </row>
    <row r="10983" customFormat="false" ht="15" hidden="false" customHeight="false" outlineLevel="0" collapsed="false">
      <c r="A10983" s="1" t="s">
        <v>11018</v>
      </c>
      <c r="B10983" s="1" t="s">
        <v>24</v>
      </c>
      <c r="C10983" s="1" t="n">
        <v>122000</v>
      </c>
      <c r="D10983" s="1" t="n">
        <v>2055.9</v>
      </c>
      <c r="E10983" s="1" t="n">
        <v>0.0252</v>
      </c>
      <c r="F10983" s="1" t="n">
        <v>0.0735</v>
      </c>
    </row>
    <row r="10984" customFormat="false" ht="15" hidden="false" customHeight="false" outlineLevel="0" collapsed="false">
      <c r="A10984" s="1" t="s">
        <v>11019</v>
      </c>
      <c r="B10984" s="1" t="s">
        <v>62</v>
      </c>
      <c r="C10984" s="1" t="n">
        <v>122000</v>
      </c>
      <c r="D10984" s="1" t="n">
        <v>234.5</v>
      </c>
      <c r="E10984" s="1" t="n">
        <v>0.0074</v>
      </c>
      <c r="F10984" s="1" t="n">
        <v>0.138</v>
      </c>
    </row>
    <row r="10985" customFormat="false" ht="15" hidden="false" customHeight="false" outlineLevel="0" collapsed="false">
      <c r="A10985" s="1" t="s">
        <v>11020</v>
      </c>
      <c r="B10985" s="1" t="s">
        <v>74</v>
      </c>
      <c r="C10985" s="1" t="n">
        <v>136000</v>
      </c>
      <c r="D10985" s="1" t="n">
        <v>1544.3</v>
      </c>
      <c r="E10985" s="1" t="n">
        <v>0.054</v>
      </c>
      <c r="F10985" s="1" t="n">
        <v>0.0759</v>
      </c>
    </row>
    <row r="10986" customFormat="false" ht="15" hidden="false" customHeight="false" outlineLevel="0" collapsed="false">
      <c r="A10986" s="1" t="s">
        <v>11021</v>
      </c>
      <c r="B10986" s="1" t="s">
        <v>92</v>
      </c>
      <c r="C10986" s="1" t="n">
        <v>318000</v>
      </c>
      <c r="D10986" s="1" t="n">
        <v>7902.9</v>
      </c>
      <c r="E10986" s="1" t="n">
        <v>0.0164</v>
      </c>
      <c r="F10986" s="1" t="n">
        <v>0.0462</v>
      </c>
    </row>
    <row r="10987" customFormat="false" ht="15" hidden="false" customHeight="false" outlineLevel="0" collapsed="false">
      <c r="A10987" s="1" t="s">
        <v>11022</v>
      </c>
      <c r="B10987" s="1" t="s">
        <v>26</v>
      </c>
      <c r="C10987" s="1" t="n">
        <v>118000</v>
      </c>
      <c r="D10987" s="1" t="n">
        <v>1438.9</v>
      </c>
      <c r="E10987" s="1" t="n">
        <v>0.0417</v>
      </c>
      <c r="F10987" s="1" t="n">
        <v>0.0951</v>
      </c>
    </row>
    <row r="10988" customFormat="false" ht="15" hidden="false" customHeight="false" outlineLevel="0" collapsed="false">
      <c r="A10988" s="1" t="s">
        <v>11023</v>
      </c>
      <c r="B10988" s="1" t="s">
        <v>74</v>
      </c>
      <c r="C10988" s="1" t="n">
        <v>158000</v>
      </c>
      <c r="D10988" s="1" t="n">
        <v>69132.1</v>
      </c>
      <c r="E10988" s="1" t="n">
        <v>0.0083</v>
      </c>
      <c r="F10988" s="1" t="n">
        <v>0.0654</v>
      </c>
    </row>
    <row r="10989" customFormat="false" ht="15" hidden="false" customHeight="false" outlineLevel="0" collapsed="false">
      <c r="A10989" s="1" t="s">
        <v>11024</v>
      </c>
      <c r="B10989" s="1" t="s">
        <v>88</v>
      </c>
      <c r="C10989" s="1" t="n">
        <v>158000</v>
      </c>
      <c r="D10989" s="1" t="n">
        <v>1632.5</v>
      </c>
      <c r="E10989" s="1" t="n">
        <v>0.0195</v>
      </c>
      <c r="F10989" s="1" t="n">
        <v>0.0462</v>
      </c>
    </row>
    <row r="10990" customFormat="false" ht="15" hidden="false" customHeight="false" outlineLevel="0" collapsed="false">
      <c r="A10990" s="1" t="s">
        <v>11025</v>
      </c>
      <c r="B10990" s="1" t="s">
        <v>74</v>
      </c>
      <c r="C10990" s="1" t="n">
        <v>189000</v>
      </c>
      <c r="D10990" s="1" t="n">
        <v>4417.3</v>
      </c>
      <c r="E10990" s="1" t="n">
        <v>0.0468</v>
      </c>
      <c r="F10990" s="1" t="n">
        <v>0.0759</v>
      </c>
    </row>
    <row r="10991" customFormat="false" ht="15" hidden="false" customHeight="false" outlineLevel="0" collapsed="false">
      <c r="A10991" s="1" t="s">
        <v>11026</v>
      </c>
      <c r="B10991" s="1" t="s">
        <v>71</v>
      </c>
      <c r="C10991" s="1" t="n">
        <v>192000</v>
      </c>
      <c r="D10991" s="1" t="n">
        <v>8178</v>
      </c>
      <c r="E10991" s="1" t="n">
        <v>0.0393</v>
      </c>
      <c r="F10991" s="1" t="n">
        <v>0.0759</v>
      </c>
    </row>
    <row r="10992" customFormat="false" ht="15" hidden="false" customHeight="false" outlineLevel="0" collapsed="false">
      <c r="A10992" s="1" t="s">
        <v>11027</v>
      </c>
      <c r="B10992" s="1" t="s">
        <v>50</v>
      </c>
      <c r="C10992" s="1" t="n">
        <v>117000</v>
      </c>
      <c r="D10992" s="1" t="n">
        <v>9019</v>
      </c>
      <c r="E10992" s="1" t="n">
        <v>0.0509</v>
      </c>
      <c r="F10992" s="1" t="n">
        <v>0.0951</v>
      </c>
    </row>
    <row r="10993" customFormat="false" ht="15" hidden="false" customHeight="false" outlineLevel="0" collapsed="false">
      <c r="A10993" s="1" t="s">
        <v>11028</v>
      </c>
      <c r="B10993" s="1" t="s">
        <v>214</v>
      </c>
      <c r="C10993" s="1" t="n">
        <v>181000</v>
      </c>
      <c r="D10993" s="1" t="n">
        <v>194845.5</v>
      </c>
      <c r="E10993" s="1" t="n">
        <v>0.032</v>
      </c>
      <c r="F10993" s="1" t="n">
        <v>0.0951</v>
      </c>
    </row>
    <row r="10994" customFormat="false" ht="15" hidden="false" customHeight="false" outlineLevel="0" collapsed="false">
      <c r="A10994" s="1" t="s">
        <v>11029</v>
      </c>
      <c r="B10994" s="1" t="s">
        <v>74</v>
      </c>
      <c r="C10994" s="1" t="n">
        <v>232000</v>
      </c>
      <c r="D10994" s="1" t="n">
        <v>846.8</v>
      </c>
      <c r="E10994" s="1" t="n">
        <v>0.0628</v>
      </c>
      <c r="F10994" s="1" t="n">
        <v>0.0938</v>
      </c>
    </row>
    <row r="10995" customFormat="false" ht="15" hidden="false" customHeight="false" outlineLevel="0" collapsed="false">
      <c r="A10995" s="1" t="s">
        <v>11030</v>
      </c>
      <c r="B10995" s="1" t="s">
        <v>88</v>
      </c>
      <c r="C10995" s="1" t="n">
        <v>117000</v>
      </c>
      <c r="D10995" s="1" t="n">
        <v>526.5</v>
      </c>
      <c r="E10995" s="1" t="n">
        <v>0.0163</v>
      </c>
      <c r="F10995" s="1" t="n">
        <v>0.3107</v>
      </c>
    </row>
    <row r="10996" customFormat="false" ht="15" hidden="false" customHeight="false" outlineLevel="0" collapsed="false">
      <c r="A10996" s="1" t="s">
        <v>11031</v>
      </c>
      <c r="B10996" s="1" t="s">
        <v>71</v>
      </c>
      <c r="C10996" s="1" t="n">
        <v>128000</v>
      </c>
      <c r="D10996" s="1" t="n">
        <v>295106.1</v>
      </c>
      <c r="E10996" s="1" t="n">
        <v>0.0013</v>
      </c>
      <c r="F10996" s="1" t="n">
        <v>0.0654</v>
      </c>
    </row>
    <row r="10997" customFormat="false" ht="15" hidden="false" customHeight="false" outlineLevel="0" collapsed="false">
      <c r="A10997" s="1" t="s">
        <v>11032</v>
      </c>
      <c r="B10997" s="1" t="s">
        <v>88</v>
      </c>
      <c r="C10997" s="1" t="n">
        <v>156000</v>
      </c>
      <c r="D10997" s="1" t="n">
        <v>226.4</v>
      </c>
      <c r="E10997" s="1" t="n">
        <v>0.0944</v>
      </c>
      <c r="F10997" s="1" t="n">
        <v>0.0938</v>
      </c>
    </row>
    <row r="10998" customFormat="false" ht="15" hidden="false" customHeight="false" outlineLevel="0" collapsed="false">
      <c r="A10998" s="1" t="s">
        <v>11033</v>
      </c>
      <c r="B10998" s="1" t="s">
        <v>26</v>
      </c>
      <c r="C10998" s="1" t="n">
        <v>146000</v>
      </c>
      <c r="D10998" s="1" t="n">
        <v>297.6</v>
      </c>
      <c r="E10998" s="1" t="n">
        <v>0.011</v>
      </c>
      <c r="F10998" s="1" t="n">
        <v>0.0584</v>
      </c>
    </row>
    <row r="10999" customFormat="false" ht="15" hidden="false" customHeight="false" outlineLevel="0" collapsed="false">
      <c r="A10999" s="1" t="s">
        <v>11034</v>
      </c>
      <c r="B10999" s="1" t="s">
        <v>35</v>
      </c>
      <c r="C10999" s="1" t="n">
        <v>148000</v>
      </c>
      <c r="D10999" s="1" t="n">
        <v>6802.5</v>
      </c>
      <c r="E10999" s="1" t="n">
        <v>0.0195</v>
      </c>
      <c r="F10999" s="1" t="n">
        <v>0.0462</v>
      </c>
    </row>
    <row r="11000" customFormat="false" ht="15" hidden="false" customHeight="false" outlineLevel="0" collapsed="false">
      <c r="A11000" s="1" t="s">
        <v>11035</v>
      </c>
      <c r="B11000" s="1" t="s">
        <v>41</v>
      </c>
      <c r="C11000" s="1" t="n">
        <v>116000</v>
      </c>
      <c r="D11000" s="1" t="n">
        <v>1988.4</v>
      </c>
      <c r="E11000" s="1" t="n">
        <v>0.0844</v>
      </c>
      <c r="F11000" s="1" t="n">
        <v>0.0951</v>
      </c>
    </row>
    <row r="11001" customFormat="false" ht="15" hidden="false" customHeight="false" outlineLevel="0" collapsed="false">
      <c r="A11001" s="1" t="s">
        <v>11036</v>
      </c>
      <c r="B11001" s="1" t="s">
        <v>41</v>
      </c>
      <c r="C11001" s="1" t="n">
        <v>143000</v>
      </c>
      <c r="D11001" s="1" t="n">
        <v>1102.4</v>
      </c>
      <c r="E11001" s="1" t="n">
        <v>0.0309</v>
      </c>
      <c r="F11001" s="1" t="n">
        <v>0.0951</v>
      </c>
    </row>
    <row r="11002" customFormat="false" ht="15" hidden="false" customHeight="false" outlineLevel="0" collapsed="false">
      <c r="A11002" s="1" t="s">
        <v>11037</v>
      </c>
      <c r="B11002" s="1" t="s">
        <v>26</v>
      </c>
      <c r="C11002" s="1" t="n">
        <v>143000</v>
      </c>
      <c r="D11002" s="1" t="n">
        <v>6891.1</v>
      </c>
      <c r="E11002" s="1" t="n">
        <v>0.0296</v>
      </c>
      <c r="F11002" s="1" t="n">
        <v>0.0759</v>
      </c>
    </row>
    <row r="11003" customFormat="false" ht="15" hidden="false" customHeight="false" outlineLevel="0" collapsed="false">
      <c r="A11003" s="1" t="s">
        <v>11038</v>
      </c>
      <c r="B11003" s="1" t="s">
        <v>81</v>
      </c>
      <c r="C11003" s="1" t="n">
        <v>177000</v>
      </c>
      <c r="D11003" s="1" t="n">
        <v>11713.6</v>
      </c>
      <c r="E11003" s="1" t="n">
        <v>0.0206</v>
      </c>
      <c r="F11003" s="1" t="n">
        <v>0.0854</v>
      </c>
    </row>
    <row r="11004" customFormat="false" ht="15" hidden="false" customHeight="false" outlineLevel="0" collapsed="false">
      <c r="A11004" s="1" t="s">
        <v>11039</v>
      </c>
      <c r="B11004" s="1" t="s">
        <v>92</v>
      </c>
      <c r="C11004" s="1" t="n">
        <v>745000</v>
      </c>
      <c r="D11004" s="1" t="n">
        <v>200560.5</v>
      </c>
      <c r="F11004" s="1" t="n">
        <v>0.0409</v>
      </c>
    </row>
    <row r="11005" customFormat="false" ht="15" hidden="false" customHeight="false" outlineLevel="0" collapsed="false">
      <c r="A11005" s="1" t="s">
        <v>11040</v>
      </c>
      <c r="B11005" s="1" t="s">
        <v>88</v>
      </c>
      <c r="C11005" s="1" t="n">
        <v>202000</v>
      </c>
      <c r="D11005" s="1" t="n">
        <v>261283.8</v>
      </c>
      <c r="E11005" s="1" t="n">
        <v>0.0128</v>
      </c>
      <c r="F11005" s="1" t="n">
        <v>0.0585</v>
      </c>
    </row>
    <row r="11006" customFormat="false" ht="15" hidden="false" customHeight="false" outlineLevel="0" collapsed="false">
      <c r="A11006" s="1" t="s">
        <v>11041</v>
      </c>
      <c r="B11006" s="1" t="s">
        <v>74</v>
      </c>
      <c r="C11006" s="1" t="n">
        <v>150000</v>
      </c>
      <c r="D11006" s="1" t="n">
        <v>3961.3</v>
      </c>
      <c r="E11006" s="1" t="n">
        <v>0.0487</v>
      </c>
      <c r="F11006" s="1" t="n">
        <v>0.0759</v>
      </c>
    </row>
    <row r="11007" customFormat="false" ht="15" hidden="false" customHeight="false" outlineLevel="0" collapsed="false">
      <c r="A11007" s="1" t="s">
        <v>11042</v>
      </c>
      <c r="B11007" s="1" t="s">
        <v>74</v>
      </c>
      <c r="C11007" s="1" t="n">
        <v>198000</v>
      </c>
      <c r="D11007" s="1" t="n">
        <v>1529.3</v>
      </c>
      <c r="E11007" s="1" t="n">
        <v>0.0452</v>
      </c>
      <c r="F11007" s="1" t="n">
        <v>0.0759</v>
      </c>
    </row>
    <row r="11008" customFormat="false" ht="15" hidden="false" customHeight="false" outlineLevel="0" collapsed="false">
      <c r="A11008" s="1" t="s">
        <v>11043</v>
      </c>
      <c r="B11008" s="1" t="s">
        <v>88</v>
      </c>
      <c r="C11008" s="1" t="n">
        <v>256000</v>
      </c>
      <c r="D11008" s="1" t="n">
        <v>5281</v>
      </c>
      <c r="E11008" s="1" t="n">
        <v>0.127</v>
      </c>
      <c r="F11008" s="1" t="n">
        <v>0.1516</v>
      </c>
    </row>
    <row r="11009" customFormat="false" ht="15" hidden="false" customHeight="false" outlineLevel="0" collapsed="false">
      <c r="A11009" s="1" t="s">
        <v>11044</v>
      </c>
      <c r="B11009" s="1" t="s">
        <v>26</v>
      </c>
      <c r="C11009" s="1" t="n">
        <v>1520000</v>
      </c>
      <c r="D11009" s="1" t="n">
        <v>2636294.6</v>
      </c>
      <c r="F11009" s="1" t="n">
        <v>0.0409</v>
      </c>
    </row>
    <row r="11010" customFormat="false" ht="15" hidden="false" customHeight="false" outlineLevel="0" collapsed="false">
      <c r="A11010" s="1" t="s">
        <v>11045</v>
      </c>
      <c r="B11010" s="1" t="s">
        <v>26</v>
      </c>
      <c r="C11010" s="1" t="n">
        <v>133000</v>
      </c>
      <c r="D11010" s="1" t="n">
        <v>5357.5</v>
      </c>
      <c r="E11010" s="1" t="n">
        <v>0.0391</v>
      </c>
      <c r="F11010" s="1" t="n">
        <v>0.0938</v>
      </c>
    </row>
    <row r="11011" customFormat="false" ht="15" hidden="false" customHeight="false" outlineLevel="0" collapsed="false">
      <c r="A11011" s="1" t="s">
        <v>11046</v>
      </c>
      <c r="B11011" s="1" t="s">
        <v>26</v>
      </c>
      <c r="C11011" s="1" t="n">
        <v>115000</v>
      </c>
      <c r="D11011" s="1" t="n">
        <v>254.8</v>
      </c>
      <c r="E11011" s="1" t="n">
        <v>0.0893</v>
      </c>
      <c r="F11011" s="1" t="n">
        <v>0.0951</v>
      </c>
    </row>
    <row r="11012" customFormat="false" ht="15" hidden="false" customHeight="false" outlineLevel="0" collapsed="false">
      <c r="A11012" s="1" t="s">
        <v>11047</v>
      </c>
      <c r="B11012" s="1" t="s">
        <v>32</v>
      </c>
      <c r="C11012" s="1" t="n">
        <v>136000</v>
      </c>
      <c r="D11012" s="1" t="n">
        <v>16613.8</v>
      </c>
      <c r="E11012" s="1" t="n">
        <v>0.0213</v>
      </c>
      <c r="F11012" s="1" t="n">
        <v>0.0518</v>
      </c>
    </row>
    <row r="11013" customFormat="false" ht="15" hidden="false" customHeight="false" outlineLevel="0" collapsed="false">
      <c r="A11013" s="1" t="s">
        <v>11048</v>
      </c>
      <c r="B11013" s="1" t="s">
        <v>26</v>
      </c>
      <c r="C11013" s="1" t="n">
        <v>174000</v>
      </c>
      <c r="D11013" s="1" t="n">
        <v>2487.8</v>
      </c>
      <c r="E11013" s="1" t="n">
        <v>0.0217</v>
      </c>
      <c r="F11013" s="1" t="n">
        <v>0.0759</v>
      </c>
    </row>
    <row r="11014" customFormat="false" ht="15" hidden="false" customHeight="false" outlineLevel="0" collapsed="false">
      <c r="A11014" s="1" t="s">
        <v>11049</v>
      </c>
      <c r="B11014" s="1" t="s">
        <v>24</v>
      </c>
      <c r="C11014" s="1" t="n">
        <v>125000</v>
      </c>
      <c r="D11014" s="1" t="n">
        <v>1511.7</v>
      </c>
      <c r="E11014" s="1" t="n">
        <v>0.0212</v>
      </c>
      <c r="F11014" s="1" t="n">
        <v>0.131</v>
      </c>
    </row>
    <row r="11015" customFormat="false" ht="15" hidden="false" customHeight="false" outlineLevel="0" collapsed="false">
      <c r="A11015" s="1" t="s">
        <v>11050</v>
      </c>
      <c r="B11015" s="1" t="s">
        <v>41</v>
      </c>
      <c r="C11015" s="1" t="n">
        <v>125000</v>
      </c>
      <c r="D11015" s="1" t="n">
        <v>1810.9</v>
      </c>
      <c r="E11015" s="1" t="n">
        <v>0.0108</v>
      </c>
      <c r="F11015" s="1" t="n">
        <v>0.0822</v>
      </c>
    </row>
    <row r="11016" customFormat="false" ht="15" hidden="false" customHeight="false" outlineLevel="0" collapsed="false">
      <c r="A11016" s="1" t="s">
        <v>11051</v>
      </c>
      <c r="B11016" s="1" t="s">
        <v>50</v>
      </c>
      <c r="C11016" s="1" t="n">
        <v>119000</v>
      </c>
      <c r="D11016" s="1" t="n">
        <v>11056.3</v>
      </c>
      <c r="E11016" s="1" t="n">
        <v>0.0072</v>
      </c>
      <c r="F11016" s="1" t="n">
        <v>0.0822</v>
      </c>
    </row>
    <row r="11017" customFormat="false" ht="15" hidden="false" customHeight="false" outlineLevel="0" collapsed="false">
      <c r="A11017" s="1" t="s">
        <v>11052</v>
      </c>
      <c r="B11017" s="1" t="s">
        <v>74</v>
      </c>
      <c r="C11017" s="1" t="n">
        <v>213000</v>
      </c>
      <c r="D11017" s="1" t="n">
        <v>29311.3</v>
      </c>
      <c r="E11017" s="1" t="n">
        <v>0.125</v>
      </c>
      <c r="F11017" s="1" t="n">
        <v>0.0759</v>
      </c>
    </row>
    <row r="11018" customFormat="false" ht="15" hidden="false" customHeight="false" outlineLevel="0" collapsed="false">
      <c r="A11018" s="1" t="s">
        <v>11053</v>
      </c>
      <c r="B11018" s="1" t="s">
        <v>214</v>
      </c>
      <c r="C11018" s="1" t="n">
        <v>193000</v>
      </c>
      <c r="D11018" s="1" t="n">
        <v>1691.8</v>
      </c>
      <c r="E11018" s="1" t="n">
        <v>0.0172</v>
      </c>
      <c r="F11018" s="1" t="n">
        <v>0.0854</v>
      </c>
    </row>
    <row r="11019" customFormat="false" ht="15" hidden="false" customHeight="false" outlineLevel="0" collapsed="false">
      <c r="A11019" s="1" t="s">
        <v>11054</v>
      </c>
      <c r="B11019" s="1" t="s">
        <v>32</v>
      </c>
      <c r="C11019" s="1" t="n">
        <v>130000</v>
      </c>
      <c r="D11019" s="1" t="n">
        <v>41229.8</v>
      </c>
      <c r="E11019" s="1" t="n">
        <v>0.0201</v>
      </c>
      <c r="F11019" s="1" t="n">
        <v>0.095</v>
      </c>
    </row>
    <row r="11020" customFormat="false" ht="15" hidden="false" customHeight="false" outlineLevel="0" collapsed="false">
      <c r="A11020" s="1" t="s">
        <v>11055</v>
      </c>
      <c r="B11020" s="1" t="s">
        <v>26</v>
      </c>
      <c r="C11020" s="1" t="n">
        <v>150000</v>
      </c>
      <c r="D11020" s="1" t="n">
        <v>6273.6</v>
      </c>
      <c r="E11020" s="1" t="n">
        <v>0.007</v>
      </c>
      <c r="F11020" s="1" t="n">
        <v>0.0822</v>
      </c>
    </row>
    <row r="11021" customFormat="false" ht="15" hidden="false" customHeight="false" outlineLevel="0" collapsed="false">
      <c r="A11021" s="1" t="s">
        <v>11056</v>
      </c>
      <c r="B11021" s="1" t="s">
        <v>35</v>
      </c>
      <c r="C11021" s="1" t="n">
        <v>124000</v>
      </c>
      <c r="D11021" s="1" t="n">
        <v>221.6</v>
      </c>
      <c r="E11021" s="1" t="n">
        <v>0.0289</v>
      </c>
      <c r="F11021" s="1" t="n">
        <v>0.051</v>
      </c>
    </row>
    <row r="11022" customFormat="false" ht="15" hidden="false" customHeight="false" outlineLevel="0" collapsed="false">
      <c r="A11022" s="1" t="s">
        <v>11057</v>
      </c>
      <c r="B11022" s="1" t="s">
        <v>26</v>
      </c>
      <c r="C11022" s="1" t="n">
        <v>149000</v>
      </c>
      <c r="D11022" s="1" t="n">
        <v>11263</v>
      </c>
      <c r="E11022" s="1" t="n">
        <v>0.0095</v>
      </c>
      <c r="F11022" s="1" t="n">
        <v>0.0811</v>
      </c>
    </row>
    <row r="11023" customFormat="false" ht="15" hidden="false" customHeight="false" outlineLevel="0" collapsed="false">
      <c r="A11023" s="1" t="s">
        <v>11058</v>
      </c>
      <c r="B11023" s="1" t="s">
        <v>214</v>
      </c>
      <c r="C11023" s="1" t="n">
        <v>165000</v>
      </c>
      <c r="D11023" s="1" t="n">
        <v>5670.8</v>
      </c>
      <c r="E11023" s="1" t="n">
        <v>0.036</v>
      </c>
      <c r="F11023" s="1" t="n">
        <v>0.0759</v>
      </c>
    </row>
    <row r="11024" customFormat="false" ht="15" hidden="false" customHeight="false" outlineLevel="0" collapsed="false">
      <c r="A11024" s="1" t="s">
        <v>11059</v>
      </c>
      <c r="B11024" s="1" t="s">
        <v>26</v>
      </c>
      <c r="C11024" s="1" t="n">
        <v>158000</v>
      </c>
      <c r="D11024" s="1" t="n">
        <v>2205.7</v>
      </c>
      <c r="E11024" s="1" t="n">
        <v>0.0341</v>
      </c>
      <c r="F11024" s="1" t="n">
        <v>0.0759</v>
      </c>
    </row>
    <row r="11025" customFormat="false" ht="15" hidden="false" customHeight="false" outlineLevel="0" collapsed="false">
      <c r="A11025" s="1" t="s">
        <v>11060</v>
      </c>
      <c r="B11025" s="1" t="s">
        <v>74</v>
      </c>
      <c r="C11025" s="1" t="n">
        <v>123000</v>
      </c>
      <c r="D11025" s="1" t="n">
        <v>384.2</v>
      </c>
      <c r="E11025" s="1" t="n">
        <v>0.0465</v>
      </c>
      <c r="F11025" s="1" t="n">
        <v>0.0759</v>
      </c>
    </row>
    <row r="11026" customFormat="false" ht="15" hidden="false" customHeight="false" outlineLevel="0" collapsed="false">
      <c r="A11026" s="1" t="s">
        <v>11061</v>
      </c>
      <c r="B11026" s="1" t="s">
        <v>88</v>
      </c>
      <c r="C11026" s="1" t="n">
        <v>166000</v>
      </c>
      <c r="D11026" s="1" t="n">
        <v>2510.6</v>
      </c>
      <c r="E11026" s="1" t="n">
        <v>0.0479</v>
      </c>
      <c r="F11026" s="1" t="n">
        <v>0.0938</v>
      </c>
    </row>
    <row r="11027" customFormat="false" ht="15" hidden="false" customHeight="false" outlineLevel="0" collapsed="false">
      <c r="A11027" s="1" t="s">
        <v>11062</v>
      </c>
      <c r="B11027" s="1" t="s">
        <v>214</v>
      </c>
      <c r="C11027" s="1" t="n">
        <v>127000</v>
      </c>
      <c r="D11027" s="1" t="n">
        <v>5735.1</v>
      </c>
      <c r="E11027" s="1" t="n">
        <v>0.0269</v>
      </c>
      <c r="F11027" s="1" t="n">
        <v>0.0951</v>
      </c>
    </row>
    <row r="11028" customFormat="false" ht="15" hidden="false" customHeight="false" outlineLevel="0" collapsed="false">
      <c r="A11028" s="1" t="s">
        <v>11063</v>
      </c>
      <c r="B11028" s="1" t="s">
        <v>88</v>
      </c>
      <c r="C11028" s="1" t="n">
        <v>214000</v>
      </c>
      <c r="D11028" s="1" t="n">
        <v>2432.7</v>
      </c>
      <c r="E11028" s="1" t="n">
        <v>0.0335</v>
      </c>
      <c r="F11028" s="1" t="n">
        <v>0.0938</v>
      </c>
    </row>
    <row r="11029" customFormat="false" ht="15" hidden="false" customHeight="false" outlineLevel="0" collapsed="false">
      <c r="A11029" s="1" t="s">
        <v>11064</v>
      </c>
      <c r="B11029" s="1" t="s">
        <v>26</v>
      </c>
      <c r="C11029" s="1" t="n">
        <v>365000</v>
      </c>
      <c r="D11029" s="1" t="n">
        <v>4549.7</v>
      </c>
      <c r="E11029" s="1" t="n">
        <v>0.0108</v>
      </c>
      <c r="F11029" s="1" t="n">
        <v>0.0811</v>
      </c>
    </row>
    <row r="11030" customFormat="false" ht="15" hidden="false" customHeight="false" outlineLevel="0" collapsed="false">
      <c r="A11030" s="1" t="s">
        <v>11065</v>
      </c>
      <c r="B11030" s="1" t="s">
        <v>50</v>
      </c>
      <c r="C11030" s="1" t="n">
        <v>142000</v>
      </c>
      <c r="D11030" s="1" t="n">
        <v>586.5</v>
      </c>
      <c r="E11030" s="1" t="n">
        <v>0.004</v>
      </c>
      <c r="F11030" s="1" t="n">
        <v>0.0654</v>
      </c>
    </row>
    <row r="11031" customFormat="false" ht="15" hidden="false" customHeight="false" outlineLevel="0" collapsed="false">
      <c r="A11031" s="1" t="s">
        <v>11066</v>
      </c>
      <c r="B11031" s="1" t="s">
        <v>26</v>
      </c>
      <c r="C11031" s="1" t="n">
        <v>253000</v>
      </c>
      <c r="D11031" s="1" t="n">
        <v>13719.8</v>
      </c>
      <c r="E11031" s="1" t="n">
        <v>0.078</v>
      </c>
      <c r="F11031" s="1" t="n">
        <v>0.0759</v>
      </c>
    </row>
    <row r="11032" customFormat="false" ht="15" hidden="false" customHeight="false" outlineLevel="0" collapsed="false">
      <c r="A11032" s="1" t="s">
        <v>11067</v>
      </c>
      <c r="B11032" s="1" t="s">
        <v>26</v>
      </c>
      <c r="C11032" s="1" t="n">
        <v>120000</v>
      </c>
      <c r="D11032" s="1" t="n">
        <v>1239.5</v>
      </c>
      <c r="E11032" s="1" t="n">
        <v>0.0059</v>
      </c>
      <c r="F11032" s="1" t="n">
        <v>0.1209</v>
      </c>
    </row>
    <row r="11033" customFormat="false" ht="15" hidden="false" customHeight="false" outlineLevel="0" collapsed="false">
      <c r="A11033" s="1" t="s">
        <v>11068</v>
      </c>
      <c r="B11033" s="1" t="s">
        <v>81</v>
      </c>
      <c r="C11033" s="1" t="n">
        <v>143000</v>
      </c>
      <c r="D11033" s="1" t="n">
        <v>1790.2</v>
      </c>
      <c r="E11033" s="1" t="n">
        <v>0.0482</v>
      </c>
      <c r="F11033" s="1" t="n">
        <v>0.0759</v>
      </c>
    </row>
    <row r="11034" customFormat="false" ht="15" hidden="false" customHeight="false" outlineLevel="0" collapsed="false">
      <c r="A11034" s="1" t="s">
        <v>11069</v>
      </c>
      <c r="B11034" s="1" t="s">
        <v>88</v>
      </c>
      <c r="C11034" s="1" t="n">
        <v>206000</v>
      </c>
      <c r="D11034" s="1" t="n">
        <v>3099.3</v>
      </c>
      <c r="E11034" s="1" t="n">
        <v>0.0782</v>
      </c>
      <c r="F11034" s="1" t="n">
        <v>0.0938</v>
      </c>
    </row>
    <row r="11035" customFormat="false" ht="15" hidden="false" customHeight="false" outlineLevel="0" collapsed="false">
      <c r="A11035" s="1" t="s">
        <v>11070</v>
      </c>
      <c r="B11035" s="1" t="s">
        <v>71</v>
      </c>
      <c r="C11035" s="1" t="n">
        <v>116000</v>
      </c>
      <c r="D11035" s="1" t="n">
        <v>860.4</v>
      </c>
      <c r="E11035" s="1" t="n">
        <v>0.0501</v>
      </c>
      <c r="F11035" s="1" t="n">
        <v>0.0951</v>
      </c>
    </row>
    <row r="11036" customFormat="false" ht="15" hidden="false" customHeight="false" outlineLevel="0" collapsed="false">
      <c r="A11036" s="1" t="s">
        <v>11071</v>
      </c>
      <c r="B11036" s="1" t="s">
        <v>26</v>
      </c>
      <c r="C11036" s="1" t="n">
        <v>130000</v>
      </c>
      <c r="D11036" s="1" t="n">
        <v>9349.5</v>
      </c>
      <c r="E11036" s="1" t="n">
        <v>0.0347</v>
      </c>
      <c r="F11036" s="1" t="n">
        <v>0.0951</v>
      </c>
    </row>
    <row r="11037" customFormat="false" ht="15" hidden="false" customHeight="false" outlineLevel="0" collapsed="false">
      <c r="A11037" s="1" t="s">
        <v>11072</v>
      </c>
      <c r="B11037" s="1" t="s">
        <v>53</v>
      </c>
      <c r="C11037" s="1" t="n">
        <v>183000</v>
      </c>
      <c r="D11037" s="1" t="n">
        <v>84606.4</v>
      </c>
      <c r="E11037" s="1" t="n">
        <v>0.0425</v>
      </c>
      <c r="F11037" s="1" t="n">
        <v>0.0938</v>
      </c>
    </row>
    <row r="11038" customFormat="false" ht="15" hidden="false" customHeight="false" outlineLevel="0" collapsed="false">
      <c r="A11038" s="1" t="s">
        <v>11073</v>
      </c>
      <c r="B11038" s="1" t="s">
        <v>26</v>
      </c>
      <c r="C11038" s="1" t="n">
        <v>251000</v>
      </c>
      <c r="D11038" s="1" t="n">
        <v>308.5</v>
      </c>
      <c r="E11038" s="1" t="n">
        <v>0.0064</v>
      </c>
      <c r="F11038" s="1" t="n">
        <v>0.3242</v>
      </c>
    </row>
    <row r="11039" customFormat="false" ht="15" hidden="false" customHeight="false" outlineLevel="0" collapsed="false">
      <c r="A11039" s="1" t="s">
        <v>11074</v>
      </c>
      <c r="B11039" s="1" t="s">
        <v>74</v>
      </c>
      <c r="C11039" s="1" t="n">
        <v>226000</v>
      </c>
      <c r="D11039" s="1" t="n">
        <v>17734.4</v>
      </c>
      <c r="E11039" s="1" t="n">
        <v>0.0436</v>
      </c>
      <c r="F11039" s="1" t="n">
        <v>0.0759</v>
      </c>
    </row>
    <row r="11040" customFormat="false" ht="15" hidden="false" customHeight="false" outlineLevel="0" collapsed="false">
      <c r="A11040" s="1" t="s">
        <v>11075</v>
      </c>
      <c r="B11040" s="1" t="s">
        <v>53</v>
      </c>
      <c r="C11040" s="1" t="n">
        <v>257000</v>
      </c>
      <c r="D11040" s="1" t="n">
        <v>31784</v>
      </c>
      <c r="E11040" s="1" t="n">
        <v>0.0294</v>
      </c>
      <c r="F11040" s="1" t="n">
        <v>0.0833</v>
      </c>
    </row>
    <row r="11041" customFormat="false" ht="15" hidden="false" customHeight="false" outlineLevel="0" collapsed="false">
      <c r="A11041" s="1" t="s">
        <v>11076</v>
      </c>
      <c r="B11041" s="1" t="s">
        <v>92</v>
      </c>
      <c r="C11041" s="1" t="n">
        <v>153000</v>
      </c>
      <c r="D11041" s="1" t="n">
        <v>5980.1</v>
      </c>
      <c r="F11041" s="1" t="n">
        <v>0.0845</v>
      </c>
    </row>
    <row r="11042" customFormat="false" ht="15" hidden="false" customHeight="false" outlineLevel="0" collapsed="false">
      <c r="A11042" s="1" t="s">
        <v>11077</v>
      </c>
      <c r="B11042" s="1" t="s">
        <v>214</v>
      </c>
      <c r="C11042" s="1" t="n">
        <v>148000</v>
      </c>
      <c r="D11042" s="1" t="n">
        <v>4688.1</v>
      </c>
      <c r="E11042" s="1" t="n">
        <v>0.0229</v>
      </c>
      <c r="F11042" s="1" t="n">
        <v>0.0759</v>
      </c>
    </row>
    <row r="11043" customFormat="false" ht="15" hidden="false" customHeight="false" outlineLevel="0" collapsed="false">
      <c r="A11043" s="1" t="s">
        <v>11078</v>
      </c>
      <c r="B11043" s="1" t="s">
        <v>41</v>
      </c>
      <c r="C11043" s="1" t="n">
        <v>133000</v>
      </c>
      <c r="D11043" s="1" t="n">
        <v>28917.4</v>
      </c>
      <c r="E11043" s="1" t="n">
        <v>0.0244</v>
      </c>
      <c r="F11043" s="1" t="n">
        <v>0.0759</v>
      </c>
    </row>
    <row r="11044" customFormat="false" ht="15" hidden="false" customHeight="false" outlineLevel="0" collapsed="false">
      <c r="A11044" s="1" t="s">
        <v>11079</v>
      </c>
      <c r="B11044" s="1" t="s">
        <v>195</v>
      </c>
      <c r="C11044" s="1" t="n">
        <v>183000</v>
      </c>
      <c r="D11044" s="1" t="n">
        <v>1468.4</v>
      </c>
      <c r="E11044" s="1" t="n">
        <v>0.0288</v>
      </c>
      <c r="F11044" s="1" t="n">
        <v>0.0409</v>
      </c>
    </row>
    <row r="11045" customFormat="false" ht="15" hidden="false" customHeight="false" outlineLevel="0" collapsed="false">
      <c r="A11045" s="1" t="s">
        <v>11080</v>
      </c>
      <c r="B11045" s="1" t="s">
        <v>287</v>
      </c>
      <c r="C11045" s="1" t="n">
        <v>116000</v>
      </c>
      <c r="D11045" s="1" t="n">
        <v>1123.6</v>
      </c>
      <c r="E11045" s="1" t="n">
        <v>0.0152</v>
      </c>
      <c r="F11045" s="1" t="n">
        <v>0.1594</v>
      </c>
    </row>
    <row r="11046" customFormat="false" ht="15" hidden="false" customHeight="false" outlineLevel="0" collapsed="false">
      <c r="A11046" s="1" t="s">
        <v>11081</v>
      </c>
      <c r="B11046" s="1" t="s">
        <v>26</v>
      </c>
      <c r="C11046" s="1" t="n">
        <v>161000</v>
      </c>
      <c r="D11046" s="1" t="n">
        <v>10834</v>
      </c>
      <c r="E11046" s="1" t="n">
        <v>0.0294</v>
      </c>
      <c r="F11046" s="1" t="n">
        <v>0.0759</v>
      </c>
    </row>
    <row r="11047" customFormat="false" ht="15" hidden="false" customHeight="false" outlineLevel="0" collapsed="false">
      <c r="A11047" s="1" t="s">
        <v>11082</v>
      </c>
      <c r="B11047" s="1" t="s">
        <v>71</v>
      </c>
      <c r="C11047" s="1" t="n">
        <v>136000</v>
      </c>
      <c r="D11047" s="1" t="n">
        <v>5429.2</v>
      </c>
      <c r="E11047" s="1" t="n">
        <v>0.0655</v>
      </c>
      <c r="F11047" s="1" t="n">
        <v>0.0938</v>
      </c>
    </row>
    <row r="11048" customFormat="false" ht="15" hidden="false" customHeight="false" outlineLevel="0" collapsed="false">
      <c r="A11048" s="1" t="s">
        <v>11083</v>
      </c>
      <c r="B11048" s="1" t="s">
        <v>26</v>
      </c>
      <c r="C11048" s="1" t="n">
        <v>134000</v>
      </c>
      <c r="D11048" s="1" t="n">
        <v>845.1</v>
      </c>
      <c r="F11048" s="1" t="n">
        <v>0.051</v>
      </c>
    </row>
    <row r="11049" customFormat="false" ht="15" hidden="false" customHeight="false" outlineLevel="0" collapsed="false">
      <c r="A11049" s="1" t="s">
        <v>11084</v>
      </c>
      <c r="B11049" s="1" t="s">
        <v>41</v>
      </c>
      <c r="C11049" s="1" t="n">
        <v>123000</v>
      </c>
      <c r="D11049" s="1" t="n">
        <v>361.9</v>
      </c>
      <c r="E11049" s="1" t="n">
        <v>0.0118</v>
      </c>
      <c r="F11049" s="1" t="n">
        <v>0.1889</v>
      </c>
    </row>
    <row r="11050" customFormat="false" ht="15" hidden="false" customHeight="false" outlineLevel="0" collapsed="false">
      <c r="A11050" s="1" t="s">
        <v>11085</v>
      </c>
      <c r="B11050" s="1" t="s">
        <v>41</v>
      </c>
      <c r="C11050" s="1" t="n">
        <v>160000</v>
      </c>
      <c r="D11050" s="1" t="n">
        <v>2503</v>
      </c>
      <c r="E11050" s="1" t="n">
        <v>0.0425</v>
      </c>
      <c r="F11050" s="1" t="n">
        <v>0.0951</v>
      </c>
    </row>
    <row r="11051" customFormat="false" ht="15" hidden="false" customHeight="false" outlineLevel="0" collapsed="false">
      <c r="A11051" s="1" t="s">
        <v>11086</v>
      </c>
      <c r="B11051" s="1" t="s">
        <v>62</v>
      </c>
      <c r="C11051" s="1" t="n">
        <v>142000</v>
      </c>
      <c r="D11051" s="1" t="n">
        <v>25469.6</v>
      </c>
      <c r="E11051" s="1" t="n">
        <v>0.0184</v>
      </c>
      <c r="F11051" s="1" t="n">
        <v>0.0585</v>
      </c>
    </row>
    <row r="11052" customFormat="false" ht="15" hidden="false" customHeight="false" outlineLevel="0" collapsed="false">
      <c r="A11052" s="1" t="s">
        <v>11087</v>
      </c>
      <c r="B11052" s="1" t="s">
        <v>26</v>
      </c>
      <c r="C11052" s="1" t="n">
        <v>124000</v>
      </c>
      <c r="D11052" s="1" t="n">
        <v>711.2</v>
      </c>
      <c r="E11052" s="1" t="n">
        <v>0.0059</v>
      </c>
      <c r="F11052" s="1" t="n">
        <v>0.0822</v>
      </c>
    </row>
    <row r="11053" customFormat="false" ht="15" hidden="false" customHeight="false" outlineLevel="0" collapsed="false">
      <c r="A11053" s="1" t="s">
        <v>11088</v>
      </c>
      <c r="B11053" s="1" t="s">
        <v>53</v>
      </c>
      <c r="C11053" s="1" t="n">
        <v>310000</v>
      </c>
      <c r="D11053" s="1" t="n">
        <v>33132.2</v>
      </c>
      <c r="E11053" s="1" t="n">
        <v>0.036</v>
      </c>
      <c r="F11053" s="1" t="n">
        <v>0.0432</v>
      </c>
    </row>
    <row r="11054" customFormat="false" ht="15" hidden="false" customHeight="false" outlineLevel="0" collapsed="false">
      <c r="A11054" s="1" t="s">
        <v>11089</v>
      </c>
      <c r="B11054" s="1" t="s">
        <v>26</v>
      </c>
      <c r="C11054" s="1" t="n">
        <v>110000</v>
      </c>
      <c r="D11054" s="1" t="n">
        <v>1886.8</v>
      </c>
      <c r="E11054" s="1" t="n">
        <v>0.0293</v>
      </c>
      <c r="F11054" s="1" t="n">
        <v>0.0951</v>
      </c>
    </row>
    <row r="11055" customFormat="false" ht="15" hidden="false" customHeight="false" outlineLevel="0" collapsed="false">
      <c r="A11055" s="1" t="s">
        <v>11090</v>
      </c>
      <c r="B11055" s="1" t="s">
        <v>53</v>
      </c>
      <c r="C11055" s="1" t="n">
        <v>134000</v>
      </c>
      <c r="D11055" s="1" t="n">
        <v>158.3</v>
      </c>
      <c r="E11055" s="1" t="n">
        <v>0.0381</v>
      </c>
      <c r="F11055" s="1" t="n">
        <v>0.1226</v>
      </c>
    </row>
    <row r="11056" customFormat="false" ht="15" hidden="false" customHeight="false" outlineLevel="0" collapsed="false">
      <c r="A11056" s="1" t="s">
        <v>11091</v>
      </c>
      <c r="B11056" s="1" t="s">
        <v>88</v>
      </c>
      <c r="C11056" s="1" t="n">
        <v>207000</v>
      </c>
      <c r="D11056" s="1" t="n">
        <v>57806.5</v>
      </c>
      <c r="E11056" s="1" t="n">
        <v>0.0316</v>
      </c>
      <c r="F11056" s="1" t="n">
        <v>0.0951</v>
      </c>
    </row>
    <row r="11057" customFormat="false" ht="15" hidden="false" customHeight="false" outlineLevel="0" collapsed="false">
      <c r="A11057" s="1" t="s">
        <v>11092</v>
      </c>
      <c r="B11057" s="1" t="s">
        <v>214</v>
      </c>
      <c r="C11057" s="1" t="n">
        <v>125000</v>
      </c>
      <c r="D11057" s="1" t="n">
        <v>3010.8</v>
      </c>
      <c r="E11057" s="1" t="n">
        <v>0.0141</v>
      </c>
      <c r="F11057" s="1" t="n">
        <v>0.1067</v>
      </c>
    </row>
    <row r="11058" customFormat="false" ht="15" hidden="false" customHeight="false" outlineLevel="0" collapsed="false">
      <c r="A11058" s="1" t="s">
        <v>11093</v>
      </c>
      <c r="B11058" s="1" t="s">
        <v>71</v>
      </c>
      <c r="C11058" s="1" t="n">
        <v>165000</v>
      </c>
      <c r="D11058" s="1" t="n">
        <v>2925.7</v>
      </c>
      <c r="E11058" s="1" t="n">
        <v>0.0098</v>
      </c>
      <c r="F11058" s="1" t="n">
        <v>0.1886</v>
      </c>
    </row>
    <row r="11059" customFormat="false" ht="15" hidden="false" customHeight="false" outlineLevel="0" collapsed="false">
      <c r="A11059" s="1" t="s">
        <v>11094</v>
      </c>
      <c r="B11059" s="1" t="s">
        <v>81</v>
      </c>
      <c r="C11059" s="1" t="n">
        <v>136000</v>
      </c>
      <c r="D11059" s="1" t="n">
        <v>4443.3</v>
      </c>
      <c r="E11059" s="1" t="n">
        <v>0.0098</v>
      </c>
      <c r="F11059" s="1" t="n">
        <v>0.0811</v>
      </c>
    </row>
    <row r="11060" customFormat="false" ht="15" hidden="false" customHeight="false" outlineLevel="0" collapsed="false">
      <c r="A11060" s="1" t="s">
        <v>11095</v>
      </c>
      <c r="B11060" s="1" t="s">
        <v>74</v>
      </c>
      <c r="C11060" s="1" t="n">
        <v>177000</v>
      </c>
      <c r="D11060" s="1" t="n">
        <v>1323.6</v>
      </c>
      <c r="E11060" s="1" t="n">
        <v>0.0152</v>
      </c>
      <c r="F11060" s="1" t="n">
        <v>0.1469</v>
      </c>
    </row>
    <row r="11061" customFormat="false" ht="15" hidden="false" customHeight="false" outlineLevel="0" collapsed="false">
      <c r="A11061" s="1" t="s">
        <v>11096</v>
      </c>
      <c r="B11061" s="1" t="s">
        <v>71</v>
      </c>
      <c r="C11061" s="1" t="n">
        <v>116000</v>
      </c>
      <c r="D11061" s="1" t="n">
        <v>93.8</v>
      </c>
      <c r="E11061" s="1" t="n">
        <v>0.0103</v>
      </c>
      <c r="F11061" s="1" t="n">
        <v>0.2729</v>
      </c>
    </row>
    <row r="11062" customFormat="false" ht="15" hidden="false" customHeight="false" outlineLevel="0" collapsed="false">
      <c r="A11062" s="1" t="s">
        <v>11097</v>
      </c>
      <c r="B11062" s="1" t="s">
        <v>81</v>
      </c>
      <c r="C11062" s="1" t="n">
        <v>155000</v>
      </c>
      <c r="D11062" s="1" t="n">
        <v>21917.6</v>
      </c>
      <c r="E11062" s="1" t="n">
        <v>0.0217</v>
      </c>
      <c r="F11062" s="1" t="n">
        <v>0.0938</v>
      </c>
    </row>
    <row r="11063" customFormat="false" ht="15" hidden="false" customHeight="false" outlineLevel="0" collapsed="false">
      <c r="A11063" s="1" t="s">
        <v>11098</v>
      </c>
      <c r="B11063" s="1" t="s">
        <v>88</v>
      </c>
      <c r="C11063" s="1" t="n">
        <v>117000</v>
      </c>
      <c r="D11063" s="1" t="n">
        <v>86.7</v>
      </c>
      <c r="E11063" s="1" t="n">
        <v>0.0179</v>
      </c>
      <c r="F11063" s="1" t="n">
        <v>0.1691</v>
      </c>
    </row>
    <row r="11064" customFormat="false" ht="15" hidden="false" customHeight="false" outlineLevel="0" collapsed="false">
      <c r="A11064" s="1" t="s">
        <v>11099</v>
      </c>
      <c r="B11064" s="1" t="s">
        <v>88</v>
      </c>
      <c r="C11064" s="1" t="n">
        <v>147000</v>
      </c>
      <c r="D11064" s="1" t="n">
        <v>4809.9</v>
      </c>
      <c r="E11064" s="1" t="n">
        <v>0.0372</v>
      </c>
      <c r="F11064" s="1" t="n">
        <v>0.0759</v>
      </c>
    </row>
    <row r="11065" customFormat="false" ht="15" hidden="false" customHeight="false" outlineLevel="0" collapsed="false">
      <c r="A11065" s="1" t="s">
        <v>11100</v>
      </c>
      <c r="B11065" s="1" t="s">
        <v>74</v>
      </c>
      <c r="C11065" s="1" t="n">
        <v>332000</v>
      </c>
      <c r="D11065" s="1" t="n">
        <v>589.4</v>
      </c>
      <c r="E11065" s="1" t="n">
        <v>0.0466</v>
      </c>
      <c r="F11065" s="1" t="n">
        <v>0.0938</v>
      </c>
    </row>
    <row r="11066" customFormat="false" ht="15" hidden="false" customHeight="false" outlineLevel="0" collapsed="false">
      <c r="A11066" s="1" t="s">
        <v>11101</v>
      </c>
      <c r="B11066" s="1" t="s">
        <v>26</v>
      </c>
      <c r="C11066" s="1" t="n">
        <v>110000</v>
      </c>
      <c r="D11066" s="1" t="n">
        <v>3447.2</v>
      </c>
      <c r="E11066" s="1" t="n">
        <v>0.0906</v>
      </c>
      <c r="F11066" s="1" t="n">
        <v>0.0951</v>
      </c>
    </row>
    <row r="11067" customFormat="false" ht="15" hidden="false" customHeight="false" outlineLevel="0" collapsed="false">
      <c r="A11067" s="1" t="s">
        <v>11102</v>
      </c>
      <c r="B11067" s="1" t="s">
        <v>92</v>
      </c>
      <c r="C11067" s="1" t="n">
        <v>119000</v>
      </c>
      <c r="D11067" s="1" t="n">
        <v>1213.4</v>
      </c>
      <c r="E11067" s="1" t="n">
        <v>0.0154</v>
      </c>
      <c r="F11067" s="1" t="n">
        <v>0.1067</v>
      </c>
    </row>
    <row r="11068" customFormat="false" ht="15" hidden="false" customHeight="false" outlineLevel="0" collapsed="false">
      <c r="A11068" s="1" t="s">
        <v>11103</v>
      </c>
      <c r="B11068" s="1" t="s">
        <v>26</v>
      </c>
      <c r="C11068" s="1" t="n">
        <v>186000</v>
      </c>
      <c r="D11068" s="1" t="n">
        <v>39650.8</v>
      </c>
      <c r="E11068" s="1" t="n">
        <v>0.0463</v>
      </c>
      <c r="F11068" s="1" t="n">
        <v>0.0672</v>
      </c>
    </row>
    <row r="11069" customFormat="false" ht="15" hidden="false" customHeight="false" outlineLevel="0" collapsed="false">
      <c r="A11069" s="1" t="s">
        <v>11104</v>
      </c>
      <c r="B11069" s="1" t="s">
        <v>92</v>
      </c>
      <c r="C11069" s="1" t="n">
        <v>141000</v>
      </c>
      <c r="D11069" s="1" t="n">
        <v>10762.5</v>
      </c>
      <c r="E11069" s="1" t="n">
        <v>0.0094</v>
      </c>
      <c r="F11069" s="1" t="n">
        <v>0.1539</v>
      </c>
    </row>
    <row r="11070" customFormat="false" ht="15" hidden="false" customHeight="false" outlineLevel="0" collapsed="false">
      <c r="A11070" s="1" t="s">
        <v>11105</v>
      </c>
      <c r="B11070" s="1" t="s">
        <v>74</v>
      </c>
      <c r="C11070" s="1" t="n">
        <v>116000</v>
      </c>
      <c r="D11070" s="1" t="n">
        <v>281.8</v>
      </c>
      <c r="E11070" s="1" t="n">
        <v>0.0549</v>
      </c>
      <c r="F11070" s="1" t="n">
        <v>0.0759</v>
      </c>
    </row>
    <row r="11071" customFormat="false" ht="15" hidden="false" customHeight="false" outlineLevel="0" collapsed="false">
      <c r="A11071" s="1" t="s">
        <v>11106</v>
      </c>
      <c r="B11071" s="1" t="s">
        <v>92</v>
      </c>
      <c r="C11071" s="1" t="n">
        <v>150000</v>
      </c>
      <c r="D11071" s="1" t="n">
        <v>2622.3</v>
      </c>
      <c r="E11071" s="1" t="n">
        <v>0.0196</v>
      </c>
      <c r="F11071" s="1" t="n">
        <v>0.0585</v>
      </c>
    </row>
    <row r="11072" customFormat="false" ht="15" hidden="false" customHeight="false" outlineLevel="0" collapsed="false">
      <c r="A11072" s="1" t="s">
        <v>11107</v>
      </c>
      <c r="B11072" s="1" t="s">
        <v>214</v>
      </c>
      <c r="C11072" s="1" t="n">
        <v>179000</v>
      </c>
      <c r="D11072" s="1" t="n">
        <v>11557.1</v>
      </c>
      <c r="F11072" s="1" t="n">
        <v>0.0951</v>
      </c>
    </row>
    <row r="11073" customFormat="false" ht="15" hidden="false" customHeight="false" outlineLevel="0" collapsed="false">
      <c r="A11073" s="1" t="s">
        <v>11108</v>
      </c>
      <c r="B11073" s="1" t="s">
        <v>92</v>
      </c>
      <c r="C11073" s="1" t="n">
        <v>166000</v>
      </c>
      <c r="D11073" s="1" t="n">
        <v>8079.6</v>
      </c>
      <c r="E11073" s="1" t="n">
        <v>0.0569</v>
      </c>
      <c r="F11073" s="1" t="n">
        <v>0.0759</v>
      </c>
    </row>
    <row r="11074" customFormat="false" ht="15" hidden="false" customHeight="false" outlineLevel="0" collapsed="false">
      <c r="A11074" s="1" t="s">
        <v>11109</v>
      </c>
      <c r="B11074" s="1" t="s">
        <v>88</v>
      </c>
      <c r="C11074" s="1" t="n">
        <v>160000</v>
      </c>
      <c r="D11074" s="1" t="n">
        <v>4788.9</v>
      </c>
      <c r="E11074" s="1" t="n">
        <v>0.028</v>
      </c>
      <c r="F11074" s="1" t="n">
        <v>0.0951</v>
      </c>
    </row>
    <row r="11075" customFormat="false" ht="15" hidden="false" customHeight="false" outlineLevel="0" collapsed="false">
      <c r="A11075" s="1" t="s">
        <v>11110</v>
      </c>
      <c r="B11075" s="1" t="s">
        <v>71</v>
      </c>
      <c r="C11075" s="1" t="n">
        <v>120000</v>
      </c>
      <c r="D11075" s="1" t="n">
        <v>12130.9</v>
      </c>
      <c r="E11075" s="1" t="n">
        <v>0.0445</v>
      </c>
      <c r="F11075" s="1" t="n">
        <v>0.0951</v>
      </c>
    </row>
    <row r="11076" customFormat="false" ht="15" hidden="false" customHeight="false" outlineLevel="0" collapsed="false">
      <c r="A11076" s="1" t="s">
        <v>11111</v>
      </c>
      <c r="B11076" s="1" t="s">
        <v>214</v>
      </c>
      <c r="C11076" s="1" t="n">
        <v>211000</v>
      </c>
      <c r="D11076" s="1" t="n">
        <v>57607</v>
      </c>
      <c r="E11076" s="1" t="n">
        <v>0.0117</v>
      </c>
      <c r="F11076" s="1" t="n">
        <v>0.0462</v>
      </c>
    </row>
    <row r="11077" customFormat="false" ht="15" hidden="false" customHeight="false" outlineLevel="0" collapsed="false">
      <c r="A11077" s="1" t="s">
        <v>11112</v>
      </c>
      <c r="B11077" s="1" t="s">
        <v>41</v>
      </c>
      <c r="C11077" s="1" t="n">
        <v>117000</v>
      </c>
      <c r="D11077" s="1" t="n">
        <v>2906.7</v>
      </c>
      <c r="E11077" s="1" t="n">
        <v>0.0293</v>
      </c>
      <c r="F11077" s="1" t="n">
        <v>0.0951</v>
      </c>
    </row>
    <row r="11078" customFormat="false" ht="15" hidden="false" customHeight="false" outlineLevel="0" collapsed="false">
      <c r="A11078" s="1" t="s">
        <v>11113</v>
      </c>
      <c r="B11078" s="1" t="s">
        <v>88</v>
      </c>
      <c r="C11078" s="1" t="n">
        <v>119000</v>
      </c>
      <c r="D11078" s="1" t="n">
        <v>1975.1</v>
      </c>
      <c r="E11078" s="1" t="n">
        <v>0.0229</v>
      </c>
      <c r="F11078" s="1" t="n">
        <v>0.1067</v>
      </c>
    </row>
    <row r="11079" customFormat="false" ht="15" hidden="false" customHeight="false" outlineLevel="0" collapsed="false">
      <c r="A11079" s="1" t="s">
        <v>11114</v>
      </c>
      <c r="B11079" s="1" t="s">
        <v>62</v>
      </c>
      <c r="C11079" s="1" t="n">
        <v>266000</v>
      </c>
      <c r="D11079" s="1" t="n">
        <v>5453.7</v>
      </c>
      <c r="E11079" s="1" t="n">
        <v>0.0125</v>
      </c>
      <c r="F11079" s="1" t="n">
        <v>0.1452</v>
      </c>
    </row>
    <row r="11080" customFormat="false" ht="15" hidden="false" customHeight="false" outlineLevel="0" collapsed="false">
      <c r="A11080" s="1" t="s">
        <v>11115</v>
      </c>
      <c r="B11080" s="1" t="s">
        <v>92</v>
      </c>
      <c r="C11080" s="1" t="n">
        <v>134000</v>
      </c>
      <c r="D11080" s="1" t="n">
        <v>3342.2</v>
      </c>
      <c r="E11080" s="1" t="n">
        <v>0.0138</v>
      </c>
      <c r="F11080" s="1" t="n">
        <v>0.0775</v>
      </c>
    </row>
    <row r="11081" customFormat="false" ht="15" hidden="false" customHeight="false" outlineLevel="0" collapsed="false">
      <c r="A11081" s="1" t="s">
        <v>11116</v>
      </c>
      <c r="B11081" s="1" t="s">
        <v>88</v>
      </c>
      <c r="C11081" s="1" t="n">
        <v>116000</v>
      </c>
      <c r="D11081" s="1" t="n">
        <v>121.5</v>
      </c>
      <c r="E11081" s="1" t="n">
        <v>0.089</v>
      </c>
      <c r="F11081" s="1" t="n">
        <v>0.0759</v>
      </c>
    </row>
    <row r="11082" customFormat="false" ht="15" hidden="false" customHeight="false" outlineLevel="0" collapsed="false">
      <c r="A11082" s="1" t="s">
        <v>11117</v>
      </c>
      <c r="B11082" s="1" t="s">
        <v>50</v>
      </c>
      <c r="C11082" s="1" t="n">
        <v>344000</v>
      </c>
      <c r="D11082" s="1" t="n">
        <v>7378.4</v>
      </c>
      <c r="E11082" s="1" t="n">
        <v>0.0584</v>
      </c>
      <c r="F11082" s="1" t="n">
        <v>0.0938</v>
      </c>
    </row>
    <row r="11083" customFormat="false" ht="15" hidden="false" customHeight="false" outlineLevel="0" collapsed="false">
      <c r="A11083" s="1" t="s">
        <v>11118</v>
      </c>
      <c r="B11083" s="1" t="s">
        <v>26</v>
      </c>
      <c r="C11083" s="1" t="n">
        <v>116000</v>
      </c>
      <c r="D11083" s="1" t="n">
        <v>11134.2</v>
      </c>
      <c r="E11083" s="1" t="n">
        <v>0.0167</v>
      </c>
      <c r="F11083" s="1" t="n">
        <v>0.1067</v>
      </c>
    </row>
    <row r="11084" customFormat="false" ht="15" hidden="false" customHeight="false" outlineLevel="0" collapsed="false">
      <c r="A11084" s="1" t="s">
        <v>11119</v>
      </c>
      <c r="B11084" s="1" t="s">
        <v>26</v>
      </c>
      <c r="C11084" s="1" t="n">
        <v>306000</v>
      </c>
      <c r="D11084" s="1" t="n">
        <v>456.9</v>
      </c>
      <c r="E11084" s="1" t="n">
        <v>0.0107</v>
      </c>
      <c r="F11084" s="1" t="n">
        <v>0.1471</v>
      </c>
    </row>
    <row r="11085" customFormat="false" ht="15" hidden="false" customHeight="false" outlineLevel="0" collapsed="false">
      <c r="A11085" s="1" t="s">
        <v>11120</v>
      </c>
      <c r="B11085" s="1" t="s">
        <v>24</v>
      </c>
      <c r="C11085" s="1" t="n">
        <v>126000</v>
      </c>
      <c r="D11085" s="1" t="n">
        <v>12588.1</v>
      </c>
      <c r="E11085" s="1" t="n">
        <v>0.0945</v>
      </c>
      <c r="F11085" s="1" t="n">
        <v>0.0951</v>
      </c>
    </row>
    <row r="11086" customFormat="false" ht="15" hidden="false" customHeight="false" outlineLevel="0" collapsed="false">
      <c r="A11086" s="1" t="s">
        <v>11121</v>
      </c>
      <c r="B11086" s="1" t="s">
        <v>74</v>
      </c>
      <c r="C11086" s="1" t="n">
        <v>167000</v>
      </c>
      <c r="F11086" s="1" t="n">
        <v>0.0759</v>
      </c>
    </row>
    <row r="11087" customFormat="false" ht="15" hidden="false" customHeight="false" outlineLevel="0" collapsed="false">
      <c r="A11087" s="1" t="s">
        <v>11122</v>
      </c>
      <c r="B11087" s="1" t="s">
        <v>88</v>
      </c>
      <c r="C11087" s="1" t="n">
        <v>131000</v>
      </c>
      <c r="D11087" s="1" t="n">
        <v>369.7</v>
      </c>
      <c r="E11087" s="1" t="n">
        <v>0.0337</v>
      </c>
      <c r="F11087" s="1" t="n">
        <v>0.0938</v>
      </c>
    </row>
    <row r="11088" customFormat="false" ht="15" hidden="false" customHeight="false" outlineLevel="0" collapsed="false">
      <c r="A11088" s="1" t="s">
        <v>11123</v>
      </c>
      <c r="B11088" s="1" t="s">
        <v>214</v>
      </c>
      <c r="C11088" s="1" t="n">
        <v>124000</v>
      </c>
      <c r="D11088" s="1" t="n">
        <v>573.6</v>
      </c>
      <c r="E11088" s="1" t="n">
        <v>0.0067</v>
      </c>
      <c r="F11088" s="1" t="n">
        <v>0.0811</v>
      </c>
    </row>
    <row r="11089" customFormat="false" ht="15" hidden="false" customHeight="false" outlineLevel="0" collapsed="false">
      <c r="A11089" s="1" t="s">
        <v>11124</v>
      </c>
      <c r="B11089" s="1" t="s">
        <v>35</v>
      </c>
      <c r="C11089" s="1" t="n">
        <v>130000</v>
      </c>
      <c r="D11089" s="1" t="n">
        <v>4334.1</v>
      </c>
      <c r="E11089" s="1" t="n">
        <v>0.0592</v>
      </c>
      <c r="F11089" s="1" t="n">
        <v>0.0951</v>
      </c>
    </row>
    <row r="11090" customFormat="false" ht="15" hidden="false" customHeight="false" outlineLevel="0" collapsed="false">
      <c r="A11090" s="1" t="s">
        <v>11125</v>
      </c>
      <c r="B11090" s="1" t="s">
        <v>41</v>
      </c>
      <c r="C11090" s="1" t="n">
        <v>222000</v>
      </c>
      <c r="D11090" s="1" t="n">
        <v>2328.5</v>
      </c>
      <c r="E11090" s="1" t="n">
        <v>0.0181</v>
      </c>
      <c r="F11090" s="1" t="n">
        <v>0.0608</v>
      </c>
    </row>
    <row r="11091" customFormat="false" ht="15" hidden="false" customHeight="false" outlineLevel="0" collapsed="false">
      <c r="A11091" s="1" t="s">
        <v>11126</v>
      </c>
      <c r="B11091" s="1" t="s">
        <v>88</v>
      </c>
      <c r="C11091" s="1" t="n">
        <v>129000</v>
      </c>
      <c r="D11091" s="1" t="n">
        <v>2970.9</v>
      </c>
      <c r="E11091" s="1" t="n">
        <v>0.0343</v>
      </c>
      <c r="F11091" s="1" t="n">
        <v>0.117</v>
      </c>
    </row>
    <row r="11092" customFormat="false" ht="15" hidden="false" customHeight="false" outlineLevel="0" collapsed="false">
      <c r="A11092" s="1" t="s">
        <v>11127</v>
      </c>
      <c r="B11092" s="1" t="s">
        <v>81</v>
      </c>
      <c r="C11092" s="1" t="n">
        <v>122000</v>
      </c>
      <c r="D11092" s="1" t="n">
        <v>2123</v>
      </c>
      <c r="F11092" s="1" t="n">
        <v>0.0409</v>
      </c>
    </row>
    <row r="11093" customFormat="false" ht="15" hidden="false" customHeight="false" outlineLevel="0" collapsed="false">
      <c r="A11093" s="1" t="s">
        <v>11128</v>
      </c>
      <c r="B11093" s="1" t="s">
        <v>50</v>
      </c>
      <c r="C11093" s="1" t="n">
        <v>117000</v>
      </c>
      <c r="D11093" s="1" t="n">
        <v>2777</v>
      </c>
      <c r="E11093" s="1" t="n">
        <v>0.0312</v>
      </c>
      <c r="F11093" s="1" t="n">
        <v>0.0951</v>
      </c>
    </row>
    <row r="11094" customFormat="false" ht="15" hidden="false" customHeight="false" outlineLevel="0" collapsed="false">
      <c r="A11094" s="1" t="s">
        <v>11129</v>
      </c>
      <c r="B11094" s="1" t="s">
        <v>88</v>
      </c>
      <c r="C11094" s="1" t="n">
        <v>127000</v>
      </c>
      <c r="D11094" s="1" t="n">
        <v>407.4</v>
      </c>
      <c r="E11094" s="1" t="n">
        <v>0.0271</v>
      </c>
      <c r="F11094" s="1" t="n">
        <v>0.0938</v>
      </c>
    </row>
    <row r="11095" customFormat="false" ht="15" hidden="false" customHeight="false" outlineLevel="0" collapsed="false">
      <c r="A11095" s="1" t="s">
        <v>11130</v>
      </c>
      <c r="B11095" s="1" t="s">
        <v>88</v>
      </c>
      <c r="C11095" s="1" t="n">
        <v>138000</v>
      </c>
      <c r="D11095" s="1" t="n">
        <v>14165.6</v>
      </c>
      <c r="E11095" s="1" t="n">
        <v>0.0183</v>
      </c>
      <c r="F11095" s="1" t="n">
        <v>0.1067</v>
      </c>
    </row>
    <row r="11096" customFormat="false" ht="15" hidden="false" customHeight="false" outlineLevel="0" collapsed="false">
      <c r="A11096" s="1" t="s">
        <v>11131</v>
      </c>
      <c r="B11096" s="1" t="s">
        <v>92</v>
      </c>
      <c r="C11096" s="1" t="n">
        <v>271000</v>
      </c>
      <c r="D11096" s="1" t="n">
        <v>6743.2</v>
      </c>
      <c r="F11096" s="1" t="n">
        <v>0.0518</v>
      </c>
    </row>
    <row r="11097" customFormat="false" ht="15" hidden="false" customHeight="false" outlineLevel="0" collapsed="false">
      <c r="A11097" s="1" t="s">
        <v>11132</v>
      </c>
      <c r="B11097" s="1" t="s">
        <v>30</v>
      </c>
      <c r="C11097" s="1" t="n">
        <v>508000</v>
      </c>
      <c r="D11097" s="1" t="n">
        <v>68947.5</v>
      </c>
      <c r="E11097" s="1" t="n">
        <v>0.0064</v>
      </c>
      <c r="F11097" s="1" t="n">
        <v>0.0654</v>
      </c>
    </row>
    <row r="11098" customFormat="false" ht="15" hidden="false" customHeight="false" outlineLevel="0" collapsed="false">
      <c r="A11098" s="1" t="s">
        <v>11133</v>
      </c>
      <c r="B11098" s="1" t="s">
        <v>88</v>
      </c>
      <c r="C11098" s="1" t="n">
        <v>154000</v>
      </c>
      <c r="D11098" s="1" t="n">
        <v>2927.8</v>
      </c>
      <c r="E11098" s="1" t="n">
        <v>0.0562</v>
      </c>
      <c r="F11098" s="1" t="n">
        <v>0.0759</v>
      </c>
    </row>
    <row r="11099" customFormat="false" ht="15" hidden="false" customHeight="false" outlineLevel="0" collapsed="false">
      <c r="A11099" s="1" t="s">
        <v>11134</v>
      </c>
      <c r="B11099" s="1" t="s">
        <v>26</v>
      </c>
      <c r="C11099" s="1" t="n">
        <v>286000</v>
      </c>
      <c r="D11099" s="1" t="n">
        <v>12550.1</v>
      </c>
      <c r="E11099" s="1" t="n">
        <v>0.031</v>
      </c>
      <c r="F11099" s="1" t="n">
        <v>0.0759</v>
      </c>
    </row>
    <row r="11100" customFormat="false" ht="15" hidden="false" customHeight="false" outlineLevel="0" collapsed="false">
      <c r="A11100" s="1" t="s">
        <v>11135</v>
      </c>
      <c r="B11100" s="1" t="s">
        <v>26</v>
      </c>
      <c r="C11100" s="1" t="n">
        <v>112000</v>
      </c>
      <c r="D11100" s="1" t="n">
        <v>42913</v>
      </c>
      <c r="E11100" s="1" t="n">
        <v>0.1712</v>
      </c>
      <c r="F11100" s="1" t="n">
        <v>0.0951</v>
      </c>
    </row>
    <row r="11101" customFormat="false" ht="15" hidden="false" customHeight="false" outlineLevel="0" collapsed="false">
      <c r="A11101" s="1" t="s">
        <v>11136</v>
      </c>
      <c r="B11101" s="1" t="s">
        <v>88</v>
      </c>
      <c r="C11101" s="1" t="n">
        <v>120000</v>
      </c>
      <c r="D11101" s="1" t="n">
        <v>180.3</v>
      </c>
      <c r="E11101" s="1" t="n">
        <v>0.0388</v>
      </c>
      <c r="F11101" s="1" t="n">
        <v>0.0951</v>
      </c>
    </row>
    <row r="11102" customFormat="false" ht="15" hidden="false" customHeight="false" outlineLevel="0" collapsed="false">
      <c r="A11102" s="1" t="s">
        <v>11137</v>
      </c>
      <c r="B11102" s="1" t="s">
        <v>214</v>
      </c>
      <c r="C11102" s="1" t="n">
        <v>121000</v>
      </c>
      <c r="D11102" s="1" t="n">
        <v>1797.9</v>
      </c>
      <c r="E11102" s="1" t="n">
        <v>0.008</v>
      </c>
      <c r="F11102" s="1" t="n">
        <v>0.0659</v>
      </c>
    </row>
    <row r="11103" customFormat="false" ht="15" hidden="false" customHeight="false" outlineLevel="0" collapsed="false">
      <c r="A11103" s="1" t="s">
        <v>11138</v>
      </c>
      <c r="B11103" s="1" t="s">
        <v>74</v>
      </c>
      <c r="C11103" s="1" t="n">
        <v>138000</v>
      </c>
      <c r="D11103" s="1" t="n">
        <v>49115.3</v>
      </c>
      <c r="E11103" s="1" t="n">
        <v>0.0431</v>
      </c>
      <c r="F11103" s="1" t="n">
        <v>0.0951</v>
      </c>
    </row>
    <row r="11104" customFormat="false" ht="15" hidden="false" customHeight="false" outlineLevel="0" collapsed="false">
      <c r="A11104" s="1" t="s">
        <v>11139</v>
      </c>
      <c r="B11104" s="1" t="s">
        <v>53</v>
      </c>
      <c r="C11104" s="1" t="n">
        <v>124000</v>
      </c>
      <c r="D11104" s="1" t="n">
        <v>47355.1</v>
      </c>
      <c r="E11104" s="1" t="n">
        <v>0.025</v>
      </c>
      <c r="F11104" s="1" t="n">
        <v>0.0518</v>
      </c>
    </row>
    <row r="11105" customFormat="false" ht="15" hidden="false" customHeight="false" outlineLevel="0" collapsed="false">
      <c r="A11105" s="1" t="s">
        <v>11140</v>
      </c>
      <c r="B11105" s="1" t="s">
        <v>26</v>
      </c>
      <c r="C11105" s="1" t="n">
        <v>115000</v>
      </c>
      <c r="D11105" s="1" t="n">
        <v>388.4</v>
      </c>
      <c r="E11105" s="1" t="n">
        <v>0.0519</v>
      </c>
      <c r="F11105" s="1" t="n">
        <v>0.3011</v>
      </c>
    </row>
    <row r="11106" customFormat="false" ht="15" hidden="false" customHeight="false" outlineLevel="0" collapsed="false">
      <c r="A11106" s="1" t="s">
        <v>11141</v>
      </c>
      <c r="B11106" s="1" t="s">
        <v>71</v>
      </c>
      <c r="C11106" s="1" t="n">
        <v>140000</v>
      </c>
      <c r="D11106" s="1" t="n">
        <v>4394.1</v>
      </c>
      <c r="E11106" s="1" t="n">
        <v>0.0198</v>
      </c>
      <c r="F11106" s="1" t="n">
        <v>0.1067</v>
      </c>
    </row>
    <row r="11107" customFormat="false" ht="15" hidden="false" customHeight="false" outlineLevel="0" collapsed="false">
      <c r="A11107" s="1" t="s">
        <v>11142</v>
      </c>
      <c r="B11107" s="1" t="s">
        <v>88</v>
      </c>
      <c r="C11107" s="1" t="n">
        <v>115000</v>
      </c>
      <c r="D11107" s="1" t="n">
        <v>5113</v>
      </c>
      <c r="E11107" s="1" t="n">
        <v>0.005</v>
      </c>
      <c r="F11107" s="1" t="n">
        <v>0.0822</v>
      </c>
    </row>
    <row r="11108" customFormat="false" ht="15" hidden="false" customHeight="false" outlineLevel="0" collapsed="false">
      <c r="A11108" s="1" t="s">
        <v>11143</v>
      </c>
      <c r="B11108" s="1" t="s">
        <v>26</v>
      </c>
      <c r="C11108" s="1" t="n">
        <v>126000</v>
      </c>
      <c r="D11108" s="1" t="n">
        <v>2638.1</v>
      </c>
      <c r="E11108" s="1" t="n">
        <v>0.0232</v>
      </c>
      <c r="F11108" s="1" t="n">
        <v>0.0951</v>
      </c>
    </row>
    <row r="11109" customFormat="false" ht="15" hidden="false" customHeight="false" outlineLevel="0" collapsed="false">
      <c r="A11109" s="1" t="s">
        <v>11144</v>
      </c>
      <c r="B11109" s="1" t="s">
        <v>92</v>
      </c>
      <c r="C11109" s="1" t="n">
        <v>165000</v>
      </c>
      <c r="D11109" s="1" t="n">
        <v>7706.8</v>
      </c>
      <c r="E11109" s="1" t="n">
        <v>0.0063</v>
      </c>
      <c r="F11109" s="1" t="n">
        <v>0.0822</v>
      </c>
    </row>
    <row r="11110" customFormat="false" ht="15" hidden="false" customHeight="false" outlineLevel="0" collapsed="false">
      <c r="A11110" s="1" t="s">
        <v>11145</v>
      </c>
      <c r="B11110" s="1" t="s">
        <v>26</v>
      </c>
      <c r="C11110" s="1" t="n">
        <v>204000</v>
      </c>
      <c r="D11110" s="1" t="n">
        <v>69703</v>
      </c>
      <c r="F11110" s="1" t="n">
        <v>0.0951</v>
      </c>
    </row>
    <row r="11111" customFormat="false" ht="15" hidden="false" customHeight="false" outlineLevel="0" collapsed="false">
      <c r="A11111" s="1" t="s">
        <v>11146</v>
      </c>
      <c r="B11111" s="1" t="s">
        <v>26</v>
      </c>
      <c r="C11111" s="1" t="n">
        <v>146000</v>
      </c>
      <c r="D11111" s="1" t="n">
        <v>8074.2</v>
      </c>
      <c r="E11111" s="1" t="n">
        <v>0.0198</v>
      </c>
      <c r="F11111" s="1" t="n">
        <v>0.0462</v>
      </c>
    </row>
    <row r="11112" customFormat="false" ht="15" hidden="false" customHeight="false" outlineLevel="0" collapsed="false">
      <c r="A11112" s="1" t="s">
        <v>11147</v>
      </c>
      <c r="B11112" s="1" t="s">
        <v>26</v>
      </c>
      <c r="C11112" s="1" t="n">
        <v>109000</v>
      </c>
      <c r="D11112" s="1" t="n">
        <v>403.6</v>
      </c>
      <c r="E11112" s="1" t="n">
        <v>0.0263</v>
      </c>
      <c r="F11112" s="1" t="n">
        <v>0.0951</v>
      </c>
    </row>
    <row r="11113" customFormat="false" ht="15" hidden="false" customHeight="false" outlineLevel="0" collapsed="false">
      <c r="A11113" s="1" t="s">
        <v>11148</v>
      </c>
      <c r="B11113" s="1" t="s">
        <v>26</v>
      </c>
      <c r="C11113" s="1" t="n">
        <v>114000</v>
      </c>
      <c r="F11113" s="1" t="n">
        <v>0.0759</v>
      </c>
    </row>
    <row r="11114" customFormat="false" ht="15" hidden="false" customHeight="false" outlineLevel="0" collapsed="false">
      <c r="A11114" s="1" t="s">
        <v>11149</v>
      </c>
      <c r="B11114" s="1" t="s">
        <v>32</v>
      </c>
      <c r="C11114" s="1" t="n">
        <v>128000</v>
      </c>
      <c r="D11114" s="1" t="n">
        <v>1013202</v>
      </c>
      <c r="E11114" s="1" t="n">
        <v>0.0148</v>
      </c>
      <c r="F11114" s="1" t="n">
        <v>0.0585</v>
      </c>
    </row>
    <row r="11115" customFormat="false" ht="15" hidden="false" customHeight="false" outlineLevel="0" collapsed="false">
      <c r="A11115" s="1" t="s">
        <v>11150</v>
      </c>
      <c r="B11115" s="1" t="s">
        <v>62</v>
      </c>
      <c r="C11115" s="1" t="n">
        <v>146000</v>
      </c>
      <c r="D11115" s="1" t="n">
        <v>13322.9</v>
      </c>
      <c r="E11115" s="1" t="n">
        <v>0.0473</v>
      </c>
      <c r="F11115" s="1" t="n">
        <v>0.0409</v>
      </c>
    </row>
    <row r="11116" customFormat="false" ht="15" hidden="false" customHeight="false" outlineLevel="0" collapsed="false">
      <c r="A11116" s="1" t="s">
        <v>11151</v>
      </c>
      <c r="B11116" s="1" t="s">
        <v>26</v>
      </c>
      <c r="C11116" s="1" t="n">
        <v>127000</v>
      </c>
      <c r="D11116" s="1" t="n">
        <v>2136.8</v>
      </c>
      <c r="E11116" s="1" t="n">
        <v>0.0404</v>
      </c>
      <c r="F11116" s="1" t="n">
        <v>0.0759</v>
      </c>
    </row>
    <row r="11117" customFormat="false" ht="15" hidden="false" customHeight="false" outlineLevel="0" collapsed="false">
      <c r="A11117" s="1" t="s">
        <v>11152</v>
      </c>
      <c r="B11117" s="1" t="s">
        <v>214</v>
      </c>
      <c r="C11117" s="1" t="n">
        <v>172000</v>
      </c>
      <c r="D11117" s="1" t="n">
        <v>2415</v>
      </c>
      <c r="E11117" s="1" t="n">
        <v>0.0157</v>
      </c>
      <c r="F11117" s="1" t="n">
        <v>0.577</v>
      </c>
    </row>
    <row r="11118" customFormat="false" ht="15" hidden="false" customHeight="false" outlineLevel="0" collapsed="false">
      <c r="A11118" s="1" t="s">
        <v>11153</v>
      </c>
      <c r="B11118" s="1" t="s">
        <v>62</v>
      </c>
      <c r="C11118" s="1" t="n">
        <v>286000</v>
      </c>
      <c r="D11118" s="1" t="n">
        <v>42569.9</v>
      </c>
      <c r="E11118" s="1" t="n">
        <v>0.0222</v>
      </c>
      <c r="F11118" s="1" t="n">
        <v>0.0759</v>
      </c>
    </row>
    <row r="11119" customFormat="false" ht="15" hidden="false" customHeight="false" outlineLevel="0" collapsed="false">
      <c r="A11119" s="1" t="s">
        <v>11154</v>
      </c>
      <c r="B11119" s="1" t="s">
        <v>53</v>
      </c>
      <c r="C11119" s="1" t="n">
        <v>161000</v>
      </c>
      <c r="D11119" s="1" t="n">
        <v>25204.6</v>
      </c>
      <c r="E11119" s="1" t="n">
        <v>0.0404</v>
      </c>
      <c r="F11119" s="1" t="n">
        <v>0.0951</v>
      </c>
    </row>
    <row r="11120" customFormat="false" ht="15" hidden="false" customHeight="false" outlineLevel="0" collapsed="false">
      <c r="A11120" s="1" t="s">
        <v>11155</v>
      </c>
      <c r="B11120" s="1" t="s">
        <v>62</v>
      </c>
      <c r="C11120" s="1" t="n">
        <v>730000</v>
      </c>
      <c r="D11120" s="1" t="n">
        <v>20366.7</v>
      </c>
      <c r="E11120" s="1" t="n">
        <v>0.0137</v>
      </c>
      <c r="F11120" s="1" t="n">
        <v>0.1053</v>
      </c>
    </row>
    <row r="11121" customFormat="false" ht="15" hidden="false" customHeight="false" outlineLevel="0" collapsed="false">
      <c r="A11121" s="1" t="s">
        <v>11156</v>
      </c>
      <c r="B11121" s="1" t="s">
        <v>92</v>
      </c>
      <c r="C11121" s="1" t="n">
        <v>158000</v>
      </c>
      <c r="D11121" s="1" t="n">
        <v>1455.3</v>
      </c>
      <c r="E11121" s="1" t="n">
        <v>0.0009</v>
      </c>
      <c r="F11121" s="1" t="n">
        <v>0.0811</v>
      </c>
    </row>
    <row r="11122" customFormat="false" ht="15" hidden="false" customHeight="false" outlineLevel="0" collapsed="false">
      <c r="A11122" s="1" t="s">
        <v>11157</v>
      </c>
      <c r="B11122" s="1" t="s">
        <v>92</v>
      </c>
      <c r="C11122" s="1" t="n">
        <v>130000</v>
      </c>
      <c r="D11122" s="1" t="n">
        <v>1095.1</v>
      </c>
      <c r="E11122" s="1" t="n">
        <v>0.0273</v>
      </c>
      <c r="F11122" s="1" t="n">
        <v>0.0951</v>
      </c>
    </row>
    <row r="11123" customFormat="false" ht="15" hidden="false" customHeight="false" outlineLevel="0" collapsed="false">
      <c r="A11123" s="1" t="s">
        <v>11158</v>
      </c>
      <c r="B11123" s="1" t="s">
        <v>88</v>
      </c>
      <c r="C11123" s="1" t="n">
        <v>112000</v>
      </c>
      <c r="D11123" s="1" t="n">
        <v>26.8</v>
      </c>
      <c r="E11123" s="1" t="n">
        <v>0.0069</v>
      </c>
      <c r="F11123" s="1" t="n">
        <v>0.3583</v>
      </c>
    </row>
    <row r="11124" customFormat="false" ht="15" hidden="false" customHeight="false" outlineLevel="0" collapsed="false">
      <c r="A11124" s="1" t="s">
        <v>11159</v>
      </c>
      <c r="B11124" s="1" t="s">
        <v>88</v>
      </c>
      <c r="C11124" s="1" t="n">
        <v>142000</v>
      </c>
      <c r="D11124" s="1" t="n">
        <v>929.9</v>
      </c>
      <c r="E11124" s="1" t="n">
        <v>0.0509</v>
      </c>
      <c r="F11124" s="1" t="n">
        <v>0.0759</v>
      </c>
    </row>
    <row r="11125" customFormat="false" ht="15" hidden="false" customHeight="false" outlineLevel="0" collapsed="false">
      <c r="A11125" s="1" t="s">
        <v>11160</v>
      </c>
      <c r="B11125" s="1" t="s">
        <v>88</v>
      </c>
      <c r="C11125" s="1" t="n">
        <v>127000</v>
      </c>
      <c r="D11125" s="1" t="n">
        <v>530.8</v>
      </c>
      <c r="E11125" s="1" t="n">
        <v>0.0128</v>
      </c>
      <c r="F11125" s="1" t="n">
        <v>0.1886</v>
      </c>
    </row>
    <row r="11126" customFormat="false" ht="15" hidden="false" customHeight="false" outlineLevel="0" collapsed="false">
      <c r="A11126" s="1" t="s">
        <v>11161</v>
      </c>
      <c r="B11126" s="1" t="s">
        <v>88</v>
      </c>
      <c r="C11126" s="1" t="n">
        <v>191000</v>
      </c>
      <c r="D11126" s="1" t="n">
        <v>153.7</v>
      </c>
      <c r="E11126" s="1" t="n">
        <v>0.0081</v>
      </c>
      <c r="F11126" s="1" t="n">
        <v>0.0654</v>
      </c>
    </row>
    <row r="11127" customFormat="false" ht="15" hidden="false" customHeight="false" outlineLevel="0" collapsed="false">
      <c r="A11127" s="1" t="s">
        <v>11162</v>
      </c>
      <c r="B11127" s="1" t="s">
        <v>26</v>
      </c>
      <c r="C11127" s="1" t="n">
        <v>212000</v>
      </c>
      <c r="D11127" s="1" t="n">
        <v>854.7</v>
      </c>
      <c r="F11127" s="1" t="n">
        <v>0.0938</v>
      </c>
    </row>
    <row r="11128" customFormat="false" ht="15" hidden="false" customHeight="false" outlineLevel="0" collapsed="false">
      <c r="A11128" s="1" t="s">
        <v>11163</v>
      </c>
      <c r="B11128" s="1" t="s">
        <v>195</v>
      </c>
      <c r="C11128" s="1" t="n">
        <v>132000</v>
      </c>
      <c r="D11128" s="1" t="n">
        <v>335.6</v>
      </c>
      <c r="E11128" s="1" t="n">
        <v>0.0226</v>
      </c>
      <c r="F11128" s="1" t="n">
        <v>0.1053</v>
      </c>
    </row>
    <row r="11129" customFormat="false" ht="15" hidden="false" customHeight="false" outlineLevel="0" collapsed="false">
      <c r="A11129" s="1" t="s">
        <v>11164</v>
      </c>
      <c r="B11129" s="1" t="s">
        <v>81</v>
      </c>
      <c r="C11129" s="1" t="n">
        <v>228000</v>
      </c>
      <c r="D11129" s="1" t="n">
        <v>22120.2</v>
      </c>
      <c r="E11129" s="1" t="n">
        <v>0.0255</v>
      </c>
      <c r="F11129" s="1" t="n">
        <v>0.0759</v>
      </c>
    </row>
    <row r="11130" customFormat="false" ht="15" hidden="false" customHeight="false" outlineLevel="0" collapsed="false">
      <c r="A11130" s="1" t="s">
        <v>11165</v>
      </c>
      <c r="B11130" s="1" t="s">
        <v>53</v>
      </c>
      <c r="C11130" s="1" t="n">
        <v>166000</v>
      </c>
      <c r="D11130" s="1" t="n">
        <v>42180.4</v>
      </c>
      <c r="E11130" s="1" t="n">
        <v>0.0059</v>
      </c>
      <c r="F11130" s="1" t="n">
        <v>0.0654</v>
      </c>
    </row>
    <row r="11131" customFormat="false" ht="15" hidden="false" customHeight="false" outlineLevel="0" collapsed="false">
      <c r="A11131" s="1" t="s">
        <v>11166</v>
      </c>
      <c r="B11131" s="1" t="s">
        <v>24</v>
      </c>
      <c r="C11131" s="1" t="n">
        <v>127000</v>
      </c>
      <c r="D11131" s="1" t="n">
        <v>1895.2</v>
      </c>
      <c r="E11131" s="1" t="n">
        <v>0.0376</v>
      </c>
      <c r="F11131" s="1" t="n">
        <v>0.1226</v>
      </c>
    </row>
    <row r="11132" customFormat="false" ht="15" hidden="false" customHeight="false" outlineLevel="0" collapsed="false">
      <c r="A11132" s="1" t="s">
        <v>11167</v>
      </c>
      <c r="B11132" s="1" t="s">
        <v>26</v>
      </c>
      <c r="C11132" s="1" t="n">
        <v>121000</v>
      </c>
      <c r="D11132" s="1" t="n">
        <v>18401.2</v>
      </c>
      <c r="E11132" s="1" t="n">
        <v>0.0293</v>
      </c>
      <c r="F11132" s="1" t="n">
        <v>0.0409</v>
      </c>
    </row>
    <row r="11133" customFormat="false" ht="15" hidden="false" customHeight="false" outlineLevel="0" collapsed="false">
      <c r="A11133" s="1" t="s">
        <v>11168</v>
      </c>
      <c r="B11133" s="1" t="s">
        <v>26</v>
      </c>
      <c r="C11133" s="1" t="n">
        <v>683000</v>
      </c>
      <c r="D11133" s="1" t="n">
        <v>9343</v>
      </c>
      <c r="E11133" s="1" t="n">
        <v>0.0358</v>
      </c>
      <c r="F11133" s="1" t="n">
        <v>0.051</v>
      </c>
    </row>
    <row r="11134" customFormat="false" ht="15" hidden="false" customHeight="false" outlineLevel="0" collapsed="false">
      <c r="A11134" s="1" t="s">
        <v>11169</v>
      </c>
      <c r="B11134" s="1" t="s">
        <v>53</v>
      </c>
      <c r="C11134" s="1" t="n">
        <v>113000</v>
      </c>
      <c r="D11134" s="1" t="n">
        <v>1182.1</v>
      </c>
      <c r="E11134" s="1" t="n">
        <v>0.0223</v>
      </c>
      <c r="F11134" s="1" t="n">
        <v>0.0585</v>
      </c>
    </row>
    <row r="11135" customFormat="false" ht="15" hidden="false" customHeight="false" outlineLevel="0" collapsed="false">
      <c r="A11135" s="1" t="s">
        <v>11170</v>
      </c>
      <c r="B11135" s="1" t="s">
        <v>88</v>
      </c>
      <c r="C11135" s="1" t="n">
        <v>112000</v>
      </c>
      <c r="D11135" s="1" t="n">
        <v>1706</v>
      </c>
      <c r="E11135" s="1" t="n">
        <v>0.0345</v>
      </c>
      <c r="F11135" s="1" t="n">
        <v>0.117</v>
      </c>
    </row>
    <row r="11136" customFormat="false" ht="15" hidden="false" customHeight="false" outlineLevel="0" collapsed="false">
      <c r="A11136" s="1" t="s">
        <v>11171</v>
      </c>
      <c r="B11136" s="1" t="s">
        <v>41</v>
      </c>
      <c r="C11136" s="1" t="n">
        <v>112000</v>
      </c>
      <c r="D11136" s="1" t="n">
        <v>601</v>
      </c>
      <c r="E11136" s="1" t="n">
        <v>0.0128</v>
      </c>
      <c r="F11136" s="1" t="n">
        <v>0.131</v>
      </c>
    </row>
    <row r="11137" customFormat="false" ht="15" hidden="false" customHeight="false" outlineLevel="0" collapsed="false">
      <c r="A11137" s="1" t="s">
        <v>11172</v>
      </c>
      <c r="B11137" s="1" t="s">
        <v>71</v>
      </c>
      <c r="C11137" s="1" t="n">
        <v>139000</v>
      </c>
      <c r="D11137" s="1" t="n">
        <v>18300.9</v>
      </c>
      <c r="E11137" s="1" t="n">
        <v>0.0545</v>
      </c>
      <c r="F11137" s="1" t="n">
        <v>0.0759</v>
      </c>
    </row>
    <row r="11138" customFormat="false" ht="15" hidden="false" customHeight="false" outlineLevel="0" collapsed="false">
      <c r="A11138" s="1" t="s">
        <v>11173</v>
      </c>
      <c r="B11138" s="1" t="s">
        <v>88</v>
      </c>
      <c r="C11138" s="1" t="n">
        <v>111000</v>
      </c>
      <c r="D11138" s="1" t="n">
        <v>131.4</v>
      </c>
      <c r="E11138" s="1" t="n">
        <v>0.0223</v>
      </c>
      <c r="F11138" s="1" t="n">
        <v>0.0585</v>
      </c>
    </row>
    <row r="11139" customFormat="false" ht="15" hidden="false" customHeight="false" outlineLevel="0" collapsed="false">
      <c r="A11139" s="1" t="s">
        <v>11174</v>
      </c>
      <c r="B11139" s="1" t="s">
        <v>26</v>
      </c>
      <c r="C11139" s="1" t="n">
        <v>117000</v>
      </c>
      <c r="D11139" s="1" t="n">
        <v>165.5</v>
      </c>
      <c r="F11139" s="1" t="n">
        <v>0.0759</v>
      </c>
    </row>
    <row r="11140" customFormat="false" ht="15" hidden="false" customHeight="false" outlineLevel="0" collapsed="false">
      <c r="A11140" s="1" t="s">
        <v>11175</v>
      </c>
      <c r="B11140" s="1" t="s">
        <v>26</v>
      </c>
      <c r="C11140" s="1" t="n">
        <v>169000</v>
      </c>
      <c r="D11140" s="1" t="n">
        <v>5341.6</v>
      </c>
      <c r="E11140" s="1" t="n">
        <v>0.0384</v>
      </c>
      <c r="F11140" s="1" t="n">
        <v>0.0672</v>
      </c>
    </row>
    <row r="11141" customFormat="false" ht="15" hidden="false" customHeight="false" outlineLevel="0" collapsed="false">
      <c r="A11141" s="1" t="s">
        <v>11176</v>
      </c>
      <c r="B11141" s="1" t="s">
        <v>53</v>
      </c>
      <c r="C11141" s="1" t="n">
        <v>112000</v>
      </c>
      <c r="D11141" s="1" t="n">
        <v>888</v>
      </c>
      <c r="E11141" s="1" t="n">
        <v>0.04</v>
      </c>
      <c r="F11141" s="1" t="n">
        <v>0.0951</v>
      </c>
    </row>
    <row r="11142" customFormat="false" ht="15" hidden="false" customHeight="false" outlineLevel="0" collapsed="false">
      <c r="A11142" s="1" t="s">
        <v>11177</v>
      </c>
      <c r="B11142" s="1" t="s">
        <v>71</v>
      </c>
      <c r="C11142" s="1" t="n">
        <v>112000</v>
      </c>
      <c r="D11142" s="1" t="n">
        <v>18407.5</v>
      </c>
      <c r="E11142" s="1" t="n">
        <v>0.0531</v>
      </c>
      <c r="F11142" s="1" t="n">
        <v>0.0951</v>
      </c>
    </row>
    <row r="11143" customFormat="false" ht="15" hidden="false" customHeight="false" outlineLevel="0" collapsed="false">
      <c r="A11143" s="1" t="s">
        <v>11178</v>
      </c>
      <c r="B11143" s="1" t="s">
        <v>71</v>
      </c>
      <c r="C11143" s="1" t="n">
        <v>116000</v>
      </c>
      <c r="D11143" s="1" t="n">
        <v>135037.1</v>
      </c>
      <c r="E11143" s="1" t="n">
        <v>0.0245</v>
      </c>
      <c r="F11143" s="1" t="n">
        <v>0.0518</v>
      </c>
    </row>
    <row r="11144" customFormat="false" ht="15" hidden="false" customHeight="false" outlineLevel="0" collapsed="false">
      <c r="A11144" s="1" t="s">
        <v>11179</v>
      </c>
      <c r="B11144" s="1" t="s">
        <v>81</v>
      </c>
      <c r="C11144" s="1" t="n">
        <v>149000</v>
      </c>
      <c r="D11144" s="1" t="n">
        <v>1937.2</v>
      </c>
      <c r="E11144" s="1" t="n">
        <v>0.0328</v>
      </c>
      <c r="F11144" s="1" t="n">
        <v>0.0759</v>
      </c>
    </row>
    <row r="11145" customFormat="false" ht="15" hidden="false" customHeight="false" outlineLevel="0" collapsed="false">
      <c r="A11145" s="1" t="s">
        <v>11180</v>
      </c>
      <c r="B11145" s="1" t="s">
        <v>88</v>
      </c>
      <c r="C11145" s="1" t="n">
        <v>128000</v>
      </c>
      <c r="D11145" s="1" t="n">
        <v>124.1</v>
      </c>
      <c r="E11145" s="1" t="n">
        <v>0.0184</v>
      </c>
      <c r="F11145" s="1" t="n">
        <v>0.1372</v>
      </c>
    </row>
    <row r="11146" customFormat="false" ht="15" hidden="false" customHeight="false" outlineLevel="0" collapsed="false">
      <c r="A11146" s="1" t="s">
        <v>11181</v>
      </c>
      <c r="B11146" s="1" t="s">
        <v>26</v>
      </c>
      <c r="C11146" s="1" t="n">
        <v>116000</v>
      </c>
      <c r="D11146" s="1" t="n">
        <v>2811.4</v>
      </c>
      <c r="E11146" s="1" t="n">
        <v>0.0248</v>
      </c>
      <c r="F11146" s="1" t="n">
        <v>0.0951</v>
      </c>
    </row>
    <row r="11147" customFormat="false" ht="15" hidden="false" customHeight="false" outlineLevel="0" collapsed="false">
      <c r="A11147" s="1" t="s">
        <v>11182</v>
      </c>
      <c r="B11147" s="1" t="s">
        <v>62</v>
      </c>
      <c r="C11147" s="1" t="n">
        <v>137000</v>
      </c>
      <c r="D11147" s="1" t="n">
        <v>80446</v>
      </c>
      <c r="E11147" s="1" t="n">
        <v>0.0254</v>
      </c>
      <c r="F11147" s="1" t="n">
        <v>0.0518</v>
      </c>
    </row>
    <row r="11148" customFormat="false" ht="15" hidden="false" customHeight="false" outlineLevel="0" collapsed="false">
      <c r="A11148" s="1" t="s">
        <v>11183</v>
      </c>
      <c r="B11148" s="1" t="s">
        <v>92</v>
      </c>
      <c r="C11148" s="1" t="n">
        <v>116000</v>
      </c>
      <c r="D11148" s="1" t="n">
        <v>1235.1</v>
      </c>
      <c r="E11148" s="1" t="n">
        <v>0.0094</v>
      </c>
      <c r="F11148" s="1" t="n">
        <v>0.1471</v>
      </c>
    </row>
    <row r="11149" customFormat="false" ht="15" hidden="false" customHeight="false" outlineLevel="0" collapsed="false">
      <c r="A11149" s="1" t="s">
        <v>11184</v>
      </c>
      <c r="B11149" s="1" t="s">
        <v>26</v>
      </c>
      <c r="C11149" s="1" t="n">
        <v>143000</v>
      </c>
      <c r="D11149" s="1" t="n">
        <v>6006.1</v>
      </c>
      <c r="E11149" s="1" t="n">
        <v>0.016</v>
      </c>
      <c r="F11149" s="1" t="n">
        <v>0.0854</v>
      </c>
    </row>
    <row r="11150" customFormat="false" ht="15" hidden="false" customHeight="false" outlineLevel="0" collapsed="false">
      <c r="A11150" s="1" t="s">
        <v>11185</v>
      </c>
      <c r="B11150" s="1" t="s">
        <v>50</v>
      </c>
      <c r="C11150" s="1" t="n">
        <v>256000</v>
      </c>
      <c r="D11150" s="1" t="n">
        <v>2759.3</v>
      </c>
      <c r="E11150" s="1" t="n">
        <v>0.0116</v>
      </c>
      <c r="F11150" s="1" t="n">
        <v>0.0462</v>
      </c>
    </row>
    <row r="11151" customFormat="false" ht="15" hidden="false" customHeight="false" outlineLevel="0" collapsed="false">
      <c r="A11151" s="1" t="s">
        <v>11186</v>
      </c>
      <c r="B11151" s="1" t="s">
        <v>74</v>
      </c>
      <c r="C11151" s="1" t="n">
        <v>117000</v>
      </c>
      <c r="D11151" s="1" t="n">
        <v>2225.6</v>
      </c>
      <c r="E11151" s="1" t="n">
        <v>0.0472</v>
      </c>
      <c r="F11151" s="1" t="n">
        <v>0.0759</v>
      </c>
    </row>
    <row r="11152" customFormat="false" ht="15" hidden="false" customHeight="false" outlineLevel="0" collapsed="false">
      <c r="A11152" s="1" t="s">
        <v>11187</v>
      </c>
      <c r="B11152" s="1" t="s">
        <v>74</v>
      </c>
      <c r="C11152" s="1" t="n">
        <v>137000</v>
      </c>
      <c r="D11152" s="1" t="n">
        <v>17145.1</v>
      </c>
      <c r="E11152" s="1" t="n">
        <v>0.0748</v>
      </c>
      <c r="F11152" s="1" t="n">
        <v>0.0759</v>
      </c>
    </row>
    <row r="11153" customFormat="false" ht="15" hidden="false" customHeight="false" outlineLevel="0" collapsed="false">
      <c r="A11153" s="1" t="s">
        <v>11188</v>
      </c>
      <c r="B11153" s="1" t="s">
        <v>88</v>
      </c>
      <c r="C11153" s="1" t="n">
        <v>360000</v>
      </c>
      <c r="D11153" s="1" t="n">
        <v>2859.4</v>
      </c>
      <c r="E11153" s="1" t="n">
        <v>0.0412</v>
      </c>
      <c r="F11153" s="1" t="n">
        <v>0.051</v>
      </c>
    </row>
    <row r="11154" customFormat="false" ht="15" hidden="false" customHeight="false" outlineLevel="0" collapsed="false">
      <c r="A11154" s="1" t="s">
        <v>11189</v>
      </c>
      <c r="B11154" s="1" t="s">
        <v>26</v>
      </c>
      <c r="C11154" s="1" t="n">
        <v>129000</v>
      </c>
      <c r="D11154" s="1" t="n">
        <v>36353.8</v>
      </c>
      <c r="E11154" s="1" t="n">
        <v>0.0145</v>
      </c>
      <c r="F11154" s="1" t="n">
        <v>0.0854</v>
      </c>
    </row>
    <row r="11155" customFormat="false" ht="15" hidden="false" customHeight="false" outlineLevel="0" collapsed="false">
      <c r="A11155" s="1" t="s">
        <v>11190</v>
      </c>
      <c r="B11155" s="1" t="s">
        <v>62</v>
      </c>
      <c r="C11155" s="1" t="n">
        <v>190000</v>
      </c>
      <c r="D11155" s="1" t="n">
        <v>21485.6</v>
      </c>
      <c r="E11155" s="1" t="n">
        <v>0.0792</v>
      </c>
      <c r="F11155" s="1" t="n">
        <v>0.0759</v>
      </c>
    </row>
    <row r="11156" customFormat="false" ht="15" hidden="false" customHeight="false" outlineLevel="0" collapsed="false">
      <c r="A11156" s="1" t="s">
        <v>11191</v>
      </c>
      <c r="B11156" s="1" t="s">
        <v>26</v>
      </c>
      <c r="C11156" s="1" t="n">
        <v>127000</v>
      </c>
      <c r="D11156" s="1" t="n">
        <v>544.3</v>
      </c>
      <c r="E11156" s="1" t="n">
        <v>0.0399</v>
      </c>
      <c r="F11156" s="1" t="n">
        <v>0.1241</v>
      </c>
    </row>
    <row r="11157" customFormat="false" ht="15" hidden="false" customHeight="false" outlineLevel="0" collapsed="false">
      <c r="A11157" s="1" t="s">
        <v>11192</v>
      </c>
      <c r="B11157" s="1" t="s">
        <v>92</v>
      </c>
      <c r="C11157" s="1" t="n">
        <v>172000</v>
      </c>
      <c r="D11157" s="1" t="n">
        <v>11105.3</v>
      </c>
      <c r="E11157" s="1" t="n">
        <v>0.0052</v>
      </c>
      <c r="F11157" s="1" t="n">
        <v>0.0811</v>
      </c>
    </row>
    <row r="11158" customFormat="false" ht="15" hidden="false" customHeight="false" outlineLevel="0" collapsed="false">
      <c r="A11158" s="1" t="s">
        <v>11193</v>
      </c>
      <c r="B11158" s="1" t="s">
        <v>26</v>
      </c>
      <c r="C11158" s="1" t="n">
        <v>117000</v>
      </c>
      <c r="D11158" s="1" t="n">
        <v>2961.6</v>
      </c>
      <c r="E11158" s="1" t="n">
        <v>0.0383</v>
      </c>
      <c r="F11158" s="1" t="n">
        <v>0.0951</v>
      </c>
    </row>
    <row r="11159" customFormat="false" ht="15" hidden="false" customHeight="false" outlineLevel="0" collapsed="false">
      <c r="A11159" s="1" t="s">
        <v>11194</v>
      </c>
      <c r="B11159" s="1" t="s">
        <v>26</v>
      </c>
      <c r="C11159" s="1" t="n">
        <v>120000</v>
      </c>
      <c r="D11159" s="1" t="n">
        <v>24752.3</v>
      </c>
      <c r="E11159" s="1" t="n">
        <v>0.0376</v>
      </c>
      <c r="F11159" s="1" t="n">
        <v>0.0518</v>
      </c>
    </row>
    <row r="11160" customFormat="false" ht="15" hidden="false" customHeight="false" outlineLevel="0" collapsed="false">
      <c r="A11160" s="1" t="s">
        <v>11195</v>
      </c>
      <c r="B11160" s="1" t="s">
        <v>88</v>
      </c>
      <c r="C11160" s="1" t="n">
        <v>134000</v>
      </c>
      <c r="D11160" s="1" t="n">
        <v>3294.3</v>
      </c>
      <c r="E11160" s="1" t="n">
        <v>0.0386</v>
      </c>
      <c r="F11160" s="1" t="n">
        <v>0.0951</v>
      </c>
    </row>
    <row r="11161" customFormat="false" ht="15" hidden="false" customHeight="false" outlineLevel="0" collapsed="false">
      <c r="A11161" s="1" t="s">
        <v>11196</v>
      </c>
      <c r="B11161" s="1" t="s">
        <v>26</v>
      </c>
      <c r="C11161" s="1" t="n">
        <v>173000</v>
      </c>
      <c r="D11161" s="1" t="n">
        <v>84021</v>
      </c>
      <c r="E11161" s="1" t="n">
        <v>0.018</v>
      </c>
      <c r="F11161" s="1" t="n">
        <v>0.0462</v>
      </c>
    </row>
    <row r="11162" customFormat="false" ht="15" hidden="false" customHeight="false" outlineLevel="0" collapsed="false">
      <c r="A11162" s="1" t="s">
        <v>11197</v>
      </c>
      <c r="B11162" s="1" t="s">
        <v>74</v>
      </c>
      <c r="C11162" s="1" t="n">
        <v>114000</v>
      </c>
      <c r="D11162" s="1" t="n">
        <v>16241</v>
      </c>
      <c r="E11162" s="1" t="n">
        <v>0.022</v>
      </c>
      <c r="F11162" s="1" t="n">
        <v>0.0951</v>
      </c>
    </row>
    <row r="11163" customFormat="false" ht="15" hidden="false" customHeight="false" outlineLevel="0" collapsed="false">
      <c r="A11163" s="1" t="s">
        <v>11198</v>
      </c>
      <c r="B11163" s="1" t="s">
        <v>26</v>
      </c>
      <c r="C11163" s="1" t="n">
        <v>113000</v>
      </c>
      <c r="D11163" s="1" t="n">
        <v>3197.7</v>
      </c>
      <c r="E11163" s="1" t="n">
        <v>0.0118</v>
      </c>
      <c r="F11163" s="1" t="n">
        <v>0.0822</v>
      </c>
    </row>
    <row r="11164" customFormat="false" ht="15" hidden="false" customHeight="false" outlineLevel="0" collapsed="false">
      <c r="A11164" s="1" t="s">
        <v>11199</v>
      </c>
      <c r="B11164" s="1" t="s">
        <v>195</v>
      </c>
      <c r="C11164" s="1" t="n">
        <v>149000</v>
      </c>
      <c r="D11164" s="1" t="n">
        <v>13689.7</v>
      </c>
      <c r="E11164" s="1" t="n">
        <v>0.0187</v>
      </c>
      <c r="F11164" s="1" t="n">
        <v>0.1067</v>
      </c>
    </row>
    <row r="11165" customFormat="false" ht="15" hidden="false" customHeight="false" outlineLevel="0" collapsed="false">
      <c r="A11165" s="1" t="s">
        <v>11200</v>
      </c>
      <c r="B11165" s="1" t="s">
        <v>26</v>
      </c>
      <c r="C11165" s="1" t="n">
        <v>116000</v>
      </c>
      <c r="D11165" s="1" t="n">
        <v>1318.1</v>
      </c>
      <c r="E11165" s="1" t="n">
        <v>0.021</v>
      </c>
      <c r="F11165" s="1" t="n">
        <v>0.1543</v>
      </c>
    </row>
    <row r="11166" customFormat="false" ht="15" hidden="false" customHeight="false" outlineLevel="0" collapsed="false">
      <c r="A11166" s="1" t="s">
        <v>11201</v>
      </c>
      <c r="B11166" s="1" t="s">
        <v>26</v>
      </c>
      <c r="C11166" s="1" t="n">
        <v>154000</v>
      </c>
      <c r="D11166" s="1" t="n">
        <v>363793</v>
      </c>
      <c r="E11166" s="1" t="n">
        <v>0.0739</v>
      </c>
      <c r="F11166" s="1" t="n">
        <v>0.0759</v>
      </c>
    </row>
    <row r="11167" customFormat="false" ht="15" hidden="false" customHeight="false" outlineLevel="0" collapsed="false">
      <c r="A11167" s="1" t="s">
        <v>11202</v>
      </c>
      <c r="B11167" s="1" t="s">
        <v>26</v>
      </c>
      <c r="C11167" s="1" t="n">
        <v>470000</v>
      </c>
      <c r="D11167" s="1" t="n">
        <v>346170.2</v>
      </c>
      <c r="E11167" s="1" t="n">
        <v>0.0294</v>
      </c>
      <c r="F11167" s="1" t="n">
        <v>0.0409</v>
      </c>
    </row>
    <row r="11168" customFormat="false" ht="15" hidden="false" customHeight="false" outlineLevel="0" collapsed="false">
      <c r="A11168" s="1" t="s">
        <v>11203</v>
      </c>
      <c r="B11168" s="1" t="s">
        <v>26</v>
      </c>
      <c r="C11168" s="1" t="n">
        <v>146000</v>
      </c>
      <c r="D11168" s="1" t="n">
        <v>98.6</v>
      </c>
      <c r="E11168" s="1" t="n">
        <v>0.0504</v>
      </c>
      <c r="F11168" s="1" t="n">
        <v>0.1241</v>
      </c>
    </row>
    <row r="11169" customFormat="false" ht="15" hidden="false" customHeight="false" outlineLevel="0" collapsed="false">
      <c r="A11169" s="1" t="s">
        <v>11204</v>
      </c>
      <c r="B11169" s="1" t="s">
        <v>81</v>
      </c>
      <c r="C11169" s="1" t="n">
        <v>115000</v>
      </c>
      <c r="D11169" s="1" t="n">
        <v>13701.9</v>
      </c>
      <c r="E11169" s="1" t="n">
        <v>0.0234</v>
      </c>
      <c r="F11169" s="1" t="n">
        <v>0.0951</v>
      </c>
    </row>
    <row r="11170" customFormat="false" ht="15" hidden="false" customHeight="false" outlineLevel="0" collapsed="false">
      <c r="A11170" s="1" t="s">
        <v>11205</v>
      </c>
      <c r="B11170" s="1" t="s">
        <v>41</v>
      </c>
      <c r="C11170" s="1" t="n">
        <v>118000</v>
      </c>
      <c r="D11170" s="1" t="n">
        <v>105.1</v>
      </c>
      <c r="E11170" s="1" t="n">
        <v>0.0381</v>
      </c>
      <c r="F11170" s="1" t="n">
        <v>0.5419</v>
      </c>
    </row>
    <row r="11171" customFormat="false" ht="15" hidden="false" customHeight="false" outlineLevel="0" collapsed="false">
      <c r="A11171" s="1" t="s">
        <v>11206</v>
      </c>
      <c r="B11171" s="1" t="s">
        <v>50</v>
      </c>
      <c r="C11171" s="1" t="n">
        <v>192000</v>
      </c>
      <c r="D11171" s="1" t="n">
        <v>2241.8</v>
      </c>
      <c r="E11171" s="1" t="n">
        <v>0.0155</v>
      </c>
      <c r="F11171" s="1" t="n">
        <v>0.0585</v>
      </c>
    </row>
    <row r="11172" customFormat="false" ht="15" hidden="false" customHeight="false" outlineLevel="0" collapsed="false">
      <c r="A11172" s="1" t="s">
        <v>11207</v>
      </c>
      <c r="B11172" s="1" t="s">
        <v>32</v>
      </c>
      <c r="C11172" s="1" t="n">
        <v>397000</v>
      </c>
      <c r="D11172" s="1" t="n">
        <v>198.2</v>
      </c>
      <c r="E11172" s="1" t="n">
        <v>0.0163</v>
      </c>
      <c r="F11172" s="1" t="n">
        <v>0.0576</v>
      </c>
    </row>
    <row r="11173" customFormat="false" ht="15" hidden="false" customHeight="false" outlineLevel="0" collapsed="false">
      <c r="A11173" s="1" t="s">
        <v>11208</v>
      </c>
      <c r="B11173" s="1" t="s">
        <v>53</v>
      </c>
      <c r="C11173" s="1" t="n">
        <v>109000</v>
      </c>
      <c r="D11173" s="1" t="n">
        <v>307.9</v>
      </c>
      <c r="E11173" s="1" t="n">
        <v>0.0803</v>
      </c>
      <c r="F11173" s="1" t="n">
        <v>0.452</v>
      </c>
    </row>
    <row r="11174" customFormat="false" ht="15" hidden="false" customHeight="false" outlineLevel="0" collapsed="false">
      <c r="A11174" s="1" t="s">
        <v>11209</v>
      </c>
      <c r="B11174" s="1" t="s">
        <v>214</v>
      </c>
      <c r="C11174" s="1" t="n">
        <v>231000</v>
      </c>
      <c r="D11174" s="1" t="n">
        <v>6936.4</v>
      </c>
      <c r="E11174" s="1" t="n">
        <v>0.0091</v>
      </c>
      <c r="F11174" s="1" t="n">
        <v>0.0654</v>
      </c>
    </row>
    <row r="11175" customFormat="false" ht="15" hidden="false" customHeight="false" outlineLevel="0" collapsed="false">
      <c r="A11175" s="1" t="s">
        <v>11210</v>
      </c>
      <c r="B11175" s="1" t="s">
        <v>32</v>
      </c>
      <c r="C11175" s="1" t="n">
        <v>115000</v>
      </c>
      <c r="D11175" s="1" t="n">
        <v>96</v>
      </c>
      <c r="E11175" s="1" t="n">
        <v>0.1125</v>
      </c>
      <c r="F11175" s="1" t="n">
        <v>0.0759</v>
      </c>
    </row>
    <row r="11176" customFormat="false" ht="15" hidden="false" customHeight="false" outlineLevel="0" collapsed="false">
      <c r="A11176" s="1" t="s">
        <v>11211</v>
      </c>
      <c r="B11176" s="1" t="s">
        <v>26</v>
      </c>
      <c r="C11176" s="1" t="n">
        <v>1720000</v>
      </c>
      <c r="D11176" s="1" t="n">
        <v>2094514.4</v>
      </c>
      <c r="E11176" s="1" t="n">
        <v>0.0464</v>
      </c>
      <c r="F11176" s="1" t="n">
        <v>0.0409</v>
      </c>
    </row>
    <row r="11177" customFormat="false" ht="15" hidden="false" customHeight="false" outlineLevel="0" collapsed="false">
      <c r="A11177" s="1" t="s">
        <v>11212</v>
      </c>
      <c r="B11177" s="1" t="s">
        <v>88</v>
      </c>
      <c r="C11177" s="1" t="n">
        <v>168000</v>
      </c>
      <c r="D11177" s="1" t="n">
        <v>2166.8</v>
      </c>
      <c r="E11177" s="1" t="n">
        <v>0.0308</v>
      </c>
      <c r="F11177" s="1" t="n">
        <v>0.0938</v>
      </c>
    </row>
    <row r="11178" customFormat="false" ht="15" hidden="false" customHeight="false" outlineLevel="0" collapsed="false">
      <c r="A11178" s="1" t="s">
        <v>11213</v>
      </c>
      <c r="B11178" s="1" t="s">
        <v>88</v>
      </c>
      <c r="C11178" s="1" t="n">
        <v>512000</v>
      </c>
      <c r="D11178" s="1" t="n">
        <v>11995.5</v>
      </c>
      <c r="E11178" s="1" t="n">
        <v>0.0295</v>
      </c>
      <c r="F11178" s="1" t="n">
        <v>0.1226</v>
      </c>
    </row>
    <row r="11179" customFormat="false" ht="15" hidden="false" customHeight="false" outlineLevel="0" collapsed="false">
      <c r="A11179" s="1" t="s">
        <v>11214</v>
      </c>
      <c r="B11179" s="1" t="s">
        <v>71</v>
      </c>
      <c r="C11179" s="1" t="n">
        <v>118000</v>
      </c>
      <c r="D11179" s="1" t="n">
        <v>25095.6</v>
      </c>
      <c r="E11179" s="1" t="n">
        <v>0.0197</v>
      </c>
      <c r="F11179" s="1" t="n">
        <v>0.1067</v>
      </c>
    </row>
    <row r="11180" customFormat="false" ht="15" hidden="false" customHeight="false" outlineLevel="0" collapsed="false">
      <c r="A11180" s="1" t="s">
        <v>11215</v>
      </c>
      <c r="B11180" s="1" t="s">
        <v>88</v>
      </c>
      <c r="C11180" s="1" t="n">
        <v>112000</v>
      </c>
      <c r="D11180" s="1" t="n">
        <v>3511.4</v>
      </c>
      <c r="E11180" s="1" t="n">
        <v>0.0164</v>
      </c>
      <c r="F11180" s="1" t="n">
        <v>0.1886</v>
      </c>
    </row>
    <row r="11181" customFormat="false" ht="15" hidden="false" customHeight="false" outlineLevel="0" collapsed="false">
      <c r="A11181" s="1" t="s">
        <v>11216</v>
      </c>
      <c r="B11181" s="1" t="s">
        <v>50</v>
      </c>
      <c r="C11181" s="1" t="n">
        <v>157000</v>
      </c>
      <c r="D11181" s="1" t="n">
        <v>23938.9</v>
      </c>
      <c r="E11181" s="1" t="n">
        <v>0.0576</v>
      </c>
      <c r="F11181" s="1" t="n">
        <v>0.0951</v>
      </c>
    </row>
    <row r="11182" customFormat="false" ht="15" hidden="false" customHeight="false" outlineLevel="0" collapsed="false">
      <c r="A11182" s="1" t="s">
        <v>11217</v>
      </c>
      <c r="B11182" s="1" t="s">
        <v>92</v>
      </c>
      <c r="C11182" s="1" t="n">
        <v>122000</v>
      </c>
      <c r="D11182" s="1" t="n">
        <v>12646.4</v>
      </c>
      <c r="E11182" s="1" t="n">
        <v>0.0312</v>
      </c>
      <c r="F11182" s="1" t="n">
        <v>0.0951</v>
      </c>
    </row>
    <row r="11183" customFormat="false" ht="15" hidden="false" customHeight="false" outlineLevel="0" collapsed="false">
      <c r="A11183" s="1" t="s">
        <v>11218</v>
      </c>
      <c r="B11183" s="1" t="s">
        <v>35</v>
      </c>
      <c r="C11183" s="1" t="n">
        <v>222000</v>
      </c>
      <c r="D11183" s="1" t="n">
        <v>233825.8</v>
      </c>
      <c r="E11183" s="1" t="n">
        <v>0.0182</v>
      </c>
      <c r="F11183" s="1" t="n">
        <v>0.0854</v>
      </c>
    </row>
    <row r="11184" customFormat="false" ht="15" hidden="false" customHeight="false" outlineLevel="0" collapsed="false">
      <c r="A11184" s="1" t="s">
        <v>11219</v>
      </c>
      <c r="B11184" s="1" t="s">
        <v>26</v>
      </c>
      <c r="C11184" s="1" t="n">
        <v>113000</v>
      </c>
      <c r="D11184" s="1" t="n">
        <v>302040.9</v>
      </c>
      <c r="E11184" s="1" t="n">
        <v>0.0077</v>
      </c>
      <c r="F11184" s="1" t="n">
        <v>0.0822</v>
      </c>
    </row>
    <row r="11185" customFormat="false" ht="15" hidden="false" customHeight="false" outlineLevel="0" collapsed="false">
      <c r="A11185" s="1" t="s">
        <v>11220</v>
      </c>
      <c r="B11185" s="1" t="s">
        <v>88</v>
      </c>
      <c r="C11185" s="1" t="n">
        <v>116000</v>
      </c>
      <c r="D11185" s="1" t="n">
        <v>582314.9</v>
      </c>
      <c r="E11185" s="1" t="n">
        <v>0.0069</v>
      </c>
      <c r="F11185" s="1" t="n">
        <v>0.0811</v>
      </c>
    </row>
    <row r="11186" customFormat="false" ht="15" hidden="false" customHeight="false" outlineLevel="0" collapsed="false">
      <c r="A11186" s="1" t="s">
        <v>11221</v>
      </c>
      <c r="B11186" s="1" t="s">
        <v>24</v>
      </c>
      <c r="C11186" s="1" t="n">
        <v>185000</v>
      </c>
      <c r="D11186" s="1" t="n">
        <v>284.2</v>
      </c>
      <c r="E11186" s="1" t="n">
        <v>0.0096</v>
      </c>
      <c r="F11186" s="1" t="n">
        <v>0.3328</v>
      </c>
    </row>
    <row r="11187" customFormat="false" ht="15" hidden="false" customHeight="false" outlineLevel="0" collapsed="false">
      <c r="A11187" s="1" t="s">
        <v>11222</v>
      </c>
      <c r="B11187" s="1" t="s">
        <v>32</v>
      </c>
      <c r="C11187" s="1" t="n">
        <v>110000</v>
      </c>
      <c r="D11187" s="1" t="n">
        <v>256.8</v>
      </c>
      <c r="E11187" s="1" t="n">
        <v>0.0108</v>
      </c>
      <c r="F11187" s="1" t="n">
        <v>0.0822</v>
      </c>
    </row>
    <row r="11188" customFormat="false" ht="15" hidden="false" customHeight="false" outlineLevel="0" collapsed="false">
      <c r="A11188" s="1" t="s">
        <v>11223</v>
      </c>
      <c r="B11188" s="1" t="s">
        <v>214</v>
      </c>
      <c r="C11188" s="1" t="n">
        <v>129000</v>
      </c>
      <c r="D11188" s="1" t="n">
        <v>1166.8</v>
      </c>
      <c r="E11188" s="1" t="n">
        <v>0.0157</v>
      </c>
      <c r="F11188" s="1" t="n">
        <v>0.1523</v>
      </c>
    </row>
    <row r="11189" customFormat="false" ht="15" hidden="false" customHeight="false" outlineLevel="0" collapsed="false">
      <c r="A11189" s="1" t="s">
        <v>11224</v>
      </c>
      <c r="B11189" s="1" t="s">
        <v>490</v>
      </c>
      <c r="C11189" s="1" t="n">
        <v>117000</v>
      </c>
      <c r="D11189" s="1" t="n">
        <v>768.1</v>
      </c>
      <c r="E11189" s="1" t="n">
        <v>0.0113</v>
      </c>
      <c r="F11189" s="1" t="n">
        <v>0.0654</v>
      </c>
    </row>
    <row r="11190" customFormat="false" ht="15" hidden="false" customHeight="false" outlineLevel="0" collapsed="false">
      <c r="A11190" s="1" t="s">
        <v>11225</v>
      </c>
      <c r="B11190" s="1" t="s">
        <v>26</v>
      </c>
      <c r="C11190" s="1" t="n">
        <v>122000</v>
      </c>
      <c r="D11190" s="1" t="n">
        <v>6790.8</v>
      </c>
      <c r="E11190" s="1" t="n">
        <v>0.0503</v>
      </c>
      <c r="F11190" s="1" t="n">
        <v>0.0759</v>
      </c>
    </row>
    <row r="11191" customFormat="false" ht="15" hidden="false" customHeight="false" outlineLevel="0" collapsed="false">
      <c r="A11191" s="1" t="s">
        <v>11226</v>
      </c>
      <c r="B11191" s="1" t="s">
        <v>26</v>
      </c>
      <c r="C11191" s="1" t="n">
        <v>153000</v>
      </c>
      <c r="D11191" s="1" t="n">
        <v>306592.1</v>
      </c>
      <c r="E11191" s="1" t="n">
        <v>0.0091</v>
      </c>
      <c r="F11191" s="1" t="n">
        <v>0.0822</v>
      </c>
    </row>
    <row r="11192" customFormat="false" ht="15" hidden="false" customHeight="false" outlineLevel="0" collapsed="false">
      <c r="A11192" s="1" t="s">
        <v>11227</v>
      </c>
      <c r="B11192" s="1" t="s">
        <v>26</v>
      </c>
      <c r="C11192" s="1" t="n">
        <v>170000</v>
      </c>
      <c r="D11192" s="1" t="n">
        <v>112101.9</v>
      </c>
      <c r="E11192" s="1" t="n">
        <v>0.0214</v>
      </c>
      <c r="F11192" s="1" t="n">
        <v>0.0518</v>
      </c>
    </row>
    <row r="11193" customFormat="false" ht="15" hidden="false" customHeight="false" outlineLevel="0" collapsed="false">
      <c r="A11193" s="1" t="s">
        <v>11228</v>
      </c>
      <c r="B11193" s="1" t="s">
        <v>88</v>
      </c>
      <c r="C11193" s="1" t="n">
        <v>130000</v>
      </c>
      <c r="D11193" s="1" t="n">
        <v>188.7</v>
      </c>
      <c r="E11193" s="1" t="n">
        <v>0.0555</v>
      </c>
      <c r="F11193" s="1" t="n">
        <v>0.0938</v>
      </c>
    </row>
    <row r="11194" customFormat="false" ht="15" hidden="false" customHeight="false" outlineLevel="0" collapsed="false">
      <c r="A11194" s="1" t="s">
        <v>11229</v>
      </c>
      <c r="B11194" s="1" t="s">
        <v>74</v>
      </c>
      <c r="C11194" s="1" t="n">
        <v>168000</v>
      </c>
      <c r="D11194" s="1" t="n">
        <v>8444.6</v>
      </c>
      <c r="E11194" s="1" t="n">
        <v>0.0193</v>
      </c>
      <c r="F11194" s="1" t="n">
        <v>0.1053</v>
      </c>
    </row>
    <row r="11195" customFormat="false" ht="15" hidden="false" customHeight="false" outlineLevel="0" collapsed="false">
      <c r="A11195" s="1" t="s">
        <v>11230</v>
      </c>
      <c r="B11195" s="1" t="s">
        <v>21</v>
      </c>
      <c r="C11195" s="1" t="n">
        <v>144000</v>
      </c>
      <c r="D11195" s="1" t="n">
        <v>49761.8</v>
      </c>
      <c r="E11195" s="1" t="n">
        <v>0.037</v>
      </c>
      <c r="F11195" s="1" t="n">
        <v>0.0951</v>
      </c>
    </row>
    <row r="11196" customFormat="false" ht="15" hidden="false" customHeight="false" outlineLevel="0" collapsed="false">
      <c r="A11196" s="1" t="s">
        <v>11231</v>
      </c>
      <c r="B11196" s="1" t="s">
        <v>41</v>
      </c>
      <c r="C11196" s="1" t="n">
        <v>126000</v>
      </c>
      <c r="D11196" s="1" t="n">
        <v>19071.9</v>
      </c>
      <c r="E11196" s="1" t="n">
        <v>0.0497</v>
      </c>
      <c r="F11196" s="1" t="n">
        <v>0.0833</v>
      </c>
    </row>
    <row r="11197" customFormat="false" ht="15" hidden="false" customHeight="false" outlineLevel="0" collapsed="false">
      <c r="A11197" s="1" t="s">
        <v>11232</v>
      </c>
      <c r="B11197" s="1" t="s">
        <v>62</v>
      </c>
      <c r="C11197" s="1" t="n">
        <v>132000</v>
      </c>
      <c r="D11197" s="1" t="n">
        <v>9132</v>
      </c>
      <c r="E11197" s="1" t="n">
        <v>0.0381</v>
      </c>
      <c r="F11197" s="1" t="n">
        <v>0.0518</v>
      </c>
    </row>
    <row r="11198" customFormat="false" ht="15" hidden="false" customHeight="false" outlineLevel="0" collapsed="false">
      <c r="A11198" s="1" t="s">
        <v>11233</v>
      </c>
      <c r="B11198" s="1" t="s">
        <v>41</v>
      </c>
      <c r="C11198" s="1" t="n">
        <v>188000</v>
      </c>
      <c r="D11198" s="1" t="n">
        <v>99.2</v>
      </c>
      <c r="E11198" s="1" t="n">
        <v>0.0059</v>
      </c>
      <c r="F11198" s="1" t="n">
        <v>0.168</v>
      </c>
    </row>
    <row r="11199" customFormat="false" ht="15" hidden="false" customHeight="false" outlineLevel="0" collapsed="false">
      <c r="A11199" s="1" t="s">
        <v>11234</v>
      </c>
      <c r="B11199" s="1" t="s">
        <v>24</v>
      </c>
      <c r="C11199" s="1" t="n">
        <v>185000</v>
      </c>
      <c r="D11199" s="1" t="n">
        <v>898.4</v>
      </c>
      <c r="E11199" s="1" t="n">
        <v>0.0564</v>
      </c>
      <c r="F11199" s="1" t="n">
        <v>0.0759</v>
      </c>
    </row>
    <row r="11200" customFormat="false" ht="15" hidden="false" customHeight="false" outlineLevel="0" collapsed="false">
      <c r="A11200" s="1" t="s">
        <v>11235</v>
      </c>
      <c r="B11200" s="1" t="s">
        <v>74</v>
      </c>
      <c r="C11200" s="1" t="n">
        <v>231000</v>
      </c>
      <c r="D11200" s="1" t="n">
        <v>1599.2</v>
      </c>
      <c r="E11200" s="1" t="n">
        <v>0.0718</v>
      </c>
      <c r="F11200" s="1" t="n">
        <v>0.0938</v>
      </c>
    </row>
    <row r="11201" customFormat="false" ht="15" hidden="false" customHeight="false" outlineLevel="0" collapsed="false">
      <c r="A11201" s="1" t="s">
        <v>11236</v>
      </c>
      <c r="B11201" s="1" t="s">
        <v>28</v>
      </c>
      <c r="C11201" s="1" t="n">
        <v>113000</v>
      </c>
      <c r="D11201" s="1" t="n">
        <v>752.3</v>
      </c>
      <c r="E11201" s="1" t="n">
        <v>0.0209</v>
      </c>
      <c r="F11201" s="1" t="n">
        <v>0.0951</v>
      </c>
    </row>
    <row r="11202" customFormat="false" ht="15" hidden="false" customHeight="false" outlineLevel="0" collapsed="false">
      <c r="A11202" s="1" t="s">
        <v>11237</v>
      </c>
      <c r="B11202" s="1" t="s">
        <v>74</v>
      </c>
      <c r="C11202" s="1" t="n">
        <v>221000</v>
      </c>
      <c r="D11202" s="1" t="n">
        <v>12727.3</v>
      </c>
      <c r="E11202" s="1" t="n">
        <v>0.0285</v>
      </c>
      <c r="F11202" s="1" t="n">
        <v>0.0759</v>
      </c>
    </row>
    <row r="11203" customFormat="false" ht="15" hidden="false" customHeight="false" outlineLevel="0" collapsed="false">
      <c r="A11203" s="1" t="s">
        <v>11238</v>
      </c>
      <c r="B11203" s="1" t="s">
        <v>24</v>
      </c>
      <c r="C11203" s="1" t="n">
        <v>137000</v>
      </c>
      <c r="D11203" s="1" t="n">
        <v>5741.4</v>
      </c>
      <c r="E11203" s="1" t="n">
        <v>0.0142</v>
      </c>
      <c r="F11203" s="1" t="n">
        <v>0.0462</v>
      </c>
    </row>
    <row r="11204" customFormat="false" ht="15" hidden="false" customHeight="false" outlineLevel="0" collapsed="false">
      <c r="A11204" s="1" t="s">
        <v>11239</v>
      </c>
      <c r="B11204" s="1" t="s">
        <v>26</v>
      </c>
      <c r="C11204" s="1" t="n">
        <v>178000</v>
      </c>
      <c r="D11204" s="1" t="n">
        <v>85829.3</v>
      </c>
      <c r="E11204" s="1" t="n">
        <v>0.0565</v>
      </c>
      <c r="F11204" s="1" t="n">
        <v>0.0518</v>
      </c>
    </row>
    <row r="11205" customFormat="false" ht="15" hidden="false" customHeight="false" outlineLevel="0" collapsed="false">
      <c r="A11205" s="1" t="s">
        <v>11240</v>
      </c>
      <c r="B11205" s="1" t="s">
        <v>88</v>
      </c>
      <c r="C11205" s="1" t="n">
        <v>201000</v>
      </c>
      <c r="D11205" s="1" t="n">
        <v>13502.5</v>
      </c>
      <c r="E11205" s="1" t="n">
        <v>0.0271</v>
      </c>
      <c r="F11205" s="1" t="n">
        <v>0.117</v>
      </c>
    </row>
    <row r="11206" customFormat="false" ht="15" hidden="false" customHeight="false" outlineLevel="0" collapsed="false">
      <c r="A11206" s="1" t="s">
        <v>11241</v>
      </c>
      <c r="B11206" s="1" t="s">
        <v>214</v>
      </c>
      <c r="C11206" s="1" t="n">
        <v>139000</v>
      </c>
      <c r="D11206" s="1" t="n">
        <v>8603.6</v>
      </c>
      <c r="E11206" s="1" t="n">
        <v>0.0096</v>
      </c>
      <c r="F11206" s="1" t="n">
        <v>0.1471</v>
      </c>
    </row>
    <row r="11207" customFormat="false" ht="15" hidden="false" customHeight="false" outlineLevel="0" collapsed="false">
      <c r="A11207" s="1" t="s">
        <v>11242</v>
      </c>
      <c r="B11207" s="1" t="s">
        <v>92</v>
      </c>
      <c r="C11207" s="1" t="n">
        <v>171000</v>
      </c>
      <c r="D11207" s="1" t="n">
        <v>17845.4</v>
      </c>
      <c r="E11207" s="1" t="n">
        <v>0.0333</v>
      </c>
      <c r="F11207" s="1" t="n">
        <v>0.0951</v>
      </c>
    </row>
    <row r="11208" customFormat="false" ht="15" hidden="false" customHeight="false" outlineLevel="0" collapsed="false">
      <c r="A11208" s="1" t="s">
        <v>11243</v>
      </c>
      <c r="B11208" s="1" t="s">
        <v>26</v>
      </c>
      <c r="C11208" s="1" t="n">
        <v>112000</v>
      </c>
      <c r="D11208" s="1" t="n">
        <v>2814.2</v>
      </c>
      <c r="E11208" s="1" t="n">
        <v>0.0276</v>
      </c>
      <c r="F11208" s="1" t="n">
        <v>0.0951</v>
      </c>
    </row>
    <row r="11209" customFormat="false" ht="15" hidden="false" customHeight="false" outlineLevel="0" collapsed="false">
      <c r="A11209" s="1" t="s">
        <v>11244</v>
      </c>
      <c r="B11209" s="1" t="s">
        <v>53</v>
      </c>
      <c r="C11209" s="1" t="n">
        <v>113000</v>
      </c>
      <c r="D11209" s="1" t="n">
        <v>15526.9</v>
      </c>
      <c r="E11209" s="1" t="n">
        <v>0.0483</v>
      </c>
      <c r="F11209" s="1" t="n">
        <v>0.0759</v>
      </c>
    </row>
    <row r="11210" customFormat="false" ht="15" hidden="false" customHeight="false" outlineLevel="0" collapsed="false">
      <c r="A11210" s="1" t="s">
        <v>11245</v>
      </c>
      <c r="B11210" s="1" t="s">
        <v>62</v>
      </c>
      <c r="C11210" s="1" t="n">
        <v>110000</v>
      </c>
      <c r="D11210" s="1" t="n">
        <v>1478.8</v>
      </c>
      <c r="E11210" s="1" t="n">
        <v>0.0125</v>
      </c>
      <c r="F11210" s="1" t="n">
        <v>0.0736</v>
      </c>
    </row>
    <row r="11211" customFormat="false" ht="15" hidden="false" customHeight="false" outlineLevel="0" collapsed="false">
      <c r="A11211" s="1" t="s">
        <v>11246</v>
      </c>
      <c r="B11211" s="1" t="s">
        <v>41</v>
      </c>
      <c r="C11211" s="1" t="n">
        <v>235000</v>
      </c>
      <c r="D11211" s="1" t="n">
        <v>17588.5</v>
      </c>
      <c r="E11211" s="1" t="n">
        <v>0.0425</v>
      </c>
      <c r="F11211" s="1" t="n">
        <v>0.0518</v>
      </c>
    </row>
    <row r="11212" customFormat="false" ht="15" hidden="false" customHeight="false" outlineLevel="0" collapsed="false">
      <c r="A11212" s="1" t="s">
        <v>11247</v>
      </c>
      <c r="B11212" s="1" t="s">
        <v>30</v>
      </c>
      <c r="C11212" s="1" t="n">
        <v>125000</v>
      </c>
      <c r="D11212" s="1" t="n">
        <v>2132.9</v>
      </c>
      <c r="E11212" s="1" t="n">
        <v>0.0094</v>
      </c>
      <c r="F11212" s="1" t="n">
        <v>0.3189</v>
      </c>
    </row>
    <row r="11213" customFormat="false" ht="15" hidden="false" customHeight="false" outlineLevel="0" collapsed="false">
      <c r="A11213" s="1" t="s">
        <v>11248</v>
      </c>
      <c r="B11213" s="1" t="s">
        <v>32</v>
      </c>
      <c r="C11213" s="1" t="n">
        <v>130000</v>
      </c>
      <c r="D11213" s="1" t="n">
        <v>905627.5</v>
      </c>
      <c r="E11213" s="1" t="n">
        <v>0.0098</v>
      </c>
      <c r="F11213" s="1" t="n">
        <v>0.0822</v>
      </c>
    </row>
    <row r="11214" customFormat="false" ht="15" hidden="false" customHeight="false" outlineLevel="0" collapsed="false">
      <c r="A11214" s="1" t="s">
        <v>11249</v>
      </c>
      <c r="B11214" s="1" t="s">
        <v>41</v>
      </c>
      <c r="C11214" s="1" t="n">
        <v>123000</v>
      </c>
      <c r="D11214" s="1" t="n">
        <v>581.3</v>
      </c>
      <c r="E11214" s="1" t="n">
        <v>0.0233</v>
      </c>
      <c r="F11214" s="1" t="n">
        <v>0.117</v>
      </c>
    </row>
    <row r="11215" customFormat="false" ht="15" hidden="false" customHeight="false" outlineLevel="0" collapsed="false">
      <c r="A11215" s="1" t="s">
        <v>11250</v>
      </c>
      <c r="B11215" s="1" t="s">
        <v>26</v>
      </c>
      <c r="C11215" s="1" t="n">
        <v>119000</v>
      </c>
      <c r="D11215" s="1" t="n">
        <v>619.1</v>
      </c>
      <c r="E11215" s="1" t="n">
        <v>0.0695</v>
      </c>
      <c r="F11215" s="1" t="n">
        <v>0.0938</v>
      </c>
    </row>
    <row r="11216" customFormat="false" ht="15" hidden="false" customHeight="false" outlineLevel="0" collapsed="false">
      <c r="A11216" s="1" t="s">
        <v>11251</v>
      </c>
      <c r="B11216" s="1" t="s">
        <v>24</v>
      </c>
      <c r="C11216" s="1" t="n">
        <v>147000</v>
      </c>
      <c r="D11216" s="1" t="n">
        <v>8973.8</v>
      </c>
      <c r="E11216" s="1" t="n">
        <v>0.0511</v>
      </c>
      <c r="F11216" s="1" t="n">
        <v>0.0518</v>
      </c>
    </row>
    <row r="11217" customFormat="false" ht="15" hidden="false" customHeight="false" outlineLevel="0" collapsed="false">
      <c r="A11217" s="1" t="s">
        <v>11252</v>
      </c>
      <c r="B11217" s="1" t="s">
        <v>88</v>
      </c>
      <c r="C11217" s="1" t="n">
        <v>144000</v>
      </c>
      <c r="D11217" s="1" t="n">
        <v>1249.8</v>
      </c>
      <c r="E11217" s="1" t="n">
        <v>0.0349</v>
      </c>
      <c r="F11217" s="1" t="n">
        <v>0.0951</v>
      </c>
    </row>
    <row r="11218" customFormat="false" ht="15" hidden="false" customHeight="false" outlineLevel="0" collapsed="false">
      <c r="A11218" s="1" t="s">
        <v>11253</v>
      </c>
      <c r="B11218" s="1" t="s">
        <v>35</v>
      </c>
      <c r="C11218" s="1" t="n">
        <v>167000</v>
      </c>
      <c r="D11218" s="1" t="n">
        <v>44463.2</v>
      </c>
      <c r="E11218" s="1" t="n">
        <v>0.0187</v>
      </c>
      <c r="F11218" s="1" t="n">
        <v>0.1067</v>
      </c>
    </row>
    <row r="11219" customFormat="false" ht="15" hidden="false" customHeight="false" outlineLevel="0" collapsed="false">
      <c r="A11219" s="1" t="s">
        <v>11254</v>
      </c>
      <c r="B11219" s="1" t="s">
        <v>50</v>
      </c>
      <c r="C11219" s="1" t="n">
        <v>245000</v>
      </c>
      <c r="D11219" s="1" t="n">
        <v>2215.7</v>
      </c>
      <c r="E11219" s="1" t="n">
        <v>0.1176</v>
      </c>
      <c r="F11219" s="1" t="n">
        <v>0.0938</v>
      </c>
    </row>
    <row r="11220" customFormat="false" ht="15" hidden="false" customHeight="false" outlineLevel="0" collapsed="false">
      <c r="A11220" s="1" t="s">
        <v>11255</v>
      </c>
      <c r="B11220" s="1" t="s">
        <v>28</v>
      </c>
      <c r="C11220" s="1" t="n">
        <v>329000</v>
      </c>
      <c r="D11220" s="1" t="n">
        <v>113408</v>
      </c>
      <c r="E11220" s="1" t="n">
        <v>0.0265</v>
      </c>
      <c r="F11220" s="1" t="n">
        <v>0.0759</v>
      </c>
    </row>
    <row r="11221" customFormat="false" ht="15" hidden="false" customHeight="false" outlineLevel="0" collapsed="false">
      <c r="A11221" s="1" t="s">
        <v>11256</v>
      </c>
      <c r="B11221" s="1" t="s">
        <v>195</v>
      </c>
      <c r="C11221" s="1" t="n">
        <v>114000</v>
      </c>
      <c r="D11221" s="1" t="n">
        <v>1306.5</v>
      </c>
      <c r="E11221" s="1" t="n">
        <v>0.0051</v>
      </c>
      <c r="F11221" s="1" t="n">
        <v>0.0822</v>
      </c>
    </row>
    <row r="11222" customFormat="false" ht="15" hidden="false" customHeight="false" outlineLevel="0" collapsed="false">
      <c r="A11222" s="1" t="s">
        <v>11257</v>
      </c>
      <c r="B11222" s="1" t="s">
        <v>88</v>
      </c>
      <c r="C11222" s="1" t="n">
        <v>131000</v>
      </c>
      <c r="D11222" s="1" t="n">
        <v>777.7</v>
      </c>
      <c r="E11222" s="1" t="n">
        <v>0.0177</v>
      </c>
      <c r="F11222" s="1" t="n">
        <v>0.0726</v>
      </c>
    </row>
    <row r="11223" customFormat="false" ht="15" hidden="false" customHeight="false" outlineLevel="0" collapsed="false">
      <c r="A11223" s="1" t="s">
        <v>11258</v>
      </c>
      <c r="B11223" s="1" t="s">
        <v>71</v>
      </c>
      <c r="C11223" s="1" t="n">
        <v>190000</v>
      </c>
      <c r="D11223" s="1" t="n">
        <v>9550.4</v>
      </c>
      <c r="E11223" s="1" t="n">
        <v>0.0272</v>
      </c>
      <c r="F11223" s="1" t="n">
        <v>0.0759</v>
      </c>
    </row>
    <row r="11224" customFormat="false" ht="15" hidden="false" customHeight="false" outlineLevel="0" collapsed="false">
      <c r="A11224" s="1" t="s">
        <v>11259</v>
      </c>
      <c r="B11224" s="1" t="s">
        <v>41</v>
      </c>
      <c r="C11224" s="1" t="n">
        <v>153000</v>
      </c>
      <c r="D11224" s="1" t="n">
        <v>284.1</v>
      </c>
      <c r="E11224" s="1" t="n">
        <v>0.0481</v>
      </c>
      <c r="F11224" s="1" t="n">
        <v>0.0938</v>
      </c>
    </row>
    <row r="11225" customFormat="false" ht="15" hidden="false" customHeight="false" outlineLevel="0" collapsed="false">
      <c r="A11225" s="1" t="s">
        <v>11260</v>
      </c>
      <c r="B11225" s="1" t="s">
        <v>26</v>
      </c>
      <c r="C11225" s="1" t="n">
        <v>229000</v>
      </c>
      <c r="D11225" s="1" t="n">
        <v>7538.3</v>
      </c>
      <c r="E11225" s="1" t="n">
        <v>0.0631</v>
      </c>
      <c r="F11225" s="1" t="n">
        <v>0.0759</v>
      </c>
    </row>
    <row r="11226" customFormat="false" ht="15" hidden="false" customHeight="false" outlineLevel="0" collapsed="false">
      <c r="A11226" s="1" t="s">
        <v>11261</v>
      </c>
      <c r="B11226" s="1" t="s">
        <v>92</v>
      </c>
      <c r="C11226" s="1" t="n">
        <v>109000</v>
      </c>
      <c r="D11226" s="1" t="n">
        <v>1284.3</v>
      </c>
      <c r="E11226" s="1" t="n">
        <v>0.0419</v>
      </c>
      <c r="F11226" s="1" t="n">
        <v>0.0951</v>
      </c>
    </row>
    <row r="11227" customFormat="false" ht="15" hidden="false" customHeight="false" outlineLevel="0" collapsed="false">
      <c r="A11227" s="1" t="s">
        <v>11262</v>
      </c>
      <c r="B11227" s="1" t="s">
        <v>32</v>
      </c>
      <c r="C11227" s="1" t="n">
        <v>251000</v>
      </c>
      <c r="D11227" s="1" t="n">
        <v>3876.1</v>
      </c>
      <c r="E11227" s="1" t="n">
        <v>0.0174</v>
      </c>
      <c r="F11227" s="1" t="n">
        <v>0.0462</v>
      </c>
    </row>
    <row r="11228" customFormat="false" ht="15" hidden="false" customHeight="false" outlineLevel="0" collapsed="false">
      <c r="A11228" s="1" t="s">
        <v>11263</v>
      </c>
      <c r="B11228" s="1" t="s">
        <v>71</v>
      </c>
      <c r="C11228" s="1" t="n">
        <v>144000</v>
      </c>
      <c r="D11228" s="1" t="n">
        <v>774.1</v>
      </c>
      <c r="E11228" s="1" t="n">
        <v>0.0079</v>
      </c>
      <c r="F11228" s="1" t="n">
        <v>0.0654</v>
      </c>
    </row>
    <row r="11229" customFormat="false" ht="15" hidden="false" customHeight="false" outlineLevel="0" collapsed="false">
      <c r="A11229" s="1" t="s">
        <v>11264</v>
      </c>
      <c r="B11229" s="1" t="s">
        <v>74</v>
      </c>
      <c r="C11229" s="1" t="n">
        <v>111000</v>
      </c>
      <c r="D11229" s="1" t="n">
        <v>117.8</v>
      </c>
      <c r="E11229" s="1" t="n">
        <v>0.0636</v>
      </c>
      <c r="F11229" s="1" t="n">
        <v>0.1243</v>
      </c>
    </row>
    <row r="11230" customFormat="false" ht="15" hidden="false" customHeight="false" outlineLevel="0" collapsed="false">
      <c r="A11230" s="1" t="s">
        <v>11265</v>
      </c>
      <c r="B11230" s="1" t="s">
        <v>81</v>
      </c>
      <c r="C11230" s="1" t="n">
        <v>264000</v>
      </c>
      <c r="D11230" s="1" t="n">
        <v>40641.8</v>
      </c>
      <c r="E11230" s="1" t="n">
        <v>0.0155</v>
      </c>
      <c r="F11230" s="1" t="n">
        <v>0.0462</v>
      </c>
    </row>
    <row r="11231" customFormat="false" ht="15" hidden="false" customHeight="false" outlineLevel="0" collapsed="false">
      <c r="A11231" s="1" t="s">
        <v>11266</v>
      </c>
      <c r="B11231" s="1" t="s">
        <v>41</v>
      </c>
      <c r="C11231" s="1" t="n">
        <v>123000</v>
      </c>
      <c r="D11231" s="1" t="n">
        <v>309.6</v>
      </c>
      <c r="E11231" s="1" t="n">
        <v>0.0456</v>
      </c>
      <c r="F11231" s="1" t="n">
        <v>0.0938</v>
      </c>
    </row>
    <row r="11232" customFormat="false" ht="15" hidden="false" customHeight="false" outlineLevel="0" collapsed="false">
      <c r="A11232" s="1" t="s">
        <v>11267</v>
      </c>
      <c r="B11232" s="1" t="s">
        <v>53</v>
      </c>
      <c r="C11232" s="1" t="n">
        <v>110000</v>
      </c>
      <c r="D11232" s="1" t="n">
        <v>100</v>
      </c>
      <c r="E11232" s="1" t="n">
        <v>0.0219</v>
      </c>
      <c r="F11232" s="1" t="n">
        <v>0.0726</v>
      </c>
    </row>
    <row r="11233" customFormat="false" ht="15" hidden="false" customHeight="false" outlineLevel="0" collapsed="false">
      <c r="A11233" s="1" t="s">
        <v>11268</v>
      </c>
      <c r="B11233" s="1" t="s">
        <v>214</v>
      </c>
      <c r="C11233" s="1" t="n">
        <v>190000</v>
      </c>
      <c r="D11233" s="1" t="n">
        <v>16528.1</v>
      </c>
      <c r="E11233" s="1" t="n">
        <v>0.0169</v>
      </c>
      <c r="F11233" s="1" t="n">
        <v>0.0462</v>
      </c>
    </row>
    <row r="11234" customFormat="false" ht="15" hidden="false" customHeight="false" outlineLevel="0" collapsed="false">
      <c r="A11234" s="1" t="s">
        <v>11269</v>
      </c>
      <c r="B11234" s="1" t="s">
        <v>62</v>
      </c>
      <c r="C11234" s="1" t="n">
        <v>232000</v>
      </c>
      <c r="D11234" s="1" t="n">
        <v>4329.6</v>
      </c>
      <c r="E11234" s="1" t="n">
        <v>0.0301</v>
      </c>
      <c r="F11234" s="1" t="n">
        <v>0.0409</v>
      </c>
    </row>
    <row r="11235" customFormat="false" ht="15" hidden="false" customHeight="false" outlineLevel="0" collapsed="false">
      <c r="A11235" s="1" t="s">
        <v>11270</v>
      </c>
      <c r="B11235" s="1" t="s">
        <v>26</v>
      </c>
      <c r="C11235" s="1" t="n">
        <v>115000</v>
      </c>
      <c r="D11235" s="1" t="n">
        <v>7857.9</v>
      </c>
      <c r="E11235" s="1" t="n">
        <v>0.0654</v>
      </c>
      <c r="F11235" s="1" t="n">
        <v>0.0951</v>
      </c>
    </row>
    <row r="11236" customFormat="false" ht="15" hidden="false" customHeight="false" outlineLevel="0" collapsed="false">
      <c r="A11236" s="1" t="s">
        <v>11271</v>
      </c>
      <c r="B11236" s="1" t="s">
        <v>92</v>
      </c>
      <c r="C11236" s="1" t="n">
        <v>609000</v>
      </c>
      <c r="D11236" s="1" t="n">
        <v>30082.7</v>
      </c>
      <c r="E11236" s="1" t="n">
        <v>0.0067</v>
      </c>
      <c r="F11236" s="1" t="n">
        <v>0.0654</v>
      </c>
    </row>
    <row r="11237" customFormat="false" ht="15" hidden="false" customHeight="false" outlineLevel="0" collapsed="false">
      <c r="A11237" s="1" t="s">
        <v>11272</v>
      </c>
      <c r="B11237" s="1" t="s">
        <v>287</v>
      </c>
      <c r="C11237" s="1" t="n">
        <v>117000</v>
      </c>
      <c r="D11237" s="1" t="n">
        <v>1976.5</v>
      </c>
      <c r="E11237" s="1" t="n">
        <v>0.0307</v>
      </c>
      <c r="F11237" s="1" t="n">
        <v>0.0951</v>
      </c>
    </row>
    <row r="11238" customFormat="false" ht="15" hidden="false" customHeight="false" outlineLevel="0" collapsed="false">
      <c r="A11238" s="1" t="s">
        <v>11273</v>
      </c>
      <c r="B11238" s="1" t="s">
        <v>62</v>
      </c>
      <c r="C11238" s="1" t="n">
        <v>128000</v>
      </c>
      <c r="D11238" s="1" t="n">
        <v>4282.3</v>
      </c>
      <c r="E11238" s="1" t="n">
        <v>0.027</v>
      </c>
      <c r="F11238" s="1" t="n">
        <v>0.0951</v>
      </c>
    </row>
    <row r="11239" customFormat="false" ht="15" hidden="false" customHeight="false" outlineLevel="0" collapsed="false">
      <c r="A11239" s="1" t="s">
        <v>11274</v>
      </c>
      <c r="B11239" s="1" t="s">
        <v>41</v>
      </c>
      <c r="C11239" s="1" t="n">
        <v>112000</v>
      </c>
      <c r="D11239" s="1" t="n">
        <v>258.1</v>
      </c>
      <c r="E11239" s="1" t="n">
        <v>0.0107</v>
      </c>
      <c r="F11239" s="1" t="n">
        <v>0.1702</v>
      </c>
    </row>
    <row r="11240" customFormat="false" ht="15" hidden="false" customHeight="false" outlineLevel="0" collapsed="false">
      <c r="A11240" s="1" t="s">
        <v>11275</v>
      </c>
      <c r="B11240" s="1" t="s">
        <v>81</v>
      </c>
      <c r="C11240" s="1" t="n">
        <v>153000</v>
      </c>
      <c r="D11240" s="1" t="n">
        <v>1404.4</v>
      </c>
      <c r="E11240" s="1" t="n">
        <v>0.0007</v>
      </c>
      <c r="F11240" s="1" t="n">
        <v>0.1779</v>
      </c>
    </row>
    <row r="11241" customFormat="false" ht="15" hidden="false" customHeight="false" outlineLevel="0" collapsed="false">
      <c r="A11241" s="1" t="s">
        <v>11276</v>
      </c>
      <c r="B11241" s="1" t="s">
        <v>62</v>
      </c>
      <c r="C11241" s="1" t="n">
        <v>114000</v>
      </c>
      <c r="D11241" s="1" t="n">
        <v>164349.1</v>
      </c>
      <c r="E11241" s="1" t="n">
        <v>0.0485</v>
      </c>
      <c r="F11241" s="1" t="n">
        <v>0.0951</v>
      </c>
    </row>
    <row r="11242" customFormat="false" ht="15" hidden="false" customHeight="false" outlineLevel="0" collapsed="false">
      <c r="A11242" s="1" t="s">
        <v>11277</v>
      </c>
      <c r="B11242" s="1" t="s">
        <v>26</v>
      </c>
      <c r="C11242" s="1" t="n">
        <v>176000</v>
      </c>
      <c r="D11242" s="1" t="n">
        <v>31570.4</v>
      </c>
      <c r="E11242" s="1" t="n">
        <v>0.0381</v>
      </c>
      <c r="F11242" s="1" t="n">
        <v>0.0759</v>
      </c>
    </row>
    <row r="11243" customFormat="false" ht="15" hidden="false" customHeight="false" outlineLevel="0" collapsed="false">
      <c r="A11243" s="1" t="s">
        <v>11278</v>
      </c>
      <c r="B11243" s="1" t="s">
        <v>26</v>
      </c>
      <c r="C11243" s="1" t="n">
        <v>134000</v>
      </c>
      <c r="D11243" s="1" t="n">
        <v>718.6</v>
      </c>
      <c r="E11243" s="1" t="n">
        <v>0.0282</v>
      </c>
      <c r="F11243" s="1" t="n">
        <v>0.1387</v>
      </c>
    </row>
    <row r="11244" customFormat="false" ht="15" hidden="false" customHeight="false" outlineLevel="0" collapsed="false">
      <c r="A11244" s="1" t="s">
        <v>11279</v>
      </c>
      <c r="B11244" s="1" t="s">
        <v>74</v>
      </c>
      <c r="C11244" s="1" t="n">
        <v>113000</v>
      </c>
      <c r="D11244" s="1" t="n">
        <v>2011.2</v>
      </c>
      <c r="E11244" s="1" t="n">
        <v>0.0919</v>
      </c>
      <c r="F11244" s="1" t="n">
        <v>0.0938</v>
      </c>
    </row>
    <row r="11245" customFormat="false" ht="15" hidden="false" customHeight="false" outlineLevel="0" collapsed="false">
      <c r="A11245" s="1" t="s">
        <v>11280</v>
      </c>
      <c r="B11245" s="1" t="s">
        <v>24</v>
      </c>
      <c r="C11245" s="1" t="n">
        <v>164000</v>
      </c>
      <c r="D11245" s="1" t="n">
        <v>137486.4</v>
      </c>
      <c r="E11245" s="1" t="n">
        <v>0.0047</v>
      </c>
      <c r="F11245" s="1" t="n">
        <v>0.0822</v>
      </c>
    </row>
    <row r="11246" customFormat="false" ht="15" hidden="false" customHeight="false" outlineLevel="0" collapsed="false">
      <c r="A11246" s="1" t="s">
        <v>11281</v>
      </c>
      <c r="B11246" s="1" t="s">
        <v>26</v>
      </c>
      <c r="C11246" s="1" t="n">
        <v>150000</v>
      </c>
      <c r="D11246" s="1" t="n">
        <v>7142.8</v>
      </c>
      <c r="E11246" s="1" t="n">
        <v>0.0222</v>
      </c>
      <c r="F11246" s="1" t="n">
        <v>0.0854</v>
      </c>
    </row>
    <row r="11247" customFormat="false" ht="15" hidden="false" customHeight="false" outlineLevel="0" collapsed="false">
      <c r="A11247" s="1" t="s">
        <v>11282</v>
      </c>
      <c r="B11247" s="1" t="s">
        <v>62</v>
      </c>
      <c r="C11247" s="1" t="n">
        <v>159000</v>
      </c>
      <c r="D11247" s="1" t="n">
        <v>5317.5</v>
      </c>
      <c r="E11247" s="1" t="n">
        <v>0.0237</v>
      </c>
      <c r="F11247" s="1" t="n">
        <v>0.0951</v>
      </c>
    </row>
    <row r="11248" customFormat="false" ht="15" hidden="false" customHeight="false" outlineLevel="0" collapsed="false">
      <c r="A11248" s="1" t="s">
        <v>11283</v>
      </c>
      <c r="B11248" s="1" t="s">
        <v>74</v>
      </c>
      <c r="C11248" s="1" t="n">
        <v>135000</v>
      </c>
      <c r="D11248" s="1" t="n">
        <v>2207</v>
      </c>
      <c r="E11248" s="1" t="n">
        <v>0.0125</v>
      </c>
      <c r="F11248" s="1" t="n">
        <v>0.0462</v>
      </c>
    </row>
    <row r="11249" customFormat="false" ht="15" hidden="false" customHeight="false" outlineLevel="0" collapsed="false">
      <c r="A11249" s="1" t="s">
        <v>11284</v>
      </c>
      <c r="B11249" s="1" t="s">
        <v>214</v>
      </c>
      <c r="C11249" s="1" t="n">
        <v>143000</v>
      </c>
      <c r="D11249" s="1" t="n">
        <v>485668.1</v>
      </c>
      <c r="E11249" s="1" t="n">
        <v>0.0181</v>
      </c>
      <c r="F11249" s="1" t="n">
        <v>0.0585</v>
      </c>
    </row>
    <row r="11250" customFormat="false" ht="15" hidden="false" customHeight="false" outlineLevel="0" collapsed="false">
      <c r="A11250" s="1" t="s">
        <v>11285</v>
      </c>
      <c r="B11250" s="1" t="s">
        <v>41</v>
      </c>
      <c r="C11250" s="1" t="n">
        <v>140000</v>
      </c>
      <c r="D11250" s="1" t="n">
        <v>2937.5</v>
      </c>
      <c r="E11250" s="1" t="n">
        <v>0.0208</v>
      </c>
      <c r="F11250" s="1" t="n">
        <v>0.0576</v>
      </c>
    </row>
    <row r="11251" customFormat="false" ht="15" hidden="false" customHeight="false" outlineLevel="0" collapsed="false">
      <c r="A11251" s="1" t="s">
        <v>11286</v>
      </c>
      <c r="B11251" s="1" t="s">
        <v>26</v>
      </c>
      <c r="C11251" s="1" t="n">
        <v>128000</v>
      </c>
      <c r="D11251" s="1" t="n">
        <v>1683.6</v>
      </c>
      <c r="E11251" s="1" t="n">
        <v>0.0714</v>
      </c>
      <c r="F11251" s="1" t="n">
        <v>0.0759</v>
      </c>
    </row>
    <row r="11252" customFormat="false" ht="15" hidden="false" customHeight="false" outlineLevel="0" collapsed="false">
      <c r="A11252" s="1" t="s">
        <v>11287</v>
      </c>
      <c r="B11252" s="1" t="s">
        <v>21</v>
      </c>
      <c r="C11252" s="1" t="n">
        <v>552000</v>
      </c>
      <c r="D11252" s="1" t="n">
        <v>6516</v>
      </c>
      <c r="E11252" s="1" t="n">
        <v>0.0202</v>
      </c>
      <c r="F11252" s="1" t="n">
        <v>0.0757</v>
      </c>
    </row>
    <row r="11253" customFormat="false" ht="15" hidden="false" customHeight="false" outlineLevel="0" collapsed="false">
      <c r="A11253" s="1" t="s">
        <v>11288</v>
      </c>
      <c r="B11253" s="1" t="s">
        <v>30</v>
      </c>
      <c r="C11253" s="1" t="n">
        <v>110000</v>
      </c>
      <c r="D11253" s="1" t="n">
        <v>1164</v>
      </c>
      <c r="E11253" s="1" t="n">
        <v>0.012</v>
      </c>
      <c r="F11253" s="1" t="n">
        <v>0.0657</v>
      </c>
    </row>
    <row r="11254" customFormat="false" ht="15" hidden="false" customHeight="false" outlineLevel="0" collapsed="false">
      <c r="A11254" s="1" t="s">
        <v>11289</v>
      </c>
      <c r="B11254" s="1" t="s">
        <v>32</v>
      </c>
      <c r="C11254" s="1" t="n">
        <v>126000</v>
      </c>
      <c r="D11254" s="1" t="n">
        <v>10769.4</v>
      </c>
      <c r="E11254" s="1" t="n">
        <v>0.0402</v>
      </c>
      <c r="F11254" s="1" t="n">
        <v>0.0546</v>
      </c>
    </row>
    <row r="11255" customFormat="false" ht="15" hidden="false" customHeight="false" outlineLevel="0" collapsed="false">
      <c r="A11255" s="1" t="s">
        <v>11290</v>
      </c>
      <c r="B11255" s="1" t="s">
        <v>62</v>
      </c>
      <c r="C11255" s="1" t="n">
        <v>126000</v>
      </c>
      <c r="F11255" s="1" t="n">
        <v>0.0759</v>
      </c>
    </row>
    <row r="11256" customFormat="false" ht="15" hidden="false" customHeight="false" outlineLevel="0" collapsed="false">
      <c r="A11256" s="1" t="s">
        <v>11291</v>
      </c>
      <c r="B11256" s="1" t="s">
        <v>71</v>
      </c>
      <c r="C11256" s="1" t="n">
        <v>142000</v>
      </c>
      <c r="D11256" s="1" t="n">
        <v>4811.9</v>
      </c>
      <c r="E11256" s="1" t="n">
        <v>0.0381</v>
      </c>
      <c r="F11256" s="1" t="n">
        <v>0.0938</v>
      </c>
    </row>
    <row r="11257" customFormat="false" ht="15" hidden="false" customHeight="false" outlineLevel="0" collapsed="false">
      <c r="A11257" s="1" t="s">
        <v>11292</v>
      </c>
      <c r="B11257" s="1" t="s">
        <v>88</v>
      </c>
      <c r="C11257" s="1" t="n">
        <v>109000</v>
      </c>
      <c r="D11257" s="1" t="n">
        <v>1879.5</v>
      </c>
      <c r="E11257" s="1" t="n">
        <v>0.0194</v>
      </c>
      <c r="F11257" s="1" t="n">
        <v>0.1067</v>
      </c>
    </row>
    <row r="11258" customFormat="false" ht="15" hidden="false" customHeight="false" outlineLevel="0" collapsed="false">
      <c r="A11258" s="1" t="s">
        <v>11293</v>
      </c>
      <c r="B11258" s="1" t="s">
        <v>74</v>
      </c>
      <c r="C11258" s="1" t="n">
        <v>119000</v>
      </c>
      <c r="D11258" s="1" t="n">
        <v>967.2</v>
      </c>
      <c r="E11258" s="1" t="n">
        <v>0.0143</v>
      </c>
      <c r="F11258" s="1" t="n">
        <v>0.1886</v>
      </c>
    </row>
    <row r="11259" customFormat="false" ht="15" hidden="false" customHeight="false" outlineLevel="0" collapsed="false">
      <c r="A11259" s="1" t="s">
        <v>11294</v>
      </c>
      <c r="B11259" s="1" t="s">
        <v>287</v>
      </c>
      <c r="C11259" s="1" t="n">
        <v>111000</v>
      </c>
      <c r="D11259" s="1" t="n">
        <v>246.1</v>
      </c>
      <c r="F11259" s="1" t="n">
        <v>0.0759</v>
      </c>
    </row>
    <row r="11260" customFormat="false" ht="15" hidden="false" customHeight="false" outlineLevel="0" collapsed="false">
      <c r="A11260" s="1" t="s">
        <v>11295</v>
      </c>
      <c r="B11260" s="1" t="s">
        <v>21</v>
      </c>
      <c r="C11260" s="1" t="n">
        <v>164000</v>
      </c>
      <c r="D11260" s="1" t="n">
        <v>191114.9</v>
      </c>
      <c r="E11260" s="1" t="n">
        <v>0.0195</v>
      </c>
      <c r="F11260" s="1" t="n">
        <v>0.0518</v>
      </c>
    </row>
    <row r="11261" customFormat="false" ht="15" hidden="false" customHeight="false" outlineLevel="0" collapsed="false">
      <c r="A11261" s="1" t="s">
        <v>11296</v>
      </c>
      <c r="B11261" s="1" t="s">
        <v>50</v>
      </c>
      <c r="C11261" s="1" t="n">
        <v>141000</v>
      </c>
      <c r="D11261" s="1" t="n">
        <v>97116.1</v>
      </c>
      <c r="E11261" s="1" t="n">
        <v>0.0043</v>
      </c>
      <c r="F11261" s="1" t="n">
        <v>0.0654</v>
      </c>
    </row>
    <row r="11262" customFormat="false" ht="15" hidden="false" customHeight="false" outlineLevel="0" collapsed="false">
      <c r="A11262" s="1" t="s">
        <v>11297</v>
      </c>
      <c r="B11262" s="1" t="s">
        <v>26</v>
      </c>
      <c r="C11262" s="1" t="n">
        <v>120000</v>
      </c>
      <c r="D11262" s="1" t="n">
        <v>266.2</v>
      </c>
      <c r="E11262" s="1" t="n">
        <v>0.0362</v>
      </c>
      <c r="F11262" s="1" t="n">
        <v>0.095</v>
      </c>
    </row>
    <row r="11263" customFormat="false" ht="15" hidden="false" customHeight="false" outlineLevel="0" collapsed="false">
      <c r="A11263" s="1" t="s">
        <v>11298</v>
      </c>
      <c r="B11263" s="1" t="s">
        <v>53</v>
      </c>
      <c r="C11263" s="1" t="n">
        <v>111000</v>
      </c>
      <c r="D11263" s="1" t="n">
        <v>590.1</v>
      </c>
      <c r="E11263" s="1" t="n">
        <v>0.0462</v>
      </c>
      <c r="F11263" s="1" t="n">
        <v>0.0938</v>
      </c>
    </row>
    <row r="11264" customFormat="false" ht="15" hidden="false" customHeight="false" outlineLevel="0" collapsed="false">
      <c r="A11264" s="1" t="s">
        <v>11299</v>
      </c>
      <c r="B11264" s="1" t="s">
        <v>287</v>
      </c>
      <c r="C11264" s="1" t="n">
        <v>122000</v>
      </c>
      <c r="D11264" s="1" t="n">
        <v>3491.1</v>
      </c>
      <c r="E11264" s="1" t="n">
        <v>0.0266</v>
      </c>
      <c r="F11264" s="1" t="n">
        <v>0.0725</v>
      </c>
    </row>
    <row r="11265" customFormat="false" ht="15" hidden="false" customHeight="false" outlineLevel="0" collapsed="false">
      <c r="A11265" s="1" t="s">
        <v>11300</v>
      </c>
      <c r="B11265" s="1" t="s">
        <v>74</v>
      </c>
      <c r="C11265" s="1" t="n">
        <v>768000</v>
      </c>
      <c r="D11265" s="1" t="n">
        <v>158218.9</v>
      </c>
      <c r="E11265" s="1" t="n">
        <v>0.1383</v>
      </c>
      <c r="F11265" s="1" t="n">
        <v>0.0759</v>
      </c>
    </row>
    <row r="11266" customFormat="false" ht="15" hidden="false" customHeight="false" outlineLevel="0" collapsed="false">
      <c r="A11266" s="1" t="s">
        <v>11301</v>
      </c>
      <c r="B11266" s="1" t="s">
        <v>26</v>
      </c>
      <c r="C11266" s="1" t="n">
        <v>348000</v>
      </c>
      <c r="D11266" s="1" t="n">
        <v>254406.4</v>
      </c>
      <c r="E11266" s="1" t="n">
        <v>0.0224</v>
      </c>
      <c r="F11266" s="1" t="n">
        <v>0.0759</v>
      </c>
    </row>
    <row r="11267" customFormat="false" ht="15" hidden="false" customHeight="false" outlineLevel="0" collapsed="false">
      <c r="A11267" s="1" t="s">
        <v>11302</v>
      </c>
      <c r="B11267" s="1" t="s">
        <v>71</v>
      </c>
      <c r="C11267" s="1" t="n">
        <v>114000</v>
      </c>
      <c r="D11267" s="1" t="n">
        <v>476.8</v>
      </c>
      <c r="E11267" s="1" t="n">
        <v>0.0146</v>
      </c>
      <c r="F11267" s="1" t="n">
        <v>0.1067</v>
      </c>
    </row>
    <row r="11268" customFormat="false" ht="15" hidden="false" customHeight="false" outlineLevel="0" collapsed="false">
      <c r="A11268" s="1" t="s">
        <v>11303</v>
      </c>
      <c r="B11268" s="1" t="s">
        <v>214</v>
      </c>
      <c r="C11268" s="1" t="n">
        <v>299000</v>
      </c>
      <c r="D11268" s="1" t="n">
        <v>204.8</v>
      </c>
      <c r="E11268" s="1" t="n">
        <v>0.01</v>
      </c>
      <c r="F11268" s="1" t="n">
        <v>0.1539</v>
      </c>
    </row>
    <row r="11269" customFormat="false" ht="15" hidden="false" customHeight="false" outlineLevel="0" collapsed="false">
      <c r="A11269" s="1" t="s">
        <v>11304</v>
      </c>
      <c r="B11269" s="1" t="s">
        <v>50</v>
      </c>
      <c r="C11269" s="1" t="n">
        <v>108000</v>
      </c>
      <c r="D11269" s="1" t="n">
        <v>16190.5</v>
      </c>
      <c r="E11269" s="1" t="n">
        <v>0.036</v>
      </c>
      <c r="F11269" s="1" t="n">
        <v>0.0951</v>
      </c>
    </row>
    <row r="11270" customFormat="false" ht="15" hidden="false" customHeight="false" outlineLevel="0" collapsed="false">
      <c r="A11270" s="1" t="s">
        <v>11305</v>
      </c>
      <c r="B11270" s="1" t="s">
        <v>71</v>
      </c>
      <c r="C11270" s="1" t="n">
        <v>141000</v>
      </c>
      <c r="D11270" s="1" t="n">
        <v>549.2</v>
      </c>
      <c r="E11270" s="1" t="n">
        <v>0.0741</v>
      </c>
      <c r="F11270" s="1" t="n">
        <v>0.0759</v>
      </c>
    </row>
    <row r="11271" customFormat="false" ht="15" hidden="false" customHeight="false" outlineLevel="0" collapsed="false">
      <c r="A11271" s="1" t="s">
        <v>11306</v>
      </c>
      <c r="B11271" s="1" t="s">
        <v>88</v>
      </c>
      <c r="C11271" s="1" t="n">
        <v>232000</v>
      </c>
      <c r="D11271" s="1" t="n">
        <v>3315</v>
      </c>
      <c r="E11271" s="1" t="n">
        <v>0.0573</v>
      </c>
      <c r="F11271" s="1" t="n">
        <v>0.0938</v>
      </c>
    </row>
    <row r="11272" customFormat="false" ht="15" hidden="false" customHeight="false" outlineLevel="0" collapsed="false">
      <c r="A11272" s="1" t="s">
        <v>11307</v>
      </c>
      <c r="B11272" s="1" t="s">
        <v>214</v>
      </c>
      <c r="C11272" s="1" t="n">
        <v>156000</v>
      </c>
      <c r="D11272" s="1" t="n">
        <v>2367.5</v>
      </c>
      <c r="E11272" s="1" t="n">
        <v>0.022</v>
      </c>
      <c r="F11272" s="1" t="n">
        <v>0.0951</v>
      </c>
    </row>
    <row r="11273" customFormat="false" ht="15" hidden="false" customHeight="false" outlineLevel="0" collapsed="false">
      <c r="A11273" s="1" t="s">
        <v>11308</v>
      </c>
      <c r="B11273" s="1" t="s">
        <v>92</v>
      </c>
      <c r="C11273" s="1" t="n">
        <v>159000</v>
      </c>
      <c r="D11273" s="1" t="n">
        <v>739.5</v>
      </c>
      <c r="E11273" s="1" t="n">
        <v>0.0195</v>
      </c>
      <c r="F11273" s="1" t="n">
        <v>0.1067</v>
      </c>
    </row>
    <row r="11274" customFormat="false" ht="15" hidden="false" customHeight="false" outlineLevel="0" collapsed="false">
      <c r="A11274" s="1" t="s">
        <v>11309</v>
      </c>
      <c r="B11274" s="1" t="s">
        <v>26</v>
      </c>
      <c r="C11274" s="1" t="n">
        <v>168000</v>
      </c>
      <c r="D11274" s="1" t="n">
        <v>26288.2</v>
      </c>
      <c r="E11274" s="1" t="n">
        <v>0.0352</v>
      </c>
      <c r="F11274" s="1" t="n">
        <v>0.0951</v>
      </c>
    </row>
    <row r="11275" customFormat="false" ht="15" hidden="false" customHeight="false" outlineLevel="0" collapsed="false">
      <c r="A11275" s="1" t="s">
        <v>11310</v>
      </c>
      <c r="B11275" s="1" t="s">
        <v>81</v>
      </c>
      <c r="C11275" s="1" t="n">
        <v>117000</v>
      </c>
      <c r="D11275" s="1" t="n">
        <v>3992.8</v>
      </c>
      <c r="E11275" s="1" t="n">
        <v>0.01</v>
      </c>
      <c r="F11275" s="1" t="n">
        <v>0.0911</v>
      </c>
    </row>
    <row r="11276" customFormat="false" ht="15" hidden="false" customHeight="false" outlineLevel="0" collapsed="false">
      <c r="A11276" s="1" t="s">
        <v>11311</v>
      </c>
      <c r="B11276" s="1" t="s">
        <v>53</v>
      </c>
      <c r="C11276" s="1" t="n">
        <v>313000</v>
      </c>
      <c r="D11276" s="1" t="n">
        <v>1676849</v>
      </c>
      <c r="E11276" s="1" t="n">
        <v>0.0179</v>
      </c>
      <c r="F11276" s="1" t="n">
        <v>0.0922</v>
      </c>
    </row>
    <row r="11277" customFormat="false" ht="15" hidden="false" customHeight="false" outlineLevel="0" collapsed="false">
      <c r="A11277" s="1" t="s">
        <v>11312</v>
      </c>
      <c r="B11277" s="1" t="s">
        <v>81</v>
      </c>
      <c r="C11277" s="1" t="n">
        <v>111000</v>
      </c>
      <c r="D11277" s="1" t="n">
        <v>20584.7</v>
      </c>
      <c r="E11277" s="1" t="n">
        <v>0.0483</v>
      </c>
      <c r="F11277" s="1" t="n">
        <v>0.0951</v>
      </c>
    </row>
    <row r="11278" customFormat="false" ht="15" hidden="false" customHeight="false" outlineLevel="0" collapsed="false">
      <c r="A11278" s="1" t="s">
        <v>11313</v>
      </c>
      <c r="B11278" s="1" t="s">
        <v>92</v>
      </c>
      <c r="C11278" s="1" t="n">
        <v>118000</v>
      </c>
      <c r="D11278" s="1" t="n">
        <v>2402.4</v>
      </c>
      <c r="E11278" s="1" t="n">
        <v>0.0173</v>
      </c>
      <c r="F11278" s="1" t="n">
        <v>0.0585</v>
      </c>
    </row>
    <row r="11279" customFormat="false" ht="15" hidden="false" customHeight="false" outlineLevel="0" collapsed="false">
      <c r="A11279" s="1" t="s">
        <v>11314</v>
      </c>
      <c r="B11279" s="1" t="s">
        <v>26</v>
      </c>
      <c r="C11279" s="1" t="n">
        <v>111000</v>
      </c>
      <c r="D11279" s="1" t="n">
        <v>1804</v>
      </c>
      <c r="E11279" s="1" t="n">
        <v>0.0432</v>
      </c>
      <c r="F11279" s="1" t="n">
        <v>0.1535</v>
      </c>
    </row>
    <row r="11280" customFormat="false" ht="15" hidden="false" customHeight="false" outlineLevel="0" collapsed="false">
      <c r="A11280" s="1" t="s">
        <v>11315</v>
      </c>
      <c r="B11280" s="1" t="s">
        <v>26</v>
      </c>
      <c r="C11280" s="1" t="n">
        <v>111000</v>
      </c>
      <c r="D11280" s="1" t="n">
        <v>15695.5</v>
      </c>
      <c r="E11280" s="1" t="n">
        <v>0.0389</v>
      </c>
      <c r="F11280" s="1" t="n">
        <v>0.0759</v>
      </c>
    </row>
    <row r="11281" customFormat="false" ht="15" hidden="false" customHeight="false" outlineLevel="0" collapsed="false">
      <c r="A11281" s="1" t="s">
        <v>11316</v>
      </c>
      <c r="B11281" s="1" t="s">
        <v>62</v>
      </c>
      <c r="C11281" s="1" t="n">
        <v>108000</v>
      </c>
      <c r="D11281" s="1" t="n">
        <v>64841.2</v>
      </c>
      <c r="E11281" s="1" t="n">
        <v>0.0231</v>
      </c>
      <c r="F11281" s="1" t="n">
        <v>0.0518</v>
      </c>
    </row>
    <row r="11282" customFormat="false" ht="15" hidden="false" customHeight="false" outlineLevel="0" collapsed="false">
      <c r="A11282" s="1" t="s">
        <v>11317</v>
      </c>
      <c r="B11282" s="1" t="s">
        <v>26</v>
      </c>
      <c r="C11282" s="1" t="n">
        <v>193000</v>
      </c>
      <c r="D11282" s="1" t="n">
        <v>2490.3</v>
      </c>
      <c r="E11282" s="1" t="n">
        <v>0.0234</v>
      </c>
      <c r="F11282" s="1" t="n">
        <v>0.1308</v>
      </c>
    </row>
    <row r="11283" customFormat="false" ht="15" hidden="false" customHeight="false" outlineLevel="0" collapsed="false">
      <c r="A11283" s="1" t="s">
        <v>11318</v>
      </c>
      <c r="B11283" s="1" t="s">
        <v>26</v>
      </c>
      <c r="C11283" s="1" t="n">
        <v>111000</v>
      </c>
      <c r="D11283" s="1" t="n">
        <v>18495.5</v>
      </c>
      <c r="E11283" s="1" t="n">
        <v>0.0251</v>
      </c>
      <c r="F11283" s="1" t="n">
        <v>0.1536</v>
      </c>
    </row>
    <row r="11284" customFormat="false" ht="15" hidden="false" customHeight="false" outlineLevel="0" collapsed="false">
      <c r="A11284" s="1" t="s">
        <v>11319</v>
      </c>
      <c r="B11284" s="1" t="s">
        <v>71</v>
      </c>
      <c r="C11284" s="1" t="n">
        <v>114000</v>
      </c>
      <c r="D11284" s="1" t="n">
        <v>7716.7</v>
      </c>
      <c r="E11284" s="1" t="n">
        <v>0.0058</v>
      </c>
      <c r="F11284" s="1" t="n">
        <v>0.0822</v>
      </c>
    </row>
    <row r="11285" customFormat="false" ht="15" hidden="false" customHeight="false" outlineLevel="0" collapsed="false">
      <c r="A11285" s="1" t="s">
        <v>11320</v>
      </c>
      <c r="B11285" s="1" t="s">
        <v>24</v>
      </c>
      <c r="C11285" s="1" t="n">
        <v>108000</v>
      </c>
      <c r="D11285" s="1" t="n">
        <v>1328.7</v>
      </c>
      <c r="E11285" s="1" t="n">
        <v>0.023</v>
      </c>
      <c r="F11285" s="1" t="n">
        <v>0.1243</v>
      </c>
    </row>
    <row r="11286" customFormat="false" ht="15" hidden="false" customHeight="false" outlineLevel="0" collapsed="false">
      <c r="A11286" s="1" t="s">
        <v>11321</v>
      </c>
      <c r="B11286" s="1" t="s">
        <v>21</v>
      </c>
      <c r="C11286" s="1" t="n">
        <v>153000</v>
      </c>
      <c r="D11286" s="1" t="n">
        <v>11466.5</v>
      </c>
      <c r="E11286" s="1" t="n">
        <v>0.0074</v>
      </c>
      <c r="F11286" s="1" t="n">
        <v>0.0811</v>
      </c>
    </row>
    <row r="11287" customFormat="false" ht="15" hidden="false" customHeight="false" outlineLevel="0" collapsed="false">
      <c r="A11287" s="1" t="s">
        <v>11322</v>
      </c>
      <c r="B11287" s="1" t="s">
        <v>26</v>
      </c>
      <c r="C11287" s="1" t="n">
        <v>184000</v>
      </c>
      <c r="D11287" s="1" t="n">
        <v>28488.2</v>
      </c>
      <c r="E11287" s="1" t="n">
        <v>0.0084</v>
      </c>
      <c r="F11287" s="1" t="n">
        <v>0.0811</v>
      </c>
    </row>
    <row r="11288" customFormat="false" ht="15" hidden="false" customHeight="false" outlineLevel="0" collapsed="false">
      <c r="A11288" s="1" t="s">
        <v>11323</v>
      </c>
      <c r="B11288" s="1" t="s">
        <v>92</v>
      </c>
      <c r="C11288" s="1" t="n">
        <v>113000</v>
      </c>
      <c r="D11288" s="1" t="n">
        <v>1232.6</v>
      </c>
      <c r="E11288" s="1" t="n">
        <v>0.0149</v>
      </c>
      <c r="F11288" s="1" t="n">
        <v>0.1027</v>
      </c>
    </row>
    <row r="11289" customFormat="false" ht="15" hidden="false" customHeight="false" outlineLevel="0" collapsed="false">
      <c r="A11289" s="1" t="s">
        <v>11324</v>
      </c>
      <c r="B11289" s="1" t="s">
        <v>24</v>
      </c>
      <c r="C11289" s="1" t="n">
        <v>238000</v>
      </c>
      <c r="D11289" s="1" t="n">
        <v>277.4</v>
      </c>
      <c r="E11289" s="1" t="n">
        <v>0.1106</v>
      </c>
      <c r="F11289" s="1" t="n">
        <v>0.1226</v>
      </c>
    </row>
    <row r="11290" customFormat="false" ht="15" hidden="false" customHeight="false" outlineLevel="0" collapsed="false">
      <c r="A11290" s="1" t="s">
        <v>11325</v>
      </c>
      <c r="B11290" s="1" t="s">
        <v>88</v>
      </c>
      <c r="C11290" s="1" t="n">
        <v>123000</v>
      </c>
      <c r="D11290" s="1" t="n">
        <v>437.6</v>
      </c>
      <c r="E11290" s="1" t="n">
        <v>0.0148</v>
      </c>
      <c r="F11290" s="1" t="n">
        <v>0.0726</v>
      </c>
    </row>
    <row r="11291" customFormat="false" ht="15" hidden="false" customHeight="false" outlineLevel="0" collapsed="false">
      <c r="A11291" s="1" t="s">
        <v>11326</v>
      </c>
      <c r="B11291" s="1" t="s">
        <v>26</v>
      </c>
      <c r="C11291" s="1" t="n">
        <v>116000</v>
      </c>
      <c r="D11291" s="1" t="n">
        <v>1185.6</v>
      </c>
      <c r="E11291" s="1" t="n">
        <v>0.0501</v>
      </c>
      <c r="F11291" s="1" t="n">
        <v>0.0938</v>
      </c>
    </row>
    <row r="11292" customFormat="false" ht="15" hidden="false" customHeight="false" outlineLevel="0" collapsed="false">
      <c r="A11292" s="1" t="s">
        <v>11327</v>
      </c>
      <c r="B11292" s="1" t="s">
        <v>81</v>
      </c>
      <c r="C11292" s="1" t="n">
        <v>114000</v>
      </c>
      <c r="D11292" s="1" t="n">
        <v>658.5</v>
      </c>
      <c r="E11292" s="1" t="n">
        <v>0.0174</v>
      </c>
      <c r="F11292" s="1" t="n">
        <v>0.0488</v>
      </c>
    </row>
    <row r="11293" customFormat="false" ht="15" hidden="false" customHeight="false" outlineLevel="0" collapsed="false">
      <c r="A11293" s="1" t="s">
        <v>11328</v>
      </c>
      <c r="B11293" s="1" t="s">
        <v>26</v>
      </c>
      <c r="C11293" s="1" t="n">
        <v>146000</v>
      </c>
      <c r="D11293" s="1" t="n">
        <v>24089.6</v>
      </c>
      <c r="E11293" s="1" t="n">
        <v>0.0152</v>
      </c>
      <c r="F11293" s="1" t="n">
        <v>0.0462</v>
      </c>
    </row>
    <row r="11294" customFormat="false" ht="15" hidden="false" customHeight="false" outlineLevel="0" collapsed="false">
      <c r="A11294" s="1" t="s">
        <v>11329</v>
      </c>
      <c r="B11294" s="1" t="s">
        <v>26</v>
      </c>
      <c r="C11294" s="1" t="n">
        <v>125000</v>
      </c>
      <c r="D11294" s="1" t="n">
        <v>11343.2</v>
      </c>
      <c r="E11294" s="1" t="n">
        <v>0.0377</v>
      </c>
      <c r="F11294" s="1" t="n">
        <v>0.0938</v>
      </c>
    </row>
    <row r="11295" customFormat="false" ht="15" hidden="false" customHeight="false" outlineLevel="0" collapsed="false">
      <c r="A11295" s="1" t="s">
        <v>11330</v>
      </c>
      <c r="B11295" s="1" t="s">
        <v>88</v>
      </c>
      <c r="C11295" s="1" t="n">
        <v>156000</v>
      </c>
      <c r="D11295" s="1" t="n">
        <v>16148</v>
      </c>
      <c r="E11295" s="1" t="n">
        <v>0.0205</v>
      </c>
      <c r="F11295" s="1" t="n">
        <v>0.1067</v>
      </c>
    </row>
    <row r="11296" customFormat="false" ht="15" hidden="false" customHeight="false" outlineLevel="0" collapsed="false">
      <c r="A11296" s="1" t="s">
        <v>11331</v>
      </c>
      <c r="B11296" s="1" t="s">
        <v>88</v>
      </c>
      <c r="C11296" s="1" t="n">
        <v>150000</v>
      </c>
      <c r="D11296" s="1" t="n">
        <v>379.9</v>
      </c>
      <c r="E11296" s="1" t="n">
        <v>0.0454</v>
      </c>
      <c r="F11296" s="1" t="n">
        <v>0.051</v>
      </c>
    </row>
    <row r="11297" customFormat="false" ht="15" hidden="false" customHeight="false" outlineLevel="0" collapsed="false">
      <c r="A11297" s="1" t="s">
        <v>11332</v>
      </c>
      <c r="B11297" s="1" t="s">
        <v>74</v>
      </c>
      <c r="C11297" s="1" t="n">
        <v>122000</v>
      </c>
      <c r="D11297" s="1" t="n">
        <v>809.6</v>
      </c>
      <c r="E11297" s="1" t="n">
        <v>0.081</v>
      </c>
      <c r="F11297" s="1" t="n">
        <v>0.0938</v>
      </c>
    </row>
    <row r="11298" customFormat="false" ht="15" hidden="false" customHeight="false" outlineLevel="0" collapsed="false">
      <c r="A11298" s="1" t="s">
        <v>11333</v>
      </c>
      <c r="B11298" s="1" t="s">
        <v>26</v>
      </c>
      <c r="C11298" s="1" t="n">
        <v>126000</v>
      </c>
      <c r="D11298" s="1" t="n">
        <v>4126.5</v>
      </c>
      <c r="E11298" s="1" t="n">
        <v>0.0581</v>
      </c>
      <c r="F11298" s="1" t="n">
        <v>0.0759</v>
      </c>
    </row>
    <row r="11299" customFormat="false" ht="15" hidden="false" customHeight="false" outlineLevel="0" collapsed="false">
      <c r="A11299" s="1" t="s">
        <v>11334</v>
      </c>
      <c r="B11299" s="1" t="s">
        <v>26</v>
      </c>
      <c r="C11299" s="1" t="n">
        <v>259000</v>
      </c>
      <c r="D11299" s="1" t="n">
        <v>1910.5</v>
      </c>
      <c r="E11299" s="1" t="n">
        <v>0.0414</v>
      </c>
      <c r="F11299" s="1" t="n">
        <v>0.0518</v>
      </c>
    </row>
    <row r="11300" customFormat="false" ht="15" hidden="false" customHeight="false" outlineLevel="0" collapsed="false">
      <c r="A11300" s="1" t="s">
        <v>11335</v>
      </c>
      <c r="B11300" s="1" t="s">
        <v>26</v>
      </c>
      <c r="C11300" s="1" t="n">
        <v>138000</v>
      </c>
      <c r="D11300" s="1" t="n">
        <v>38531.4</v>
      </c>
      <c r="E11300" s="1" t="n">
        <v>0.0207</v>
      </c>
      <c r="F11300" s="1" t="n">
        <v>0.0409</v>
      </c>
    </row>
    <row r="11301" customFormat="false" ht="15" hidden="false" customHeight="false" outlineLevel="0" collapsed="false">
      <c r="A11301" s="1" t="s">
        <v>11336</v>
      </c>
      <c r="B11301" s="1" t="s">
        <v>62</v>
      </c>
      <c r="C11301" s="1" t="n">
        <v>144000</v>
      </c>
      <c r="D11301" s="1" t="n">
        <v>454.6</v>
      </c>
      <c r="F11301" s="1" t="n">
        <v>0.0938</v>
      </c>
    </row>
    <row r="11302" customFormat="false" ht="15" hidden="false" customHeight="false" outlineLevel="0" collapsed="false">
      <c r="A11302" s="1" t="s">
        <v>11337</v>
      </c>
      <c r="B11302" s="1" t="s">
        <v>24</v>
      </c>
      <c r="C11302" s="1" t="n">
        <v>120000</v>
      </c>
      <c r="D11302" s="1" t="n">
        <v>2771.7</v>
      </c>
      <c r="E11302" s="1" t="n">
        <v>0.0129</v>
      </c>
      <c r="F11302" s="1" t="n">
        <v>0.1889</v>
      </c>
    </row>
    <row r="11303" customFormat="false" ht="15" hidden="false" customHeight="false" outlineLevel="0" collapsed="false">
      <c r="A11303" s="1" t="s">
        <v>11338</v>
      </c>
      <c r="B11303" s="1" t="s">
        <v>26</v>
      </c>
      <c r="C11303" s="1" t="n">
        <v>224000</v>
      </c>
      <c r="D11303" s="1" t="n">
        <v>1637</v>
      </c>
      <c r="E11303" s="1" t="n">
        <v>0.039</v>
      </c>
      <c r="F11303" s="1" t="n">
        <v>0.0938</v>
      </c>
    </row>
    <row r="11304" customFormat="false" ht="15" hidden="false" customHeight="false" outlineLevel="0" collapsed="false">
      <c r="A11304" s="1" t="s">
        <v>11339</v>
      </c>
      <c r="B11304" s="1" t="s">
        <v>74</v>
      </c>
      <c r="C11304" s="1" t="n">
        <v>158000</v>
      </c>
      <c r="D11304" s="1" t="n">
        <v>1491.8</v>
      </c>
      <c r="E11304" s="1" t="n">
        <v>0.0534</v>
      </c>
      <c r="F11304" s="1" t="n">
        <v>0.051</v>
      </c>
    </row>
    <row r="11305" customFormat="false" ht="15" hidden="false" customHeight="false" outlineLevel="0" collapsed="false">
      <c r="A11305" s="1" t="s">
        <v>11340</v>
      </c>
      <c r="B11305" s="1" t="s">
        <v>26</v>
      </c>
      <c r="C11305" s="1" t="n">
        <v>126000</v>
      </c>
      <c r="D11305" s="1" t="n">
        <v>8024.1</v>
      </c>
      <c r="E11305" s="1" t="n">
        <v>0.0321</v>
      </c>
      <c r="F11305" s="1" t="n">
        <v>0.0951</v>
      </c>
    </row>
    <row r="11306" customFormat="false" ht="15" hidden="false" customHeight="false" outlineLevel="0" collapsed="false">
      <c r="A11306" s="1" t="s">
        <v>11341</v>
      </c>
      <c r="B11306" s="1" t="s">
        <v>214</v>
      </c>
      <c r="C11306" s="1" t="n">
        <v>118000</v>
      </c>
      <c r="D11306" s="1" t="n">
        <v>298.5</v>
      </c>
      <c r="E11306" s="1" t="n">
        <v>0.0203</v>
      </c>
      <c r="F11306" s="1" t="n">
        <v>0.117</v>
      </c>
    </row>
    <row r="11307" customFormat="false" ht="15" hidden="false" customHeight="false" outlineLevel="0" collapsed="false">
      <c r="A11307" s="1" t="s">
        <v>11342</v>
      </c>
      <c r="B11307" s="1" t="s">
        <v>74</v>
      </c>
      <c r="C11307" s="1" t="n">
        <v>122000</v>
      </c>
      <c r="D11307" s="1" t="n">
        <v>318.9</v>
      </c>
      <c r="F11307" s="1" t="n">
        <v>0.0538</v>
      </c>
    </row>
    <row r="11308" customFormat="false" ht="15" hidden="false" customHeight="false" outlineLevel="0" collapsed="false">
      <c r="A11308" s="1" t="s">
        <v>11343</v>
      </c>
      <c r="B11308" s="1" t="s">
        <v>88</v>
      </c>
      <c r="C11308" s="1" t="n">
        <v>111000</v>
      </c>
      <c r="D11308" s="1" t="n">
        <v>954.2</v>
      </c>
      <c r="E11308" s="1" t="n">
        <v>0.0556</v>
      </c>
      <c r="F11308" s="1" t="n">
        <v>0.117</v>
      </c>
    </row>
    <row r="11309" customFormat="false" ht="15" hidden="false" customHeight="false" outlineLevel="0" collapsed="false">
      <c r="A11309" s="1" t="s">
        <v>11344</v>
      </c>
      <c r="B11309" s="1" t="s">
        <v>21</v>
      </c>
      <c r="C11309" s="1" t="n">
        <v>144000</v>
      </c>
      <c r="D11309" s="1" t="n">
        <v>84712.5</v>
      </c>
      <c r="E11309" s="1" t="n">
        <v>0.0739</v>
      </c>
      <c r="F11309" s="1" t="n">
        <v>0.0951</v>
      </c>
    </row>
    <row r="11310" customFormat="false" ht="15" hidden="false" customHeight="false" outlineLevel="0" collapsed="false">
      <c r="A11310" s="1" t="s">
        <v>11345</v>
      </c>
      <c r="B11310" s="1" t="s">
        <v>88</v>
      </c>
      <c r="C11310" s="1" t="n">
        <v>245000</v>
      </c>
      <c r="D11310" s="1" t="n">
        <v>58333.1</v>
      </c>
      <c r="E11310" s="1" t="n">
        <v>0.0681</v>
      </c>
      <c r="F11310" s="1" t="n">
        <v>0.0951</v>
      </c>
    </row>
    <row r="11311" customFormat="false" ht="15" hidden="false" customHeight="false" outlineLevel="0" collapsed="false">
      <c r="A11311" s="1" t="s">
        <v>11346</v>
      </c>
      <c r="B11311" s="1" t="s">
        <v>74</v>
      </c>
      <c r="C11311" s="1" t="n">
        <v>239000</v>
      </c>
      <c r="D11311" s="1" t="n">
        <v>7751</v>
      </c>
      <c r="E11311" s="1" t="n">
        <v>0.0525</v>
      </c>
      <c r="F11311" s="1" t="n">
        <v>0.0759</v>
      </c>
    </row>
    <row r="11312" customFormat="false" ht="15" hidden="false" customHeight="false" outlineLevel="0" collapsed="false">
      <c r="A11312" s="1" t="s">
        <v>11347</v>
      </c>
      <c r="B11312" s="1" t="s">
        <v>26</v>
      </c>
      <c r="C11312" s="1" t="n">
        <v>193000</v>
      </c>
      <c r="D11312" s="1" t="n">
        <v>16677.5</v>
      </c>
      <c r="E11312" s="1" t="n">
        <v>0.006</v>
      </c>
      <c r="F11312" s="1" t="n">
        <v>0.0811</v>
      </c>
    </row>
    <row r="11313" customFormat="false" ht="15" hidden="false" customHeight="false" outlineLevel="0" collapsed="false">
      <c r="A11313" s="1" t="s">
        <v>11348</v>
      </c>
      <c r="B11313" s="1" t="s">
        <v>88</v>
      </c>
      <c r="C11313" s="1" t="n">
        <v>131000</v>
      </c>
      <c r="D11313" s="1" t="n">
        <v>22852</v>
      </c>
      <c r="E11313" s="1" t="n">
        <v>0.0272</v>
      </c>
      <c r="F11313" s="1" t="n">
        <v>0.0759</v>
      </c>
    </row>
    <row r="11314" customFormat="false" ht="15" hidden="false" customHeight="false" outlineLevel="0" collapsed="false">
      <c r="A11314" s="1" t="s">
        <v>11349</v>
      </c>
      <c r="B11314" s="1" t="s">
        <v>74</v>
      </c>
      <c r="C11314" s="1" t="n">
        <v>184000</v>
      </c>
      <c r="D11314" s="1" t="n">
        <v>10193.3</v>
      </c>
      <c r="E11314" s="1" t="n">
        <v>0.0622</v>
      </c>
      <c r="F11314" s="1" t="n">
        <v>0.0409</v>
      </c>
    </row>
    <row r="11315" customFormat="false" ht="15" hidden="false" customHeight="false" outlineLevel="0" collapsed="false">
      <c r="A11315" s="1" t="s">
        <v>11350</v>
      </c>
      <c r="B11315" s="1" t="s">
        <v>214</v>
      </c>
      <c r="C11315" s="1" t="n">
        <v>113000</v>
      </c>
      <c r="D11315" s="1" t="n">
        <v>201.5</v>
      </c>
      <c r="E11315" s="1" t="n">
        <v>0.0205</v>
      </c>
      <c r="F11315" s="1" t="n">
        <v>0.0735</v>
      </c>
    </row>
    <row r="11316" customFormat="false" ht="15" hidden="false" customHeight="false" outlineLevel="0" collapsed="false">
      <c r="A11316" s="1" t="s">
        <v>11351</v>
      </c>
      <c r="B11316" s="1" t="s">
        <v>88</v>
      </c>
      <c r="C11316" s="1" t="n">
        <v>108000</v>
      </c>
      <c r="D11316" s="1" t="n">
        <v>1912.9</v>
      </c>
      <c r="E11316" s="1" t="n">
        <v>0.032</v>
      </c>
      <c r="F11316" s="1" t="n">
        <v>0.0951</v>
      </c>
    </row>
    <row r="11317" customFormat="false" ht="15" hidden="false" customHeight="false" outlineLevel="0" collapsed="false">
      <c r="A11317" s="1" t="s">
        <v>11352</v>
      </c>
      <c r="B11317" s="1" t="s">
        <v>24</v>
      </c>
      <c r="C11317" s="1" t="n">
        <v>178000</v>
      </c>
      <c r="D11317" s="1" t="n">
        <v>53342.8</v>
      </c>
      <c r="E11317" s="1" t="n">
        <v>0.0621</v>
      </c>
      <c r="F11317" s="1" t="n">
        <v>0.0759</v>
      </c>
    </row>
    <row r="11318" customFormat="false" ht="15" hidden="false" customHeight="false" outlineLevel="0" collapsed="false">
      <c r="A11318" s="1" t="s">
        <v>11353</v>
      </c>
      <c r="B11318" s="1" t="s">
        <v>50</v>
      </c>
      <c r="C11318" s="1" t="n">
        <v>112000</v>
      </c>
      <c r="D11318" s="1" t="n">
        <v>1144.2</v>
      </c>
      <c r="E11318" s="1" t="n">
        <v>0.0355</v>
      </c>
      <c r="F11318" s="1" t="n">
        <v>0.0951</v>
      </c>
    </row>
    <row r="11319" customFormat="false" ht="15" hidden="false" customHeight="false" outlineLevel="0" collapsed="false">
      <c r="A11319" s="1" t="s">
        <v>11354</v>
      </c>
      <c r="B11319" s="1" t="s">
        <v>88</v>
      </c>
      <c r="C11319" s="1" t="n">
        <v>110000</v>
      </c>
      <c r="D11319" s="1" t="n">
        <v>10537.6</v>
      </c>
      <c r="E11319" s="1" t="n">
        <v>0.0305</v>
      </c>
      <c r="F11319" s="1" t="n">
        <v>0.0951</v>
      </c>
    </row>
    <row r="11320" customFormat="false" ht="15" hidden="false" customHeight="false" outlineLevel="0" collapsed="false">
      <c r="A11320" s="1" t="s">
        <v>11355</v>
      </c>
      <c r="B11320" s="1" t="s">
        <v>81</v>
      </c>
      <c r="C11320" s="1" t="n">
        <v>109000</v>
      </c>
      <c r="D11320" s="1" t="n">
        <v>905125.1</v>
      </c>
      <c r="E11320" s="1" t="n">
        <v>0.0334</v>
      </c>
      <c r="F11320" s="1" t="n">
        <v>0.0951</v>
      </c>
    </row>
    <row r="11321" customFormat="false" ht="15" hidden="false" customHeight="false" outlineLevel="0" collapsed="false">
      <c r="A11321" s="1" t="s">
        <v>11356</v>
      </c>
      <c r="B11321" s="1" t="s">
        <v>24</v>
      </c>
      <c r="C11321" s="1" t="n">
        <v>122000</v>
      </c>
      <c r="D11321" s="1" t="n">
        <v>823</v>
      </c>
      <c r="E11321" s="1" t="n">
        <v>0.0087</v>
      </c>
      <c r="F11321" s="1" t="n">
        <v>0.0654</v>
      </c>
    </row>
    <row r="11322" customFormat="false" ht="15" hidden="false" customHeight="false" outlineLevel="0" collapsed="false">
      <c r="A11322" s="1" t="s">
        <v>11357</v>
      </c>
      <c r="B11322" s="1" t="s">
        <v>32</v>
      </c>
      <c r="C11322" s="1" t="n">
        <v>108000</v>
      </c>
      <c r="D11322" s="1" t="n">
        <v>2121631.7</v>
      </c>
      <c r="E11322" s="1" t="n">
        <v>0.0138</v>
      </c>
      <c r="F11322" s="1" t="n">
        <v>0.1712</v>
      </c>
    </row>
    <row r="11323" customFormat="false" ht="15" hidden="false" customHeight="false" outlineLevel="0" collapsed="false">
      <c r="A11323" s="1" t="s">
        <v>11358</v>
      </c>
      <c r="B11323" s="1" t="s">
        <v>81</v>
      </c>
      <c r="C11323" s="1" t="n">
        <v>124000</v>
      </c>
      <c r="D11323" s="1" t="n">
        <v>8817</v>
      </c>
      <c r="E11323" s="1" t="n">
        <v>0.0112</v>
      </c>
      <c r="F11323" s="1" t="n">
        <v>0.0654</v>
      </c>
    </row>
    <row r="11324" customFormat="false" ht="15" hidden="false" customHeight="false" outlineLevel="0" collapsed="false">
      <c r="A11324" s="1" t="s">
        <v>11359</v>
      </c>
      <c r="B11324" s="1" t="s">
        <v>195</v>
      </c>
      <c r="C11324" s="1" t="n">
        <v>114000</v>
      </c>
      <c r="D11324" s="1" t="n">
        <v>758.2</v>
      </c>
      <c r="E11324" s="1" t="n">
        <v>0.0236</v>
      </c>
      <c r="F11324" s="1" t="n">
        <v>0.117</v>
      </c>
    </row>
    <row r="11325" customFormat="false" ht="15" hidden="false" customHeight="false" outlineLevel="0" collapsed="false">
      <c r="A11325" s="1" t="s">
        <v>11360</v>
      </c>
      <c r="B11325" s="1" t="s">
        <v>26</v>
      </c>
      <c r="C11325" s="1" t="n">
        <v>131000</v>
      </c>
      <c r="D11325" s="1" t="n">
        <v>12215.6</v>
      </c>
      <c r="F11325" s="1" t="n">
        <v>0.0518</v>
      </c>
    </row>
    <row r="11326" customFormat="false" ht="15" hidden="false" customHeight="false" outlineLevel="0" collapsed="false">
      <c r="A11326" s="1" t="s">
        <v>11361</v>
      </c>
      <c r="B11326" s="1" t="s">
        <v>24</v>
      </c>
      <c r="C11326" s="1" t="n">
        <v>135000</v>
      </c>
      <c r="D11326" s="1" t="n">
        <v>1290.2</v>
      </c>
      <c r="E11326" s="1" t="n">
        <v>0.0108</v>
      </c>
      <c r="F11326" s="1" t="n">
        <v>0.0654</v>
      </c>
    </row>
    <row r="11327" customFormat="false" ht="15" hidden="false" customHeight="false" outlineLevel="0" collapsed="false">
      <c r="A11327" s="1" t="s">
        <v>11362</v>
      </c>
      <c r="B11327" s="1" t="s">
        <v>71</v>
      </c>
      <c r="C11327" s="1" t="n">
        <v>242000</v>
      </c>
      <c r="D11327" s="1" t="n">
        <v>67928.9</v>
      </c>
      <c r="E11327" s="1" t="n">
        <v>0.0364</v>
      </c>
      <c r="F11327" s="1" t="n">
        <v>0.0409</v>
      </c>
    </row>
    <row r="11328" customFormat="false" ht="15" hidden="false" customHeight="false" outlineLevel="0" collapsed="false">
      <c r="A11328" s="1" t="s">
        <v>11363</v>
      </c>
      <c r="B11328" s="1" t="s">
        <v>88</v>
      </c>
      <c r="C11328" s="1" t="n">
        <v>110000</v>
      </c>
      <c r="D11328" s="1" t="n">
        <v>3235.9</v>
      </c>
      <c r="E11328" s="1" t="n">
        <v>0.0136</v>
      </c>
      <c r="F11328" s="1" t="n">
        <v>0.1192</v>
      </c>
    </row>
    <row r="11329" customFormat="false" ht="15" hidden="false" customHeight="false" outlineLevel="0" collapsed="false">
      <c r="A11329" s="1" t="s">
        <v>11364</v>
      </c>
      <c r="B11329" s="1" t="s">
        <v>35</v>
      </c>
      <c r="C11329" s="1" t="n">
        <v>172000</v>
      </c>
      <c r="D11329" s="1" t="n">
        <v>10371.2</v>
      </c>
      <c r="E11329" s="1" t="n">
        <v>0.0387</v>
      </c>
      <c r="F11329" s="1" t="n">
        <v>0.0759</v>
      </c>
    </row>
    <row r="11330" customFormat="false" ht="15" hidden="false" customHeight="false" outlineLevel="0" collapsed="false">
      <c r="A11330" s="1" t="s">
        <v>11365</v>
      </c>
      <c r="B11330" s="1" t="s">
        <v>74</v>
      </c>
      <c r="C11330" s="1" t="n">
        <v>123000</v>
      </c>
      <c r="F11330" s="1" t="n">
        <v>0.0759</v>
      </c>
    </row>
    <row r="11331" customFormat="false" ht="15" hidden="false" customHeight="false" outlineLevel="0" collapsed="false">
      <c r="A11331" s="1" t="s">
        <v>11366</v>
      </c>
      <c r="B11331" s="1" t="s">
        <v>53</v>
      </c>
      <c r="C11331" s="1" t="n">
        <v>178000</v>
      </c>
      <c r="D11331" s="1" t="n">
        <v>13928.2</v>
      </c>
      <c r="E11331" s="1" t="n">
        <v>0.0111</v>
      </c>
      <c r="F11331" s="1" t="n">
        <v>0.0736</v>
      </c>
    </row>
    <row r="11332" customFormat="false" ht="15" hidden="false" customHeight="false" outlineLevel="0" collapsed="false">
      <c r="A11332" s="1" t="s">
        <v>11367</v>
      </c>
      <c r="B11332" s="1" t="s">
        <v>287</v>
      </c>
      <c r="C11332" s="1" t="n">
        <v>105000</v>
      </c>
      <c r="F11332" s="1" t="n">
        <v>0.0759</v>
      </c>
    </row>
    <row r="11333" customFormat="false" ht="15" hidden="false" customHeight="false" outlineLevel="0" collapsed="false">
      <c r="A11333" s="1" t="s">
        <v>11368</v>
      </c>
      <c r="B11333" s="1" t="s">
        <v>26</v>
      </c>
      <c r="C11333" s="1" t="n">
        <v>140000</v>
      </c>
      <c r="D11333" s="1" t="n">
        <v>21026.9</v>
      </c>
      <c r="F11333" s="1" t="n">
        <v>0.0951</v>
      </c>
    </row>
    <row r="11334" customFormat="false" ht="15" hidden="false" customHeight="false" outlineLevel="0" collapsed="false">
      <c r="A11334" s="1" t="s">
        <v>11369</v>
      </c>
      <c r="B11334" s="1" t="s">
        <v>26</v>
      </c>
      <c r="C11334" s="1" t="n">
        <v>173000</v>
      </c>
      <c r="D11334" s="1" t="n">
        <v>1730.8</v>
      </c>
      <c r="E11334" s="1" t="n">
        <v>0.0181</v>
      </c>
      <c r="F11334" s="1" t="n">
        <v>0.3328</v>
      </c>
    </row>
    <row r="11335" customFormat="false" ht="15" hidden="false" customHeight="false" outlineLevel="0" collapsed="false">
      <c r="A11335" s="1" t="s">
        <v>11370</v>
      </c>
      <c r="B11335" s="1" t="s">
        <v>74</v>
      </c>
      <c r="C11335" s="1" t="n">
        <v>173000</v>
      </c>
      <c r="D11335" s="1" t="n">
        <v>2423.5</v>
      </c>
      <c r="E11335" s="1" t="n">
        <v>0.0096</v>
      </c>
      <c r="F11335" s="1" t="n">
        <v>0.1187</v>
      </c>
    </row>
    <row r="11336" customFormat="false" ht="15" hidden="false" customHeight="false" outlineLevel="0" collapsed="false">
      <c r="A11336" s="1" t="s">
        <v>11371</v>
      </c>
      <c r="B11336" s="1" t="s">
        <v>88</v>
      </c>
      <c r="C11336" s="1" t="n">
        <v>119000</v>
      </c>
      <c r="D11336" s="1" t="n">
        <v>7588.4</v>
      </c>
      <c r="E11336" s="1" t="n">
        <v>0.0079</v>
      </c>
      <c r="F11336" s="1" t="n">
        <v>0.0654</v>
      </c>
    </row>
    <row r="11337" customFormat="false" ht="15" hidden="false" customHeight="false" outlineLevel="0" collapsed="false">
      <c r="A11337" s="1" t="s">
        <v>11372</v>
      </c>
      <c r="B11337" s="1" t="s">
        <v>24</v>
      </c>
      <c r="C11337" s="1" t="n">
        <v>271000</v>
      </c>
      <c r="D11337" s="1" t="n">
        <v>28471.5</v>
      </c>
      <c r="E11337" s="1" t="n">
        <v>0.0485</v>
      </c>
      <c r="F11337" s="1" t="n">
        <v>0.0759</v>
      </c>
    </row>
    <row r="11338" customFormat="false" ht="15" hidden="false" customHeight="false" outlineLevel="0" collapsed="false">
      <c r="A11338" s="1" t="s">
        <v>11373</v>
      </c>
      <c r="B11338" s="1" t="s">
        <v>32</v>
      </c>
      <c r="C11338" s="1" t="n">
        <v>108000</v>
      </c>
      <c r="D11338" s="1" t="n">
        <v>8582082.8</v>
      </c>
      <c r="E11338" s="1" t="n">
        <v>0.011</v>
      </c>
      <c r="F11338" s="1" t="n">
        <v>0.3868</v>
      </c>
    </row>
    <row r="11339" customFormat="false" ht="15" hidden="false" customHeight="false" outlineLevel="0" collapsed="false">
      <c r="A11339" s="1" t="s">
        <v>11374</v>
      </c>
      <c r="B11339" s="1" t="s">
        <v>26</v>
      </c>
      <c r="C11339" s="1" t="n">
        <v>120000</v>
      </c>
      <c r="D11339" s="1" t="n">
        <v>10232.1</v>
      </c>
      <c r="E11339" s="1" t="n">
        <v>0.0388</v>
      </c>
      <c r="F11339" s="1" t="n">
        <v>0.0951</v>
      </c>
    </row>
    <row r="11340" customFormat="false" ht="15" hidden="false" customHeight="false" outlineLevel="0" collapsed="false">
      <c r="A11340" s="1" t="s">
        <v>11375</v>
      </c>
      <c r="B11340" s="1" t="s">
        <v>81</v>
      </c>
      <c r="C11340" s="1" t="n">
        <v>179000</v>
      </c>
      <c r="D11340" s="1" t="n">
        <v>21153.4</v>
      </c>
      <c r="E11340" s="1" t="n">
        <v>0.0282</v>
      </c>
      <c r="F11340" s="1" t="n">
        <v>0.0938</v>
      </c>
    </row>
    <row r="11341" customFormat="false" ht="15" hidden="false" customHeight="false" outlineLevel="0" collapsed="false">
      <c r="A11341" s="1" t="s">
        <v>11376</v>
      </c>
      <c r="B11341" s="1" t="s">
        <v>26</v>
      </c>
      <c r="C11341" s="1" t="n">
        <v>143000</v>
      </c>
      <c r="D11341" s="1" t="n">
        <v>151930.9</v>
      </c>
      <c r="E11341" s="1" t="n">
        <v>0.0443</v>
      </c>
      <c r="F11341" s="1" t="n">
        <v>0.0518</v>
      </c>
    </row>
    <row r="11342" customFormat="false" ht="15" hidden="false" customHeight="false" outlineLevel="0" collapsed="false">
      <c r="A11342" s="1" t="s">
        <v>11377</v>
      </c>
      <c r="B11342" s="1" t="s">
        <v>26</v>
      </c>
      <c r="C11342" s="1" t="n">
        <v>125000</v>
      </c>
      <c r="D11342" s="1" t="n">
        <v>1705.5</v>
      </c>
      <c r="E11342" s="1" t="n">
        <v>0.0261</v>
      </c>
      <c r="F11342" s="1" t="n">
        <v>0.117</v>
      </c>
    </row>
    <row r="11343" customFormat="false" ht="15" hidden="false" customHeight="false" outlineLevel="0" collapsed="false">
      <c r="A11343" s="1" t="s">
        <v>11378</v>
      </c>
      <c r="B11343" s="1" t="s">
        <v>88</v>
      </c>
      <c r="C11343" s="1" t="n">
        <v>122000</v>
      </c>
      <c r="D11343" s="1" t="n">
        <v>468.7</v>
      </c>
      <c r="E11343" s="1" t="n">
        <v>0.0603</v>
      </c>
      <c r="F11343" s="1" t="n">
        <v>0.0938</v>
      </c>
    </row>
    <row r="11344" customFormat="false" ht="15" hidden="false" customHeight="false" outlineLevel="0" collapsed="false">
      <c r="A11344" s="1" t="s">
        <v>11379</v>
      </c>
      <c r="B11344" s="1" t="s">
        <v>26</v>
      </c>
      <c r="C11344" s="1" t="n">
        <v>129000</v>
      </c>
      <c r="D11344" s="1" t="n">
        <v>625.5</v>
      </c>
      <c r="E11344" s="1" t="n">
        <v>0.0058</v>
      </c>
      <c r="F11344" s="1" t="n">
        <v>0.1027</v>
      </c>
    </row>
    <row r="11345" customFormat="false" ht="15" hidden="false" customHeight="false" outlineLevel="0" collapsed="false">
      <c r="A11345" s="1" t="s">
        <v>11380</v>
      </c>
      <c r="B11345" s="1" t="s">
        <v>41</v>
      </c>
      <c r="C11345" s="1" t="n">
        <v>125000</v>
      </c>
      <c r="D11345" s="1" t="n">
        <v>2312.4</v>
      </c>
      <c r="E11345" s="1" t="n">
        <v>0.013</v>
      </c>
      <c r="F11345" s="1" t="n">
        <v>0.0584</v>
      </c>
    </row>
    <row r="11346" customFormat="false" ht="15" hidden="false" customHeight="false" outlineLevel="0" collapsed="false">
      <c r="A11346" s="1" t="s">
        <v>11381</v>
      </c>
      <c r="B11346" s="1" t="s">
        <v>26</v>
      </c>
      <c r="C11346" s="1" t="n">
        <v>136000</v>
      </c>
      <c r="D11346" s="1" t="n">
        <v>8254.2</v>
      </c>
      <c r="E11346" s="1" t="n">
        <v>0.0551</v>
      </c>
      <c r="F11346" s="1" t="n">
        <v>0.0938</v>
      </c>
    </row>
    <row r="11347" customFormat="false" ht="15" hidden="false" customHeight="false" outlineLevel="0" collapsed="false">
      <c r="A11347" s="1" t="s">
        <v>11382</v>
      </c>
      <c r="B11347" s="1" t="s">
        <v>41</v>
      </c>
      <c r="C11347" s="1" t="n">
        <v>188000</v>
      </c>
      <c r="D11347" s="1" t="n">
        <v>6915.1</v>
      </c>
      <c r="E11347" s="1" t="n">
        <v>0.0143</v>
      </c>
      <c r="F11347" s="1" t="n">
        <v>0.0608</v>
      </c>
    </row>
    <row r="11348" customFormat="false" ht="15" hidden="false" customHeight="false" outlineLevel="0" collapsed="false">
      <c r="A11348" s="1" t="s">
        <v>11383</v>
      </c>
      <c r="B11348" s="1" t="s">
        <v>88</v>
      </c>
      <c r="C11348" s="1" t="n">
        <v>135000</v>
      </c>
      <c r="D11348" s="1" t="n">
        <v>1807.2</v>
      </c>
      <c r="E11348" s="1" t="n">
        <v>0.0112</v>
      </c>
      <c r="F11348" s="1" t="n">
        <v>0.0584</v>
      </c>
    </row>
    <row r="11349" customFormat="false" ht="15" hidden="false" customHeight="false" outlineLevel="0" collapsed="false">
      <c r="A11349" s="1" t="s">
        <v>11384</v>
      </c>
      <c r="B11349" s="1" t="s">
        <v>71</v>
      </c>
      <c r="C11349" s="1" t="n">
        <v>128000</v>
      </c>
      <c r="D11349" s="1" t="n">
        <v>3255</v>
      </c>
      <c r="E11349" s="1" t="n">
        <v>0.0323</v>
      </c>
      <c r="F11349" s="1" t="n">
        <v>0.0759</v>
      </c>
    </row>
    <row r="11350" customFormat="false" ht="15" hidden="false" customHeight="false" outlineLevel="0" collapsed="false">
      <c r="A11350" s="1" t="s">
        <v>11385</v>
      </c>
      <c r="B11350" s="1" t="s">
        <v>24</v>
      </c>
      <c r="C11350" s="1" t="n">
        <v>110000</v>
      </c>
      <c r="D11350" s="1" t="n">
        <v>225.7</v>
      </c>
      <c r="E11350" s="1" t="n">
        <v>0.0224</v>
      </c>
      <c r="F11350" s="1" t="n">
        <v>0.0585</v>
      </c>
    </row>
    <row r="11351" customFormat="false" ht="15" hidden="false" customHeight="false" outlineLevel="0" collapsed="false">
      <c r="A11351" s="1" t="s">
        <v>11386</v>
      </c>
      <c r="B11351" s="1" t="s">
        <v>26</v>
      </c>
      <c r="C11351" s="1" t="n">
        <v>110000</v>
      </c>
      <c r="D11351" s="1" t="n">
        <v>17269.7</v>
      </c>
      <c r="E11351" s="1" t="n">
        <v>0.0204</v>
      </c>
      <c r="F11351" s="1" t="n">
        <v>0.139</v>
      </c>
    </row>
    <row r="11352" customFormat="false" ht="15" hidden="false" customHeight="false" outlineLevel="0" collapsed="false">
      <c r="A11352" s="1" t="s">
        <v>11387</v>
      </c>
      <c r="B11352" s="1" t="s">
        <v>62</v>
      </c>
      <c r="C11352" s="1" t="n">
        <v>110000</v>
      </c>
      <c r="D11352" s="1" t="n">
        <v>1630.8</v>
      </c>
      <c r="E11352" s="1" t="n">
        <v>0.0212</v>
      </c>
      <c r="F11352" s="1" t="n">
        <v>0.0726</v>
      </c>
    </row>
    <row r="11353" customFormat="false" ht="15" hidden="false" customHeight="false" outlineLevel="0" collapsed="false">
      <c r="A11353" s="1" t="s">
        <v>11388</v>
      </c>
      <c r="B11353" s="1" t="s">
        <v>50</v>
      </c>
      <c r="C11353" s="1" t="n">
        <v>109000</v>
      </c>
      <c r="D11353" s="1" t="n">
        <v>1569.6</v>
      </c>
      <c r="E11353" s="1" t="n">
        <v>0.0286</v>
      </c>
      <c r="F11353" s="1" t="n">
        <v>0.0546</v>
      </c>
    </row>
    <row r="11354" customFormat="false" ht="15" hidden="false" customHeight="false" outlineLevel="0" collapsed="false">
      <c r="A11354" s="1" t="s">
        <v>11389</v>
      </c>
      <c r="B11354" s="1" t="s">
        <v>41</v>
      </c>
      <c r="C11354" s="1" t="n">
        <v>115000</v>
      </c>
      <c r="D11354" s="1" t="n">
        <v>7063.9</v>
      </c>
      <c r="E11354" s="1" t="n">
        <v>0.0562</v>
      </c>
      <c r="F11354" s="1" t="n">
        <v>0.0951</v>
      </c>
    </row>
    <row r="11355" customFormat="false" ht="15" hidden="false" customHeight="false" outlineLevel="0" collapsed="false">
      <c r="A11355" s="1" t="s">
        <v>11390</v>
      </c>
      <c r="B11355" s="1" t="s">
        <v>28</v>
      </c>
      <c r="C11355" s="1" t="n">
        <v>476000</v>
      </c>
      <c r="D11355" s="1" t="n">
        <v>12352.4</v>
      </c>
      <c r="E11355" s="1" t="n">
        <v>0.005</v>
      </c>
      <c r="F11355" s="1" t="n">
        <v>0.0811</v>
      </c>
    </row>
    <row r="11356" customFormat="false" ht="15" hidden="false" customHeight="false" outlineLevel="0" collapsed="false">
      <c r="A11356" s="1" t="s">
        <v>11391</v>
      </c>
      <c r="B11356" s="1" t="s">
        <v>26</v>
      </c>
      <c r="C11356" s="1" t="n">
        <v>116000</v>
      </c>
      <c r="D11356" s="1" t="n">
        <v>465</v>
      </c>
      <c r="E11356" s="1" t="n">
        <v>0.0547</v>
      </c>
      <c r="F11356" s="1" t="n">
        <v>0.0951</v>
      </c>
    </row>
    <row r="11357" customFormat="false" ht="15" hidden="false" customHeight="false" outlineLevel="0" collapsed="false">
      <c r="A11357" s="1" t="s">
        <v>11392</v>
      </c>
      <c r="B11357" s="1" t="s">
        <v>92</v>
      </c>
      <c r="C11357" s="1" t="n">
        <v>109000</v>
      </c>
      <c r="D11357" s="1" t="n">
        <v>43594.3</v>
      </c>
      <c r="E11357" s="1" t="n">
        <v>0.0236</v>
      </c>
      <c r="F11357" s="1" t="n">
        <v>0.0951</v>
      </c>
    </row>
    <row r="11358" customFormat="false" ht="15" hidden="false" customHeight="false" outlineLevel="0" collapsed="false">
      <c r="A11358" s="1" t="s">
        <v>11393</v>
      </c>
      <c r="B11358" s="1" t="s">
        <v>26</v>
      </c>
      <c r="C11358" s="1" t="n">
        <v>52900</v>
      </c>
      <c r="D11358" s="1" t="n">
        <v>13781.6</v>
      </c>
      <c r="E11358" s="1" t="n">
        <v>0.0423</v>
      </c>
      <c r="F11358" s="1" t="n">
        <v>0.0951</v>
      </c>
    </row>
    <row r="11359" customFormat="false" ht="15" hidden="false" customHeight="false" outlineLevel="0" collapsed="false">
      <c r="A11359" s="1" t="s">
        <v>11394</v>
      </c>
      <c r="B11359" s="1" t="s">
        <v>26</v>
      </c>
      <c r="C11359" s="1" t="n">
        <v>114000</v>
      </c>
      <c r="D11359" s="1" t="n">
        <v>3795.1</v>
      </c>
      <c r="E11359" s="1" t="n">
        <v>0.0203</v>
      </c>
      <c r="F11359" s="1" t="n">
        <v>0.1119</v>
      </c>
    </row>
    <row r="11360" customFormat="false" ht="15" hidden="false" customHeight="false" outlineLevel="0" collapsed="false">
      <c r="A11360" s="1" t="s">
        <v>11395</v>
      </c>
      <c r="B11360" s="1" t="s">
        <v>71</v>
      </c>
      <c r="C11360" s="1" t="n">
        <v>138000</v>
      </c>
      <c r="D11360" s="1" t="n">
        <v>5808.7</v>
      </c>
      <c r="E11360" s="1" t="n">
        <v>0.0238</v>
      </c>
      <c r="F11360" s="1" t="n">
        <v>0.0854</v>
      </c>
    </row>
    <row r="11361" customFormat="false" ht="15" hidden="false" customHeight="false" outlineLevel="0" collapsed="false">
      <c r="A11361" s="1" t="s">
        <v>11396</v>
      </c>
      <c r="B11361" s="1" t="s">
        <v>26</v>
      </c>
      <c r="C11361" s="1" t="n">
        <v>114000</v>
      </c>
      <c r="D11361" s="1" t="n">
        <v>12310.4</v>
      </c>
      <c r="E11361" s="1" t="n">
        <v>0.0444</v>
      </c>
      <c r="F11361" s="1" t="n">
        <v>0.0759</v>
      </c>
    </row>
    <row r="11362" customFormat="false" ht="15" hidden="false" customHeight="false" outlineLevel="0" collapsed="false">
      <c r="A11362" s="1" t="s">
        <v>11397</v>
      </c>
      <c r="B11362" s="1" t="s">
        <v>26</v>
      </c>
      <c r="C11362" s="1" t="n">
        <v>111000</v>
      </c>
      <c r="D11362" s="1" t="n">
        <v>1118.8</v>
      </c>
      <c r="E11362" s="1" t="n">
        <v>0.0108</v>
      </c>
      <c r="F11362" s="1" t="n">
        <v>0.0811</v>
      </c>
    </row>
    <row r="11363" customFormat="false" ht="15" hidden="false" customHeight="false" outlineLevel="0" collapsed="false">
      <c r="A11363" s="1" t="s">
        <v>11398</v>
      </c>
      <c r="B11363" s="1" t="s">
        <v>81</v>
      </c>
      <c r="C11363" s="1" t="n">
        <v>116000</v>
      </c>
      <c r="D11363" s="1" t="n">
        <v>1867.9</v>
      </c>
      <c r="E11363" s="1" t="n">
        <v>0.018</v>
      </c>
      <c r="F11363" s="1" t="n">
        <v>0.131</v>
      </c>
    </row>
    <row r="11364" customFormat="false" ht="15" hidden="false" customHeight="false" outlineLevel="0" collapsed="false">
      <c r="A11364" s="1" t="s">
        <v>11399</v>
      </c>
      <c r="B11364" s="1" t="s">
        <v>195</v>
      </c>
      <c r="C11364" s="1" t="n">
        <v>145000</v>
      </c>
      <c r="D11364" s="1" t="n">
        <v>2001</v>
      </c>
      <c r="E11364" s="1" t="n">
        <v>0.0164</v>
      </c>
      <c r="F11364" s="1" t="n">
        <v>0.1013</v>
      </c>
    </row>
    <row r="11365" customFormat="false" ht="15" hidden="false" customHeight="false" outlineLevel="0" collapsed="false">
      <c r="A11365" s="1" t="s">
        <v>11400</v>
      </c>
      <c r="B11365" s="1" t="s">
        <v>88</v>
      </c>
      <c r="C11365" s="1" t="n">
        <v>124000</v>
      </c>
      <c r="D11365" s="1" t="n">
        <v>1065.3</v>
      </c>
      <c r="E11365" s="1" t="n">
        <v>0.0184</v>
      </c>
      <c r="F11365" s="1" t="n">
        <v>0.0462</v>
      </c>
    </row>
    <row r="11366" customFormat="false" ht="15" hidden="false" customHeight="false" outlineLevel="0" collapsed="false">
      <c r="A11366" s="1" t="s">
        <v>11401</v>
      </c>
      <c r="B11366" s="1" t="s">
        <v>24</v>
      </c>
      <c r="C11366" s="1" t="n">
        <v>121000</v>
      </c>
      <c r="D11366" s="1" t="n">
        <v>104330</v>
      </c>
      <c r="E11366" s="1" t="n">
        <v>0.0361</v>
      </c>
      <c r="F11366" s="1" t="n">
        <v>0.0951</v>
      </c>
    </row>
    <row r="11367" customFormat="false" ht="15" hidden="false" customHeight="false" outlineLevel="0" collapsed="false">
      <c r="A11367" s="1" t="s">
        <v>11402</v>
      </c>
      <c r="B11367" s="1" t="s">
        <v>26</v>
      </c>
      <c r="C11367" s="1" t="n">
        <v>107000</v>
      </c>
      <c r="D11367" s="1" t="n">
        <v>557.4</v>
      </c>
      <c r="E11367" s="1" t="n">
        <v>0.0469</v>
      </c>
      <c r="F11367" s="1" t="n">
        <v>0.0518</v>
      </c>
    </row>
    <row r="11368" customFormat="false" ht="15" hidden="false" customHeight="false" outlineLevel="0" collapsed="false">
      <c r="A11368" s="1" t="s">
        <v>11403</v>
      </c>
      <c r="B11368" s="1" t="s">
        <v>74</v>
      </c>
      <c r="C11368" s="1" t="n">
        <v>111000</v>
      </c>
      <c r="D11368" s="1" t="n">
        <v>206.4</v>
      </c>
      <c r="E11368" s="1" t="n">
        <v>0.01</v>
      </c>
      <c r="F11368" s="1" t="n">
        <v>0.0654</v>
      </c>
    </row>
    <row r="11369" customFormat="false" ht="15" hidden="false" customHeight="false" outlineLevel="0" collapsed="false">
      <c r="A11369" s="1" t="s">
        <v>11404</v>
      </c>
      <c r="B11369" s="1" t="s">
        <v>81</v>
      </c>
      <c r="C11369" s="1" t="n">
        <v>241000</v>
      </c>
      <c r="D11369" s="1" t="n">
        <v>11324.4</v>
      </c>
      <c r="E11369" s="1" t="n">
        <v>0.0142</v>
      </c>
      <c r="F11369" s="1" t="n">
        <v>0.0726</v>
      </c>
    </row>
    <row r="11370" customFormat="false" ht="15" hidden="false" customHeight="false" outlineLevel="0" collapsed="false">
      <c r="A11370" s="1" t="s">
        <v>11405</v>
      </c>
      <c r="B11370" s="1" t="s">
        <v>53</v>
      </c>
      <c r="C11370" s="1" t="n">
        <v>119000</v>
      </c>
      <c r="D11370" s="1" t="n">
        <v>2904.8</v>
      </c>
      <c r="E11370" s="1" t="n">
        <v>0.0272</v>
      </c>
      <c r="F11370" s="1" t="n">
        <v>0.0951</v>
      </c>
    </row>
    <row r="11371" customFormat="false" ht="15" hidden="false" customHeight="false" outlineLevel="0" collapsed="false">
      <c r="A11371" s="1" t="s">
        <v>11406</v>
      </c>
      <c r="B11371" s="1" t="s">
        <v>24</v>
      </c>
      <c r="C11371" s="1" t="n">
        <v>175000</v>
      </c>
      <c r="D11371" s="1" t="n">
        <v>259.9</v>
      </c>
      <c r="E11371" s="1" t="n">
        <v>0.0871</v>
      </c>
      <c r="F11371" s="1" t="n">
        <v>0.0938</v>
      </c>
    </row>
    <row r="11372" customFormat="false" ht="15" hidden="false" customHeight="false" outlineLevel="0" collapsed="false">
      <c r="A11372" s="1" t="s">
        <v>11407</v>
      </c>
      <c r="B11372" s="1" t="s">
        <v>26</v>
      </c>
      <c r="C11372" s="1" t="n">
        <v>123000</v>
      </c>
      <c r="D11372" s="1" t="n">
        <v>786.7</v>
      </c>
      <c r="E11372" s="1" t="n">
        <v>0.0109</v>
      </c>
      <c r="F11372" s="1" t="n">
        <v>0.1015</v>
      </c>
    </row>
    <row r="11373" customFormat="false" ht="15" hidden="false" customHeight="false" outlineLevel="0" collapsed="false">
      <c r="A11373" s="1" t="s">
        <v>11408</v>
      </c>
      <c r="B11373" s="1" t="s">
        <v>26</v>
      </c>
      <c r="C11373" s="1" t="n">
        <v>110000</v>
      </c>
      <c r="D11373" s="1" t="n">
        <v>593.1</v>
      </c>
      <c r="E11373" s="1" t="n">
        <v>0.0442</v>
      </c>
      <c r="F11373" s="1" t="n">
        <v>0.0759</v>
      </c>
    </row>
    <row r="11374" customFormat="false" ht="15" hidden="false" customHeight="false" outlineLevel="0" collapsed="false">
      <c r="A11374" s="1" t="s">
        <v>11409</v>
      </c>
      <c r="B11374" s="1" t="s">
        <v>88</v>
      </c>
      <c r="C11374" s="1" t="n">
        <v>150000</v>
      </c>
      <c r="D11374" s="1" t="n">
        <v>2429.3</v>
      </c>
      <c r="E11374" s="1" t="n">
        <v>0.0208</v>
      </c>
      <c r="F11374" s="1" t="n">
        <v>0.117</v>
      </c>
    </row>
    <row r="11375" customFormat="false" ht="15" hidden="false" customHeight="false" outlineLevel="0" collapsed="false">
      <c r="A11375" s="1" t="s">
        <v>11410</v>
      </c>
      <c r="B11375" s="1" t="s">
        <v>62</v>
      </c>
      <c r="C11375" s="1" t="n">
        <v>173000</v>
      </c>
      <c r="D11375" s="1" t="n">
        <v>8350.2</v>
      </c>
      <c r="E11375" s="1" t="n">
        <v>0.0647</v>
      </c>
      <c r="F11375" s="1" t="n">
        <v>0.0759</v>
      </c>
    </row>
    <row r="11376" customFormat="false" ht="15" hidden="false" customHeight="false" outlineLevel="0" collapsed="false">
      <c r="A11376" s="1" t="s">
        <v>11411</v>
      </c>
      <c r="B11376" s="1" t="s">
        <v>195</v>
      </c>
      <c r="C11376" s="1" t="n">
        <v>171000</v>
      </c>
      <c r="D11376" s="1" t="n">
        <v>14981.4</v>
      </c>
      <c r="E11376" s="1" t="n">
        <v>0.0215</v>
      </c>
      <c r="F11376" s="1" t="n">
        <v>0.0759</v>
      </c>
    </row>
    <row r="11377" customFormat="false" ht="15" hidden="false" customHeight="false" outlineLevel="0" collapsed="false">
      <c r="A11377" s="1" t="s">
        <v>11412</v>
      </c>
      <c r="B11377" s="1" t="s">
        <v>26</v>
      </c>
      <c r="C11377" s="1" t="n">
        <v>141000</v>
      </c>
      <c r="D11377" s="1" t="n">
        <v>504378.8</v>
      </c>
      <c r="E11377" s="1" t="n">
        <v>0.0035</v>
      </c>
      <c r="F11377" s="1" t="n">
        <v>0.1953</v>
      </c>
    </row>
    <row r="11378" customFormat="false" ht="15" hidden="false" customHeight="false" outlineLevel="0" collapsed="false">
      <c r="A11378" s="1" t="s">
        <v>11413</v>
      </c>
      <c r="B11378" s="1" t="s">
        <v>50</v>
      </c>
      <c r="C11378" s="1" t="n">
        <v>170000</v>
      </c>
      <c r="D11378" s="1" t="n">
        <v>8468.9</v>
      </c>
      <c r="E11378" s="1" t="n">
        <v>0.0192</v>
      </c>
      <c r="F11378" s="1" t="n">
        <v>0.1067</v>
      </c>
    </row>
    <row r="11379" customFormat="false" ht="15" hidden="false" customHeight="false" outlineLevel="0" collapsed="false">
      <c r="A11379" s="1" t="s">
        <v>11414</v>
      </c>
      <c r="B11379" s="1" t="s">
        <v>26</v>
      </c>
      <c r="C11379" s="1" t="n">
        <v>116000</v>
      </c>
      <c r="D11379" s="1" t="n">
        <v>1127.5</v>
      </c>
      <c r="E11379" s="1" t="n">
        <v>0.0142</v>
      </c>
      <c r="F11379" s="1" t="n">
        <v>0.1067</v>
      </c>
    </row>
    <row r="11380" customFormat="false" ht="15" hidden="false" customHeight="false" outlineLevel="0" collapsed="false">
      <c r="A11380" s="1" t="s">
        <v>11415</v>
      </c>
      <c r="B11380" s="1" t="s">
        <v>26</v>
      </c>
      <c r="C11380" s="1" t="n">
        <v>111000</v>
      </c>
      <c r="D11380" s="1" t="n">
        <v>1128.6</v>
      </c>
      <c r="E11380" s="1" t="n">
        <v>0.0119</v>
      </c>
      <c r="F11380" s="1" t="n">
        <v>0.0584</v>
      </c>
    </row>
    <row r="11381" customFormat="false" ht="15" hidden="false" customHeight="false" outlineLevel="0" collapsed="false">
      <c r="A11381" s="1" t="s">
        <v>11416</v>
      </c>
      <c r="B11381" s="1" t="s">
        <v>74</v>
      </c>
      <c r="C11381" s="1" t="n">
        <v>147000</v>
      </c>
      <c r="D11381" s="1" t="n">
        <v>23055.6</v>
      </c>
      <c r="E11381" s="1" t="n">
        <v>0.0112</v>
      </c>
      <c r="F11381" s="1" t="n">
        <v>0.1135</v>
      </c>
    </row>
    <row r="11382" customFormat="false" ht="15" hidden="false" customHeight="false" outlineLevel="0" collapsed="false">
      <c r="A11382" s="1" t="s">
        <v>11417</v>
      </c>
      <c r="B11382" s="1" t="s">
        <v>26</v>
      </c>
      <c r="C11382" s="1" t="n">
        <v>108000</v>
      </c>
      <c r="D11382" s="1" t="n">
        <v>4126.2</v>
      </c>
      <c r="E11382" s="1" t="n">
        <v>0.0388</v>
      </c>
      <c r="F11382" s="1" t="n">
        <v>0.0951</v>
      </c>
    </row>
    <row r="11383" customFormat="false" ht="15" hidden="false" customHeight="false" outlineLevel="0" collapsed="false">
      <c r="A11383" s="1" t="s">
        <v>11418</v>
      </c>
      <c r="B11383" s="1" t="s">
        <v>24</v>
      </c>
      <c r="C11383" s="1" t="n">
        <v>466000</v>
      </c>
      <c r="D11383" s="1" t="n">
        <v>4424.4</v>
      </c>
      <c r="E11383" s="1" t="n">
        <v>0.0081</v>
      </c>
      <c r="F11383" s="1" t="n">
        <v>0.0654</v>
      </c>
    </row>
    <row r="11384" customFormat="false" ht="15" hidden="false" customHeight="false" outlineLevel="0" collapsed="false">
      <c r="A11384" s="1" t="s">
        <v>11419</v>
      </c>
      <c r="B11384" s="1" t="s">
        <v>26</v>
      </c>
      <c r="C11384" s="1" t="n">
        <v>129000</v>
      </c>
      <c r="D11384" s="1" t="n">
        <v>10746.4</v>
      </c>
      <c r="E11384" s="1" t="n">
        <v>0.0242</v>
      </c>
      <c r="F11384" s="1" t="n">
        <v>0.0951</v>
      </c>
    </row>
    <row r="11385" customFormat="false" ht="15" hidden="false" customHeight="false" outlineLevel="0" collapsed="false">
      <c r="A11385" s="1" t="s">
        <v>11420</v>
      </c>
      <c r="B11385" s="1" t="s">
        <v>88</v>
      </c>
      <c r="C11385" s="1" t="n">
        <v>171000</v>
      </c>
      <c r="D11385" s="1" t="n">
        <v>16361.1</v>
      </c>
      <c r="E11385" s="1" t="n">
        <v>0.0562</v>
      </c>
      <c r="F11385" s="1" t="n">
        <v>0.0759</v>
      </c>
    </row>
    <row r="11386" customFormat="false" ht="15" hidden="false" customHeight="false" outlineLevel="0" collapsed="false">
      <c r="A11386" s="1" t="s">
        <v>11421</v>
      </c>
      <c r="B11386" s="1" t="s">
        <v>62</v>
      </c>
      <c r="C11386" s="1" t="n">
        <v>111000</v>
      </c>
      <c r="D11386" s="1" t="n">
        <v>1871.7</v>
      </c>
      <c r="E11386" s="1" t="n">
        <v>0.0249</v>
      </c>
      <c r="F11386" s="1" t="n">
        <v>0.0759</v>
      </c>
    </row>
    <row r="11387" customFormat="false" ht="15" hidden="false" customHeight="false" outlineLevel="0" collapsed="false">
      <c r="A11387" s="1" t="s">
        <v>11422</v>
      </c>
      <c r="B11387" s="1" t="s">
        <v>74</v>
      </c>
      <c r="C11387" s="1" t="n">
        <v>127000</v>
      </c>
      <c r="D11387" s="1" t="n">
        <v>18773.7</v>
      </c>
      <c r="E11387" s="1" t="n">
        <v>0.0068</v>
      </c>
      <c r="F11387" s="1" t="n">
        <v>0.0822</v>
      </c>
    </row>
    <row r="11388" customFormat="false" ht="15" hidden="false" customHeight="false" outlineLevel="0" collapsed="false">
      <c r="A11388" s="1" t="s">
        <v>11423</v>
      </c>
      <c r="B11388" s="1" t="s">
        <v>74</v>
      </c>
      <c r="C11388" s="1" t="n">
        <v>132000</v>
      </c>
      <c r="D11388" s="1" t="n">
        <v>57.8</v>
      </c>
      <c r="E11388" s="1" t="n">
        <v>0.0194</v>
      </c>
      <c r="F11388" s="1" t="n">
        <v>0.1119</v>
      </c>
    </row>
    <row r="11389" customFormat="false" ht="15" hidden="false" customHeight="false" outlineLevel="0" collapsed="false">
      <c r="A11389" s="1" t="s">
        <v>11424</v>
      </c>
      <c r="B11389" s="1" t="s">
        <v>88</v>
      </c>
      <c r="C11389" s="1" t="n">
        <v>128000</v>
      </c>
      <c r="D11389" s="1" t="n">
        <v>432.5</v>
      </c>
      <c r="E11389" s="1" t="n">
        <v>0.0257</v>
      </c>
      <c r="F11389" s="1" t="n">
        <v>0.1688</v>
      </c>
    </row>
    <row r="11390" customFormat="false" ht="15" hidden="false" customHeight="false" outlineLevel="0" collapsed="false">
      <c r="A11390" s="1" t="s">
        <v>11425</v>
      </c>
      <c r="B11390" s="1" t="s">
        <v>214</v>
      </c>
      <c r="C11390" s="1" t="n">
        <v>108000</v>
      </c>
      <c r="D11390" s="1" t="n">
        <v>2830.3</v>
      </c>
      <c r="E11390" s="1" t="n">
        <v>0.0304</v>
      </c>
      <c r="F11390" s="1" t="n">
        <v>0.0951</v>
      </c>
    </row>
    <row r="11391" customFormat="false" ht="15" hidden="false" customHeight="false" outlineLevel="0" collapsed="false">
      <c r="A11391" s="1" t="s">
        <v>11426</v>
      </c>
      <c r="B11391" s="1" t="s">
        <v>53</v>
      </c>
      <c r="C11391" s="1" t="n">
        <v>164000</v>
      </c>
      <c r="D11391" s="1" t="n">
        <v>34714.9</v>
      </c>
      <c r="E11391" s="1" t="n">
        <v>0.0666</v>
      </c>
      <c r="F11391" s="1" t="n">
        <v>0.0951</v>
      </c>
    </row>
    <row r="11392" customFormat="false" ht="15" hidden="false" customHeight="false" outlineLevel="0" collapsed="false">
      <c r="A11392" s="1" t="s">
        <v>11427</v>
      </c>
      <c r="B11392" s="1" t="s">
        <v>53</v>
      </c>
      <c r="C11392" s="1" t="n">
        <v>111000</v>
      </c>
      <c r="D11392" s="1" t="n">
        <v>13.5</v>
      </c>
      <c r="E11392" s="1" t="n">
        <v>0.0202</v>
      </c>
      <c r="F11392" s="1" t="n">
        <v>0.241</v>
      </c>
    </row>
    <row r="11393" customFormat="false" ht="15" hidden="false" customHeight="false" outlineLevel="0" collapsed="false">
      <c r="A11393" s="1" t="s">
        <v>11428</v>
      </c>
      <c r="B11393" s="1" t="s">
        <v>88</v>
      </c>
      <c r="C11393" s="1" t="n">
        <v>106000</v>
      </c>
      <c r="D11393" s="1" t="n">
        <v>1517.3</v>
      </c>
      <c r="E11393" s="1" t="n">
        <v>0.033</v>
      </c>
      <c r="F11393" s="1" t="n">
        <v>0.0951</v>
      </c>
    </row>
    <row r="11394" customFormat="false" ht="15" hidden="false" customHeight="false" outlineLevel="0" collapsed="false">
      <c r="A11394" s="1" t="s">
        <v>11429</v>
      </c>
      <c r="B11394" s="1" t="s">
        <v>214</v>
      </c>
      <c r="C11394" s="1" t="n">
        <v>111000</v>
      </c>
      <c r="D11394" s="1" t="n">
        <v>1680.7</v>
      </c>
      <c r="E11394" s="1" t="n">
        <v>0.014</v>
      </c>
      <c r="F11394" s="1" t="n">
        <v>0.0585</v>
      </c>
    </row>
    <row r="11395" customFormat="false" ht="15" hidden="false" customHeight="false" outlineLevel="0" collapsed="false">
      <c r="A11395" s="1" t="s">
        <v>11430</v>
      </c>
      <c r="B11395" s="1" t="s">
        <v>71</v>
      </c>
      <c r="C11395" s="1" t="n">
        <v>109000</v>
      </c>
      <c r="D11395" s="1" t="n">
        <v>42093.8</v>
      </c>
      <c r="E11395" s="1" t="n">
        <v>0.0175</v>
      </c>
      <c r="F11395" s="1" t="n">
        <v>0.0585</v>
      </c>
    </row>
    <row r="11396" customFormat="false" ht="15" hidden="false" customHeight="false" outlineLevel="0" collapsed="false">
      <c r="A11396" s="1" t="s">
        <v>11431</v>
      </c>
      <c r="B11396" s="1" t="s">
        <v>26</v>
      </c>
      <c r="C11396" s="1" t="n">
        <v>160000</v>
      </c>
      <c r="D11396" s="1" t="n">
        <v>17849</v>
      </c>
      <c r="E11396" s="1" t="n">
        <v>0.0232</v>
      </c>
      <c r="F11396" s="1" t="n">
        <v>0.0409</v>
      </c>
    </row>
    <row r="11397" customFormat="false" ht="15" hidden="false" customHeight="false" outlineLevel="0" collapsed="false">
      <c r="A11397" s="1" t="s">
        <v>11432</v>
      </c>
      <c r="B11397" s="1" t="s">
        <v>26</v>
      </c>
      <c r="C11397" s="1" t="n">
        <v>161000</v>
      </c>
      <c r="D11397" s="1" t="n">
        <v>8415.1</v>
      </c>
      <c r="E11397" s="1" t="n">
        <v>0.0267</v>
      </c>
      <c r="F11397" s="1" t="n">
        <v>0.0409</v>
      </c>
    </row>
    <row r="11398" customFormat="false" ht="15" hidden="false" customHeight="false" outlineLevel="0" collapsed="false">
      <c r="A11398" s="1" t="s">
        <v>11433</v>
      </c>
      <c r="B11398" s="1" t="s">
        <v>88</v>
      </c>
      <c r="C11398" s="1" t="n">
        <v>140000</v>
      </c>
      <c r="D11398" s="1" t="n">
        <v>3403.5</v>
      </c>
      <c r="E11398" s="1" t="n">
        <v>0.0208</v>
      </c>
      <c r="F11398" s="1" t="n">
        <v>0.1169</v>
      </c>
    </row>
    <row r="11399" customFormat="false" ht="15" hidden="false" customHeight="false" outlineLevel="0" collapsed="false">
      <c r="A11399" s="1" t="s">
        <v>11434</v>
      </c>
      <c r="B11399" s="1" t="s">
        <v>88</v>
      </c>
      <c r="C11399" s="1" t="n">
        <v>108000</v>
      </c>
      <c r="D11399" s="1" t="n">
        <v>68.5</v>
      </c>
      <c r="E11399" s="1" t="n">
        <v>0.0566</v>
      </c>
      <c r="F11399" s="1" t="n">
        <v>0.0951</v>
      </c>
    </row>
    <row r="11400" customFormat="false" ht="15" hidden="false" customHeight="false" outlineLevel="0" collapsed="false">
      <c r="A11400" s="1" t="s">
        <v>11435</v>
      </c>
      <c r="B11400" s="1" t="s">
        <v>74</v>
      </c>
      <c r="C11400" s="1" t="n">
        <v>188000</v>
      </c>
      <c r="D11400" s="1" t="n">
        <v>3809</v>
      </c>
      <c r="E11400" s="1" t="n">
        <v>0.0403</v>
      </c>
      <c r="F11400" s="1" t="n">
        <v>0.0759</v>
      </c>
    </row>
    <row r="11401" customFormat="false" ht="15" hidden="false" customHeight="false" outlineLevel="0" collapsed="false">
      <c r="A11401" s="1" t="s">
        <v>11436</v>
      </c>
      <c r="B11401" s="1" t="s">
        <v>490</v>
      </c>
      <c r="C11401" s="1" t="n">
        <v>110000</v>
      </c>
      <c r="D11401" s="1" t="n">
        <v>213683.3</v>
      </c>
      <c r="E11401" s="1" t="n">
        <v>0.0392</v>
      </c>
      <c r="F11401" s="1" t="n">
        <v>0.0759</v>
      </c>
    </row>
    <row r="11402" customFormat="false" ht="15" hidden="false" customHeight="false" outlineLevel="0" collapsed="false">
      <c r="A11402" s="1" t="s">
        <v>11437</v>
      </c>
      <c r="B11402" s="1" t="s">
        <v>24</v>
      </c>
      <c r="C11402" s="1" t="n">
        <v>105000</v>
      </c>
      <c r="D11402" s="1" t="n">
        <v>1030.7</v>
      </c>
      <c r="E11402" s="1" t="n">
        <v>0.0545</v>
      </c>
      <c r="F11402" s="1" t="n">
        <v>0.3441</v>
      </c>
    </row>
    <row r="11403" customFormat="false" ht="15" hidden="false" customHeight="false" outlineLevel="0" collapsed="false">
      <c r="A11403" s="1" t="s">
        <v>11438</v>
      </c>
      <c r="B11403" s="1" t="s">
        <v>26</v>
      </c>
      <c r="C11403" s="1" t="n">
        <v>256000</v>
      </c>
      <c r="D11403" s="1" t="n">
        <v>5739</v>
      </c>
      <c r="E11403" s="1" t="n">
        <v>0.025</v>
      </c>
      <c r="F11403" s="1" t="n">
        <v>0.0759</v>
      </c>
    </row>
    <row r="11404" customFormat="false" ht="15" hidden="false" customHeight="false" outlineLevel="0" collapsed="false">
      <c r="A11404" s="1" t="s">
        <v>11439</v>
      </c>
      <c r="B11404" s="1" t="s">
        <v>32</v>
      </c>
      <c r="C11404" s="1" t="n">
        <v>439000</v>
      </c>
      <c r="D11404" s="1" t="n">
        <v>42383</v>
      </c>
      <c r="E11404" s="1" t="n">
        <v>0.0251</v>
      </c>
      <c r="F11404" s="1" t="n">
        <v>0.0759</v>
      </c>
    </row>
    <row r="11405" customFormat="false" ht="15" hidden="false" customHeight="false" outlineLevel="0" collapsed="false">
      <c r="A11405" s="1" t="s">
        <v>11440</v>
      </c>
      <c r="B11405" s="1" t="s">
        <v>53</v>
      </c>
      <c r="C11405" s="1" t="n">
        <v>106000</v>
      </c>
      <c r="D11405" s="1" t="n">
        <v>632.8</v>
      </c>
      <c r="E11405" s="1" t="n">
        <v>0.0041</v>
      </c>
      <c r="F11405" s="1" t="n">
        <v>0.0822</v>
      </c>
    </row>
    <row r="11406" customFormat="false" ht="15" hidden="false" customHeight="false" outlineLevel="0" collapsed="false">
      <c r="A11406" s="1" t="s">
        <v>11441</v>
      </c>
      <c r="B11406" s="1" t="s">
        <v>92</v>
      </c>
      <c r="C11406" s="1" t="n">
        <v>139000</v>
      </c>
      <c r="D11406" s="1" t="n">
        <v>268871.3</v>
      </c>
      <c r="E11406" s="1" t="n">
        <v>0.0569</v>
      </c>
      <c r="F11406" s="1" t="n">
        <v>0.0409</v>
      </c>
    </row>
    <row r="11407" customFormat="false" ht="15" hidden="false" customHeight="false" outlineLevel="0" collapsed="false">
      <c r="A11407" s="1" t="s">
        <v>11442</v>
      </c>
      <c r="B11407" s="1" t="s">
        <v>26</v>
      </c>
      <c r="C11407" s="1" t="n">
        <v>114000</v>
      </c>
      <c r="D11407" s="1" t="n">
        <v>19725.5</v>
      </c>
      <c r="F11407" s="1" t="n">
        <v>0.0951</v>
      </c>
    </row>
    <row r="11408" customFormat="false" ht="15" hidden="false" customHeight="false" outlineLevel="0" collapsed="false">
      <c r="A11408" s="1" t="s">
        <v>11443</v>
      </c>
      <c r="B11408" s="1" t="s">
        <v>81</v>
      </c>
      <c r="C11408" s="1" t="n">
        <v>107000</v>
      </c>
      <c r="D11408" s="1" t="n">
        <v>6531.5</v>
      </c>
      <c r="E11408" s="1" t="n">
        <v>0.0219</v>
      </c>
      <c r="F11408" s="1" t="n">
        <v>0.1067</v>
      </c>
    </row>
    <row r="11409" customFormat="false" ht="15" hidden="false" customHeight="false" outlineLevel="0" collapsed="false">
      <c r="A11409" s="1" t="s">
        <v>11444</v>
      </c>
      <c r="B11409" s="1" t="s">
        <v>74</v>
      </c>
      <c r="C11409" s="1" t="n">
        <v>128000</v>
      </c>
      <c r="D11409" s="1" t="n">
        <v>2942.5</v>
      </c>
      <c r="E11409" s="1" t="n">
        <v>0.076</v>
      </c>
      <c r="F11409" s="1" t="n">
        <v>0.0759</v>
      </c>
    </row>
    <row r="11410" customFormat="false" ht="15" hidden="false" customHeight="false" outlineLevel="0" collapsed="false">
      <c r="A11410" s="1" t="s">
        <v>11445</v>
      </c>
      <c r="B11410" s="1" t="s">
        <v>74</v>
      </c>
      <c r="C11410" s="1" t="n">
        <v>105000</v>
      </c>
      <c r="D11410" s="1" t="n">
        <v>1207.6</v>
      </c>
      <c r="E11410" s="1" t="n">
        <v>0.0856</v>
      </c>
      <c r="F11410" s="1" t="n">
        <v>0.0951</v>
      </c>
    </row>
    <row r="11411" customFormat="false" ht="15" hidden="false" customHeight="false" outlineLevel="0" collapsed="false">
      <c r="A11411" s="1" t="s">
        <v>11446</v>
      </c>
      <c r="B11411" s="1" t="s">
        <v>26</v>
      </c>
      <c r="C11411" s="1" t="n">
        <v>122000</v>
      </c>
      <c r="D11411" s="1" t="n">
        <v>2793.2</v>
      </c>
      <c r="E11411" s="1" t="n">
        <v>0.159</v>
      </c>
      <c r="F11411" s="1" t="n">
        <v>0.1243</v>
      </c>
    </row>
    <row r="11412" customFormat="false" ht="15" hidden="false" customHeight="false" outlineLevel="0" collapsed="false">
      <c r="A11412" s="1" t="s">
        <v>11447</v>
      </c>
      <c r="B11412" s="1" t="s">
        <v>53</v>
      </c>
      <c r="C11412" s="1" t="n">
        <v>119000</v>
      </c>
      <c r="D11412" s="1" t="n">
        <v>46.6</v>
      </c>
      <c r="E11412" s="1" t="n">
        <v>0.04</v>
      </c>
      <c r="F11412" s="1" t="n">
        <v>0.1034</v>
      </c>
    </row>
    <row r="11413" customFormat="false" ht="15" hidden="false" customHeight="false" outlineLevel="0" collapsed="false">
      <c r="A11413" s="1" t="s">
        <v>11448</v>
      </c>
      <c r="B11413" s="1" t="s">
        <v>26</v>
      </c>
      <c r="C11413" s="1" t="n">
        <v>137000</v>
      </c>
      <c r="D11413" s="1" t="n">
        <v>1686067</v>
      </c>
      <c r="E11413" s="1" t="n">
        <v>0.022</v>
      </c>
      <c r="F11413" s="1" t="n">
        <v>0.0518</v>
      </c>
    </row>
    <row r="11414" customFormat="false" ht="15" hidden="false" customHeight="false" outlineLevel="0" collapsed="false">
      <c r="A11414" s="1" t="s">
        <v>11449</v>
      </c>
      <c r="B11414" s="1" t="s">
        <v>74</v>
      </c>
      <c r="C11414" s="1" t="n">
        <v>120000</v>
      </c>
      <c r="D11414" s="1" t="n">
        <v>304.3</v>
      </c>
      <c r="E11414" s="1" t="n">
        <v>0.0159</v>
      </c>
      <c r="F11414" s="1" t="n">
        <v>0.1013</v>
      </c>
    </row>
    <row r="11415" customFormat="false" ht="15" hidden="false" customHeight="false" outlineLevel="0" collapsed="false">
      <c r="A11415" s="1" t="s">
        <v>11450</v>
      </c>
      <c r="B11415" s="1" t="s">
        <v>88</v>
      </c>
      <c r="C11415" s="1" t="n">
        <v>107000</v>
      </c>
      <c r="D11415" s="1" t="n">
        <v>368</v>
      </c>
      <c r="E11415" s="1" t="n">
        <v>0.0922</v>
      </c>
      <c r="F11415" s="1" t="n">
        <v>0.0759</v>
      </c>
    </row>
    <row r="11416" customFormat="false" ht="15" hidden="false" customHeight="false" outlineLevel="0" collapsed="false">
      <c r="A11416" s="1" t="s">
        <v>11451</v>
      </c>
      <c r="B11416" s="1" t="s">
        <v>88</v>
      </c>
      <c r="C11416" s="1" t="n">
        <v>107000</v>
      </c>
      <c r="D11416" s="1" t="n">
        <v>474.5</v>
      </c>
      <c r="E11416" s="1" t="n">
        <v>0.0193</v>
      </c>
      <c r="F11416" s="1" t="n">
        <v>0.0518</v>
      </c>
    </row>
    <row r="11417" customFormat="false" ht="15" hidden="false" customHeight="false" outlineLevel="0" collapsed="false">
      <c r="A11417" s="1" t="s">
        <v>11452</v>
      </c>
      <c r="B11417" s="1" t="s">
        <v>74</v>
      </c>
      <c r="C11417" s="1" t="n">
        <v>166000</v>
      </c>
      <c r="D11417" s="1" t="n">
        <v>66178.7</v>
      </c>
      <c r="E11417" s="1" t="n">
        <v>0.0373</v>
      </c>
      <c r="F11417" s="1" t="n">
        <v>0.0759</v>
      </c>
    </row>
    <row r="11418" customFormat="false" ht="15" hidden="false" customHeight="false" outlineLevel="0" collapsed="false">
      <c r="A11418" s="1" t="s">
        <v>11453</v>
      </c>
      <c r="B11418" s="1" t="s">
        <v>32</v>
      </c>
      <c r="C11418" s="1" t="n">
        <v>136000</v>
      </c>
      <c r="D11418" s="1" t="n">
        <v>78436.9</v>
      </c>
      <c r="E11418" s="1" t="n">
        <v>0.016</v>
      </c>
      <c r="F11418" s="1" t="n">
        <v>0.1027</v>
      </c>
    </row>
    <row r="11419" customFormat="false" ht="15" hidden="false" customHeight="false" outlineLevel="0" collapsed="false">
      <c r="A11419" s="1" t="s">
        <v>11454</v>
      </c>
      <c r="B11419" s="1" t="s">
        <v>214</v>
      </c>
      <c r="C11419" s="1" t="n">
        <v>118000</v>
      </c>
      <c r="D11419" s="1" t="n">
        <v>104453.5</v>
      </c>
      <c r="E11419" s="1" t="n">
        <v>0.0168</v>
      </c>
      <c r="F11419" s="1" t="n">
        <v>0.1067</v>
      </c>
    </row>
    <row r="11420" customFormat="false" ht="15" hidden="false" customHeight="false" outlineLevel="0" collapsed="false">
      <c r="A11420" s="1" t="s">
        <v>11455</v>
      </c>
      <c r="B11420" s="1" t="s">
        <v>62</v>
      </c>
      <c r="C11420" s="1" t="n">
        <v>140000</v>
      </c>
      <c r="D11420" s="1" t="n">
        <v>428.3</v>
      </c>
      <c r="E11420" s="1" t="n">
        <v>0.0126</v>
      </c>
      <c r="F11420" s="1" t="n">
        <v>0.1594</v>
      </c>
    </row>
    <row r="11421" customFormat="false" ht="15" hidden="false" customHeight="false" outlineLevel="0" collapsed="false">
      <c r="A11421" s="1" t="s">
        <v>11456</v>
      </c>
      <c r="B11421" s="1" t="s">
        <v>26</v>
      </c>
      <c r="C11421" s="1" t="n">
        <v>121000</v>
      </c>
      <c r="D11421" s="1" t="n">
        <v>72622.6</v>
      </c>
      <c r="E11421" s="1" t="n">
        <v>0.0223</v>
      </c>
      <c r="F11421" s="1" t="n">
        <v>0.0951</v>
      </c>
    </row>
    <row r="11422" customFormat="false" ht="15" hidden="false" customHeight="false" outlineLevel="0" collapsed="false">
      <c r="A11422" s="1" t="s">
        <v>11457</v>
      </c>
      <c r="B11422" s="1" t="s">
        <v>53</v>
      </c>
      <c r="C11422" s="1" t="n">
        <v>133000</v>
      </c>
      <c r="D11422" s="1" t="n">
        <v>6567.9</v>
      </c>
      <c r="E11422" s="1" t="n">
        <v>0.0141</v>
      </c>
      <c r="F11422" s="1" t="n">
        <v>0.0585</v>
      </c>
    </row>
    <row r="11423" customFormat="false" ht="15" hidden="false" customHeight="false" outlineLevel="0" collapsed="false">
      <c r="A11423" s="1" t="s">
        <v>11458</v>
      </c>
      <c r="B11423" s="1" t="s">
        <v>88</v>
      </c>
      <c r="C11423" s="1" t="n">
        <v>128000</v>
      </c>
      <c r="D11423" s="1" t="n">
        <v>7346.3</v>
      </c>
      <c r="E11423" s="1" t="n">
        <v>0.0393</v>
      </c>
      <c r="F11423" s="1" t="n">
        <v>0.0759</v>
      </c>
    </row>
    <row r="11424" customFormat="false" ht="15" hidden="false" customHeight="false" outlineLevel="0" collapsed="false">
      <c r="A11424" s="1" t="s">
        <v>11459</v>
      </c>
      <c r="B11424" s="1" t="s">
        <v>32</v>
      </c>
      <c r="C11424" s="1" t="n">
        <v>148000</v>
      </c>
      <c r="D11424" s="1" t="n">
        <v>3617.6</v>
      </c>
      <c r="E11424" s="1" t="n">
        <v>0.0145</v>
      </c>
      <c r="F11424" s="1" t="n">
        <v>0.139</v>
      </c>
    </row>
    <row r="11425" customFormat="false" ht="15" hidden="false" customHeight="false" outlineLevel="0" collapsed="false">
      <c r="A11425" s="1" t="s">
        <v>11460</v>
      </c>
      <c r="B11425" s="1" t="s">
        <v>88</v>
      </c>
      <c r="C11425" s="1" t="n">
        <v>138000</v>
      </c>
      <c r="D11425" s="1" t="n">
        <v>13613.3</v>
      </c>
      <c r="E11425" s="1" t="n">
        <v>0.0342</v>
      </c>
      <c r="F11425" s="1" t="n">
        <v>0.0951</v>
      </c>
    </row>
    <row r="11426" customFormat="false" ht="15" hidden="false" customHeight="false" outlineLevel="0" collapsed="false">
      <c r="A11426" s="1" t="s">
        <v>11461</v>
      </c>
      <c r="B11426" s="1" t="s">
        <v>74</v>
      </c>
      <c r="C11426" s="1" t="n">
        <v>107000</v>
      </c>
      <c r="D11426" s="1" t="n">
        <v>946.3</v>
      </c>
      <c r="E11426" s="1" t="n">
        <v>0.0501</v>
      </c>
      <c r="F11426" s="1" t="n">
        <v>0.0951</v>
      </c>
    </row>
    <row r="11427" customFormat="false" ht="15" hidden="false" customHeight="false" outlineLevel="0" collapsed="false">
      <c r="A11427" s="1" t="s">
        <v>11462</v>
      </c>
      <c r="B11427" s="1" t="s">
        <v>53</v>
      </c>
      <c r="C11427" s="1" t="n">
        <v>106000</v>
      </c>
      <c r="D11427" s="1" t="n">
        <v>1520.9</v>
      </c>
      <c r="E11427" s="1" t="n">
        <v>0.0771</v>
      </c>
      <c r="F11427" s="1" t="n">
        <v>0.0951</v>
      </c>
    </row>
    <row r="11428" customFormat="false" ht="15" hidden="false" customHeight="false" outlineLevel="0" collapsed="false">
      <c r="A11428" s="1" t="s">
        <v>11463</v>
      </c>
      <c r="B11428" s="1" t="s">
        <v>26</v>
      </c>
      <c r="C11428" s="1" t="n">
        <v>121000</v>
      </c>
      <c r="D11428" s="1" t="n">
        <v>25489</v>
      </c>
      <c r="E11428" s="1" t="n">
        <v>0.0227</v>
      </c>
      <c r="F11428" s="1" t="n">
        <v>0.0951</v>
      </c>
    </row>
    <row r="11429" customFormat="false" ht="15" hidden="false" customHeight="false" outlineLevel="0" collapsed="false">
      <c r="A11429" s="1" t="s">
        <v>11464</v>
      </c>
      <c r="B11429" s="1" t="s">
        <v>92</v>
      </c>
      <c r="C11429" s="1" t="n">
        <v>109000</v>
      </c>
      <c r="D11429" s="1" t="n">
        <v>610.3</v>
      </c>
      <c r="E11429" s="1" t="n">
        <v>0.0384</v>
      </c>
      <c r="F11429" s="1" t="n">
        <v>0.0518</v>
      </c>
    </row>
    <row r="11430" customFormat="false" ht="15" hidden="false" customHeight="false" outlineLevel="0" collapsed="false">
      <c r="A11430" s="1" t="s">
        <v>11465</v>
      </c>
      <c r="B11430" s="1" t="s">
        <v>26</v>
      </c>
      <c r="C11430" s="1" t="n">
        <v>651000</v>
      </c>
      <c r="D11430" s="1" t="n">
        <v>816362</v>
      </c>
      <c r="E11430" s="1" t="n">
        <v>0.0487</v>
      </c>
      <c r="F11430" s="1" t="n">
        <v>0.0409</v>
      </c>
    </row>
    <row r="11431" customFormat="false" ht="15" hidden="false" customHeight="false" outlineLevel="0" collapsed="false">
      <c r="A11431" s="1" t="s">
        <v>11466</v>
      </c>
      <c r="B11431" s="1" t="s">
        <v>26</v>
      </c>
      <c r="C11431" s="1" t="n">
        <v>103000</v>
      </c>
      <c r="D11431" s="1" t="n">
        <v>7729.4</v>
      </c>
      <c r="E11431" s="1" t="n">
        <v>0.074</v>
      </c>
      <c r="F11431" s="1" t="n">
        <v>0.0951</v>
      </c>
    </row>
    <row r="11432" customFormat="false" ht="15" hidden="false" customHeight="false" outlineLevel="0" collapsed="false">
      <c r="A11432" s="1" t="s">
        <v>11467</v>
      </c>
      <c r="B11432" s="1" t="s">
        <v>88</v>
      </c>
      <c r="C11432" s="1" t="n">
        <v>111000</v>
      </c>
      <c r="D11432" s="1" t="n">
        <v>669.7</v>
      </c>
      <c r="E11432" s="1" t="n">
        <v>0.0383</v>
      </c>
      <c r="F11432" s="1" t="n">
        <v>0.1226</v>
      </c>
    </row>
    <row r="11433" customFormat="false" ht="15" hidden="false" customHeight="false" outlineLevel="0" collapsed="false">
      <c r="A11433" s="1" t="s">
        <v>11468</v>
      </c>
      <c r="B11433" s="1" t="s">
        <v>53</v>
      </c>
      <c r="C11433" s="1" t="n">
        <v>115000</v>
      </c>
      <c r="D11433" s="1" t="n">
        <v>18782.5</v>
      </c>
      <c r="E11433" s="1" t="n">
        <v>0.1095</v>
      </c>
      <c r="F11433" s="1" t="n">
        <v>0.0951</v>
      </c>
    </row>
    <row r="11434" customFormat="false" ht="15" hidden="false" customHeight="false" outlineLevel="0" collapsed="false">
      <c r="A11434" s="1" t="s">
        <v>11469</v>
      </c>
      <c r="B11434" s="1" t="s">
        <v>26</v>
      </c>
      <c r="C11434" s="1" t="n">
        <v>123000</v>
      </c>
      <c r="D11434" s="1" t="n">
        <v>4053.3</v>
      </c>
      <c r="E11434" s="1" t="n">
        <v>0.0603</v>
      </c>
      <c r="F11434" s="1" t="n">
        <v>0.0759</v>
      </c>
    </row>
    <row r="11435" customFormat="false" ht="15" hidden="false" customHeight="false" outlineLevel="0" collapsed="false">
      <c r="A11435" s="1" t="s">
        <v>11470</v>
      </c>
      <c r="B11435" s="1" t="s">
        <v>30</v>
      </c>
      <c r="C11435" s="1" t="n">
        <v>108000</v>
      </c>
      <c r="D11435" s="1" t="n">
        <v>28763.1</v>
      </c>
      <c r="E11435" s="1" t="n">
        <v>0.0124</v>
      </c>
      <c r="F11435" s="1" t="n">
        <v>0.0657</v>
      </c>
    </row>
    <row r="11436" customFormat="false" ht="15" hidden="false" customHeight="false" outlineLevel="0" collapsed="false">
      <c r="A11436" s="1" t="s">
        <v>11471</v>
      </c>
      <c r="B11436" s="1" t="s">
        <v>287</v>
      </c>
      <c r="C11436" s="1" t="n">
        <v>112000</v>
      </c>
      <c r="D11436" s="1" t="n">
        <v>3421.2</v>
      </c>
      <c r="E11436" s="1" t="n">
        <v>0.0161</v>
      </c>
      <c r="F11436" s="1" t="n">
        <v>0.0736</v>
      </c>
    </row>
    <row r="11437" customFormat="false" ht="15" hidden="false" customHeight="false" outlineLevel="0" collapsed="false">
      <c r="A11437" s="1" t="s">
        <v>11472</v>
      </c>
      <c r="B11437" s="1" t="s">
        <v>41</v>
      </c>
      <c r="C11437" s="1" t="n">
        <v>183000</v>
      </c>
      <c r="D11437" s="1" t="n">
        <v>308993.6</v>
      </c>
      <c r="E11437" s="1" t="n">
        <v>0.0132</v>
      </c>
      <c r="F11437" s="1" t="n">
        <v>0.0585</v>
      </c>
    </row>
    <row r="11438" customFormat="false" ht="15" hidden="false" customHeight="false" outlineLevel="0" collapsed="false">
      <c r="A11438" s="1" t="s">
        <v>11473</v>
      </c>
      <c r="B11438" s="1" t="s">
        <v>26</v>
      </c>
      <c r="C11438" s="1" t="n">
        <v>144000</v>
      </c>
      <c r="D11438" s="1" t="n">
        <v>34170</v>
      </c>
      <c r="E11438" s="1" t="n">
        <v>0.0322</v>
      </c>
      <c r="F11438" s="1" t="n">
        <v>0.0546</v>
      </c>
    </row>
    <row r="11439" customFormat="false" ht="15" hidden="false" customHeight="false" outlineLevel="0" collapsed="false">
      <c r="A11439" s="1" t="s">
        <v>11474</v>
      </c>
      <c r="B11439" s="1" t="s">
        <v>92</v>
      </c>
      <c r="C11439" s="1" t="n">
        <v>111000</v>
      </c>
      <c r="D11439" s="1" t="n">
        <v>1686.4</v>
      </c>
      <c r="E11439" s="1" t="n">
        <v>0.0106</v>
      </c>
      <c r="F11439" s="1" t="n">
        <v>0.0822</v>
      </c>
    </row>
    <row r="11440" customFormat="false" ht="15" hidden="false" customHeight="false" outlineLevel="0" collapsed="false">
      <c r="A11440" s="1" t="s">
        <v>11475</v>
      </c>
      <c r="B11440" s="1" t="s">
        <v>41</v>
      </c>
      <c r="C11440" s="1" t="n">
        <v>165000</v>
      </c>
      <c r="D11440" s="1" t="n">
        <v>2004.5</v>
      </c>
      <c r="E11440" s="1" t="n">
        <v>0.0276</v>
      </c>
      <c r="F11440" s="1" t="n">
        <v>0.0938</v>
      </c>
    </row>
    <row r="11441" customFormat="false" ht="15" hidden="false" customHeight="false" outlineLevel="0" collapsed="false">
      <c r="A11441" s="1" t="s">
        <v>11476</v>
      </c>
      <c r="B11441" s="1" t="s">
        <v>71</v>
      </c>
      <c r="C11441" s="1" t="n">
        <v>122000</v>
      </c>
      <c r="D11441" s="1" t="n">
        <v>777.1</v>
      </c>
      <c r="E11441" s="1" t="n">
        <v>0.0119</v>
      </c>
      <c r="F11441" s="1" t="n">
        <v>0.1067</v>
      </c>
    </row>
    <row r="11442" customFormat="false" ht="15" hidden="false" customHeight="false" outlineLevel="0" collapsed="false">
      <c r="A11442" s="1" t="s">
        <v>11477</v>
      </c>
      <c r="B11442" s="1" t="s">
        <v>62</v>
      </c>
      <c r="C11442" s="1" t="n">
        <v>110000</v>
      </c>
      <c r="D11442" s="1" t="n">
        <v>42.8</v>
      </c>
      <c r="E11442" s="1" t="n">
        <v>0.016</v>
      </c>
      <c r="F11442" s="1" t="n">
        <v>0.1383</v>
      </c>
    </row>
    <row r="11443" customFormat="false" ht="15" hidden="false" customHeight="false" outlineLevel="0" collapsed="false">
      <c r="A11443" s="1" t="s">
        <v>11478</v>
      </c>
      <c r="B11443" s="1" t="s">
        <v>28</v>
      </c>
      <c r="C11443" s="1" t="n">
        <v>359000</v>
      </c>
      <c r="D11443" s="1" t="n">
        <v>1780.6</v>
      </c>
      <c r="E11443" s="1" t="n">
        <v>0.044</v>
      </c>
      <c r="F11443" s="1" t="n">
        <v>0.0938</v>
      </c>
    </row>
    <row r="11444" customFormat="false" ht="15" hidden="false" customHeight="false" outlineLevel="0" collapsed="false">
      <c r="A11444" s="1" t="s">
        <v>11479</v>
      </c>
      <c r="B11444" s="1" t="s">
        <v>74</v>
      </c>
      <c r="C11444" s="1" t="n">
        <v>105000</v>
      </c>
      <c r="D11444" s="1" t="n">
        <v>26637.6</v>
      </c>
      <c r="E11444" s="1" t="n">
        <v>0.0634</v>
      </c>
      <c r="F11444" s="1" t="n">
        <v>0.0951</v>
      </c>
    </row>
    <row r="11445" customFormat="false" ht="15" hidden="false" customHeight="false" outlineLevel="0" collapsed="false">
      <c r="A11445" s="1" t="s">
        <v>11480</v>
      </c>
      <c r="B11445" s="1" t="s">
        <v>88</v>
      </c>
      <c r="C11445" s="1" t="n">
        <v>106000</v>
      </c>
      <c r="D11445" s="1" t="n">
        <v>1384.1</v>
      </c>
      <c r="E11445" s="1" t="n">
        <v>0.0353</v>
      </c>
      <c r="F11445" s="1" t="n">
        <v>0.0938</v>
      </c>
    </row>
    <row r="11446" customFormat="false" ht="15" hidden="false" customHeight="false" outlineLevel="0" collapsed="false">
      <c r="A11446" s="1" t="s">
        <v>11481</v>
      </c>
      <c r="B11446" s="1" t="s">
        <v>92</v>
      </c>
      <c r="C11446" s="1" t="n">
        <v>189000</v>
      </c>
      <c r="D11446" s="1" t="n">
        <v>3320</v>
      </c>
      <c r="E11446" s="1" t="n">
        <v>0.0151</v>
      </c>
      <c r="F11446" s="1" t="n">
        <v>0.0576</v>
      </c>
    </row>
    <row r="11447" customFormat="false" ht="15" hidden="false" customHeight="false" outlineLevel="0" collapsed="false">
      <c r="A11447" s="1" t="s">
        <v>11482</v>
      </c>
      <c r="B11447" s="1" t="s">
        <v>92</v>
      </c>
      <c r="C11447" s="1" t="n">
        <v>107000</v>
      </c>
      <c r="D11447" s="1" t="n">
        <v>1604.7</v>
      </c>
      <c r="E11447" s="1" t="n">
        <v>0.0364</v>
      </c>
      <c r="F11447" s="1" t="n">
        <v>0.0951</v>
      </c>
    </row>
    <row r="11448" customFormat="false" ht="15" hidden="false" customHeight="false" outlineLevel="0" collapsed="false">
      <c r="A11448" s="1" t="s">
        <v>11483</v>
      </c>
      <c r="B11448" s="1" t="s">
        <v>26</v>
      </c>
      <c r="C11448" s="1" t="n">
        <v>129000</v>
      </c>
      <c r="D11448" s="1" t="n">
        <v>5943.1</v>
      </c>
      <c r="F11448" s="1" t="n">
        <v>0.0759</v>
      </c>
    </row>
    <row r="11449" customFormat="false" ht="15" hidden="false" customHeight="false" outlineLevel="0" collapsed="false">
      <c r="A11449" s="1" t="s">
        <v>11484</v>
      </c>
      <c r="B11449" s="1" t="s">
        <v>62</v>
      </c>
      <c r="C11449" s="1" t="n">
        <v>105000</v>
      </c>
      <c r="D11449" s="1" t="n">
        <v>914.2</v>
      </c>
      <c r="E11449" s="1" t="n">
        <v>0.0233</v>
      </c>
      <c r="F11449" s="1" t="n">
        <v>0.1066</v>
      </c>
    </row>
    <row r="11450" customFormat="false" ht="15" hidden="false" customHeight="false" outlineLevel="0" collapsed="false">
      <c r="A11450" s="1" t="s">
        <v>11485</v>
      </c>
      <c r="B11450" s="1" t="s">
        <v>92</v>
      </c>
      <c r="C11450" s="1" t="n">
        <v>115000</v>
      </c>
      <c r="D11450" s="1" t="n">
        <v>662</v>
      </c>
      <c r="E11450" s="1" t="n">
        <v>0.0198</v>
      </c>
      <c r="F11450" s="1" t="n">
        <v>0.095</v>
      </c>
    </row>
    <row r="11451" customFormat="false" ht="15" hidden="false" customHeight="false" outlineLevel="0" collapsed="false">
      <c r="A11451" s="1" t="s">
        <v>11486</v>
      </c>
      <c r="B11451" s="1" t="s">
        <v>214</v>
      </c>
      <c r="C11451" s="1" t="n">
        <v>109000</v>
      </c>
      <c r="D11451" s="1" t="n">
        <v>3196.4</v>
      </c>
      <c r="E11451" s="1" t="n">
        <v>0.0533</v>
      </c>
      <c r="F11451" s="1" t="n">
        <v>0.0951</v>
      </c>
    </row>
    <row r="11452" customFormat="false" ht="15" hidden="false" customHeight="false" outlineLevel="0" collapsed="false">
      <c r="A11452" s="1" t="s">
        <v>11487</v>
      </c>
      <c r="B11452" s="1" t="s">
        <v>287</v>
      </c>
      <c r="C11452" s="1" t="n">
        <v>305000</v>
      </c>
      <c r="D11452" s="1" t="n">
        <v>1674.3</v>
      </c>
      <c r="E11452" s="1" t="n">
        <v>0.0189</v>
      </c>
      <c r="F11452" s="1" t="n">
        <v>0.0576</v>
      </c>
    </row>
    <row r="11453" customFormat="false" ht="15" hidden="false" customHeight="false" outlineLevel="0" collapsed="false">
      <c r="A11453" s="1" t="s">
        <v>11488</v>
      </c>
      <c r="B11453" s="1" t="s">
        <v>50</v>
      </c>
      <c r="C11453" s="1" t="n">
        <v>105000</v>
      </c>
      <c r="D11453" s="1" t="n">
        <v>922.9</v>
      </c>
      <c r="E11453" s="1" t="n">
        <v>0.0728</v>
      </c>
      <c r="F11453" s="1" t="n">
        <v>0.0759</v>
      </c>
    </row>
    <row r="11454" customFormat="false" ht="15" hidden="false" customHeight="false" outlineLevel="0" collapsed="false">
      <c r="A11454" s="1" t="s">
        <v>11489</v>
      </c>
      <c r="B11454" s="1" t="s">
        <v>62</v>
      </c>
      <c r="C11454" s="1" t="n">
        <v>108000</v>
      </c>
      <c r="D11454" s="1" t="n">
        <v>298.7</v>
      </c>
      <c r="E11454" s="1" t="n">
        <v>0.0296</v>
      </c>
      <c r="F11454" s="1" t="n">
        <v>0.0518</v>
      </c>
    </row>
    <row r="11455" customFormat="false" ht="15" hidden="false" customHeight="false" outlineLevel="0" collapsed="false">
      <c r="A11455" s="1" t="s">
        <v>11490</v>
      </c>
      <c r="B11455" s="1" t="s">
        <v>81</v>
      </c>
      <c r="C11455" s="1" t="n">
        <v>220000</v>
      </c>
      <c r="D11455" s="1" t="n">
        <v>6517</v>
      </c>
      <c r="E11455" s="1" t="n">
        <v>0.0185</v>
      </c>
      <c r="F11455" s="1" t="n">
        <v>0.0576</v>
      </c>
    </row>
    <row r="11456" customFormat="false" ht="15" hidden="false" customHeight="false" outlineLevel="0" collapsed="false">
      <c r="A11456" s="1" t="s">
        <v>11491</v>
      </c>
      <c r="B11456" s="1" t="s">
        <v>26</v>
      </c>
      <c r="C11456" s="1" t="n">
        <v>256000</v>
      </c>
      <c r="D11456" s="1" t="n">
        <v>2529.4</v>
      </c>
      <c r="E11456" s="1" t="n">
        <v>0.0054</v>
      </c>
      <c r="F11456" s="1" t="n">
        <v>0.0811</v>
      </c>
    </row>
    <row r="11457" customFormat="false" ht="15" hidden="false" customHeight="false" outlineLevel="0" collapsed="false">
      <c r="A11457" s="1" t="s">
        <v>11492</v>
      </c>
      <c r="B11457" s="1" t="s">
        <v>30</v>
      </c>
      <c r="C11457" s="1" t="n">
        <v>239000</v>
      </c>
      <c r="D11457" s="1" t="n">
        <v>2813.5</v>
      </c>
      <c r="F11457" s="1" t="n">
        <v>0.0759</v>
      </c>
    </row>
    <row r="11458" customFormat="false" ht="15" hidden="false" customHeight="false" outlineLevel="0" collapsed="false">
      <c r="A11458" s="1" t="s">
        <v>11493</v>
      </c>
      <c r="B11458" s="1" t="s">
        <v>74</v>
      </c>
      <c r="C11458" s="1" t="n">
        <v>130000</v>
      </c>
      <c r="D11458" s="1" t="n">
        <v>3842.2</v>
      </c>
      <c r="E11458" s="1" t="n">
        <v>0.033</v>
      </c>
      <c r="F11458" s="1" t="n">
        <v>0.0938</v>
      </c>
    </row>
    <row r="11459" customFormat="false" ht="15" hidden="false" customHeight="false" outlineLevel="0" collapsed="false">
      <c r="A11459" s="1" t="s">
        <v>11494</v>
      </c>
      <c r="B11459" s="1" t="s">
        <v>81</v>
      </c>
      <c r="C11459" s="1" t="n">
        <v>120000</v>
      </c>
      <c r="D11459" s="1" t="n">
        <v>8897.3</v>
      </c>
      <c r="E11459" s="1" t="n">
        <v>0.0446</v>
      </c>
      <c r="F11459" s="1" t="n">
        <v>0.0951</v>
      </c>
    </row>
    <row r="11460" customFormat="false" ht="15" hidden="false" customHeight="false" outlineLevel="0" collapsed="false">
      <c r="A11460" s="1" t="s">
        <v>11495</v>
      </c>
      <c r="B11460" s="1" t="s">
        <v>88</v>
      </c>
      <c r="C11460" s="1" t="n">
        <v>171000</v>
      </c>
      <c r="D11460" s="1" t="n">
        <v>887.6</v>
      </c>
      <c r="E11460" s="1" t="n">
        <v>0.0192</v>
      </c>
      <c r="F11460" s="1" t="n">
        <v>0.0854</v>
      </c>
    </row>
    <row r="11461" customFormat="false" ht="15" hidden="false" customHeight="false" outlineLevel="0" collapsed="false">
      <c r="A11461" s="1" t="s">
        <v>11496</v>
      </c>
      <c r="B11461" s="1" t="s">
        <v>88</v>
      </c>
      <c r="C11461" s="1" t="n">
        <v>141000</v>
      </c>
      <c r="D11461" s="1" t="n">
        <v>2070.8</v>
      </c>
      <c r="E11461" s="1" t="n">
        <v>0.0311</v>
      </c>
      <c r="F11461" s="1" t="n">
        <v>0.0938</v>
      </c>
    </row>
    <row r="11462" customFormat="false" ht="15" hidden="false" customHeight="false" outlineLevel="0" collapsed="false">
      <c r="A11462" s="1" t="s">
        <v>11497</v>
      </c>
      <c r="B11462" s="1" t="s">
        <v>53</v>
      </c>
      <c r="C11462" s="1" t="n">
        <v>105000</v>
      </c>
      <c r="D11462" s="1" t="n">
        <v>61.4</v>
      </c>
      <c r="F11462" s="1" t="n">
        <v>0.0759</v>
      </c>
    </row>
    <row r="11463" customFormat="false" ht="15" hidden="false" customHeight="false" outlineLevel="0" collapsed="false">
      <c r="A11463" s="1" t="s">
        <v>11498</v>
      </c>
      <c r="B11463" s="1" t="s">
        <v>53</v>
      </c>
      <c r="C11463" s="1" t="n">
        <v>112000</v>
      </c>
      <c r="D11463" s="1" t="n">
        <v>8765.3</v>
      </c>
      <c r="E11463" s="1" t="n">
        <v>0.045</v>
      </c>
      <c r="F11463" s="1" t="n">
        <v>0.0759</v>
      </c>
    </row>
    <row r="11464" customFormat="false" ht="15" hidden="false" customHeight="false" outlineLevel="0" collapsed="false">
      <c r="A11464" s="1" t="s">
        <v>11499</v>
      </c>
      <c r="B11464" s="1" t="s">
        <v>24</v>
      </c>
      <c r="C11464" s="1" t="n">
        <v>112000</v>
      </c>
      <c r="D11464" s="1" t="n">
        <v>782.8</v>
      </c>
      <c r="E11464" s="1" t="n">
        <v>0.0372</v>
      </c>
      <c r="F11464" s="1" t="n">
        <v>0.0951</v>
      </c>
    </row>
    <row r="11465" customFormat="false" ht="15" hidden="false" customHeight="false" outlineLevel="0" collapsed="false">
      <c r="A11465" s="1" t="s">
        <v>11500</v>
      </c>
      <c r="B11465" s="1" t="s">
        <v>81</v>
      </c>
      <c r="C11465" s="1" t="n">
        <v>180000</v>
      </c>
      <c r="D11465" s="1" t="n">
        <v>256924.4</v>
      </c>
      <c r="E11465" s="1" t="n">
        <v>0.0243</v>
      </c>
      <c r="F11465" s="1" t="n">
        <v>0.1119</v>
      </c>
    </row>
    <row r="11466" customFormat="false" ht="15" hidden="false" customHeight="false" outlineLevel="0" collapsed="false">
      <c r="A11466" s="1" t="s">
        <v>11501</v>
      </c>
      <c r="B11466" s="1" t="s">
        <v>26</v>
      </c>
      <c r="C11466" s="1" t="n">
        <v>113000</v>
      </c>
      <c r="D11466" s="1" t="n">
        <v>2118</v>
      </c>
      <c r="F11466" s="1" t="n">
        <v>0.0409</v>
      </c>
    </row>
    <row r="11467" customFormat="false" ht="15" hidden="false" customHeight="false" outlineLevel="0" collapsed="false">
      <c r="A11467" s="1" t="s">
        <v>11502</v>
      </c>
      <c r="B11467" s="1" t="s">
        <v>214</v>
      </c>
      <c r="C11467" s="1" t="n">
        <v>182000</v>
      </c>
      <c r="D11467" s="1" t="n">
        <v>1412.8</v>
      </c>
      <c r="E11467" s="1" t="n">
        <v>0.0064</v>
      </c>
      <c r="F11467" s="1" t="n">
        <v>0.073</v>
      </c>
    </row>
    <row r="11468" customFormat="false" ht="15" hidden="false" customHeight="false" outlineLevel="0" collapsed="false">
      <c r="A11468" s="1" t="s">
        <v>11503</v>
      </c>
      <c r="B11468" s="1" t="s">
        <v>26</v>
      </c>
      <c r="C11468" s="1" t="n">
        <v>142000</v>
      </c>
      <c r="D11468" s="1" t="n">
        <v>4788</v>
      </c>
      <c r="E11468" s="1" t="n">
        <v>0.0413</v>
      </c>
      <c r="F11468" s="1" t="n">
        <v>0.0938</v>
      </c>
    </row>
    <row r="11469" customFormat="false" ht="15" hidden="false" customHeight="false" outlineLevel="0" collapsed="false">
      <c r="A11469" s="1" t="s">
        <v>11504</v>
      </c>
      <c r="B11469" s="1" t="s">
        <v>26</v>
      </c>
      <c r="C11469" s="1" t="n">
        <v>117000</v>
      </c>
      <c r="D11469" s="1" t="n">
        <v>5210.5</v>
      </c>
      <c r="E11469" s="1" t="n">
        <v>0.0301</v>
      </c>
      <c r="F11469" s="1" t="n">
        <v>0.0409</v>
      </c>
    </row>
    <row r="11470" customFormat="false" ht="15" hidden="false" customHeight="false" outlineLevel="0" collapsed="false">
      <c r="A11470" s="1" t="s">
        <v>11505</v>
      </c>
      <c r="B11470" s="1" t="s">
        <v>88</v>
      </c>
      <c r="C11470" s="1" t="n">
        <v>158000</v>
      </c>
      <c r="D11470" s="1" t="n">
        <v>1161.1</v>
      </c>
      <c r="E11470" s="1" t="n">
        <v>0.0288</v>
      </c>
      <c r="F11470" s="1" t="n">
        <v>0.0938</v>
      </c>
    </row>
    <row r="11471" customFormat="false" ht="15" hidden="false" customHeight="false" outlineLevel="0" collapsed="false">
      <c r="A11471" s="1" t="s">
        <v>11506</v>
      </c>
      <c r="B11471" s="1" t="s">
        <v>26</v>
      </c>
      <c r="C11471" s="1" t="n">
        <v>171000</v>
      </c>
      <c r="D11471" s="1" t="n">
        <v>2108.9</v>
      </c>
      <c r="E11471" s="1" t="n">
        <v>0.0191</v>
      </c>
      <c r="F11471" s="1" t="n">
        <v>0.139</v>
      </c>
    </row>
    <row r="11472" customFormat="false" ht="15" hidden="false" customHeight="false" outlineLevel="0" collapsed="false">
      <c r="A11472" s="1" t="s">
        <v>11507</v>
      </c>
      <c r="B11472" s="1" t="s">
        <v>88</v>
      </c>
      <c r="C11472" s="1" t="n">
        <v>196000</v>
      </c>
      <c r="D11472" s="1" t="n">
        <v>10537.4</v>
      </c>
      <c r="E11472" s="1" t="n">
        <v>0.0387</v>
      </c>
      <c r="F11472" s="1" t="n">
        <v>0.0951</v>
      </c>
    </row>
    <row r="11473" customFormat="false" ht="15" hidden="false" customHeight="false" outlineLevel="0" collapsed="false">
      <c r="A11473" s="1" t="s">
        <v>11508</v>
      </c>
      <c r="B11473" s="1" t="s">
        <v>92</v>
      </c>
      <c r="C11473" s="1" t="n">
        <v>133000</v>
      </c>
      <c r="D11473" s="1" t="n">
        <v>8653.2</v>
      </c>
      <c r="E11473" s="1" t="n">
        <v>0.0633</v>
      </c>
      <c r="F11473" s="1" t="n">
        <v>0.0759</v>
      </c>
    </row>
    <row r="11474" customFormat="false" ht="15" hidden="false" customHeight="false" outlineLevel="0" collapsed="false">
      <c r="A11474" s="1" t="s">
        <v>11509</v>
      </c>
      <c r="B11474" s="1" t="s">
        <v>74</v>
      </c>
      <c r="C11474" s="1" t="n">
        <v>142000</v>
      </c>
      <c r="D11474" s="1" t="n">
        <v>4993171</v>
      </c>
      <c r="E11474" s="1" t="n">
        <v>0.0241</v>
      </c>
      <c r="F11474" s="1" t="n">
        <v>0.0759</v>
      </c>
    </row>
    <row r="11475" customFormat="false" ht="15" hidden="false" customHeight="false" outlineLevel="0" collapsed="false">
      <c r="A11475" s="1" t="s">
        <v>11510</v>
      </c>
      <c r="B11475" s="1" t="s">
        <v>287</v>
      </c>
      <c r="C11475" s="1" t="n">
        <v>156000</v>
      </c>
      <c r="D11475" s="1" t="n">
        <v>4360.5</v>
      </c>
      <c r="E11475" s="1" t="n">
        <v>0.0432</v>
      </c>
      <c r="F11475" s="1" t="n">
        <v>0.095</v>
      </c>
    </row>
    <row r="11476" customFormat="false" ht="15" hidden="false" customHeight="false" outlineLevel="0" collapsed="false">
      <c r="A11476" s="1" t="s">
        <v>11511</v>
      </c>
      <c r="B11476" s="1" t="s">
        <v>26</v>
      </c>
      <c r="C11476" s="1" t="n">
        <v>117000</v>
      </c>
      <c r="D11476" s="1" t="n">
        <v>985.5</v>
      </c>
      <c r="E11476" s="1" t="n">
        <v>0.0095</v>
      </c>
      <c r="F11476" s="1" t="n">
        <v>0.0584</v>
      </c>
    </row>
    <row r="11477" customFormat="false" ht="15" hidden="false" customHeight="false" outlineLevel="0" collapsed="false">
      <c r="A11477" s="1" t="s">
        <v>11512</v>
      </c>
      <c r="B11477" s="1" t="s">
        <v>41</v>
      </c>
      <c r="C11477" s="1" t="n">
        <v>185000</v>
      </c>
      <c r="D11477" s="1" t="n">
        <v>354.1</v>
      </c>
      <c r="E11477" s="1" t="n">
        <v>0.1053</v>
      </c>
      <c r="F11477" s="1" t="n">
        <v>0.0938</v>
      </c>
    </row>
    <row r="11478" customFormat="false" ht="15" hidden="false" customHeight="false" outlineLevel="0" collapsed="false">
      <c r="A11478" s="1" t="s">
        <v>11513</v>
      </c>
      <c r="B11478" s="1" t="s">
        <v>74</v>
      </c>
      <c r="C11478" s="1" t="n">
        <v>131000</v>
      </c>
      <c r="D11478" s="1" t="n">
        <v>14332.3</v>
      </c>
      <c r="E11478" s="1" t="n">
        <v>0.0321</v>
      </c>
      <c r="F11478" s="1" t="n">
        <v>0.0938</v>
      </c>
    </row>
    <row r="11479" customFormat="false" ht="15" hidden="false" customHeight="false" outlineLevel="0" collapsed="false">
      <c r="A11479" s="1" t="s">
        <v>11514</v>
      </c>
      <c r="B11479" s="1" t="s">
        <v>71</v>
      </c>
      <c r="C11479" s="1" t="n">
        <v>192000</v>
      </c>
      <c r="D11479" s="1" t="n">
        <v>10769.4</v>
      </c>
      <c r="E11479" s="1" t="n">
        <v>0.0316</v>
      </c>
      <c r="F11479" s="1" t="n">
        <v>0.0759</v>
      </c>
    </row>
    <row r="11480" customFormat="false" ht="15" hidden="false" customHeight="false" outlineLevel="0" collapsed="false">
      <c r="A11480" s="1" t="s">
        <v>11515</v>
      </c>
      <c r="B11480" s="1" t="s">
        <v>26</v>
      </c>
      <c r="C11480" s="1" t="n">
        <v>216000</v>
      </c>
      <c r="D11480" s="1" t="n">
        <v>16431.7</v>
      </c>
      <c r="E11480" s="1" t="n">
        <v>0.0425</v>
      </c>
      <c r="F11480" s="1" t="n">
        <v>0.0409</v>
      </c>
    </row>
    <row r="11481" customFormat="false" ht="15" hidden="false" customHeight="false" outlineLevel="0" collapsed="false">
      <c r="A11481" s="1" t="s">
        <v>11516</v>
      </c>
      <c r="B11481" s="1" t="s">
        <v>195</v>
      </c>
      <c r="C11481" s="1" t="n">
        <v>132000</v>
      </c>
      <c r="D11481" s="1" t="n">
        <v>377391.7</v>
      </c>
      <c r="E11481" s="1" t="n">
        <v>0.0199</v>
      </c>
      <c r="F11481" s="1" t="n">
        <v>0.1067</v>
      </c>
    </row>
    <row r="11482" customFormat="false" ht="15" hidden="false" customHeight="false" outlineLevel="0" collapsed="false">
      <c r="A11482" s="1" t="s">
        <v>11517</v>
      </c>
      <c r="B11482" s="1" t="s">
        <v>74</v>
      </c>
      <c r="C11482" s="1" t="n">
        <v>107000</v>
      </c>
      <c r="F11482" s="1" t="n">
        <v>0.0759</v>
      </c>
    </row>
    <row r="11483" customFormat="false" ht="15" hidden="false" customHeight="false" outlineLevel="0" collapsed="false">
      <c r="A11483" s="1" t="s">
        <v>11518</v>
      </c>
      <c r="B11483" s="1" t="s">
        <v>53</v>
      </c>
      <c r="C11483" s="1" t="n">
        <v>133000</v>
      </c>
      <c r="D11483" s="1" t="n">
        <v>4208.1</v>
      </c>
      <c r="E11483" s="1" t="n">
        <v>0.0682</v>
      </c>
      <c r="F11483" s="1" t="n">
        <v>0.051</v>
      </c>
    </row>
    <row r="11484" customFormat="false" ht="15" hidden="false" customHeight="false" outlineLevel="0" collapsed="false">
      <c r="A11484" s="1" t="s">
        <v>11519</v>
      </c>
      <c r="B11484" s="1" t="s">
        <v>74</v>
      </c>
      <c r="C11484" s="1" t="n">
        <v>186000</v>
      </c>
      <c r="D11484" s="1" t="n">
        <v>25133.5</v>
      </c>
      <c r="E11484" s="1" t="n">
        <v>0.0449</v>
      </c>
      <c r="F11484" s="1" t="n">
        <v>0.0759</v>
      </c>
    </row>
    <row r="11485" customFormat="false" ht="15" hidden="false" customHeight="false" outlineLevel="0" collapsed="false">
      <c r="A11485" s="1" t="s">
        <v>11520</v>
      </c>
      <c r="B11485" s="1" t="s">
        <v>195</v>
      </c>
      <c r="C11485" s="1" t="n">
        <v>130000</v>
      </c>
      <c r="D11485" s="1" t="n">
        <v>254.6</v>
      </c>
      <c r="E11485" s="1" t="n">
        <v>0.0154</v>
      </c>
      <c r="F11485" s="1" t="n">
        <v>0.1948</v>
      </c>
    </row>
    <row r="11486" customFormat="false" ht="15" hidden="false" customHeight="false" outlineLevel="0" collapsed="false">
      <c r="A11486" s="1" t="s">
        <v>11521</v>
      </c>
      <c r="B11486" s="1" t="s">
        <v>50</v>
      </c>
      <c r="C11486" s="1" t="n">
        <v>282000</v>
      </c>
      <c r="D11486" s="1" t="n">
        <v>360983.2</v>
      </c>
      <c r="E11486" s="1" t="n">
        <v>0.0427</v>
      </c>
      <c r="F11486" s="1" t="n">
        <v>0.0759</v>
      </c>
    </row>
    <row r="11487" customFormat="false" ht="15" hidden="false" customHeight="false" outlineLevel="0" collapsed="false">
      <c r="A11487" s="1" t="s">
        <v>11522</v>
      </c>
      <c r="B11487" s="1" t="s">
        <v>53</v>
      </c>
      <c r="C11487" s="1" t="n">
        <v>146000</v>
      </c>
      <c r="D11487" s="1" t="n">
        <v>6629.4</v>
      </c>
      <c r="E11487" s="1" t="n">
        <v>0.0795</v>
      </c>
      <c r="F11487" s="1" t="n">
        <v>0.0759</v>
      </c>
    </row>
    <row r="11488" customFormat="false" ht="15" hidden="false" customHeight="false" outlineLevel="0" collapsed="false">
      <c r="A11488" s="1" t="s">
        <v>11523</v>
      </c>
      <c r="B11488" s="1" t="s">
        <v>71</v>
      </c>
      <c r="C11488" s="1" t="n">
        <v>133000</v>
      </c>
      <c r="D11488" s="1" t="n">
        <v>2784.6</v>
      </c>
      <c r="E11488" s="1" t="n">
        <v>0.0136</v>
      </c>
      <c r="F11488" s="1" t="n">
        <v>0.1315</v>
      </c>
    </row>
    <row r="11489" customFormat="false" ht="15" hidden="false" customHeight="false" outlineLevel="0" collapsed="false">
      <c r="A11489" s="1" t="s">
        <v>11524</v>
      </c>
      <c r="B11489" s="1" t="s">
        <v>88</v>
      </c>
      <c r="C11489" s="1" t="n">
        <v>183000</v>
      </c>
      <c r="D11489" s="1" t="n">
        <v>1059.7</v>
      </c>
      <c r="E11489" s="1" t="n">
        <v>0.0826</v>
      </c>
      <c r="F11489" s="1" t="n">
        <v>0.0759</v>
      </c>
    </row>
    <row r="11490" customFormat="false" ht="15" hidden="false" customHeight="false" outlineLevel="0" collapsed="false">
      <c r="A11490" s="1" t="s">
        <v>11525</v>
      </c>
      <c r="B11490" s="1" t="s">
        <v>24</v>
      </c>
      <c r="C11490" s="1" t="n">
        <v>115000</v>
      </c>
      <c r="D11490" s="1" t="n">
        <v>5724.2</v>
      </c>
      <c r="E11490" s="1" t="n">
        <v>0.0228</v>
      </c>
      <c r="F11490" s="1" t="n">
        <v>0.0854</v>
      </c>
    </row>
    <row r="11491" customFormat="false" ht="15" hidden="false" customHeight="false" outlineLevel="0" collapsed="false">
      <c r="A11491" s="1" t="s">
        <v>11526</v>
      </c>
      <c r="B11491" s="1" t="s">
        <v>53</v>
      </c>
      <c r="C11491" s="1" t="n">
        <v>106000</v>
      </c>
      <c r="D11491" s="1" t="n">
        <v>14.2</v>
      </c>
      <c r="E11491" s="1" t="n">
        <v>0.0488</v>
      </c>
      <c r="F11491" s="1" t="n">
        <v>0.4063</v>
      </c>
    </row>
    <row r="11492" customFormat="false" ht="15" hidden="false" customHeight="false" outlineLevel="0" collapsed="false">
      <c r="A11492" s="1" t="s">
        <v>11527</v>
      </c>
      <c r="B11492" s="1" t="s">
        <v>74</v>
      </c>
      <c r="C11492" s="1" t="n">
        <v>134000</v>
      </c>
      <c r="D11492" s="1" t="n">
        <v>8200.2</v>
      </c>
      <c r="E11492" s="1" t="n">
        <v>0.0346</v>
      </c>
      <c r="F11492" s="1" t="n">
        <v>0.0759</v>
      </c>
    </row>
    <row r="11493" customFormat="false" ht="15" hidden="false" customHeight="false" outlineLevel="0" collapsed="false">
      <c r="A11493" s="1" t="s">
        <v>11528</v>
      </c>
      <c r="B11493" s="1" t="s">
        <v>62</v>
      </c>
      <c r="C11493" s="1" t="n">
        <v>103000</v>
      </c>
      <c r="D11493" s="1" t="n">
        <v>2047.9</v>
      </c>
      <c r="E11493" s="1" t="n">
        <v>0.0333</v>
      </c>
      <c r="F11493" s="1" t="n">
        <v>0.0951</v>
      </c>
    </row>
    <row r="11494" customFormat="false" ht="15" hidden="false" customHeight="false" outlineLevel="0" collapsed="false">
      <c r="A11494" s="1" t="s">
        <v>11529</v>
      </c>
      <c r="B11494" s="1" t="s">
        <v>26</v>
      </c>
      <c r="C11494" s="1" t="n">
        <v>107000</v>
      </c>
      <c r="D11494" s="1" t="n">
        <v>1675.3</v>
      </c>
      <c r="E11494" s="1" t="n">
        <v>0.0601</v>
      </c>
      <c r="F11494" s="1" t="n">
        <v>0.1241</v>
      </c>
    </row>
    <row r="11495" customFormat="false" ht="15" hidden="false" customHeight="false" outlineLevel="0" collapsed="false">
      <c r="A11495" s="1" t="s">
        <v>11530</v>
      </c>
      <c r="B11495" s="1" t="s">
        <v>26</v>
      </c>
      <c r="C11495" s="1" t="n">
        <v>137000</v>
      </c>
      <c r="D11495" s="1" t="n">
        <v>33967.8</v>
      </c>
      <c r="E11495" s="1" t="n">
        <v>0.0175</v>
      </c>
      <c r="F11495" s="1" t="n">
        <v>0.1067</v>
      </c>
    </row>
    <row r="11496" customFormat="false" ht="15" hidden="false" customHeight="false" outlineLevel="0" collapsed="false">
      <c r="A11496" s="1" t="s">
        <v>11531</v>
      </c>
      <c r="B11496" s="1" t="s">
        <v>88</v>
      </c>
      <c r="C11496" s="1" t="n">
        <v>183000</v>
      </c>
      <c r="D11496" s="1" t="n">
        <v>192.2</v>
      </c>
      <c r="E11496" s="1" t="n">
        <v>0.0167</v>
      </c>
      <c r="F11496" s="1" t="n">
        <v>0.0462</v>
      </c>
    </row>
    <row r="11497" customFormat="false" ht="15" hidden="false" customHeight="false" outlineLevel="0" collapsed="false">
      <c r="A11497" s="1" t="s">
        <v>11532</v>
      </c>
      <c r="B11497" s="1" t="s">
        <v>74</v>
      </c>
      <c r="C11497" s="1" t="n">
        <v>113000</v>
      </c>
      <c r="D11497" s="1" t="n">
        <v>2039.1</v>
      </c>
      <c r="E11497" s="1" t="n">
        <v>0.0608</v>
      </c>
      <c r="F11497" s="1" t="n">
        <v>0.0951</v>
      </c>
    </row>
    <row r="11498" customFormat="false" ht="15" hidden="false" customHeight="false" outlineLevel="0" collapsed="false">
      <c r="A11498" s="1" t="s">
        <v>11533</v>
      </c>
      <c r="B11498" s="1" t="s">
        <v>26</v>
      </c>
      <c r="C11498" s="1" t="n">
        <v>157000</v>
      </c>
      <c r="D11498" s="1" t="n">
        <v>33619.1</v>
      </c>
      <c r="E11498" s="1" t="n">
        <v>0.0287</v>
      </c>
      <c r="F11498" s="1" t="n">
        <v>0.0938</v>
      </c>
    </row>
    <row r="11499" customFormat="false" ht="15" hidden="false" customHeight="false" outlineLevel="0" collapsed="false">
      <c r="A11499" s="1" t="s">
        <v>11534</v>
      </c>
      <c r="B11499" s="1" t="s">
        <v>74</v>
      </c>
      <c r="C11499" s="1" t="n">
        <v>122000</v>
      </c>
      <c r="D11499" s="1" t="n">
        <v>3043.7</v>
      </c>
      <c r="E11499" s="1" t="n">
        <v>0.0233</v>
      </c>
      <c r="F11499" s="1" t="n">
        <v>0.0585</v>
      </c>
    </row>
    <row r="11500" customFormat="false" ht="15" hidden="false" customHeight="false" outlineLevel="0" collapsed="false">
      <c r="A11500" s="1" t="s">
        <v>11535</v>
      </c>
      <c r="B11500" s="1" t="s">
        <v>26</v>
      </c>
      <c r="C11500" s="1" t="n">
        <v>167000</v>
      </c>
      <c r="D11500" s="1" t="n">
        <v>3963.5</v>
      </c>
      <c r="E11500" s="1" t="n">
        <v>0.0663</v>
      </c>
      <c r="F11500" s="1" t="n">
        <v>0.0759</v>
      </c>
    </row>
    <row r="11501" customFormat="false" ht="15" hidden="false" customHeight="false" outlineLevel="0" collapsed="false">
      <c r="A11501" s="1" t="s">
        <v>11536</v>
      </c>
      <c r="B11501" s="1" t="s">
        <v>41</v>
      </c>
      <c r="C11501" s="1" t="n">
        <v>122000</v>
      </c>
      <c r="D11501" s="1" t="n">
        <v>18.3</v>
      </c>
      <c r="E11501" s="1" t="n">
        <v>0.0397</v>
      </c>
      <c r="F11501" s="1" t="n">
        <v>0.4802</v>
      </c>
    </row>
    <row r="11502" customFormat="false" ht="15" hidden="false" customHeight="false" outlineLevel="0" collapsed="false">
      <c r="A11502" s="1" t="s">
        <v>11537</v>
      </c>
      <c r="B11502" s="1" t="s">
        <v>26</v>
      </c>
      <c r="C11502" s="1" t="n">
        <v>206000</v>
      </c>
      <c r="D11502" s="1" t="n">
        <v>6563.3</v>
      </c>
      <c r="E11502" s="1" t="n">
        <v>0.0712</v>
      </c>
      <c r="F11502" s="1" t="n">
        <v>0.0998</v>
      </c>
    </row>
    <row r="11503" customFormat="false" ht="15" hidden="false" customHeight="false" outlineLevel="0" collapsed="false">
      <c r="A11503" s="1" t="s">
        <v>11538</v>
      </c>
      <c r="B11503" s="1" t="s">
        <v>81</v>
      </c>
      <c r="C11503" s="1" t="n">
        <v>166000</v>
      </c>
      <c r="D11503" s="1" t="n">
        <v>13092.3</v>
      </c>
      <c r="E11503" s="1" t="n">
        <v>0.0194</v>
      </c>
      <c r="F11503" s="1" t="n">
        <v>0.1053</v>
      </c>
    </row>
    <row r="11504" customFormat="false" ht="15" hidden="false" customHeight="false" outlineLevel="0" collapsed="false">
      <c r="A11504" s="1" t="s">
        <v>11539</v>
      </c>
      <c r="B11504" s="1" t="s">
        <v>41</v>
      </c>
      <c r="C11504" s="1" t="n">
        <v>129000</v>
      </c>
      <c r="D11504" s="1" t="n">
        <v>7147.6</v>
      </c>
      <c r="E11504" s="1" t="n">
        <v>0.0173</v>
      </c>
      <c r="F11504" s="1" t="n">
        <v>0.1053</v>
      </c>
    </row>
    <row r="11505" customFormat="false" ht="15" hidden="false" customHeight="false" outlineLevel="0" collapsed="false">
      <c r="A11505" s="1" t="s">
        <v>11540</v>
      </c>
      <c r="B11505" s="1" t="s">
        <v>88</v>
      </c>
      <c r="C11505" s="1" t="n">
        <v>184000</v>
      </c>
      <c r="D11505" s="1" t="n">
        <v>5285.4</v>
      </c>
      <c r="E11505" s="1" t="n">
        <v>0.0464</v>
      </c>
      <c r="F11505" s="1" t="n">
        <v>0.0759</v>
      </c>
    </row>
    <row r="11506" customFormat="false" ht="15" hidden="false" customHeight="false" outlineLevel="0" collapsed="false">
      <c r="A11506" s="1" t="s">
        <v>11541</v>
      </c>
      <c r="B11506" s="1" t="s">
        <v>41</v>
      </c>
      <c r="C11506" s="1" t="n">
        <v>156000</v>
      </c>
      <c r="D11506" s="1" t="n">
        <v>1532.1</v>
      </c>
      <c r="E11506" s="1" t="n">
        <v>0.0163</v>
      </c>
      <c r="F11506" s="1" t="n">
        <v>0.0688</v>
      </c>
    </row>
    <row r="11507" customFormat="false" ht="15" hidden="false" customHeight="false" outlineLevel="0" collapsed="false">
      <c r="A11507" s="1" t="s">
        <v>11542</v>
      </c>
      <c r="B11507" s="1" t="s">
        <v>195</v>
      </c>
      <c r="C11507" s="1" t="n">
        <v>124000</v>
      </c>
      <c r="D11507" s="1" t="n">
        <v>2431.4</v>
      </c>
      <c r="E11507" s="1" t="n">
        <v>0.0403</v>
      </c>
      <c r="F11507" s="1" t="n">
        <v>0.0759</v>
      </c>
    </row>
    <row r="11508" customFormat="false" ht="15" hidden="false" customHeight="false" outlineLevel="0" collapsed="false">
      <c r="A11508" s="1" t="s">
        <v>11543</v>
      </c>
      <c r="B11508" s="1" t="s">
        <v>26</v>
      </c>
      <c r="C11508" s="1" t="n">
        <v>105000</v>
      </c>
      <c r="D11508" s="1" t="n">
        <v>4837</v>
      </c>
      <c r="E11508" s="1" t="n">
        <v>0.0212</v>
      </c>
      <c r="F11508" s="1" t="n">
        <v>0.0518</v>
      </c>
    </row>
    <row r="11509" customFormat="false" ht="15" hidden="false" customHeight="false" outlineLevel="0" collapsed="false">
      <c r="A11509" s="1" t="s">
        <v>11544</v>
      </c>
      <c r="B11509" s="1" t="s">
        <v>88</v>
      </c>
      <c r="C11509" s="1" t="n">
        <v>112000</v>
      </c>
      <c r="D11509" s="1" t="n">
        <v>2703.5</v>
      </c>
      <c r="E11509" s="1" t="n">
        <v>0.0366</v>
      </c>
      <c r="F11509" s="1" t="n">
        <v>0.0759</v>
      </c>
    </row>
    <row r="11510" customFormat="false" ht="15" hidden="false" customHeight="false" outlineLevel="0" collapsed="false">
      <c r="A11510" s="1" t="s">
        <v>11545</v>
      </c>
      <c r="B11510" s="1" t="s">
        <v>26</v>
      </c>
      <c r="C11510" s="1" t="n">
        <v>116000</v>
      </c>
      <c r="D11510" s="1" t="n">
        <v>877.2</v>
      </c>
      <c r="E11510" s="1" t="n">
        <v>0.0178</v>
      </c>
      <c r="F11510" s="1" t="n">
        <v>0.1886</v>
      </c>
    </row>
    <row r="11511" customFormat="false" ht="15" hidden="false" customHeight="false" outlineLevel="0" collapsed="false">
      <c r="A11511" s="1" t="s">
        <v>11546</v>
      </c>
      <c r="B11511" s="1" t="s">
        <v>41</v>
      </c>
      <c r="C11511" s="1" t="n">
        <v>110000</v>
      </c>
      <c r="D11511" s="1" t="n">
        <v>1414.7</v>
      </c>
      <c r="E11511" s="1" t="n">
        <v>0.1077</v>
      </c>
      <c r="F11511" s="1" t="n">
        <v>0.0951</v>
      </c>
    </row>
    <row r="11512" customFormat="false" ht="15" hidden="false" customHeight="false" outlineLevel="0" collapsed="false">
      <c r="A11512" s="1" t="s">
        <v>11547</v>
      </c>
      <c r="B11512" s="1" t="s">
        <v>41</v>
      </c>
      <c r="C11512" s="1" t="n">
        <v>96500</v>
      </c>
      <c r="D11512" s="1" t="n">
        <v>1097.6</v>
      </c>
      <c r="E11512" s="1" t="n">
        <v>0.027</v>
      </c>
      <c r="F11512" s="1" t="n">
        <v>0.0951</v>
      </c>
    </row>
    <row r="11513" customFormat="false" ht="15" hidden="false" customHeight="false" outlineLevel="0" collapsed="false">
      <c r="A11513" s="1" t="s">
        <v>11548</v>
      </c>
      <c r="B11513" s="1" t="s">
        <v>26</v>
      </c>
      <c r="C11513" s="1" t="n">
        <v>103000</v>
      </c>
      <c r="D11513" s="1" t="n">
        <v>37594.1</v>
      </c>
      <c r="E11513" s="1" t="n">
        <v>0.0481</v>
      </c>
      <c r="F11513" s="1" t="n">
        <v>0.0951</v>
      </c>
    </row>
    <row r="11514" customFormat="false" ht="15" hidden="false" customHeight="false" outlineLevel="0" collapsed="false">
      <c r="A11514" s="1" t="s">
        <v>11549</v>
      </c>
      <c r="B11514" s="1" t="s">
        <v>88</v>
      </c>
      <c r="C11514" s="1" t="n">
        <v>170000</v>
      </c>
      <c r="D11514" s="1" t="n">
        <v>2641.2</v>
      </c>
      <c r="E11514" s="1" t="n">
        <v>0.0152</v>
      </c>
      <c r="F11514" s="1" t="n">
        <v>0.1372</v>
      </c>
    </row>
    <row r="11515" customFormat="false" ht="15" hidden="false" customHeight="false" outlineLevel="0" collapsed="false">
      <c r="A11515" s="1" t="s">
        <v>11550</v>
      </c>
      <c r="B11515" s="1" t="s">
        <v>88</v>
      </c>
      <c r="C11515" s="1" t="n">
        <v>102000</v>
      </c>
      <c r="D11515" s="1" t="n">
        <v>376.2</v>
      </c>
      <c r="E11515" s="1" t="n">
        <v>0.0103</v>
      </c>
      <c r="F11515" s="1" t="n">
        <v>0.0822</v>
      </c>
    </row>
    <row r="11516" customFormat="false" ht="15" hidden="false" customHeight="false" outlineLevel="0" collapsed="false">
      <c r="A11516" s="1" t="s">
        <v>11551</v>
      </c>
      <c r="B11516" s="1" t="s">
        <v>88</v>
      </c>
      <c r="C11516" s="1" t="n">
        <v>205000</v>
      </c>
      <c r="D11516" s="1" t="n">
        <v>27953.1</v>
      </c>
      <c r="E11516" s="1" t="n">
        <v>0.0823</v>
      </c>
      <c r="F11516" s="1" t="n">
        <v>0.0759</v>
      </c>
    </row>
    <row r="11517" customFormat="false" ht="15" hidden="false" customHeight="false" outlineLevel="0" collapsed="false">
      <c r="A11517" s="1" t="s">
        <v>11552</v>
      </c>
      <c r="B11517" s="1" t="s">
        <v>26</v>
      </c>
      <c r="C11517" s="1" t="n">
        <v>277000</v>
      </c>
      <c r="D11517" s="1" t="n">
        <v>139867.2</v>
      </c>
      <c r="E11517" s="1" t="n">
        <v>0.0307</v>
      </c>
      <c r="F11517" s="1" t="n">
        <v>0.0759</v>
      </c>
    </row>
    <row r="11518" customFormat="false" ht="15" hidden="false" customHeight="false" outlineLevel="0" collapsed="false">
      <c r="A11518" s="1" t="s">
        <v>11553</v>
      </c>
      <c r="B11518" s="1" t="s">
        <v>26</v>
      </c>
      <c r="C11518" s="1" t="n">
        <v>211000</v>
      </c>
      <c r="D11518" s="1" t="n">
        <v>1062.2</v>
      </c>
      <c r="E11518" s="1" t="n">
        <v>0.0022</v>
      </c>
      <c r="F11518" s="1" t="n">
        <v>0.0654</v>
      </c>
    </row>
    <row r="11519" customFormat="false" ht="15" hidden="false" customHeight="false" outlineLevel="0" collapsed="false">
      <c r="A11519" s="1" t="s">
        <v>11554</v>
      </c>
      <c r="B11519" s="1" t="s">
        <v>287</v>
      </c>
      <c r="C11519" s="1" t="n">
        <v>155000</v>
      </c>
      <c r="D11519" s="1" t="n">
        <v>2425</v>
      </c>
      <c r="E11519" s="1" t="n">
        <v>0.0216</v>
      </c>
      <c r="F11519" s="1" t="n">
        <v>0.0759</v>
      </c>
    </row>
    <row r="11520" customFormat="false" ht="15" hidden="false" customHeight="false" outlineLevel="0" collapsed="false">
      <c r="A11520" s="1" t="s">
        <v>11555</v>
      </c>
      <c r="B11520" s="1" t="s">
        <v>92</v>
      </c>
      <c r="C11520" s="1" t="n">
        <v>106000</v>
      </c>
      <c r="D11520" s="1" t="n">
        <v>1025.7</v>
      </c>
      <c r="E11520" s="1" t="n">
        <v>0.0524</v>
      </c>
      <c r="F11520" s="1" t="n">
        <v>0.1241</v>
      </c>
    </row>
    <row r="11521" customFormat="false" ht="15" hidden="false" customHeight="false" outlineLevel="0" collapsed="false">
      <c r="A11521" s="1" t="s">
        <v>11556</v>
      </c>
      <c r="B11521" s="1" t="s">
        <v>26</v>
      </c>
      <c r="C11521" s="1" t="n">
        <v>141000</v>
      </c>
      <c r="D11521" s="1" t="n">
        <v>157254.7</v>
      </c>
      <c r="E11521" s="1" t="n">
        <v>0.0093</v>
      </c>
      <c r="F11521" s="1" t="n">
        <v>0.0654</v>
      </c>
    </row>
    <row r="11522" customFormat="false" ht="15" hidden="false" customHeight="false" outlineLevel="0" collapsed="false">
      <c r="A11522" s="1" t="s">
        <v>11557</v>
      </c>
      <c r="B11522" s="1" t="s">
        <v>92</v>
      </c>
      <c r="C11522" s="1" t="n">
        <v>143000</v>
      </c>
      <c r="D11522" s="1" t="n">
        <v>2865.9</v>
      </c>
      <c r="E11522" s="1" t="n">
        <v>0.0118</v>
      </c>
      <c r="F11522" s="1" t="n">
        <v>0.1327</v>
      </c>
    </row>
    <row r="11523" customFormat="false" ht="15" hidden="false" customHeight="false" outlineLevel="0" collapsed="false">
      <c r="A11523" s="1" t="s">
        <v>11558</v>
      </c>
      <c r="B11523" s="1" t="s">
        <v>88</v>
      </c>
      <c r="C11523" s="1" t="n">
        <v>345000</v>
      </c>
      <c r="D11523" s="1" t="n">
        <v>7767.4</v>
      </c>
      <c r="E11523" s="1" t="n">
        <v>0.0231</v>
      </c>
      <c r="F11523" s="1" t="n">
        <v>0.0938</v>
      </c>
    </row>
    <row r="11524" customFormat="false" ht="15" hidden="false" customHeight="false" outlineLevel="0" collapsed="false">
      <c r="A11524" s="1" t="s">
        <v>11559</v>
      </c>
      <c r="B11524" s="1" t="s">
        <v>26</v>
      </c>
      <c r="C11524" s="1" t="n">
        <v>107000</v>
      </c>
      <c r="D11524" s="1" t="n">
        <v>1514.7</v>
      </c>
      <c r="E11524" s="1" t="n">
        <v>0.0183</v>
      </c>
      <c r="F11524" s="1" t="n">
        <v>0.0462</v>
      </c>
    </row>
    <row r="11525" customFormat="false" ht="15" hidden="false" customHeight="false" outlineLevel="0" collapsed="false">
      <c r="A11525" s="1" t="s">
        <v>11560</v>
      </c>
      <c r="B11525" s="1" t="s">
        <v>74</v>
      </c>
      <c r="C11525" s="1" t="n">
        <v>166000</v>
      </c>
      <c r="D11525" s="1" t="n">
        <v>8859.9</v>
      </c>
      <c r="E11525" s="1" t="n">
        <v>0.0514</v>
      </c>
      <c r="F11525" s="1" t="n">
        <v>0.0759</v>
      </c>
    </row>
    <row r="11526" customFormat="false" ht="15" hidden="false" customHeight="false" outlineLevel="0" collapsed="false">
      <c r="A11526" s="1" t="s">
        <v>11561</v>
      </c>
      <c r="B11526" s="1" t="s">
        <v>50</v>
      </c>
      <c r="C11526" s="1" t="n">
        <v>700000</v>
      </c>
      <c r="D11526" s="1" t="n">
        <v>12254.4</v>
      </c>
      <c r="E11526" s="1" t="n">
        <v>0.0132</v>
      </c>
      <c r="F11526" s="1" t="n">
        <v>0.0585</v>
      </c>
    </row>
    <row r="11527" customFormat="false" ht="15" hidden="false" customHeight="false" outlineLevel="0" collapsed="false">
      <c r="A11527" s="1" t="s">
        <v>11562</v>
      </c>
      <c r="B11527" s="1" t="s">
        <v>81</v>
      </c>
      <c r="C11527" s="1" t="n">
        <v>108000</v>
      </c>
      <c r="D11527" s="1" t="n">
        <v>1301</v>
      </c>
      <c r="E11527" s="1" t="n">
        <v>0.0336</v>
      </c>
      <c r="F11527" s="1" t="n">
        <v>0.0951</v>
      </c>
    </row>
    <row r="11528" customFormat="false" ht="15" hidden="false" customHeight="false" outlineLevel="0" collapsed="false">
      <c r="A11528" s="1" t="s">
        <v>11563</v>
      </c>
      <c r="B11528" s="1" t="s">
        <v>26</v>
      </c>
      <c r="C11528" s="1" t="n">
        <v>114000</v>
      </c>
      <c r="D11528" s="1" t="n">
        <v>13680.4</v>
      </c>
      <c r="E11528" s="1" t="n">
        <v>0.072</v>
      </c>
      <c r="F11528" s="1" t="n">
        <v>0.0759</v>
      </c>
    </row>
    <row r="11529" customFormat="false" ht="15" hidden="false" customHeight="false" outlineLevel="0" collapsed="false">
      <c r="A11529" s="1" t="s">
        <v>11564</v>
      </c>
      <c r="B11529" s="1" t="s">
        <v>74</v>
      </c>
      <c r="C11529" s="1" t="n">
        <v>185000</v>
      </c>
      <c r="D11529" s="1" t="n">
        <v>1570.6</v>
      </c>
      <c r="E11529" s="1" t="n">
        <v>0.0514</v>
      </c>
      <c r="F11529" s="1" t="n">
        <v>0.0759</v>
      </c>
    </row>
    <row r="11530" customFormat="false" ht="15" hidden="false" customHeight="false" outlineLevel="0" collapsed="false">
      <c r="A11530" s="1" t="s">
        <v>11565</v>
      </c>
      <c r="B11530" s="1" t="s">
        <v>88</v>
      </c>
      <c r="C11530" s="1" t="n">
        <v>107000</v>
      </c>
      <c r="D11530" s="1" t="n">
        <v>4164.3</v>
      </c>
      <c r="E11530" s="1" t="n">
        <v>0.0392</v>
      </c>
      <c r="F11530" s="1" t="n">
        <v>0.0951</v>
      </c>
    </row>
    <row r="11531" customFormat="false" ht="15" hidden="false" customHeight="false" outlineLevel="0" collapsed="false">
      <c r="A11531" s="1" t="s">
        <v>11566</v>
      </c>
      <c r="B11531" s="1" t="s">
        <v>21</v>
      </c>
      <c r="C11531" s="1" t="n">
        <v>106000</v>
      </c>
      <c r="D11531" s="1" t="n">
        <v>1044</v>
      </c>
      <c r="E11531" s="1" t="n">
        <v>0.0268</v>
      </c>
      <c r="F11531" s="1" t="n">
        <v>0.171</v>
      </c>
    </row>
    <row r="11532" customFormat="false" ht="15" hidden="false" customHeight="false" outlineLevel="0" collapsed="false">
      <c r="A11532" s="1" t="s">
        <v>11567</v>
      </c>
      <c r="B11532" s="1" t="s">
        <v>214</v>
      </c>
      <c r="C11532" s="1" t="n">
        <v>108000</v>
      </c>
      <c r="D11532" s="1" t="n">
        <v>1139.7</v>
      </c>
      <c r="E11532" s="1" t="n">
        <v>0.0143</v>
      </c>
      <c r="F11532" s="1" t="n">
        <v>0.0584</v>
      </c>
    </row>
    <row r="11533" customFormat="false" ht="15" hidden="false" customHeight="false" outlineLevel="0" collapsed="false">
      <c r="A11533" s="1" t="s">
        <v>11568</v>
      </c>
      <c r="B11533" s="1" t="s">
        <v>26</v>
      </c>
      <c r="C11533" s="1" t="n">
        <v>138000</v>
      </c>
      <c r="D11533" s="1" t="n">
        <v>9043.2</v>
      </c>
      <c r="E11533" s="1" t="n">
        <v>0.0454</v>
      </c>
      <c r="F11533" s="1" t="n">
        <v>0.0951</v>
      </c>
    </row>
    <row r="11534" customFormat="false" ht="15" hidden="false" customHeight="false" outlineLevel="0" collapsed="false">
      <c r="A11534" s="1" t="s">
        <v>11569</v>
      </c>
      <c r="B11534" s="1" t="s">
        <v>287</v>
      </c>
      <c r="C11534" s="1" t="n">
        <v>184000</v>
      </c>
      <c r="D11534" s="1" t="n">
        <v>54831.7</v>
      </c>
      <c r="E11534" s="1" t="n">
        <v>0.0391</v>
      </c>
      <c r="F11534" s="1" t="n">
        <v>0.0759</v>
      </c>
    </row>
    <row r="11535" customFormat="false" ht="15" hidden="false" customHeight="false" outlineLevel="0" collapsed="false">
      <c r="A11535" s="1" t="s">
        <v>11570</v>
      </c>
      <c r="B11535" s="1" t="s">
        <v>88</v>
      </c>
      <c r="C11535" s="1" t="n">
        <v>130000</v>
      </c>
      <c r="D11535" s="1" t="n">
        <v>1371</v>
      </c>
      <c r="E11535" s="1" t="n">
        <v>0.0554</v>
      </c>
      <c r="F11535" s="1" t="n">
        <v>0.0951</v>
      </c>
    </row>
    <row r="11536" customFormat="false" ht="15" hidden="false" customHeight="false" outlineLevel="0" collapsed="false">
      <c r="A11536" s="1" t="s">
        <v>11571</v>
      </c>
      <c r="B11536" s="1" t="s">
        <v>26</v>
      </c>
      <c r="C11536" s="1" t="n">
        <v>282000</v>
      </c>
      <c r="D11536" s="1" t="n">
        <v>12179.7</v>
      </c>
      <c r="E11536" s="1" t="n">
        <v>0.0519</v>
      </c>
      <c r="F11536" s="1" t="n">
        <v>0.0409</v>
      </c>
    </row>
    <row r="11537" customFormat="false" ht="15" hidden="false" customHeight="false" outlineLevel="0" collapsed="false">
      <c r="A11537" s="1" t="s">
        <v>11572</v>
      </c>
      <c r="B11537" s="1" t="s">
        <v>26</v>
      </c>
      <c r="C11537" s="1" t="n">
        <v>105000</v>
      </c>
      <c r="D11537" s="1" t="n">
        <v>489</v>
      </c>
      <c r="E11537" s="1" t="n">
        <v>0.0378</v>
      </c>
      <c r="F11537" s="1" t="n">
        <v>0.0951</v>
      </c>
    </row>
    <row r="11538" customFormat="false" ht="15" hidden="false" customHeight="false" outlineLevel="0" collapsed="false">
      <c r="A11538" s="1" t="s">
        <v>11573</v>
      </c>
      <c r="B11538" s="1" t="s">
        <v>26</v>
      </c>
      <c r="C11538" s="1" t="n">
        <v>133000</v>
      </c>
      <c r="D11538" s="1" t="n">
        <v>2166</v>
      </c>
      <c r="E11538" s="1" t="n">
        <v>0.0149</v>
      </c>
      <c r="F11538" s="1" t="n">
        <v>0.0589</v>
      </c>
    </row>
    <row r="11539" customFormat="false" ht="15" hidden="false" customHeight="false" outlineLevel="0" collapsed="false">
      <c r="A11539" s="1" t="s">
        <v>11574</v>
      </c>
      <c r="B11539" s="1" t="s">
        <v>21</v>
      </c>
      <c r="C11539" s="1" t="n">
        <v>135000</v>
      </c>
      <c r="D11539" s="1" t="n">
        <v>2057.3</v>
      </c>
      <c r="E11539" s="1" t="n">
        <v>0.0085</v>
      </c>
      <c r="F11539" s="1" t="n">
        <v>0.0822</v>
      </c>
    </row>
    <row r="11540" customFormat="false" ht="15" hidden="false" customHeight="false" outlineLevel="0" collapsed="false">
      <c r="A11540" s="1" t="s">
        <v>11575</v>
      </c>
      <c r="B11540" s="1" t="s">
        <v>88</v>
      </c>
      <c r="C11540" s="1" t="n">
        <v>109000</v>
      </c>
      <c r="D11540" s="1" t="n">
        <v>249.8</v>
      </c>
      <c r="E11540" s="1" t="n">
        <v>0.0186</v>
      </c>
      <c r="F11540" s="1" t="n">
        <v>0.0576</v>
      </c>
    </row>
    <row r="11541" customFormat="false" ht="15" hidden="false" customHeight="false" outlineLevel="0" collapsed="false">
      <c r="A11541" s="1" t="s">
        <v>11576</v>
      </c>
      <c r="B11541" s="1" t="s">
        <v>26</v>
      </c>
      <c r="C11541" s="1" t="n">
        <v>157000</v>
      </c>
      <c r="D11541" s="1" t="n">
        <v>15924</v>
      </c>
      <c r="E11541" s="1" t="n">
        <v>0.0671</v>
      </c>
      <c r="F11541" s="1" t="n">
        <v>0.1241</v>
      </c>
    </row>
    <row r="11542" customFormat="false" ht="15" hidden="false" customHeight="false" outlineLevel="0" collapsed="false">
      <c r="A11542" s="1" t="s">
        <v>11577</v>
      </c>
      <c r="B11542" s="1" t="s">
        <v>92</v>
      </c>
      <c r="C11542" s="1" t="n">
        <v>104000</v>
      </c>
      <c r="D11542" s="1" t="n">
        <v>2845.9</v>
      </c>
      <c r="F11542" s="1" t="n">
        <v>0.0951</v>
      </c>
    </row>
    <row r="11543" customFormat="false" ht="15" hidden="false" customHeight="false" outlineLevel="0" collapsed="false">
      <c r="A11543" s="1" t="s">
        <v>11578</v>
      </c>
      <c r="B11543" s="1" t="s">
        <v>26</v>
      </c>
      <c r="C11543" s="1" t="n">
        <v>105000</v>
      </c>
      <c r="D11543" s="1" t="n">
        <v>128.9</v>
      </c>
      <c r="E11543" s="1" t="n">
        <v>0.0025</v>
      </c>
      <c r="F11543" s="1" t="n">
        <v>0.2121</v>
      </c>
    </row>
    <row r="11544" customFormat="false" ht="15" hidden="false" customHeight="false" outlineLevel="0" collapsed="false">
      <c r="A11544" s="1" t="s">
        <v>11579</v>
      </c>
      <c r="B11544" s="1" t="s">
        <v>62</v>
      </c>
      <c r="C11544" s="1" t="n">
        <v>107000</v>
      </c>
      <c r="D11544" s="1" t="n">
        <v>385.9</v>
      </c>
      <c r="E11544" s="1" t="n">
        <v>0.0126</v>
      </c>
      <c r="F11544" s="1" t="n">
        <v>0.1889</v>
      </c>
    </row>
    <row r="11545" customFormat="false" ht="15" hidden="false" customHeight="false" outlineLevel="0" collapsed="false">
      <c r="A11545" s="1" t="s">
        <v>11580</v>
      </c>
      <c r="B11545" s="1" t="s">
        <v>88</v>
      </c>
      <c r="C11545" s="1" t="n">
        <v>118000</v>
      </c>
      <c r="D11545" s="1" t="n">
        <v>765.4</v>
      </c>
      <c r="E11545" s="1" t="n">
        <v>0.028</v>
      </c>
      <c r="F11545" s="1" t="n">
        <v>0.0951</v>
      </c>
    </row>
    <row r="11546" customFormat="false" ht="15" hidden="false" customHeight="false" outlineLevel="0" collapsed="false">
      <c r="A11546" s="1" t="s">
        <v>11581</v>
      </c>
      <c r="B11546" s="1" t="s">
        <v>53</v>
      </c>
      <c r="C11546" s="1" t="n">
        <v>117000</v>
      </c>
      <c r="D11546" s="1" t="n">
        <v>41978.4</v>
      </c>
      <c r="E11546" s="1" t="n">
        <v>0.0174</v>
      </c>
      <c r="F11546" s="1" t="n">
        <v>0.1067</v>
      </c>
    </row>
    <row r="11547" customFormat="false" ht="15" hidden="false" customHeight="false" outlineLevel="0" collapsed="false">
      <c r="A11547" s="1" t="s">
        <v>11582</v>
      </c>
      <c r="B11547" s="1" t="s">
        <v>88</v>
      </c>
      <c r="C11547" s="1" t="n">
        <v>107000</v>
      </c>
      <c r="D11547" s="1" t="n">
        <v>3783.6</v>
      </c>
      <c r="E11547" s="1" t="n">
        <v>0.0392</v>
      </c>
      <c r="F11547" s="1" t="n">
        <v>0.0951</v>
      </c>
    </row>
    <row r="11548" customFormat="false" ht="15" hidden="false" customHeight="false" outlineLevel="0" collapsed="false">
      <c r="A11548" s="1" t="s">
        <v>11583</v>
      </c>
      <c r="B11548" s="1" t="s">
        <v>26</v>
      </c>
      <c r="C11548" s="1" t="n">
        <v>128000</v>
      </c>
      <c r="D11548" s="1" t="n">
        <v>33330.6</v>
      </c>
      <c r="E11548" s="1" t="n">
        <v>0.0177</v>
      </c>
      <c r="F11548" s="1" t="n">
        <v>0.0488</v>
      </c>
    </row>
    <row r="11549" customFormat="false" ht="15" hidden="false" customHeight="false" outlineLevel="0" collapsed="false">
      <c r="A11549" s="1" t="s">
        <v>11584</v>
      </c>
      <c r="B11549" s="1" t="s">
        <v>53</v>
      </c>
      <c r="C11549" s="1" t="n">
        <v>186000</v>
      </c>
      <c r="D11549" s="1" t="n">
        <v>17086.6</v>
      </c>
      <c r="E11549" s="1" t="n">
        <v>0.1503</v>
      </c>
      <c r="F11549" s="1" t="n">
        <v>0.0759</v>
      </c>
    </row>
    <row r="11550" customFormat="false" ht="15" hidden="false" customHeight="false" outlineLevel="0" collapsed="false">
      <c r="A11550" s="1" t="s">
        <v>11585</v>
      </c>
      <c r="B11550" s="1" t="s">
        <v>24</v>
      </c>
      <c r="C11550" s="1" t="n">
        <v>192000</v>
      </c>
      <c r="D11550" s="1" t="n">
        <v>3616.1</v>
      </c>
      <c r="E11550" s="1" t="n">
        <v>0.0538</v>
      </c>
      <c r="F11550" s="1" t="n">
        <v>0.0759</v>
      </c>
    </row>
    <row r="11551" customFormat="false" ht="15" hidden="false" customHeight="false" outlineLevel="0" collapsed="false">
      <c r="A11551" s="1" t="s">
        <v>11586</v>
      </c>
      <c r="B11551" s="1" t="s">
        <v>214</v>
      </c>
      <c r="C11551" s="1" t="n">
        <v>255000</v>
      </c>
      <c r="D11551" s="1" t="n">
        <v>1150.9</v>
      </c>
      <c r="E11551" s="1" t="n">
        <v>0.0472</v>
      </c>
      <c r="F11551" s="1" t="n">
        <v>0.1241</v>
      </c>
    </row>
    <row r="11552" customFormat="false" ht="15" hidden="false" customHeight="false" outlineLevel="0" collapsed="false">
      <c r="A11552" s="1" t="s">
        <v>11587</v>
      </c>
      <c r="B11552" s="1" t="s">
        <v>195</v>
      </c>
      <c r="C11552" s="1" t="n">
        <v>133000</v>
      </c>
      <c r="D11552" s="1" t="n">
        <v>108.2</v>
      </c>
      <c r="E11552" s="1" t="n">
        <v>0.0181</v>
      </c>
      <c r="F11552" s="1" t="n">
        <v>0.139</v>
      </c>
    </row>
    <row r="11553" customFormat="false" ht="15" hidden="false" customHeight="false" outlineLevel="0" collapsed="false">
      <c r="A11553" s="1" t="s">
        <v>11588</v>
      </c>
      <c r="B11553" s="1" t="s">
        <v>41</v>
      </c>
      <c r="C11553" s="1" t="n">
        <v>995000</v>
      </c>
      <c r="D11553" s="1" t="n">
        <v>147256.7</v>
      </c>
      <c r="E11553" s="1" t="n">
        <v>0.0619</v>
      </c>
      <c r="F11553" s="1" t="n">
        <v>0.0759</v>
      </c>
    </row>
    <row r="11554" customFormat="false" ht="15" hidden="false" customHeight="false" outlineLevel="0" collapsed="false">
      <c r="A11554" s="1" t="s">
        <v>11589</v>
      </c>
      <c r="B11554" s="1" t="s">
        <v>41</v>
      </c>
      <c r="C11554" s="1" t="n">
        <v>187000</v>
      </c>
      <c r="D11554" s="1" t="n">
        <v>53</v>
      </c>
      <c r="F11554" s="1" t="n">
        <v>0.0938</v>
      </c>
    </row>
    <row r="11555" customFormat="false" ht="15" hidden="false" customHeight="false" outlineLevel="0" collapsed="false">
      <c r="A11555" s="1" t="s">
        <v>11590</v>
      </c>
      <c r="B11555" s="1" t="s">
        <v>26</v>
      </c>
      <c r="C11555" s="1" t="n">
        <v>124000</v>
      </c>
      <c r="D11555" s="1" t="n">
        <v>4196</v>
      </c>
      <c r="E11555" s="1" t="n">
        <v>0.0423</v>
      </c>
      <c r="F11555" s="1" t="n">
        <v>0.0759</v>
      </c>
    </row>
    <row r="11556" customFormat="false" ht="15" hidden="false" customHeight="false" outlineLevel="0" collapsed="false">
      <c r="A11556" s="1" t="s">
        <v>11591</v>
      </c>
      <c r="B11556" s="1" t="s">
        <v>35</v>
      </c>
      <c r="C11556" s="1" t="n">
        <v>138000</v>
      </c>
      <c r="D11556" s="1" t="n">
        <v>1002337.4</v>
      </c>
      <c r="F11556" s="1" t="n">
        <v>0.0518</v>
      </c>
    </row>
    <row r="11557" customFormat="false" ht="15" hidden="false" customHeight="false" outlineLevel="0" collapsed="false">
      <c r="A11557" s="1" t="s">
        <v>11592</v>
      </c>
      <c r="B11557" s="1" t="s">
        <v>26</v>
      </c>
      <c r="C11557" s="1" t="n">
        <v>107000</v>
      </c>
      <c r="D11557" s="1" t="n">
        <v>316.5</v>
      </c>
      <c r="F11557" s="1" t="n">
        <v>0.0951</v>
      </c>
    </row>
    <row r="11558" customFormat="false" ht="15" hidden="false" customHeight="false" outlineLevel="0" collapsed="false">
      <c r="A11558" s="1" t="s">
        <v>11593</v>
      </c>
      <c r="B11558" s="1" t="s">
        <v>74</v>
      </c>
      <c r="C11558" s="1" t="n">
        <v>116000</v>
      </c>
      <c r="D11558" s="1" t="n">
        <v>1180.9</v>
      </c>
      <c r="E11558" s="1" t="n">
        <v>0.1019</v>
      </c>
      <c r="F11558" s="1" t="n">
        <v>0.0759</v>
      </c>
    </row>
    <row r="11559" customFormat="false" ht="15" hidden="false" customHeight="false" outlineLevel="0" collapsed="false">
      <c r="A11559" s="1" t="s">
        <v>11594</v>
      </c>
      <c r="B11559" s="1" t="s">
        <v>92</v>
      </c>
      <c r="C11559" s="1" t="n">
        <v>111000</v>
      </c>
      <c r="D11559" s="1" t="n">
        <v>2583.5</v>
      </c>
      <c r="E11559" s="1" t="n">
        <v>0.0231</v>
      </c>
      <c r="F11559" s="1" t="n">
        <v>0.0951</v>
      </c>
    </row>
    <row r="11560" customFormat="false" ht="15" hidden="false" customHeight="false" outlineLevel="0" collapsed="false">
      <c r="A11560" s="1" t="s">
        <v>11595</v>
      </c>
      <c r="B11560" s="1" t="s">
        <v>71</v>
      </c>
      <c r="C11560" s="1" t="n">
        <v>108000</v>
      </c>
      <c r="D11560" s="1" t="n">
        <v>1681.7</v>
      </c>
      <c r="E11560" s="1" t="n">
        <v>0.0182</v>
      </c>
      <c r="F11560" s="1" t="n">
        <v>0.1321</v>
      </c>
    </row>
    <row r="11561" customFormat="false" ht="15" hidden="false" customHeight="false" outlineLevel="0" collapsed="false">
      <c r="A11561" s="1" t="s">
        <v>11596</v>
      </c>
      <c r="B11561" s="1" t="s">
        <v>88</v>
      </c>
      <c r="C11561" s="1" t="n">
        <v>155000</v>
      </c>
      <c r="D11561" s="1" t="n">
        <v>8711.3</v>
      </c>
      <c r="E11561" s="1" t="n">
        <v>0.029</v>
      </c>
      <c r="F11561" s="1" t="n">
        <v>0.0759</v>
      </c>
    </row>
    <row r="11562" customFormat="false" ht="15" hidden="false" customHeight="false" outlineLevel="0" collapsed="false">
      <c r="A11562" s="1" t="s">
        <v>11597</v>
      </c>
      <c r="B11562" s="1" t="s">
        <v>26</v>
      </c>
      <c r="C11562" s="1" t="n">
        <v>205000</v>
      </c>
      <c r="D11562" s="1" t="n">
        <v>45875.5</v>
      </c>
      <c r="E11562" s="1" t="n">
        <v>0.0499</v>
      </c>
      <c r="F11562" s="1" t="n">
        <v>0.0759</v>
      </c>
    </row>
    <row r="11563" customFormat="false" ht="15" hidden="false" customHeight="false" outlineLevel="0" collapsed="false">
      <c r="A11563" s="1" t="s">
        <v>11598</v>
      </c>
      <c r="B11563" s="1" t="s">
        <v>88</v>
      </c>
      <c r="C11563" s="1" t="n">
        <v>160000</v>
      </c>
      <c r="D11563" s="1" t="n">
        <v>7210.7</v>
      </c>
      <c r="F11563" s="1" t="n">
        <v>0.0518</v>
      </c>
    </row>
    <row r="11564" customFormat="false" ht="15" hidden="false" customHeight="false" outlineLevel="0" collapsed="false">
      <c r="A11564" s="1" t="s">
        <v>11599</v>
      </c>
      <c r="B11564" s="1" t="s">
        <v>195</v>
      </c>
      <c r="C11564" s="1" t="n">
        <v>130000</v>
      </c>
      <c r="D11564" s="1" t="n">
        <v>18253</v>
      </c>
      <c r="E11564" s="1" t="n">
        <v>0.0148</v>
      </c>
      <c r="F11564" s="1" t="n">
        <v>0.0585</v>
      </c>
    </row>
    <row r="11565" customFormat="false" ht="15" hidden="false" customHeight="false" outlineLevel="0" collapsed="false">
      <c r="A11565" s="1" t="s">
        <v>11600</v>
      </c>
      <c r="B11565" s="1" t="s">
        <v>26</v>
      </c>
      <c r="C11565" s="1" t="n">
        <v>105000</v>
      </c>
      <c r="D11565" s="1" t="n">
        <v>157.3</v>
      </c>
      <c r="E11565" s="1" t="n">
        <v>0.0194</v>
      </c>
      <c r="F11565" s="1" t="n">
        <v>0.1242</v>
      </c>
    </row>
    <row r="11566" customFormat="false" ht="15" hidden="false" customHeight="false" outlineLevel="0" collapsed="false">
      <c r="A11566" s="1" t="s">
        <v>11601</v>
      </c>
      <c r="B11566" s="1" t="s">
        <v>26</v>
      </c>
      <c r="C11566" s="1" t="n">
        <v>105000</v>
      </c>
      <c r="D11566" s="1" t="n">
        <v>829</v>
      </c>
      <c r="E11566" s="1" t="n">
        <v>0.0095</v>
      </c>
      <c r="F11566" s="1" t="n">
        <v>0.0822</v>
      </c>
    </row>
    <row r="11567" customFormat="false" ht="15" hidden="false" customHeight="false" outlineLevel="0" collapsed="false">
      <c r="A11567" s="1" t="s">
        <v>11602</v>
      </c>
      <c r="B11567" s="1" t="s">
        <v>53</v>
      </c>
      <c r="C11567" s="1" t="n">
        <v>147000</v>
      </c>
      <c r="D11567" s="1" t="n">
        <v>3031294.7</v>
      </c>
      <c r="E11567" s="1" t="n">
        <v>0.0108</v>
      </c>
      <c r="F11567" s="1" t="n">
        <v>0.0736</v>
      </c>
    </row>
    <row r="11568" customFormat="false" ht="15" hidden="false" customHeight="false" outlineLevel="0" collapsed="false">
      <c r="A11568" s="1" t="s">
        <v>11603</v>
      </c>
      <c r="B11568" s="1" t="s">
        <v>24</v>
      </c>
      <c r="C11568" s="1" t="n">
        <v>118000</v>
      </c>
      <c r="D11568" s="1" t="n">
        <v>110.9</v>
      </c>
      <c r="E11568" s="1" t="n">
        <v>0.0214</v>
      </c>
      <c r="F11568" s="1" t="n">
        <v>0.7208</v>
      </c>
    </row>
    <row r="11569" customFormat="false" ht="15" hidden="false" customHeight="false" outlineLevel="0" collapsed="false">
      <c r="A11569" s="1" t="s">
        <v>11604</v>
      </c>
      <c r="B11569" s="1" t="s">
        <v>26</v>
      </c>
      <c r="C11569" s="1" t="n">
        <v>131000</v>
      </c>
      <c r="D11569" s="1" t="n">
        <v>1392.6</v>
      </c>
      <c r="E11569" s="1" t="n">
        <v>0.0317</v>
      </c>
      <c r="F11569" s="1" t="n">
        <v>0.0759</v>
      </c>
    </row>
    <row r="11570" customFormat="false" ht="15" hidden="false" customHeight="false" outlineLevel="0" collapsed="false">
      <c r="A11570" s="1" t="s">
        <v>11605</v>
      </c>
      <c r="B11570" s="1" t="s">
        <v>26</v>
      </c>
      <c r="C11570" s="1" t="n">
        <v>122000</v>
      </c>
      <c r="D11570" s="1" t="n">
        <v>42986.4</v>
      </c>
      <c r="E11570" s="1" t="n">
        <v>0.0041</v>
      </c>
      <c r="F11570" s="1" t="n">
        <v>0.0654</v>
      </c>
    </row>
    <row r="11571" customFormat="false" ht="15" hidden="false" customHeight="false" outlineLevel="0" collapsed="false">
      <c r="A11571" s="1" t="s">
        <v>11606</v>
      </c>
      <c r="B11571" s="1" t="s">
        <v>74</v>
      </c>
      <c r="C11571" s="1" t="n">
        <v>128000</v>
      </c>
      <c r="D11571" s="1" t="n">
        <v>2904.8</v>
      </c>
      <c r="E11571" s="1" t="n">
        <v>0.011</v>
      </c>
      <c r="F11571" s="1" t="n">
        <v>0.2047</v>
      </c>
    </row>
    <row r="11572" customFormat="false" ht="15" hidden="false" customHeight="false" outlineLevel="0" collapsed="false">
      <c r="A11572" s="1" t="s">
        <v>11607</v>
      </c>
      <c r="B11572" s="1" t="s">
        <v>214</v>
      </c>
      <c r="C11572" s="1" t="n">
        <v>106000</v>
      </c>
      <c r="D11572" s="1" t="n">
        <v>89.6</v>
      </c>
      <c r="E11572" s="1" t="n">
        <v>0.0487</v>
      </c>
      <c r="F11572" s="1" t="n">
        <v>0.0517</v>
      </c>
    </row>
    <row r="11573" customFormat="false" ht="15" hidden="false" customHeight="false" outlineLevel="0" collapsed="false">
      <c r="A11573" s="1" t="s">
        <v>11608</v>
      </c>
      <c r="B11573" s="1" t="s">
        <v>26</v>
      </c>
      <c r="C11573" s="1" t="n">
        <v>261000</v>
      </c>
      <c r="D11573" s="1" t="n">
        <v>12695.3</v>
      </c>
      <c r="E11573" s="1" t="n">
        <v>0.057</v>
      </c>
      <c r="F11573" s="1" t="n">
        <v>0.0759</v>
      </c>
    </row>
    <row r="11574" customFormat="false" ht="15" hidden="false" customHeight="false" outlineLevel="0" collapsed="false">
      <c r="A11574" s="1" t="s">
        <v>11609</v>
      </c>
      <c r="B11574" s="1" t="s">
        <v>41</v>
      </c>
      <c r="C11574" s="1" t="n">
        <v>105000</v>
      </c>
      <c r="D11574" s="1" t="n">
        <v>8165.8</v>
      </c>
      <c r="E11574" s="1" t="n">
        <v>0.0331</v>
      </c>
      <c r="F11574" s="1" t="n">
        <v>0.0951</v>
      </c>
    </row>
    <row r="11575" customFormat="false" ht="15" hidden="false" customHeight="false" outlineLevel="0" collapsed="false">
      <c r="A11575" s="1" t="s">
        <v>11610</v>
      </c>
      <c r="B11575" s="1" t="s">
        <v>35</v>
      </c>
      <c r="C11575" s="1" t="n">
        <v>206000</v>
      </c>
      <c r="D11575" s="1" t="n">
        <v>89234.7</v>
      </c>
      <c r="E11575" s="1" t="n">
        <v>0.0281</v>
      </c>
      <c r="F11575" s="1" t="n">
        <v>0.0759</v>
      </c>
    </row>
    <row r="11576" customFormat="false" ht="15" hidden="false" customHeight="false" outlineLevel="0" collapsed="false">
      <c r="A11576" s="1" t="s">
        <v>11611</v>
      </c>
      <c r="B11576" s="1" t="s">
        <v>26</v>
      </c>
      <c r="C11576" s="1" t="n">
        <v>130000</v>
      </c>
      <c r="D11576" s="1" t="n">
        <v>10541</v>
      </c>
      <c r="E11576" s="1" t="n">
        <v>0.0266</v>
      </c>
      <c r="F11576" s="1" t="n">
        <v>0.0759</v>
      </c>
    </row>
    <row r="11577" customFormat="false" ht="15" hidden="false" customHeight="false" outlineLevel="0" collapsed="false">
      <c r="A11577" s="1" t="s">
        <v>11612</v>
      </c>
      <c r="B11577" s="1" t="s">
        <v>26</v>
      </c>
      <c r="C11577" s="1" t="n">
        <v>104000</v>
      </c>
      <c r="D11577" s="1" t="n">
        <v>3038</v>
      </c>
      <c r="E11577" s="1" t="n">
        <v>0.0277</v>
      </c>
      <c r="F11577" s="1" t="n">
        <v>0.0951</v>
      </c>
    </row>
    <row r="11578" customFormat="false" ht="15" hidden="false" customHeight="false" outlineLevel="0" collapsed="false">
      <c r="A11578" s="1" t="s">
        <v>11613</v>
      </c>
      <c r="B11578" s="1" t="s">
        <v>88</v>
      </c>
      <c r="C11578" s="1" t="n">
        <v>106000</v>
      </c>
      <c r="D11578" s="1" t="n">
        <v>190.6</v>
      </c>
      <c r="E11578" s="1" t="n">
        <v>0.0339</v>
      </c>
      <c r="F11578" s="1" t="n">
        <v>0.117</v>
      </c>
    </row>
    <row r="11579" customFormat="false" ht="15" hidden="false" customHeight="false" outlineLevel="0" collapsed="false">
      <c r="A11579" s="1" t="s">
        <v>11614</v>
      </c>
      <c r="B11579" s="1" t="s">
        <v>26</v>
      </c>
      <c r="C11579" s="1" t="n">
        <v>270000</v>
      </c>
      <c r="D11579" s="1" t="n">
        <v>6756.5</v>
      </c>
      <c r="E11579" s="1" t="n">
        <v>0.0223</v>
      </c>
      <c r="F11579" s="1" t="n">
        <v>0.051</v>
      </c>
    </row>
    <row r="11580" customFormat="false" ht="15" hidden="false" customHeight="false" outlineLevel="0" collapsed="false">
      <c r="A11580" s="1" t="s">
        <v>11615</v>
      </c>
      <c r="B11580" s="1" t="s">
        <v>32</v>
      </c>
      <c r="C11580" s="1" t="n">
        <v>462000</v>
      </c>
      <c r="D11580" s="1" t="n">
        <v>203.4</v>
      </c>
      <c r="E11580" s="1" t="n">
        <v>0.018</v>
      </c>
      <c r="F11580" s="1" t="n">
        <v>0.051</v>
      </c>
    </row>
    <row r="11581" customFormat="false" ht="15" hidden="false" customHeight="false" outlineLevel="0" collapsed="false">
      <c r="A11581" s="1" t="s">
        <v>11616</v>
      </c>
      <c r="B11581" s="1" t="s">
        <v>74</v>
      </c>
      <c r="C11581" s="1" t="n">
        <v>123000</v>
      </c>
      <c r="D11581" s="1" t="n">
        <v>1048.3</v>
      </c>
      <c r="E11581" s="1" t="n">
        <v>0.0534</v>
      </c>
      <c r="F11581" s="1" t="n">
        <v>0.0759</v>
      </c>
    </row>
    <row r="11582" customFormat="false" ht="15" hidden="false" customHeight="false" outlineLevel="0" collapsed="false">
      <c r="A11582" s="1" t="s">
        <v>11617</v>
      </c>
      <c r="B11582" s="1" t="s">
        <v>24</v>
      </c>
      <c r="C11582" s="1" t="n">
        <v>138000</v>
      </c>
      <c r="D11582" s="1" t="n">
        <v>180341.1</v>
      </c>
      <c r="E11582" s="1" t="n">
        <v>0.0135</v>
      </c>
      <c r="F11582" s="1" t="n">
        <v>0.0585</v>
      </c>
    </row>
    <row r="11583" customFormat="false" ht="15" hidden="false" customHeight="false" outlineLevel="0" collapsed="false">
      <c r="A11583" s="1" t="s">
        <v>11618</v>
      </c>
      <c r="B11583" s="1" t="s">
        <v>71</v>
      </c>
      <c r="C11583" s="1" t="n">
        <v>106000</v>
      </c>
      <c r="D11583" s="1" t="n">
        <v>1272.3</v>
      </c>
      <c r="E11583" s="1" t="n">
        <v>0.0123</v>
      </c>
      <c r="F11583" s="1" t="n">
        <v>0.0854</v>
      </c>
    </row>
    <row r="11584" customFormat="false" ht="15" hidden="false" customHeight="false" outlineLevel="0" collapsed="false">
      <c r="A11584" s="1" t="s">
        <v>11619</v>
      </c>
      <c r="B11584" s="1" t="s">
        <v>24</v>
      </c>
      <c r="C11584" s="1" t="n">
        <v>109000</v>
      </c>
      <c r="D11584" s="1" t="n">
        <v>996.1</v>
      </c>
      <c r="E11584" s="1" t="n">
        <v>0.0202</v>
      </c>
      <c r="F11584" s="1" t="n">
        <v>0.171</v>
      </c>
    </row>
    <row r="11585" customFormat="false" ht="15" hidden="false" customHeight="false" outlineLevel="0" collapsed="false">
      <c r="A11585" s="1" t="s">
        <v>11620</v>
      </c>
      <c r="B11585" s="1" t="s">
        <v>26</v>
      </c>
      <c r="C11585" s="1" t="n">
        <v>123000</v>
      </c>
      <c r="D11585" s="1" t="n">
        <v>8995.4</v>
      </c>
      <c r="E11585" s="1" t="n">
        <v>0.0485</v>
      </c>
      <c r="F11585" s="1" t="n">
        <v>0.0759</v>
      </c>
    </row>
    <row r="11586" customFormat="false" ht="15" hidden="false" customHeight="false" outlineLevel="0" collapsed="false">
      <c r="A11586" s="1" t="s">
        <v>11621</v>
      </c>
      <c r="B11586" s="1" t="s">
        <v>62</v>
      </c>
      <c r="C11586" s="1" t="n">
        <v>105000</v>
      </c>
      <c r="D11586" s="1" t="n">
        <v>3816.4</v>
      </c>
      <c r="E11586" s="1" t="n">
        <v>0.0256</v>
      </c>
      <c r="F11586" s="1" t="n">
        <v>0.0518</v>
      </c>
    </row>
    <row r="11587" customFormat="false" ht="15" hidden="false" customHeight="false" outlineLevel="0" collapsed="false">
      <c r="A11587" s="1" t="s">
        <v>11622</v>
      </c>
      <c r="B11587" s="1" t="s">
        <v>26</v>
      </c>
      <c r="C11587" s="1" t="n">
        <v>124000</v>
      </c>
      <c r="D11587" s="1" t="n">
        <v>5298.6</v>
      </c>
      <c r="E11587" s="1" t="n">
        <v>0.0449</v>
      </c>
      <c r="F11587" s="1" t="n">
        <v>0.0672</v>
      </c>
    </row>
    <row r="11588" customFormat="false" ht="15" hidden="false" customHeight="false" outlineLevel="0" collapsed="false">
      <c r="A11588" s="1" t="s">
        <v>11623</v>
      </c>
      <c r="B11588" s="1" t="s">
        <v>62</v>
      </c>
      <c r="C11588" s="1" t="n">
        <v>109000</v>
      </c>
      <c r="D11588" s="1" t="n">
        <v>65778.4</v>
      </c>
      <c r="E11588" s="1" t="n">
        <v>0.0193</v>
      </c>
      <c r="F11588" s="1" t="n">
        <v>0.1067</v>
      </c>
    </row>
    <row r="11589" customFormat="false" ht="15" hidden="false" customHeight="false" outlineLevel="0" collapsed="false">
      <c r="A11589" s="1" t="s">
        <v>11624</v>
      </c>
      <c r="B11589" s="1" t="s">
        <v>26</v>
      </c>
      <c r="C11589" s="1" t="n">
        <v>153000</v>
      </c>
      <c r="D11589" s="1" t="n">
        <v>105.6</v>
      </c>
      <c r="E11589" s="1" t="n">
        <v>0.568</v>
      </c>
      <c r="F11589" s="1" t="n">
        <v>0.0938</v>
      </c>
    </row>
    <row r="11590" customFormat="false" ht="15" hidden="false" customHeight="false" outlineLevel="0" collapsed="false">
      <c r="A11590" s="1" t="s">
        <v>11625</v>
      </c>
      <c r="B11590" s="1" t="s">
        <v>41</v>
      </c>
      <c r="C11590" s="1" t="n">
        <v>132000</v>
      </c>
      <c r="D11590" s="1" t="n">
        <v>1748</v>
      </c>
      <c r="E11590" s="1" t="n">
        <v>0.0072</v>
      </c>
      <c r="F11590" s="1" t="n">
        <v>0.0822</v>
      </c>
    </row>
    <row r="11591" customFormat="false" ht="15" hidden="false" customHeight="false" outlineLevel="0" collapsed="false">
      <c r="A11591" s="1" t="s">
        <v>11626</v>
      </c>
      <c r="B11591" s="1" t="s">
        <v>41</v>
      </c>
      <c r="C11591" s="1" t="n">
        <v>131000</v>
      </c>
      <c r="D11591" s="1" t="n">
        <v>9821.8</v>
      </c>
      <c r="E11591" s="1" t="n">
        <v>0.0285</v>
      </c>
      <c r="F11591" s="1" t="n">
        <v>0.0938</v>
      </c>
    </row>
    <row r="11592" customFormat="false" ht="15" hidden="false" customHeight="false" outlineLevel="0" collapsed="false">
      <c r="A11592" s="1" t="s">
        <v>11627</v>
      </c>
      <c r="B11592" s="1" t="s">
        <v>88</v>
      </c>
      <c r="C11592" s="1" t="n">
        <v>115000</v>
      </c>
      <c r="D11592" s="1" t="n">
        <v>458</v>
      </c>
      <c r="E11592" s="1" t="n">
        <v>0.061</v>
      </c>
      <c r="F11592" s="1" t="n">
        <v>0.2777</v>
      </c>
    </row>
    <row r="11593" customFormat="false" ht="15" hidden="false" customHeight="false" outlineLevel="0" collapsed="false">
      <c r="A11593" s="1" t="s">
        <v>11628</v>
      </c>
      <c r="B11593" s="1" t="s">
        <v>26</v>
      </c>
      <c r="C11593" s="1" t="n">
        <v>215000</v>
      </c>
      <c r="D11593" s="1" t="n">
        <v>57454.8</v>
      </c>
      <c r="E11593" s="1" t="n">
        <v>0.0421</v>
      </c>
      <c r="F11593" s="1" t="n">
        <v>0.0759</v>
      </c>
    </row>
    <row r="11594" customFormat="false" ht="15" hidden="false" customHeight="false" outlineLevel="0" collapsed="false">
      <c r="A11594" s="1" t="s">
        <v>11629</v>
      </c>
      <c r="B11594" s="1" t="s">
        <v>26</v>
      </c>
      <c r="C11594" s="1" t="n">
        <v>92000</v>
      </c>
      <c r="D11594" s="1" t="n">
        <v>4878.3</v>
      </c>
      <c r="E11594" s="1" t="n">
        <v>0.0143</v>
      </c>
      <c r="F11594" s="1" t="n">
        <v>0.3868</v>
      </c>
    </row>
    <row r="11595" customFormat="false" ht="15" hidden="false" customHeight="false" outlineLevel="0" collapsed="false">
      <c r="A11595" s="1" t="s">
        <v>11630</v>
      </c>
      <c r="B11595" s="1" t="s">
        <v>71</v>
      </c>
      <c r="C11595" s="1" t="n">
        <v>103000</v>
      </c>
      <c r="D11595" s="1" t="n">
        <v>1888.4</v>
      </c>
      <c r="E11595" s="1" t="n">
        <v>0.0243</v>
      </c>
      <c r="F11595" s="1" t="n">
        <v>0.171</v>
      </c>
    </row>
    <row r="11596" customFormat="false" ht="15" hidden="false" customHeight="false" outlineLevel="0" collapsed="false">
      <c r="A11596" s="1" t="s">
        <v>11631</v>
      </c>
      <c r="B11596" s="1" t="s">
        <v>88</v>
      </c>
      <c r="C11596" s="1" t="n">
        <v>300000</v>
      </c>
      <c r="D11596" s="1" t="n">
        <v>5513.6</v>
      </c>
      <c r="E11596" s="1" t="n">
        <v>0.0262</v>
      </c>
      <c r="F11596" s="1" t="n">
        <v>0.0759</v>
      </c>
    </row>
    <row r="11597" customFormat="false" ht="15" hidden="false" customHeight="false" outlineLevel="0" collapsed="false">
      <c r="A11597" s="1" t="s">
        <v>11632</v>
      </c>
      <c r="B11597" s="1" t="s">
        <v>62</v>
      </c>
      <c r="C11597" s="1" t="n">
        <v>106000</v>
      </c>
      <c r="D11597" s="1" t="n">
        <v>20101.1</v>
      </c>
      <c r="E11597" s="1" t="n">
        <v>0.028</v>
      </c>
      <c r="F11597" s="1" t="n">
        <v>0.0518</v>
      </c>
    </row>
    <row r="11598" customFormat="false" ht="15" hidden="false" customHeight="false" outlineLevel="0" collapsed="false">
      <c r="A11598" s="1" t="s">
        <v>11633</v>
      </c>
      <c r="B11598" s="1" t="s">
        <v>26</v>
      </c>
      <c r="C11598" s="1" t="n">
        <v>109000</v>
      </c>
      <c r="D11598" s="1" t="n">
        <v>30468.1</v>
      </c>
      <c r="E11598" s="1" t="n">
        <v>0.036</v>
      </c>
      <c r="F11598" s="1" t="n">
        <v>0.0432</v>
      </c>
    </row>
    <row r="11599" customFormat="false" ht="15" hidden="false" customHeight="false" outlineLevel="0" collapsed="false">
      <c r="A11599" s="1" t="s">
        <v>11634</v>
      </c>
      <c r="B11599" s="1" t="s">
        <v>26</v>
      </c>
      <c r="C11599" s="1" t="n">
        <v>122000</v>
      </c>
      <c r="D11599" s="1" t="n">
        <v>40584.7</v>
      </c>
      <c r="E11599" s="1" t="n">
        <v>0.0144</v>
      </c>
      <c r="F11599" s="1" t="n">
        <v>0.0585</v>
      </c>
    </row>
    <row r="11600" customFormat="false" ht="15" hidden="false" customHeight="false" outlineLevel="0" collapsed="false">
      <c r="A11600" s="1" t="s">
        <v>11635</v>
      </c>
      <c r="B11600" s="1" t="s">
        <v>81</v>
      </c>
      <c r="C11600" s="1" t="n">
        <v>172000</v>
      </c>
      <c r="D11600" s="1" t="n">
        <v>1072.5</v>
      </c>
      <c r="E11600" s="1" t="n">
        <v>0.013</v>
      </c>
      <c r="F11600" s="1" t="n">
        <v>0.1389</v>
      </c>
    </row>
    <row r="11601" customFormat="false" ht="15" hidden="false" customHeight="false" outlineLevel="0" collapsed="false">
      <c r="A11601" s="1" t="s">
        <v>11636</v>
      </c>
      <c r="B11601" s="1" t="s">
        <v>26</v>
      </c>
      <c r="C11601" s="1" t="n">
        <v>197000</v>
      </c>
      <c r="D11601" s="1" t="n">
        <v>553.8</v>
      </c>
      <c r="E11601" s="1" t="n">
        <v>0.0422</v>
      </c>
      <c r="F11601" s="1" t="n">
        <v>0.0951</v>
      </c>
    </row>
    <row r="11602" customFormat="false" ht="15" hidden="false" customHeight="false" outlineLevel="0" collapsed="false">
      <c r="A11602" s="1" t="s">
        <v>11637</v>
      </c>
      <c r="B11602" s="1" t="s">
        <v>26</v>
      </c>
      <c r="C11602" s="1" t="n">
        <v>106000</v>
      </c>
      <c r="D11602" s="1" t="n">
        <v>790.6</v>
      </c>
      <c r="E11602" s="1" t="n">
        <v>0.0175</v>
      </c>
      <c r="F11602" s="1" t="n">
        <v>0.0854</v>
      </c>
    </row>
    <row r="11603" customFormat="false" ht="15" hidden="false" customHeight="false" outlineLevel="0" collapsed="false">
      <c r="A11603" s="1" t="s">
        <v>11638</v>
      </c>
      <c r="B11603" s="1" t="s">
        <v>74</v>
      </c>
      <c r="C11603" s="1" t="n">
        <v>153000</v>
      </c>
      <c r="D11603" s="1" t="n">
        <v>5632.9</v>
      </c>
      <c r="E11603" s="1" t="n">
        <v>0.0212</v>
      </c>
      <c r="F11603" s="1" t="n">
        <v>0.0854</v>
      </c>
    </row>
    <row r="11604" customFormat="false" ht="15" hidden="false" customHeight="false" outlineLevel="0" collapsed="false">
      <c r="A11604" s="1" t="s">
        <v>11639</v>
      </c>
      <c r="B11604" s="1" t="s">
        <v>287</v>
      </c>
      <c r="C11604" s="1" t="n">
        <v>254000</v>
      </c>
      <c r="D11604" s="1" t="n">
        <v>18427.8</v>
      </c>
      <c r="E11604" s="1" t="n">
        <v>0.0186</v>
      </c>
      <c r="F11604" s="1" t="n">
        <v>0.1067</v>
      </c>
    </row>
    <row r="11605" customFormat="false" ht="15" hidden="false" customHeight="false" outlineLevel="0" collapsed="false">
      <c r="A11605" s="1" t="s">
        <v>11640</v>
      </c>
      <c r="B11605" s="1" t="s">
        <v>41</v>
      </c>
      <c r="C11605" s="1" t="n">
        <v>101000</v>
      </c>
      <c r="D11605" s="1" t="n">
        <v>3481</v>
      </c>
      <c r="F11605" s="1" t="n">
        <v>0.0845</v>
      </c>
    </row>
    <row r="11606" customFormat="false" ht="15" hidden="false" customHeight="false" outlineLevel="0" collapsed="false">
      <c r="A11606" s="1" t="s">
        <v>11641</v>
      </c>
      <c r="B11606" s="1" t="s">
        <v>28</v>
      </c>
      <c r="C11606" s="1" t="n">
        <v>132000</v>
      </c>
      <c r="D11606" s="1" t="n">
        <v>4522.4</v>
      </c>
      <c r="E11606" s="1" t="n">
        <v>0.0238</v>
      </c>
      <c r="F11606" s="1" t="n">
        <v>0.0576</v>
      </c>
    </row>
    <row r="11607" customFormat="false" ht="15" hidden="false" customHeight="false" outlineLevel="0" collapsed="false">
      <c r="A11607" s="1" t="s">
        <v>11642</v>
      </c>
      <c r="B11607" s="1" t="s">
        <v>26</v>
      </c>
      <c r="C11607" s="1" t="n">
        <v>103000</v>
      </c>
      <c r="D11607" s="1" t="n">
        <v>1331.9</v>
      </c>
      <c r="E11607" s="1" t="n">
        <v>0.064</v>
      </c>
      <c r="F11607" s="1" t="n">
        <v>0.0951</v>
      </c>
    </row>
    <row r="11608" customFormat="false" ht="15" hidden="false" customHeight="false" outlineLevel="0" collapsed="false">
      <c r="A11608" s="1" t="s">
        <v>11643</v>
      </c>
      <c r="B11608" s="1" t="s">
        <v>53</v>
      </c>
      <c r="C11608" s="1" t="n">
        <v>103000</v>
      </c>
      <c r="D11608" s="1" t="n">
        <v>206.8</v>
      </c>
      <c r="E11608" s="1" t="n">
        <v>0.0087</v>
      </c>
      <c r="F11608" s="1" t="n">
        <v>0.1406</v>
      </c>
    </row>
    <row r="11609" customFormat="false" ht="15" hidden="false" customHeight="false" outlineLevel="0" collapsed="false">
      <c r="A11609" s="1" t="s">
        <v>11644</v>
      </c>
      <c r="B11609" s="1" t="s">
        <v>30</v>
      </c>
      <c r="C11609" s="1" t="n">
        <v>124000</v>
      </c>
      <c r="D11609" s="1" t="n">
        <v>4363.2</v>
      </c>
      <c r="E11609" s="1" t="n">
        <v>0.0046</v>
      </c>
      <c r="F11609" s="1" t="n">
        <v>0.0654</v>
      </c>
    </row>
    <row r="11610" customFormat="false" ht="15" hidden="false" customHeight="false" outlineLevel="0" collapsed="false">
      <c r="A11610" s="1" t="s">
        <v>11645</v>
      </c>
      <c r="B11610" s="1" t="s">
        <v>26</v>
      </c>
      <c r="C11610" s="1" t="n">
        <v>163000</v>
      </c>
      <c r="D11610" s="1" t="n">
        <v>7977339</v>
      </c>
      <c r="E11610" s="1" t="n">
        <v>0.0133</v>
      </c>
      <c r="F11610" s="1" t="n">
        <v>0.0585</v>
      </c>
    </row>
    <row r="11611" customFormat="false" ht="15" hidden="false" customHeight="false" outlineLevel="0" collapsed="false">
      <c r="A11611" s="1" t="s">
        <v>11646</v>
      </c>
      <c r="B11611" s="1" t="s">
        <v>26</v>
      </c>
      <c r="C11611" s="1" t="n">
        <v>102000</v>
      </c>
      <c r="D11611" s="1" t="n">
        <v>3276.1</v>
      </c>
      <c r="E11611" s="1" t="n">
        <v>0.0343</v>
      </c>
      <c r="F11611" s="1" t="n">
        <v>0.0518</v>
      </c>
    </row>
    <row r="11612" customFormat="false" ht="15" hidden="false" customHeight="false" outlineLevel="0" collapsed="false">
      <c r="A11612" s="1" t="s">
        <v>11647</v>
      </c>
      <c r="B11612" s="1" t="s">
        <v>214</v>
      </c>
      <c r="C11612" s="1" t="n">
        <v>118000</v>
      </c>
      <c r="D11612" s="1" t="n">
        <v>29119.4</v>
      </c>
      <c r="E11612" s="1" t="n">
        <v>0.0162</v>
      </c>
      <c r="F11612" s="1" t="n">
        <v>0.0585</v>
      </c>
    </row>
    <row r="11613" customFormat="false" ht="15" hidden="false" customHeight="false" outlineLevel="0" collapsed="false">
      <c r="A11613" s="1" t="s">
        <v>11648</v>
      </c>
      <c r="B11613" s="1" t="s">
        <v>74</v>
      </c>
      <c r="C11613" s="1" t="n">
        <v>110000</v>
      </c>
      <c r="D11613" s="1" t="n">
        <v>8825.8</v>
      </c>
      <c r="E11613" s="1" t="n">
        <v>0.121</v>
      </c>
      <c r="F11613" s="1" t="n">
        <v>0.0951</v>
      </c>
    </row>
    <row r="11614" customFormat="false" ht="15" hidden="false" customHeight="false" outlineLevel="0" collapsed="false">
      <c r="A11614" s="1" t="s">
        <v>11649</v>
      </c>
      <c r="B11614" s="1" t="s">
        <v>26</v>
      </c>
      <c r="C11614" s="1" t="n">
        <v>104000</v>
      </c>
      <c r="D11614" s="1" t="n">
        <v>15.5</v>
      </c>
      <c r="E11614" s="1" t="n">
        <v>0</v>
      </c>
      <c r="F11614" s="1" t="n">
        <v>0.0822</v>
      </c>
    </row>
    <row r="11615" customFormat="false" ht="15" hidden="false" customHeight="false" outlineLevel="0" collapsed="false">
      <c r="A11615" s="1" t="s">
        <v>11650</v>
      </c>
      <c r="B11615" s="1" t="s">
        <v>287</v>
      </c>
      <c r="C11615" s="1" t="n">
        <v>155000</v>
      </c>
      <c r="D11615" s="1" t="n">
        <v>3958.3</v>
      </c>
      <c r="E11615" s="1" t="n">
        <v>0.0297</v>
      </c>
      <c r="F11615" s="1" t="n">
        <v>0.0759</v>
      </c>
    </row>
    <row r="11616" customFormat="false" ht="15" hidden="false" customHeight="false" outlineLevel="0" collapsed="false">
      <c r="A11616" s="1" t="s">
        <v>11651</v>
      </c>
      <c r="B11616" s="1" t="s">
        <v>88</v>
      </c>
      <c r="C11616" s="1" t="n">
        <v>116000</v>
      </c>
      <c r="D11616" s="1" t="n">
        <v>1306.4</v>
      </c>
      <c r="E11616" s="1" t="n">
        <v>0.0285</v>
      </c>
      <c r="F11616" s="1" t="n">
        <v>0.051</v>
      </c>
    </row>
    <row r="11617" customFormat="false" ht="15" hidden="false" customHeight="false" outlineLevel="0" collapsed="false">
      <c r="A11617" s="1" t="s">
        <v>11652</v>
      </c>
      <c r="B11617" s="1" t="s">
        <v>81</v>
      </c>
      <c r="C11617" s="1" t="n">
        <v>109000</v>
      </c>
      <c r="D11617" s="1" t="n">
        <v>12598.1</v>
      </c>
      <c r="F11617" s="1" t="n">
        <v>0.0409</v>
      </c>
    </row>
    <row r="11618" customFormat="false" ht="15" hidden="false" customHeight="false" outlineLevel="0" collapsed="false">
      <c r="A11618" s="1" t="s">
        <v>11653</v>
      </c>
      <c r="B11618" s="1" t="s">
        <v>26</v>
      </c>
      <c r="C11618" s="1" t="n">
        <v>108000</v>
      </c>
      <c r="D11618" s="1" t="n">
        <v>2679.3</v>
      </c>
      <c r="E11618" s="1" t="n">
        <v>0.0225</v>
      </c>
      <c r="F11618" s="1" t="n">
        <v>0.1053</v>
      </c>
    </row>
    <row r="11619" customFormat="false" ht="15" hidden="false" customHeight="false" outlineLevel="0" collapsed="false">
      <c r="A11619" s="1" t="s">
        <v>11654</v>
      </c>
      <c r="B11619" s="1" t="s">
        <v>26</v>
      </c>
      <c r="C11619" s="1" t="n">
        <v>101000</v>
      </c>
      <c r="D11619" s="1" t="n">
        <v>1169.5</v>
      </c>
      <c r="E11619" s="1" t="n">
        <v>0.0252</v>
      </c>
      <c r="F11619" s="1" t="n">
        <v>0.4745</v>
      </c>
    </row>
    <row r="11620" customFormat="false" ht="15" hidden="false" customHeight="false" outlineLevel="0" collapsed="false">
      <c r="A11620" s="1" t="s">
        <v>11655</v>
      </c>
      <c r="B11620" s="1" t="s">
        <v>41</v>
      </c>
      <c r="C11620" s="1" t="n">
        <v>212000</v>
      </c>
      <c r="D11620" s="1" t="n">
        <v>2389.6</v>
      </c>
      <c r="E11620" s="1" t="n">
        <v>0.0159</v>
      </c>
      <c r="F11620" s="1" t="n">
        <v>0.1013</v>
      </c>
    </row>
    <row r="11621" customFormat="false" ht="15" hidden="false" customHeight="false" outlineLevel="0" collapsed="false">
      <c r="A11621" s="1" t="s">
        <v>11656</v>
      </c>
      <c r="B11621" s="1" t="s">
        <v>24</v>
      </c>
      <c r="C11621" s="1" t="n">
        <v>108000</v>
      </c>
      <c r="D11621" s="1" t="n">
        <v>6480.9</v>
      </c>
      <c r="E11621" s="1" t="n">
        <v>0.0542</v>
      </c>
      <c r="F11621" s="1" t="n">
        <v>0.0951</v>
      </c>
    </row>
    <row r="11622" customFormat="false" ht="15" hidden="false" customHeight="false" outlineLevel="0" collapsed="false">
      <c r="A11622" s="1" t="s">
        <v>11657</v>
      </c>
      <c r="B11622" s="1" t="s">
        <v>26</v>
      </c>
      <c r="C11622" s="1" t="n">
        <v>116000</v>
      </c>
      <c r="D11622" s="1" t="n">
        <v>1908.1</v>
      </c>
      <c r="E11622" s="1" t="n">
        <v>0.0591</v>
      </c>
      <c r="F11622" s="1" t="n">
        <v>0.0951</v>
      </c>
    </row>
    <row r="11623" customFormat="false" ht="15" hidden="false" customHeight="false" outlineLevel="0" collapsed="false">
      <c r="A11623" s="1" t="s">
        <v>11658</v>
      </c>
      <c r="B11623" s="1" t="s">
        <v>81</v>
      </c>
      <c r="C11623" s="1" t="n">
        <v>149000</v>
      </c>
      <c r="D11623" s="1" t="n">
        <v>43376.6</v>
      </c>
      <c r="E11623" s="1" t="n">
        <v>0.0087</v>
      </c>
      <c r="F11623" s="1" t="n">
        <v>0.0822</v>
      </c>
    </row>
    <row r="11624" customFormat="false" ht="15" hidden="false" customHeight="false" outlineLevel="0" collapsed="false">
      <c r="A11624" s="1" t="s">
        <v>11659</v>
      </c>
      <c r="B11624" s="1" t="s">
        <v>81</v>
      </c>
      <c r="C11624" s="1" t="n">
        <v>104000</v>
      </c>
      <c r="D11624" s="1" t="n">
        <v>6373.5</v>
      </c>
      <c r="E11624" s="1" t="n">
        <v>0.0304</v>
      </c>
      <c r="F11624" s="1" t="n">
        <v>0.0951</v>
      </c>
    </row>
    <row r="11625" customFormat="false" ht="15" hidden="false" customHeight="false" outlineLevel="0" collapsed="false">
      <c r="A11625" s="1" t="s">
        <v>11660</v>
      </c>
      <c r="B11625" s="1" t="s">
        <v>62</v>
      </c>
      <c r="C11625" s="1" t="n">
        <v>121000</v>
      </c>
      <c r="D11625" s="1" t="n">
        <v>1210.1</v>
      </c>
      <c r="F11625" s="1" t="n">
        <v>0.051</v>
      </c>
    </row>
    <row r="11626" customFormat="false" ht="15" hidden="false" customHeight="false" outlineLevel="0" collapsed="false">
      <c r="A11626" s="1" t="s">
        <v>11661</v>
      </c>
      <c r="B11626" s="1" t="s">
        <v>88</v>
      </c>
      <c r="C11626" s="1" t="n">
        <v>173000</v>
      </c>
      <c r="D11626" s="1" t="n">
        <v>78.1</v>
      </c>
      <c r="E11626" s="1" t="n">
        <v>0.0385</v>
      </c>
      <c r="F11626" s="1" t="n">
        <v>0.0759</v>
      </c>
    </row>
    <row r="11627" customFormat="false" ht="15" hidden="false" customHeight="false" outlineLevel="0" collapsed="false">
      <c r="A11627" s="1" t="s">
        <v>11662</v>
      </c>
      <c r="B11627" s="1" t="s">
        <v>214</v>
      </c>
      <c r="C11627" s="1" t="n">
        <v>179000</v>
      </c>
      <c r="D11627" s="1" t="n">
        <v>28032</v>
      </c>
      <c r="E11627" s="1" t="n">
        <v>0.0357</v>
      </c>
      <c r="F11627" s="1" t="n">
        <v>0.0759</v>
      </c>
    </row>
    <row r="11628" customFormat="false" ht="15" hidden="false" customHeight="false" outlineLevel="0" collapsed="false">
      <c r="A11628" s="1" t="s">
        <v>11663</v>
      </c>
      <c r="B11628" s="1" t="s">
        <v>74</v>
      </c>
      <c r="C11628" s="1" t="n">
        <v>138000</v>
      </c>
      <c r="D11628" s="1" t="n">
        <v>267.2</v>
      </c>
      <c r="E11628" s="1" t="n">
        <v>0.0534</v>
      </c>
      <c r="F11628" s="1" t="n">
        <v>0.0759</v>
      </c>
    </row>
    <row r="11629" customFormat="false" ht="15" hidden="false" customHeight="false" outlineLevel="0" collapsed="false">
      <c r="A11629" s="1" t="s">
        <v>11664</v>
      </c>
      <c r="B11629" s="1" t="s">
        <v>24</v>
      </c>
      <c r="C11629" s="1" t="n">
        <v>120000</v>
      </c>
      <c r="D11629" s="1" t="n">
        <v>327.1</v>
      </c>
      <c r="E11629" s="1" t="n">
        <v>0.0175</v>
      </c>
      <c r="F11629" s="1" t="n">
        <v>0.0585</v>
      </c>
    </row>
    <row r="11630" customFormat="false" ht="15" hidden="false" customHeight="false" outlineLevel="0" collapsed="false">
      <c r="A11630" s="1" t="s">
        <v>11665</v>
      </c>
      <c r="B11630" s="1" t="s">
        <v>88</v>
      </c>
      <c r="C11630" s="1" t="n">
        <v>291000</v>
      </c>
      <c r="D11630" s="1" t="n">
        <v>2125.6</v>
      </c>
      <c r="E11630" s="1" t="n">
        <v>0.0272</v>
      </c>
      <c r="F11630" s="1" t="n">
        <v>0.0759</v>
      </c>
    </row>
    <row r="11631" customFormat="false" ht="15" hidden="false" customHeight="false" outlineLevel="0" collapsed="false">
      <c r="A11631" s="1" t="s">
        <v>11666</v>
      </c>
      <c r="B11631" s="1" t="s">
        <v>26</v>
      </c>
      <c r="C11631" s="1" t="n">
        <v>141000</v>
      </c>
      <c r="D11631" s="1" t="n">
        <v>1554.7</v>
      </c>
      <c r="E11631" s="1" t="n">
        <v>0.0185</v>
      </c>
      <c r="F11631" s="1" t="n">
        <v>0.1053</v>
      </c>
    </row>
    <row r="11632" customFormat="false" ht="15" hidden="false" customHeight="false" outlineLevel="0" collapsed="false">
      <c r="A11632" s="1" t="s">
        <v>11667</v>
      </c>
      <c r="B11632" s="1" t="s">
        <v>41</v>
      </c>
      <c r="C11632" s="1" t="n">
        <v>120000</v>
      </c>
      <c r="D11632" s="1" t="n">
        <v>908.6</v>
      </c>
      <c r="E11632" s="1" t="n">
        <v>0.0723</v>
      </c>
      <c r="F11632" s="1" t="n">
        <v>0.0951</v>
      </c>
    </row>
    <row r="11633" customFormat="false" ht="15" hidden="false" customHeight="false" outlineLevel="0" collapsed="false">
      <c r="A11633" s="1" t="s">
        <v>11668</v>
      </c>
      <c r="B11633" s="1" t="s">
        <v>50</v>
      </c>
      <c r="C11633" s="1" t="n">
        <v>133000</v>
      </c>
      <c r="D11633" s="1" t="n">
        <v>5016.9</v>
      </c>
      <c r="E11633" s="1" t="n">
        <v>0.0415</v>
      </c>
      <c r="F11633" s="1" t="n">
        <v>0.1535</v>
      </c>
    </row>
    <row r="11634" customFormat="false" ht="15" hidden="false" customHeight="false" outlineLevel="0" collapsed="false">
      <c r="A11634" s="1" t="s">
        <v>11669</v>
      </c>
      <c r="B11634" s="1" t="s">
        <v>24</v>
      </c>
      <c r="C11634" s="1" t="n">
        <v>131000</v>
      </c>
      <c r="D11634" s="1" t="n">
        <v>1202.9</v>
      </c>
      <c r="E11634" s="1" t="n">
        <v>0.0155</v>
      </c>
      <c r="F11634" s="1" t="n">
        <v>0.1469</v>
      </c>
    </row>
    <row r="11635" customFormat="false" ht="15" hidden="false" customHeight="false" outlineLevel="0" collapsed="false">
      <c r="A11635" s="1" t="s">
        <v>11670</v>
      </c>
      <c r="B11635" s="1" t="s">
        <v>26</v>
      </c>
      <c r="C11635" s="1" t="n">
        <v>187000</v>
      </c>
      <c r="D11635" s="1" t="n">
        <v>25065.4</v>
      </c>
      <c r="E11635" s="1" t="n">
        <v>0.0047</v>
      </c>
      <c r="F11635" s="1" t="n">
        <v>0.0654</v>
      </c>
    </row>
    <row r="11636" customFormat="false" ht="15" hidden="false" customHeight="false" outlineLevel="0" collapsed="false">
      <c r="A11636" s="1" t="s">
        <v>11671</v>
      </c>
      <c r="B11636" s="1" t="s">
        <v>88</v>
      </c>
      <c r="C11636" s="1" t="n">
        <v>144000</v>
      </c>
      <c r="D11636" s="1" t="n">
        <v>13.7</v>
      </c>
      <c r="E11636" s="1" t="n">
        <v>0.0652</v>
      </c>
      <c r="F11636" s="1" t="n">
        <v>0.0409</v>
      </c>
    </row>
    <row r="11637" customFormat="false" ht="15" hidden="false" customHeight="false" outlineLevel="0" collapsed="false">
      <c r="A11637" s="1" t="s">
        <v>11672</v>
      </c>
      <c r="B11637" s="1" t="s">
        <v>50</v>
      </c>
      <c r="C11637" s="1" t="n">
        <v>111000</v>
      </c>
      <c r="D11637" s="1" t="n">
        <v>7928.3</v>
      </c>
      <c r="E11637" s="1" t="n">
        <v>0.0556</v>
      </c>
      <c r="F11637" s="1" t="n">
        <v>0.0951</v>
      </c>
    </row>
    <row r="11638" customFormat="false" ht="15" hidden="false" customHeight="false" outlineLevel="0" collapsed="false">
      <c r="A11638" s="1" t="s">
        <v>11673</v>
      </c>
      <c r="B11638" s="1" t="s">
        <v>41</v>
      </c>
      <c r="C11638" s="1" t="n">
        <v>121000</v>
      </c>
      <c r="D11638" s="1" t="n">
        <v>10197.9</v>
      </c>
      <c r="E11638" s="1" t="n">
        <v>0.0175</v>
      </c>
      <c r="F11638" s="1" t="n">
        <v>0.0726</v>
      </c>
    </row>
    <row r="11639" customFormat="false" ht="15" hidden="false" customHeight="false" outlineLevel="0" collapsed="false">
      <c r="A11639" s="1" t="s">
        <v>11674</v>
      </c>
      <c r="B11639" s="1" t="s">
        <v>26</v>
      </c>
      <c r="C11639" s="1" t="n">
        <v>165000</v>
      </c>
      <c r="D11639" s="1" t="n">
        <v>2320.8</v>
      </c>
      <c r="E11639" s="1" t="n">
        <v>0.0247</v>
      </c>
      <c r="F11639" s="1" t="n">
        <v>0.0951</v>
      </c>
    </row>
    <row r="11640" customFormat="false" ht="15" hidden="false" customHeight="false" outlineLevel="0" collapsed="false">
      <c r="A11640" s="1" t="s">
        <v>11675</v>
      </c>
      <c r="B11640" s="1" t="s">
        <v>41</v>
      </c>
      <c r="C11640" s="1" t="n">
        <v>113000</v>
      </c>
      <c r="D11640" s="1" t="n">
        <v>1661.6</v>
      </c>
      <c r="E11640" s="1" t="n">
        <v>0.0188</v>
      </c>
      <c r="F11640" s="1" t="n">
        <v>0.0854</v>
      </c>
    </row>
    <row r="11641" customFormat="false" ht="15" hidden="false" customHeight="false" outlineLevel="0" collapsed="false">
      <c r="A11641" s="1" t="s">
        <v>11676</v>
      </c>
      <c r="B11641" s="1" t="s">
        <v>490</v>
      </c>
      <c r="C11641" s="1" t="n">
        <v>111000</v>
      </c>
      <c r="D11641" s="1" t="n">
        <v>1661.6</v>
      </c>
      <c r="E11641" s="1" t="n">
        <v>0.0292</v>
      </c>
      <c r="F11641" s="1" t="n">
        <v>0.0938</v>
      </c>
    </row>
    <row r="11642" customFormat="false" ht="15" hidden="false" customHeight="false" outlineLevel="0" collapsed="false">
      <c r="A11642" s="1" t="s">
        <v>11677</v>
      </c>
      <c r="B11642" s="1" t="s">
        <v>88</v>
      </c>
      <c r="C11642" s="1" t="n">
        <v>187000</v>
      </c>
      <c r="D11642" s="1" t="n">
        <v>366.4</v>
      </c>
      <c r="E11642" s="1" t="n">
        <v>0.03</v>
      </c>
      <c r="F11642" s="1" t="n">
        <v>0.0759</v>
      </c>
    </row>
    <row r="11643" customFormat="false" ht="15" hidden="false" customHeight="false" outlineLevel="0" collapsed="false">
      <c r="A11643" s="1" t="s">
        <v>11678</v>
      </c>
      <c r="B11643" s="1" t="s">
        <v>21</v>
      </c>
      <c r="C11643" s="1" t="n">
        <v>156000</v>
      </c>
      <c r="D11643" s="1" t="n">
        <v>12349.2</v>
      </c>
      <c r="E11643" s="1" t="n">
        <v>0.1139</v>
      </c>
      <c r="F11643" s="1" t="n">
        <v>0.0951</v>
      </c>
    </row>
    <row r="11644" customFormat="false" ht="15" hidden="false" customHeight="false" outlineLevel="0" collapsed="false">
      <c r="A11644" s="1" t="s">
        <v>11679</v>
      </c>
      <c r="B11644" s="1" t="s">
        <v>71</v>
      </c>
      <c r="C11644" s="1" t="n">
        <v>104000</v>
      </c>
      <c r="D11644" s="1" t="n">
        <v>429</v>
      </c>
      <c r="E11644" s="1" t="n">
        <v>0.0311</v>
      </c>
      <c r="F11644" s="1" t="n">
        <v>0.0951</v>
      </c>
    </row>
    <row r="11645" customFormat="false" ht="15" hidden="false" customHeight="false" outlineLevel="0" collapsed="false">
      <c r="A11645" s="1" t="s">
        <v>11680</v>
      </c>
      <c r="B11645" s="1" t="s">
        <v>53</v>
      </c>
      <c r="C11645" s="1" t="n">
        <v>109000</v>
      </c>
      <c r="D11645" s="1" t="n">
        <v>3861.2</v>
      </c>
      <c r="E11645" s="1" t="n">
        <v>0.079</v>
      </c>
      <c r="F11645" s="1" t="n">
        <v>0.0951</v>
      </c>
    </row>
    <row r="11646" customFormat="false" ht="15" hidden="false" customHeight="false" outlineLevel="0" collapsed="false">
      <c r="A11646" s="1" t="s">
        <v>11681</v>
      </c>
      <c r="B11646" s="1" t="s">
        <v>24</v>
      </c>
      <c r="C11646" s="1" t="n">
        <v>128000</v>
      </c>
      <c r="D11646" s="1" t="n">
        <v>514.9</v>
      </c>
      <c r="E11646" s="1" t="n">
        <v>0.0387</v>
      </c>
      <c r="F11646" s="1" t="n">
        <v>0.0938</v>
      </c>
    </row>
    <row r="11647" customFormat="false" ht="15" hidden="false" customHeight="false" outlineLevel="0" collapsed="false">
      <c r="A11647" s="1" t="s">
        <v>11682</v>
      </c>
      <c r="B11647" s="1" t="s">
        <v>21</v>
      </c>
      <c r="C11647" s="1" t="n">
        <v>151000</v>
      </c>
      <c r="D11647" s="1" t="n">
        <v>21310.4</v>
      </c>
      <c r="E11647" s="1" t="n">
        <v>0.0302</v>
      </c>
      <c r="F11647" s="1" t="n">
        <v>0.0938</v>
      </c>
    </row>
    <row r="11648" customFormat="false" ht="15" hidden="false" customHeight="false" outlineLevel="0" collapsed="false">
      <c r="A11648" s="1" t="s">
        <v>11683</v>
      </c>
      <c r="B11648" s="1" t="s">
        <v>26</v>
      </c>
      <c r="C11648" s="1" t="n">
        <v>331000</v>
      </c>
      <c r="D11648" s="1" t="n">
        <v>1173.7</v>
      </c>
      <c r="E11648" s="1" t="n">
        <v>0.0205</v>
      </c>
      <c r="F11648" s="1" t="n">
        <v>0.0854</v>
      </c>
    </row>
    <row r="11649" customFormat="false" ht="15" hidden="false" customHeight="false" outlineLevel="0" collapsed="false">
      <c r="A11649" s="1" t="s">
        <v>11684</v>
      </c>
      <c r="B11649" s="1" t="s">
        <v>214</v>
      </c>
      <c r="C11649" s="1" t="n">
        <v>314000</v>
      </c>
      <c r="D11649" s="1" t="n">
        <v>94580.4</v>
      </c>
      <c r="E11649" s="1" t="n">
        <v>0.0327</v>
      </c>
      <c r="F11649" s="1" t="n">
        <v>0.0432</v>
      </c>
    </row>
    <row r="11650" customFormat="false" ht="15" hidden="false" customHeight="false" outlineLevel="0" collapsed="false">
      <c r="A11650" s="1" t="s">
        <v>11685</v>
      </c>
      <c r="B11650" s="1" t="s">
        <v>214</v>
      </c>
      <c r="C11650" s="1" t="n">
        <v>118000</v>
      </c>
      <c r="D11650" s="1" t="n">
        <v>911.9</v>
      </c>
      <c r="E11650" s="1" t="n">
        <v>0.0321</v>
      </c>
      <c r="F11650" s="1" t="n">
        <v>0.0951</v>
      </c>
    </row>
    <row r="11651" customFormat="false" ht="15" hidden="false" customHeight="false" outlineLevel="0" collapsed="false">
      <c r="A11651" s="1" t="s">
        <v>11686</v>
      </c>
      <c r="B11651" s="1" t="s">
        <v>24</v>
      </c>
      <c r="C11651" s="1" t="n">
        <v>104000</v>
      </c>
      <c r="D11651" s="1" t="n">
        <v>493.4</v>
      </c>
      <c r="E11651" s="1" t="n">
        <v>0.0171</v>
      </c>
      <c r="F11651" s="1" t="n">
        <v>0.1929</v>
      </c>
    </row>
    <row r="11652" customFormat="false" ht="15" hidden="false" customHeight="false" outlineLevel="0" collapsed="false">
      <c r="A11652" s="1" t="s">
        <v>11687</v>
      </c>
      <c r="B11652" s="1" t="s">
        <v>53</v>
      </c>
      <c r="C11652" s="1" t="n">
        <v>107000</v>
      </c>
      <c r="D11652" s="1" t="n">
        <v>8838.3</v>
      </c>
      <c r="E11652" s="1" t="n">
        <v>0.0616</v>
      </c>
      <c r="F11652" s="1" t="n">
        <v>0.051</v>
      </c>
    </row>
    <row r="11653" customFormat="false" ht="15" hidden="false" customHeight="false" outlineLevel="0" collapsed="false">
      <c r="A11653" s="1" t="s">
        <v>11688</v>
      </c>
      <c r="B11653" s="1" t="s">
        <v>26</v>
      </c>
      <c r="C11653" s="1" t="n">
        <v>102000</v>
      </c>
      <c r="D11653" s="1" t="n">
        <v>816</v>
      </c>
      <c r="E11653" s="1" t="n">
        <v>0.0289</v>
      </c>
      <c r="F11653" s="1" t="n">
        <v>0.117</v>
      </c>
    </row>
    <row r="11654" customFormat="false" ht="15" hidden="false" customHeight="false" outlineLevel="0" collapsed="false">
      <c r="A11654" s="1" t="s">
        <v>11689</v>
      </c>
      <c r="B11654" s="1" t="s">
        <v>287</v>
      </c>
      <c r="C11654" s="1" t="n">
        <v>104000</v>
      </c>
      <c r="D11654" s="1" t="n">
        <v>30534.5</v>
      </c>
      <c r="E11654" s="1" t="n">
        <v>0.0074</v>
      </c>
      <c r="F11654" s="1" t="n">
        <v>0.0822</v>
      </c>
    </row>
    <row r="11655" customFormat="false" ht="15" hidden="false" customHeight="false" outlineLevel="0" collapsed="false">
      <c r="A11655" s="1" t="s">
        <v>11690</v>
      </c>
      <c r="B11655" s="1" t="s">
        <v>92</v>
      </c>
      <c r="C11655" s="1" t="n">
        <v>106000</v>
      </c>
      <c r="D11655" s="1" t="n">
        <v>2858.1</v>
      </c>
      <c r="E11655" s="1" t="n">
        <v>0.0229</v>
      </c>
      <c r="F11655" s="1" t="n">
        <v>0.1536</v>
      </c>
    </row>
    <row r="11656" customFormat="false" ht="15" hidden="false" customHeight="false" outlineLevel="0" collapsed="false">
      <c r="A11656" s="1" t="s">
        <v>11691</v>
      </c>
      <c r="B11656" s="1" t="s">
        <v>26</v>
      </c>
      <c r="C11656" s="1" t="n">
        <v>121000</v>
      </c>
      <c r="D11656" s="1" t="n">
        <v>18543.4</v>
      </c>
      <c r="E11656" s="1" t="n">
        <v>0.021</v>
      </c>
      <c r="F11656" s="1" t="n">
        <v>0.1067</v>
      </c>
    </row>
    <row r="11657" customFormat="false" ht="15" hidden="false" customHeight="false" outlineLevel="0" collapsed="false">
      <c r="A11657" s="1" t="s">
        <v>11692</v>
      </c>
      <c r="B11657" s="1" t="s">
        <v>214</v>
      </c>
      <c r="C11657" s="1" t="n">
        <v>103000</v>
      </c>
      <c r="D11657" s="1" t="n">
        <v>36719.3</v>
      </c>
      <c r="E11657" s="1" t="n">
        <v>0.0123</v>
      </c>
      <c r="F11657" s="1" t="n">
        <v>0.0736</v>
      </c>
    </row>
    <row r="11658" customFormat="false" ht="15" hidden="false" customHeight="false" outlineLevel="0" collapsed="false">
      <c r="A11658" s="1" t="s">
        <v>11693</v>
      </c>
      <c r="B11658" s="1" t="s">
        <v>53</v>
      </c>
      <c r="C11658" s="1" t="n">
        <v>261000</v>
      </c>
      <c r="D11658" s="1" t="n">
        <v>3403.8</v>
      </c>
      <c r="E11658" s="1" t="n">
        <v>0.0298</v>
      </c>
      <c r="F11658" s="1" t="n">
        <v>0.0938</v>
      </c>
    </row>
    <row r="11659" customFormat="false" ht="15" hidden="false" customHeight="false" outlineLevel="0" collapsed="false">
      <c r="A11659" s="1" t="s">
        <v>11694</v>
      </c>
      <c r="B11659" s="1" t="s">
        <v>53</v>
      </c>
      <c r="C11659" s="1" t="n">
        <v>118000</v>
      </c>
      <c r="D11659" s="1" t="n">
        <v>2181.7</v>
      </c>
      <c r="E11659" s="1" t="n">
        <v>0.0817</v>
      </c>
      <c r="F11659" s="1" t="n">
        <v>0.0998</v>
      </c>
    </row>
    <row r="11660" customFormat="false" ht="15" hidden="false" customHeight="false" outlineLevel="0" collapsed="false">
      <c r="A11660" s="1" t="s">
        <v>11695</v>
      </c>
      <c r="B11660" s="1" t="s">
        <v>88</v>
      </c>
      <c r="C11660" s="1" t="n">
        <v>115000</v>
      </c>
      <c r="D11660" s="1" t="n">
        <v>964.5</v>
      </c>
      <c r="E11660" s="1" t="n">
        <v>0.045</v>
      </c>
      <c r="F11660" s="1" t="n">
        <v>0.117</v>
      </c>
    </row>
    <row r="11661" customFormat="false" ht="15" hidden="false" customHeight="false" outlineLevel="0" collapsed="false">
      <c r="A11661" s="1" t="s">
        <v>11696</v>
      </c>
      <c r="B11661" s="1" t="s">
        <v>24</v>
      </c>
      <c r="C11661" s="1" t="n">
        <v>107000</v>
      </c>
      <c r="D11661" s="1" t="n">
        <v>12216.5</v>
      </c>
      <c r="E11661" s="1" t="n">
        <v>0.023</v>
      </c>
      <c r="F11661" s="1" t="n">
        <v>0.0546</v>
      </c>
    </row>
    <row r="11662" customFormat="false" ht="15" hidden="false" customHeight="false" outlineLevel="0" collapsed="false">
      <c r="A11662" s="1" t="s">
        <v>11697</v>
      </c>
      <c r="B11662" s="1" t="s">
        <v>50</v>
      </c>
      <c r="C11662" s="1" t="n">
        <v>113000</v>
      </c>
      <c r="D11662" s="1" t="n">
        <v>50</v>
      </c>
      <c r="E11662" s="1" t="n">
        <v>0.017</v>
      </c>
      <c r="F11662" s="1" t="n">
        <v>0.2891</v>
      </c>
    </row>
    <row r="11663" customFormat="false" ht="15" hidden="false" customHeight="false" outlineLevel="0" collapsed="false">
      <c r="A11663" s="1" t="s">
        <v>11698</v>
      </c>
      <c r="B11663" s="1" t="s">
        <v>71</v>
      </c>
      <c r="C11663" s="1" t="n">
        <v>251000</v>
      </c>
      <c r="D11663" s="1" t="n">
        <v>116716.2</v>
      </c>
      <c r="E11663" s="1" t="n">
        <v>0.0245</v>
      </c>
      <c r="F11663" s="1" t="n">
        <v>0.0518</v>
      </c>
    </row>
    <row r="11664" customFormat="false" ht="15" hidden="false" customHeight="false" outlineLevel="0" collapsed="false">
      <c r="A11664" s="1" t="s">
        <v>11699</v>
      </c>
      <c r="B11664" s="1" t="s">
        <v>88</v>
      </c>
      <c r="C11664" s="1" t="n">
        <v>145000</v>
      </c>
      <c r="D11664" s="1" t="n">
        <v>4990.6</v>
      </c>
      <c r="E11664" s="1" t="n">
        <v>0.0403</v>
      </c>
      <c r="F11664" s="1" t="n">
        <v>0.0759</v>
      </c>
    </row>
    <row r="11665" customFormat="false" ht="15" hidden="false" customHeight="false" outlineLevel="0" collapsed="false">
      <c r="A11665" s="1" t="s">
        <v>11700</v>
      </c>
      <c r="B11665" s="1" t="s">
        <v>26</v>
      </c>
      <c r="C11665" s="1" t="n">
        <v>140000</v>
      </c>
      <c r="D11665" s="1" t="n">
        <v>1592.5</v>
      </c>
      <c r="E11665" s="1" t="n">
        <v>0.0638</v>
      </c>
      <c r="F11665" s="1" t="n">
        <v>0.0759</v>
      </c>
    </row>
    <row r="11666" customFormat="false" ht="15" hidden="false" customHeight="false" outlineLevel="0" collapsed="false">
      <c r="A11666" s="1" t="s">
        <v>11701</v>
      </c>
      <c r="B11666" s="1" t="s">
        <v>74</v>
      </c>
      <c r="C11666" s="1" t="n">
        <v>158000</v>
      </c>
      <c r="D11666" s="1" t="n">
        <v>63.7</v>
      </c>
      <c r="E11666" s="1" t="n">
        <v>0.0119</v>
      </c>
      <c r="F11666" s="1" t="n">
        <v>0.2059</v>
      </c>
    </row>
    <row r="11667" customFormat="false" ht="15" hidden="false" customHeight="false" outlineLevel="0" collapsed="false">
      <c r="A11667" s="1" t="s">
        <v>11702</v>
      </c>
      <c r="B11667" s="1" t="s">
        <v>195</v>
      </c>
      <c r="C11667" s="1" t="n">
        <v>113000</v>
      </c>
      <c r="D11667" s="1" t="n">
        <v>9212</v>
      </c>
      <c r="E11667" s="1" t="n">
        <v>0.0409</v>
      </c>
      <c r="F11667" s="1" t="n">
        <v>0.0518</v>
      </c>
    </row>
    <row r="11668" customFormat="false" ht="15" hidden="false" customHeight="false" outlineLevel="0" collapsed="false">
      <c r="A11668" s="1" t="s">
        <v>11703</v>
      </c>
      <c r="B11668" s="1" t="s">
        <v>30</v>
      </c>
      <c r="C11668" s="1" t="n">
        <v>103000</v>
      </c>
      <c r="D11668" s="1" t="n">
        <v>4722.6</v>
      </c>
      <c r="E11668" s="1" t="n">
        <v>0.0083</v>
      </c>
      <c r="F11668" s="1" t="n">
        <v>0.0822</v>
      </c>
    </row>
    <row r="11669" customFormat="false" ht="15" hidden="false" customHeight="false" outlineLevel="0" collapsed="false">
      <c r="A11669" s="1" t="s">
        <v>11704</v>
      </c>
      <c r="B11669" s="1" t="s">
        <v>74</v>
      </c>
      <c r="C11669" s="1" t="n">
        <v>174000</v>
      </c>
      <c r="D11669" s="1" t="n">
        <v>766.2</v>
      </c>
      <c r="E11669" s="1" t="n">
        <v>0.0343</v>
      </c>
      <c r="F11669" s="1" t="n">
        <v>0.051</v>
      </c>
    </row>
    <row r="11670" customFormat="false" ht="15" hidden="false" customHeight="false" outlineLevel="0" collapsed="false">
      <c r="A11670" s="1" t="s">
        <v>11705</v>
      </c>
      <c r="B11670" s="1" t="s">
        <v>81</v>
      </c>
      <c r="C11670" s="1" t="n">
        <v>133000</v>
      </c>
      <c r="D11670" s="1" t="n">
        <v>7247.8</v>
      </c>
      <c r="E11670" s="1" t="n">
        <v>0.0262</v>
      </c>
      <c r="F11670" s="1" t="n">
        <v>0.0845</v>
      </c>
    </row>
    <row r="11671" customFormat="false" ht="15" hidden="false" customHeight="false" outlineLevel="0" collapsed="false">
      <c r="A11671" s="1" t="s">
        <v>11706</v>
      </c>
      <c r="B11671" s="1" t="s">
        <v>88</v>
      </c>
      <c r="C11671" s="1" t="n">
        <v>113000</v>
      </c>
      <c r="D11671" s="1" t="n">
        <v>1117.1</v>
      </c>
      <c r="E11671" s="1" t="n">
        <v>0.0418</v>
      </c>
      <c r="F11671" s="1" t="n">
        <v>0.0759</v>
      </c>
    </row>
    <row r="11672" customFormat="false" ht="15" hidden="false" customHeight="false" outlineLevel="0" collapsed="false">
      <c r="A11672" s="1" t="s">
        <v>11707</v>
      </c>
      <c r="B11672" s="1" t="s">
        <v>490</v>
      </c>
      <c r="C11672" s="1" t="n">
        <v>103000</v>
      </c>
      <c r="D11672" s="1" t="n">
        <v>681</v>
      </c>
      <c r="E11672" s="1" t="n">
        <v>0.0121</v>
      </c>
      <c r="F11672" s="1" t="n">
        <v>0.0822</v>
      </c>
    </row>
    <row r="11673" customFormat="false" ht="15" hidden="false" customHeight="false" outlineLevel="0" collapsed="false">
      <c r="A11673" s="1" t="s">
        <v>11708</v>
      </c>
      <c r="B11673" s="1" t="s">
        <v>26</v>
      </c>
      <c r="C11673" s="1" t="n">
        <v>99800</v>
      </c>
      <c r="D11673" s="1" t="n">
        <v>109.6</v>
      </c>
      <c r="E11673" s="1" t="n">
        <v>0</v>
      </c>
      <c r="F11673" s="1" t="n">
        <v>0.0654</v>
      </c>
    </row>
    <row r="11674" customFormat="false" ht="15" hidden="false" customHeight="false" outlineLevel="0" collapsed="false">
      <c r="A11674" s="1" t="s">
        <v>11709</v>
      </c>
      <c r="B11674" s="1" t="s">
        <v>26</v>
      </c>
      <c r="C11674" s="1" t="n">
        <v>139000</v>
      </c>
      <c r="D11674" s="1" t="n">
        <v>38738.3</v>
      </c>
      <c r="E11674" s="1" t="n">
        <v>0.0191</v>
      </c>
      <c r="F11674" s="1" t="n">
        <v>0.0854</v>
      </c>
    </row>
    <row r="11675" customFormat="false" ht="15" hidden="false" customHeight="false" outlineLevel="0" collapsed="false">
      <c r="A11675" s="1" t="s">
        <v>11710</v>
      </c>
      <c r="B11675" s="1" t="s">
        <v>81</v>
      </c>
      <c r="C11675" s="1" t="n">
        <v>110000</v>
      </c>
      <c r="D11675" s="1" t="n">
        <v>3092.8</v>
      </c>
      <c r="E11675" s="1" t="n">
        <v>0.0441</v>
      </c>
      <c r="F11675" s="1" t="n">
        <v>0.0951</v>
      </c>
    </row>
    <row r="11676" customFormat="false" ht="15" hidden="false" customHeight="false" outlineLevel="0" collapsed="false">
      <c r="A11676" s="1" t="s">
        <v>11711</v>
      </c>
      <c r="B11676" s="1" t="s">
        <v>92</v>
      </c>
      <c r="C11676" s="1" t="n">
        <v>105000</v>
      </c>
      <c r="D11676" s="1" t="n">
        <v>27685.3</v>
      </c>
      <c r="E11676" s="1" t="n">
        <v>0.04</v>
      </c>
      <c r="F11676" s="1" t="n">
        <v>0.0951</v>
      </c>
    </row>
    <row r="11677" customFormat="false" ht="15" hidden="false" customHeight="false" outlineLevel="0" collapsed="false">
      <c r="A11677" s="1" t="s">
        <v>11712</v>
      </c>
      <c r="B11677" s="1" t="s">
        <v>21</v>
      </c>
      <c r="C11677" s="1" t="n">
        <v>157000</v>
      </c>
      <c r="D11677" s="1" t="n">
        <v>109.7</v>
      </c>
      <c r="E11677" s="1" t="n">
        <v>0.0192</v>
      </c>
      <c r="F11677" s="1" t="n">
        <v>0.1372</v>
      </c>
    </row>
    <row r="11678" customFormat="false" ht="15" hidden="false" customHeight="false" outlineLevel="0" collapsed="false">
      <c r="A11678" s="1" t="s">
        <v>11713</v>
      </c>
      <c r="B11678" s="1" t="s">
        <v>88</v>
      </c>
      <c r="C11678" s="1" t="n">
        <v>145000</v>
      </c>
      <c r="D11678" s="1" t="n">
        <v>3814.5</v>
      </c>
      <c r="E11678" s="1" t="n">
        <v>0.0311</v>
      </c>
      <c r="F11678" s="1" t="n">
        <v>0.0759</v>
      </c>
    </row>
    <row r="11679" customFormat="false" ht="15" hidden="false" customHeight="false" outlineLevel="0" collapsed="false">
      <c r="A11679" s="1" t="s">
        <v>11714</v>
      </c>
      <c r="B11679" s="1" t="s">
        <v>490</v>
      </c>
      <c r="C11679" s="1" t="n">
        <v>360000</v>
      </c>
      <c r="D11679" s="1" t="n">
        <v>507766.1</v>
      </c>
      <c r="E11679" s="1" t="n">
        <v>0.0237</v>
      </c>
      <c r="F11679" s="1" t="n">
        <v>0.0409</v>
      </c>
    </row>
    <row r="11680" customFormat="false" ht="15" hidden="false" customHeight="false" outlineLevel="0" collapsed="false">
      <c r="A11680" s="1" t="s">
        <v>11715</v>
      </c>
      <c r="B11680" s="1" t="s">
        <v>88</v>
      </c>
      <c r="C11680" s="1" t="n">
        <v>116000</v>
      </c>
      <c r="D11680" s="1" t="n">
        <v>559.9</v>
      </c>
      <c r="E11680" s="1" t="n">
        <v>0.0526</v>
      </c>
      <c r="F11680" s="1" t="n">
        <v>0.0938</v>
      </c>
    </row>
    <row r="11681" customFormat="false" ht="15" hidden="false" customHeight="false" outlineLevel="0" collapsed="false">
      <c r="A11681" s="1" t="s">
        <v>11716</v>
      </c>
      <c r="B11681" s="1" t="s">
        <v>81</v>
      </c>
      <c r="C11681" s="1" t="n">
        <v>103000</v>
      </c>
      <c r="D11681" s="1" t="n">
        <v>1569.4</v>
      </c>
      <c r="E11681" s="1" t="n">
        <v>0.0086</v>
      </c>
      <c r="F11681" s="1" t="n">
        <v>0.0822</v>
      </c>
    </row>
    <row r="11682" customFormat="false" ht="15" hidden="false" customHeight="false" outlineLevel="0" collapsed="false">
      <c r="A11682" s="1" t="s">
        <v>11717</v>
      </c>
      <c r="B11682" s="1" t="s">
        <v>92</v>
      </c>
      <c r="C11682" s="1" t="n">
        <v>240000</v>
      </c>
      <c r="D11682" s="1" t="n">
        <v>5676.9</v>
      </c>
      <c r="E11682" s="1" t="n">
        <v>0.0132</v>
      </c>
      <c r="F11682" s="1" t="n">
        <v>0.0811</v>
      </c>
    </row>
    <row r="11683" customFormat="false" ht="15" hidden="false" customHeight="false" outlineLevel="0" collapsed="false">
      <c r="A11683" s="1" t="s">
        <v>11718</v>
      </c>
      <c r="B11683" s="1" t="s">
        <v>88</v>
      </c>
      <c r="C11683" s="1" t="n">
        <v>198000</v>
      </c>
      <c r="D11683" s="1" t="n">
        <v>2135.8</v>
      </c>
      <c r="E11683" s="1" t="n">
        <v>0.031</v>
      </c>
      <c r="F11683" s="1" t="n">
        <v>0.0759</v>
      </c>
    </row>
    <row r="11684" customFormat="false" ht="15" hidden="false" customHeight="false" outlineLevel="0" collapsed="false">
      <c r="A11684" s="1" t="s">
        <v>11719</v>
      </c>
      <c r="B11684" s="1" t="s">
        <v>88</v>
      </c>
      <c r="C11684" s="1" t="n">
        <v>111000</v>
      </c>
      <c r="D11684" s="1" t="n">
        <v>106576.7</v>
      </c>
      <c r="E11684" s="1" t="n">
        <v>0.0124</v>
      </c>
      <c r="F11684" s="1" t="n">
        <v>0.1067</v>
      </c>
    </row>
    <row r="11685" customFormat="false" ht="15" hidden="false" customHeight="false" outlineLevel="0" collapsed="false">
      <c r="A11685" s="1" t="s">
        <v>11720</v>
      </c>
      <c r="B11685" s="1" t="s">
        <v>92</v>
      </c>
      <c r="C11685" s="1" t="n">
        <v>124000</v>
      </c>
      <c r="D11685" s="1" t="n">
        <v>2025.4</v>
      </c>
      <c r="E11685" s="1" t="n">
        <v>0.0225</v>
      </c>
      <c r="F11685" s="1" t="n">
        <v>0.1067</v>
      </c>
    </row>
    <row r="11686" customFormat="false" ht="15" hidden="false" customHeight="false" outlineLevel="0" collapsed="false">
      <c r="A11686" s="1" t="s">
        <v>11721</v>
      </c>
      <c r="B11686" s="1" t="s">
        <v>24</v>
      </c>
      <c r="C11686" s="1" t="n">
        <v>108000</v>
      </c>
      <c r="D11686" s="1" t="n">
        <v>23108.9</v>
      </c>
      <c r="E11686" s="1" t="n">
        <v>0.0187</v>
      </c>
      <c r="F11686" s="1" t="n">
        <v>0.0951</v>
      </c>
    </row>
    <row r="11687" customFormat="false" ht="15" hidden="false" customHeight="false" outlineLevel="0" collapsed="false">
      <c r="A11687" s="1" t="s">
        <v>11722</v>
      </c>
      <c r="B11687" s="1" t="s">
        <v>214</v>
      </c>
      <c r="C11687" s="1" t="n">
        <v>204000</v>
      </c>
      <c r="D11687" s="1" t="n">
        <v>3376</v>
      </c>
      <c r="E11687" s="1" t="n">
        <v>0.0181</v>
      </c>
      <c r="F11687" s="1" t="n">
        <v>0.0854</v>
      </c>
    </row>
    <row r="11688" customFormat="false" ht="15" hidden="false" customHeight="false" outlineLevel="0" collapsed="false">
      <c r="A11688" s="1" t="s">
        <v>11723</v>
      </c>
      <c r="B11688" s="1" t="s">
        <v>88</v>
      </c>
      <c r="C11688" s="1" t="n">
        <v>150000</v>
      </c>
      <c r="D11688" s="1" t="n">
        <v>6426.3</v>
      </c>
      <c r="E11688" s="1" t="n">
        <v>0.0303</v>
      </c>
      <c r="F11688" s="1" t="n">
        <v>0.1688</v>
      </c>
    </row>
    <row r="11689" customFormat="false" ht="15" hidden="false" customHeight="false" outlineLevel="0" collapsed="false">
      <c r="A11689" s="1" t="s">
        <v>11724</v>
      </c>
      <c r="B11689" s="1" t="s">
        <v>88</v>
      </c>
      <c r="C11689" s="1" t="n">
        <v>109000</v>
      </c>
      <c r="D11689" s="1" t="n">
        <v>4223.4</v>
      </c>
      <c r="E11689" s="1" t="n">
        <v>0.0274</v>
      </c>
      <c r="F11689" s="1" t="n">
        <v>0.0951</v>
      </c>
    </row>
    <row r="11690" customFormat="false" ht="15" hidden="false" customHeight="false" outlineLevel="0" collapsed="false">
      <c r="A11690" s="1" t="s">
        <v>11725</v>
      </c>
      <c r="B11690" s="1" t="s">
        <v>24</v>
      </c>
      <c r="C11690" s="1" t="n">
        <v>217000</v>
      </c>
      <c r="D11690" s="1" t="n">
        <v>7368.8</v>
      </c>
      <c r="E11690" s="1" t="n">
        <v>0.0219</v>
      </c>
      <c r="F11690" s="1" t="n">
        <v>0.0854</v>
      </c>
    </row>
    <row r="11691" customFormat="false" ht="15" hidden="false" customHeight="false" outlineLevel="0" collapsed="false">
      <c r="A11691" s="1" t="s">
        <v>11726</v>
      </c>
      <c r="B11691" s="1" t="s">
        <v>26</v>
      </c>
      <c r="C11691" s="1" t="n">
        <v>120000</v>
      </c>
      <c r="D11691" s="1" t="n">
        <v>112089.5</v>
      </c>
      <c r="E11691" s="1" t="n">
        <v>0.0273</v>
      </c>
      <c r="F11691" s="1" t="n">
        <v>0.0951</v>
      </c>
    </row>
    <row r="11692" customFormat="false" ht="15" hidden="false" customHeight="false" outlineLevel="0" collapsed="false">
      <c r="A11692" s="1" t="s">
        <v>11727</v>
      </c>
      <c r="B11692" s="1" t="s">
        <v>88</v>
      </c>
      <c r="C11692" s="1" t="n">
        <v>243000</v>
      </c>
      <c r="D11692" s="1" t="n">
        <v>10944.2</v>
      </c>
      <c r="E11692" s="1" t="n">
        <v>0.0444</v>
      </c>
      <c r="F11692" s="1" t="n">
        <v>0.0759</v>
      </c>
    </row>
    <row r="11693" customFormat="false" ht="15" hidden="false" customHeight="false" outlineLevel="0" collapsed="false">
      <c r="A11693" s="1" t="s">
        <v>11728</v>
      </c>
      <c r="B11693" s="1" t="s">
        <v>41</v>
      </c>
      <c r="C11693" s="1" t="n">
        <v>127000</v>
      </c>
      <c r="D11693" s="1" t="n">
        <v>4178.4</v>
      </c>
      <c r="E11693" s="1" t="n">
        <v>0.0485</v>
      </c>
      <c r="F11693" s="1" t="n">
        <v>0.0951</v>
      </c>
    </row>
    <row r="11694" customFormat="false" ht="15" hidden="false" customHeight="false" outlineLevel="0" collapsed="false">
      <c r="A11694" s="1" t="s">
        <v>11729</v>
      </c>
      <c r="B11694" s="1" t="s">
        <v>92</v>
      </c>
      <c r="C11694" s="1" t="n">
        <v>244000</v>
      </c>
      <c r="D11694" s="1" t="n">
        <v>1815629.7</v>
      </c>
      <c r="E11694" s="1" t="n">
        <v>0.0299</v>
      </c>
      <c r="F11694" s="1" t="n">
        <v>0.0518</v>
      </c>
    </row>
    <row r="11695" customFormat="false" ht="15" hidden="false" customHeight="false" outlineLevel="0" collapsed="false">
      <c r="A11695" s="1" t="s">
        <v>11730</v>
      </c>
      <c r="B11695" s="1" t="s">
        <v>214</v>
      </c>
      <c r="C11695" s="1" t="n">
        <v>192000</v>
      </c>
      <c r="D11695" s="1" t="n">
        <v>5502.4</v>
      </c>
      <c r="E11695" s="1" t="n">
        <v>0.0408</v>
      </c>
      <c r="F11695" s="1" t="n">
        <v>0.0759</v>
      </c>
    </row>
    <row r="11696" customFormat="false" ht="15" hidden="false" customHeight="false" outlineLevel="0" collapsed="false">
      <c r="A11696" s="1" t="s">
        <v>11731</v>
      </c>
      <c r="B11696" s="1" t="s">
        <v>71</v>
      </c>
      <c r="C11696" s="1" t="n">
        <v>102000</v>
      </c>
      <c r="D11696" s="1" t="n">
        <v>2482.6</v>
      </c>
      <c r="E11696" s="1" t="n">
        <v>0.0158</v>
      </c>
      <c r="F11696" s="1" t="n">
        <v>0.0657</v>
      </c>
    </row>
    <row r="11697" customFormat="false" ht="15" hidden="false" customHeight="false" outlineLevel="0" collapsed="false">
      <c r="A11697" s="1" t="s">
        <v>11732</v>
      </c>
      <c r="B11697" s="1" t="s">
        <v>26</v>
      </c>
      <c r="C11697" s="1" t="n">
        <v>105000</v>
      </c>
      <c r="D11697" s="1" t="n">
        <v>67</v>
      </c>
      <c r="E11697" s="1" t="n">
        <v>0.1568</v>
      </c>
      <c r="F11697" s="1" t="n">
        <v>0.0951</v>
      </c>
    </row>
    <row r="11698" customFormat="false" ht="15" hidden="false" customHeight="false" outlineLevel="0" collapsed="false">
      <c r="A11698" s="1" t="s">
        <v>11733</v>
      </c>
      <c r="B11698" s="1" t="s">
        <v>74</v>
      </c>
      <c r="C11698" s="1" t="n">
        <v>142000</v>
      </c>
      <c r="D11698" s="1" t="n">
        <v>638.3</v>
      </c>
      <c r="E11698" s="1" t="n">
        <v>0.0318</v>
      </c>
      <c r="F11698" s="1" t="n">
        <v>0.1066</v>
      </c>
    </row>
    <row r="11699" customFormat="false" ht="15" hidden="false" customHeight="false" outlineLevel="0" collapsed="false">
      <c r="A11699" s="1" t="s">
        <v>11734</v>
      </c>
      <c r="B11699" s="1" t="s">
        <v>24</v>
      </c>
      <c r="C11699" s="1" t="n">
        <v>146000</v>
      </c>
      <c r="D11699" s="1" t="n">
        <v>126.7</v>
      </c>
      <c r="E11699" s="1" t="n">
        <v>0.0481</v>
      </c>
      <c r="F11699" s="1" t="n">
        <v>0.051</v>
      </c>
    </row>
    <row r="11700" customFormat="false" ht="15" hidden="false" customHeight="false" outlineLevel="0" collapsed="false">
      <c r="A11700" s="1" t="s">
        <v>11735</v>
      </c>
      <c r="B11700" s="1" t="s">
        <v>74</v>
      </c>
      <c r="C11700" s="1" t="n">
        <v>196000</v>
      </c>
      <c r="D11700" s="1" t="n">
        <v>794.5</v>
      </c>
      <c r="E11700" s="1" t="n">
        <v>0.0417</v>
      </c>
      <c r="F11700" s="1" t="n">
        <v>0.0759</v>
      </c>
    </row>
    <row r="11701" customFormat="false" ht="15" hidden="false" customHeight="false" outlineLevel="0" collapsed="false">
      <c r="A11701" s="1" t="s">
        <v>11736</v>
      </c>
      <c r="B11701" s="1" t="s">
        <v>26</v>
      </c>
      <c r="C11701" s="1" t="n">
        <v>176000</v>
      </c>
      <c r="D11701" s="1" t="n">
        <v>87595.9</v>
      </c>
      <c r="E11701" s="1" t="n">
        <v>0.028</v>
      </c>
      <c r="F11701" s="1" t="n">
        <v>0.0938</v>
      </c>
    </row>
    <row r="11702" customFormat="false" ht="15" hidden="false" customHeight="false" outlineLevel="0" collapsed="false">
      <c r="A11702" s="1" t="s">
        <v>11737</v>
      </c>
      <c r="B11702" s="1" t="s">
        <v>92</v>
      </c>
      <c r="C11702" s="1" t="n">
        <v>118000</v>
      </c>
      <c r="D11702" s="1" t="n">
        <v>4370</v>
      </c>
      <c r="E11702" s="1" t="n">
        <v>0.0613</v>
      </c>
      <c r="F11702" s="1" t="n">
        <v>0.0759</v>
      </c>
    </row>
    <row r="11703" customFormat="false" ht="15" hidden="false" customHeight="false" outlineLevel="0" collapsed="false">
      <c r="A11703" s="1" t="s">
        <v>11738</v>
      </c>
      <c r="B11703" s="1" t="s">
        <v>490</v>
      </c>
      <c r="C11703" s="1" t="n">
        <v>100000</v>
      </c>
      <c r="D11703" s="1" t="n">
        <v>4383.8</v>
      </c>
      <c r="F11703" s="1" t="n">
        <v>0.0759</v>
      </c>
    </row>
    <row r="11704" customFormat="false" ht="15" hidden="false" customHeight="false" outlineLevel="0" collapsed="false">
      <c r="A11704" s="1" t="s">
        <v>11739</v>
      </c>
      <c r="B11704" s="1" t="s">
        <v>41</v>
      </c>
      <c r="C11704" s="1" t="n">
        <v>124000</v>
      </c>
      <c r="D11704" s="1" t="n">
        <v>50807.5</v>
      </c>
      <c r="E11704" s="1" t="n">
        <v>0.0277</v>
      </c>
      <c r="F11704" s="1" t="n">
        <v>0.0951</v>
      </c>
    </row>
    <row r="11705" customFormat="false" ht="15" hidden="false" customHeight="false" outlineLevel="0" collapsed="false">
      <c r="A11705" s="1" t="s">
        <v>11740</v>
      </c>
      <c r="B11705" s="1" t="s">
        <v>88</v>
      </c>
      <c r="C11705" s="1" t="n">
        <v>102000</v>
      </c>
      <c r="D11705" s="1" t="n">
        <v>1616.5</v>
      </c>
      <c r="E11705" s="1" t="n">
        <v>0.0295</v>
      </c>
      <c r="F11705" s="1" t="n">
        <v>0.0518</v>
      </c>
    </row>
    <row r="11706" customFormat="false" ht="15" hidden="false" customHeight="false" outlineLevel="0" collapsed="false">
      <c r="A11706" s="1" t="s">
        <v>11741</v>
      </c>
      <c r="B11706" s="1" t="s">
        <v>88</v>
      </c>
      <c r="C11706" s="1" t="n">
        <v>160000</v>
      </c>
      <c r="D11706" s="1" t="n">
        <v>79.5</v>
      </c>
      <c r="E11706" s="1" t="n">
        <v>0.0492</v>
      </c>
      <c r="F11706" s="1" t="n">
        <v>0.0938</v>
      </c>
    </row>
    <row r="11707" customFormat="false" ht="15" hidden="false" customHeight="false" outlineLevel="0" collapsed="false">
      <c r="A11707" s="1" t="s">
        <v>11742</v>
      </c>
      <c r="B11707" s="1" t="s">
        <v>50</v>
      </c>
      <c r="C11707" s="1" t="n">
        <v>112000</v>
      </c>
      <c r="D11707" s="1" t="n">
        <v>12504.6</v>
      </c>
      <c r="E11707" s="1" t="n">
        <v>0.0628</v>
      </c>
      <c r="F11707" s="1" t="n">
        <v>0.0951</v>
      </c>
    </row>
    <row r="11708" customFormat="false" ht="15" hidden="false" customHeight="false" outlineLevel="0" collapsed="false">
      <c r="A11708" s="1" t="s">
        <v>11743</v>
      </c>
      <c r="B11708" s="1" t="s">
        <v>88</v>
      </c>
      <c r="C11708" s="1" t="n">
        <v>120000</v>
      </c>
      <c r="D11708" s="1" t="n">
        <v>330.5</v>
      </c>
      <c r="E11708" s="1" t="n">
        <v>0.0343</v>
      </c>
      <c r="F11708" s="1" t="n">
        <v>0.051</v>
      </c>
    </row>
    <row r="11709" customFormat="false" ht="15" hidden="false" customHeight="false" outlineLevel="0" collapsed="false">
      <c r="A11709" s="1" t="s">
        <v>11744</v>
      </c>
      <c r="B11709" s="1" t="s">
        <v>81</v>
      </c>
      <c r="C11709" s="1" t="n">
        <v>420000</v>
      </c>
      <c r="D11709" s="1" t="n">
        <v>6906.9</v>
      </c>
      <c r="E11709" s="1" t="n">
        <v>0.0299</v>
      </c>
      <c r="F11709" s="1" t="n">
        <v>0.5139</v>
      </c>
    </row>
    <row r="11710" customFormat="false" ht="15" hidden="false" customHeight="false" outlineLevel="0" collapsed="false">
      <c r="A11710" s="1" t="s">
        <v>11745</v>
      </c>
      <c r="B11710" s="1" t="s">
        <v>71</v>
      </c>
      <c r="C11710" s="1" t="n">
        <v>112000</v>
      </c>
      <c r="D11710" s="1" t="n">
        <v>914</v>
      </c>
      <c r="E11710" s="1" t="n">
        <v>0.0117</v>
      </c>
      <c r="F11710" s="1" t="n">
        <v>0.0654</v>
      </c>
    </row>
    <row r="11711" customFormat="false" ht="15" hidden="false" customHeight="false" outlineLevel="0" collapsed="false">
      <c r="A11711" s="1" t="s">
        <v>11746</v>
      </c>
      <c r="B11711" s="1" t="s">
        <v>53</v>
      </c>
      <c r="C11711" s="1" t="n">
        <v>100000</v>
      </c>
      <c r="D11711" s="1" t="n">
        <v>1845.3</v>
      </c>
      <c r="E11711" s="1" t="n">
        <v>0.075</v>
      </c>
      <c r="F11711" s="1" t="n">
        <v>0.0951</v>
      </c>
    </row>
    <row r="11712" customFormat="false" ht="15" hidden="false" customHeight="false" outlineLevel="0" collapsed="false">
      <c r="A11712" s="1" t="s">
        <v>11747</v>
      </c>
      <c r="B11712" s="1" t="s">
        <v>26</v>
      </c>
      <c r="C11712" s="1" t="n">
        <v>100000</v>
      </c>
      <c r="D11712" s="1" t="n">
        <v>36620.1</v>
      </c>
      <c r="E11712" s="1" t="n">
        <v>0.0233</v>
      </c>
      <c r="F11712" s="1" t="n">
        <v>0.0518</v>
      </c>
    </row>
    <row r="11713" customFormat="false" ht="15" hidden="false" customHeight="false" outlineLevel="0" collapsed="false">
      <c r="A11713" s="1" t="s">
        <v>11748</v>
      </c>
      <c r="B11713" s="1" t="s">
        <v>26</v>
      </c>
      <c r="C11713" s="1" t="n">
        <v>107000</v>
      </c>
      <c r="D11713" s="1" t="n">
        <v>13559.7</v>
      </c>
      <c r="E11713" s="1" t="n">
        <v>0.0353</v>
      </c>
      <c r="F11713" s="1" t="n">
        <v>0.0951</v>
      </c>
    </row>
    <row r="11714" customFormat="false" ht="15" hidden="false" customHeight="false" outlineLevel="0" collapsed="false">
      <c r="A11714" s="1" t="s">
        <v>11749</v>
      </c>
      <c r="B11714" s="1" t="s">
        <v>214</v>
      </c>
      <c r="C11714" s="1" t="n">
        <v>117000</v>
      </c>
      <c r="D11714" s="1" t="n">
        <v>49499</v>
      </c>
      <c r="E11714" s="1" t="n">
        <v>0.0195</v>
      </c>
      <c r="F11714" s="1" t="n">
        <v>0.1067</v>
      </c>
    </row>
    <row r="11715" customFormat="false" ht="15" hidden="false" customHeight="false" outlineLevel="0" collapsed="false">
      <c r="A11715" s="1" t="s">
        <v>11750</v>
      </c>
      <c r="B11715" s="1" t="s">
        <v>287</v>
      </c>
      <c r="C11715" s="1" t="n">
        <v>99400</v>
      </c>
      <c r="D11715" s="1" t="n">
        <v>1251.6</v>
      </c>
      <c r="E11715" s="1" t="n">
        <v>0.0249</v>
      </c>
      <c r="F11715" s="1" t="n">
        <v>0.0518</v>
      </c>
    </row>
    <row r="11716" customFormat="false" ht="15" hidden="false" customHeight="false" outlineLevel="0" collapsed="false">
      <c r="A11716" s="1" t="s">
        <v>11751</v>
      </c>
      <c r="B11716" s="1" t="s">
        <v>88</v>
      </c>
      <c r="C11716" s="1" t="n">
        <v>179000</v>
      </c>
      <c r="D11716" s="1" t="n">
        <v>3390.8</v>
      </c>
      <c r="E11716" s="1" t="n">
        <v>0.038</v>
      </c>
      <c r="F11716" s="1" t="n">
        <v>0.0951</v>
      </c>
    </row>
    <row r="11717" customFormat="false" ht="15" hidden="false" customHeight="false" outlineLevel="0" collapsed="false">
      <c r="A11717" s="1" t="s">
        <v>11752</v>
      </c>
      <c r="B11717" s="1" t="s">
        <v>32</v>
      </c>
      <c r="C11717" s="1" t="n">
        <v>162000</v>
      </c>
      <c r="D11717" s="1" t="n">
        <v>181396.3</v>
      </c>
      <c r="E11717" s="1" t="n">
        <v>0.013</v>
      </c>
      <c r="F11717" s="1" t="n">
        <v>0.0915</v>
      </c>
    </row>
    <row r="11718" customFormat="false" ht="15" hidden="false" customHeight="false" outlineLevel="0" collapsed="false">
      <c r="A11718" s="1" t="s">
        <v>11753</v>
      </c>
      <c r="B11718" s="1" t="s">
        <v>81</v>
      </c>
      <c r="C11718" s="1" t="n">
        <v>134000</v>
      </c>
      <c r="D11718" s="1" t="n">
        <v>9399.9</v>
      </c>
      <c r="E11718" s="1" t="n">
        <v>0.0287</v>
      </c>
      <c r="F11718" s="1" t="n">
        <v>0.0951</v>
      </c>
    </row>
    <row r="11719" customFormat="false" ht="15" hidden="false" customHeight="false" outlineLevel="0" collapsed="false">
      <c r="A11719" s="1" t="s">
        <v>11754</v>
      </c>
      <c r="B11719" s="1" t="s">
        <v>88</v>
      </c>
      <c r="C11719" s="1" t="n">
        <v>138000</v>
      </c>
      <c r="D11719" s="1" t="n">
        <v>134.8</v>
      </c>
      <c r="E11719" s="1" t="n">
        <v>0.0238</v>
      </c>
      <c r="F11719" s="1" t="n">
        <v>0.1387</v>
      </c>
    </row>
    <row r="11720" customFormat="false" ht="15" hidden="false" customHeight="false" outlineLevel="0" collapsed="false">
      <c r="A11720" s="1" t="s">
        <v>11755</v>
      </c>
      <c r="B11720" s="1" t="s">
        <v>81</v>
      </c>
      <c r="C11720" s="1" t="n">
        <v>113000</v>
      </c>
      <c r="D11720" s="1" t="n">
        <v>3459.1</v>
      </c>
      <c r="E11720" s="1" t="n">
        <v>0.0158</v>
      </c>
      <c r="F11720" s="1" t="n">
        <v>0.0775</v>
      </c>
    </row>
    <row r="11721" customFormat="false" ht="15" hidden="false" customHeight="false" outlineLevel="0" collapsed="false">
      <c r="A11721" s="1" t="s">
        <v>11756</v>
      </c>
      <c r="B11721" s="1" t="s">
        <v>88</v>
      </c>
      <c r="C11721" s="1" t="n">
        <v>155000</v>
      </c>
      <c r="D11721" s="1" t="n">
        <v>3059.1</v>
      </c>
      <c r="E11721" s="1" t="n">
        <v>0.0288</v>
      </c>
      <c r="F11721" s="1" t="n">
        <v>0.0951</v>
      </c>
    </row>
    <row r="11722" customFormat="false" ht="15" hidden="false" customHeight="false" outlineLevel="0" collapsed="false">
      <c r="A11722" s="1" t="s">
        <v>11757</v>
      </c>
      <c r="B11722" s="1" t="s">
        <v>53</v>
      </c>
      <c r="C11722" s="1" t="n">
        <v>115000</v>
      </c>
      <c r="D11722" s="1" t="n">
        <v>2337.7</v>
      </c>
      <c r="E11722" s="1" t="n">
        <v>0.1528</v>
      </c>
      <c r="F11722" s="1" t="n">
        <v>0.0538</v>
      </c>
    </row>
    <row r="11723" customFormat="false" ht="15" hidden="false" customHeight="false" outlineLevel="0" collapsed="false">
      <c r="A11723" s="1" t="s">
        <v>11758</v>
      </c>
      <c r="B11723" s="1" t="s">
        <v>26</v>
      </c>
      <c r="C11723" s="1" t="n">
        <v>197000</v>
      </c>
      <c r="D11723" s="1" t="n">
        <v>51.4</v>
      </c>
      <c r="E11723" s="1" t="n">
        <v>0.1502</v>
      </c>
      <c r="F11723" s="1" t="n">
        <v>0.0938</v>
      </c>
    </row>
    <row r="11724" customFormat="false" ht="15" hidden="false" customHeight="false" outlineLevel="0" collapsed="false">
      <c r="A11724" s="1" t="s">
        <v>11759</v>
      </c>
      <c r="B11724" s="1" t="s">
        <v>92</v>
      </c>
      <c r="C11724" s="1" t="n">
        <v>106000</v>
      </c>
      <c r="D11724" s="1" t="n">
        <v>1446.4</v>
      </c>
      <c r="E11724" s="1" t="n">
        <v>0.005</v>
      </c>
      <c r="F11724" s="1" t="n">
        <v>0.0822</v>
      </c>
    </row>
    <row r="11725" customFormat="false" ht="15" hidden="false" customHeight="false" outlineLevel="0" collapsed="false">
      <c r="A11725" s="1" t="s">
        <v>11760</v>
      </c>
      <c r="B11725" s="1" t="s">
        <v>26</v>
      </c>
      <c r="C11725" s="1" t="n">
        <v>123000</v>
      </c>
      <c r="D11725" s="1" t="n">
        <v>977.3</v>
      </c>
      <c r="E11725" s="1" t="n">
        <v>0.0027</v>
      </c>
      <c r="F11725" s="1" t="n">
        <v>0.3712</v>
      </c>
    </row>
    <row r="11726" customFormat="false" ht="15" hidden="false" customHeight="false" outlineLevel="0" collapsed="false">
      <c r="A11726" s="1" t="s">
        <v>11761</v>
      </c>
      <c r="B11726" s="1" t="s">
        <v>26</v>
      </c>
      <c r="C11726" s="1" t="n">
        <v>127000</v>
      </c>
      <c r="D11726" s="1" t="n">
        <v>321.8</v>
      </c>
      <c r="E11726" s="1" t="n">
        <v>0.0171</v>
      </c>
      <c r="F11726" s="1" t="n">
        <v>0.1374</v>
      </c>
    </row>
    <row r="11727" customFormat="false" ht="15" hidden="false" customHeight="false" outlineLevel="0" collapsed="false">
      <c r="A11727" s="1" t="s">
        <v>11762</v>
      </c>
      <c r="B11727" s="1" t="s">
        <v>41</v>
      </c>
      <c r="C11727" s="1" t="n">
        <v>115000</v>
      </c>
      <c r="D11727" s="1" t="n">
        <v>1163.2</v>
      </c>
      <c r="E11727" s="1" t="n">
        <v>0.0373</v>
      </c>
      <c r="F11727" s="1" t="n">
        <v>0.0951</v>
      </c>
    </row>
    <row r="11728" customFormat="false" ht="15" hidden="false" customHeight="false" outlineLevel="0" collapsed="false">
      <c r="A11728" s="1" t="s">
        <v>11763</v>
      </c>
      <c r="B11728" s="1" t="s">
        <v>26</v>
      </c>
      <c r="C11728" s="1" t="n">
        <v>153000</v>
      </c>
      <c r="D11728" s="1" t="n">
        <v>766.8</v>
      </c>
      <c r="E11728" s="1" t="n">
        <v>0.0085</v>
      </c>
      <c r="F11728" s="1" t="n">
        <v>0.0822</v>
      </c>
    </row>
    <row r="11729" customFormat="false" ht="15" hidden="false" customHeight="false" outlineLevel="0" collapsed="false">
      <c r="A11729" s="1" t="s">
        <v>11764</v>
      </c>
      <c r="B11729" s="1" t="s">
        <v>81</v>
      </c>
      <c r="C11729" s="1" t="n">
        <v>102000</v>
      </c>
      <c r="D11729" s="1" t="n">
        <v>974969.1</v>
      </c>
      <c r="E11729" s="1" t="n">
        <v>0.0022</v>
      </c>
      <c r="F11729" s="1" t="n">
        <v>0.3189</v>
      </c>
    </row>
    <row r="11730" customFormat="false" ht="15" hidden="false" customHeight="false" outlineLevel="0" collapsed="false">
      <c r="A11730" s="1" t="s">
        <v>11765</v>
      </c>
      <c r="B11730" s="1" t="s">
        <v>26</v>
      </c>
      <c r="C11730" s="1" t="n">
        <v>192000</v>
      </c>
      <c r="D11730" s="1" t="n">
        <v>6927.3</v>
      </c>
      <c r="E11730" s="1" t="n">
        <v>0.0514</v>
      </c>
      <c r="F11730" s="1" t="n">
        <v>0.0759</v>
      </c>
    </row>
    <row r="11731" customFormat="false" ht="15" hidden="false" customHeight="false" outlineLevel="0" collapsed="false">
      <c r="A11731" s="1" t="s">
        <v>11766</v>
      </c>
      <c r="B11731" s="1" t="s">
        <v>24</v>
      </c>
      <c r="C11731" s="1" t="n">
        <v>290000</v>
      </c>
      <c r="D11731" s="1" t="n">
        <v>23844.1</v>
      </c>
      <c r="E11731" s="1" t="n">
        <v>0.0083</v>
      </c>
      <c r="F11731" s="1" t="n">
        <v>0.1058</v>
      </c>
    </row>
    <row r="11732" customFormat="false" ht="15" hidden="false" customHeight="false" outlineLevel="0" collapsed="false">
      <c r="A11732" s="1" t="s">
        <v>11767</v>
      </c>
      <c r="B11732" s="1" t="s">
        <v>24</v>
      </c>
      <c r="C11732" s="1" t="n">
        <v>163000</v>
      </c>
      <c r="D11732" s="1" t="n">
        <v>318.3</v>
      </c>
      <c r="E11732" s="1" t="n">
        <v>0.0177</v>
      </c>
      <c r="F11732" s="1" t="n">
        <v>0.0576</v>
      </c>
    </row>
    <row r="11733" customFormat="false" ht="15" hidden="false" customHeight="false" outlineLevel="0" collapsed="false">
      <c r="A11733" s="1" t="s">
        <v>11768</v>
      </c>
      <c r="B11733" s="1" t="s">
        <v>214</v>
      </c>
      <c r="C11733" s="1" t="n">
        <v>120000</v>
      </c>
      <c r="D11733" s="1" t="n">
        <v>2041</v>
      </c>
      <c r="E11733" s="1" t="n">
        <v>0.0227</v>
      </c>
      <c r="F11733" s="1" t="n">
        <v>0.0951</v>
      </c>
    </row>
    <row r="11734" customFormat="false" ht="15" hidden="false" customHeight="false" outlineLevel="0" collapsed="false">
      <c r="A11734" s="1" t="s">
        <v>11769</v>
      </c>
      <c r="B11734" s="1" t="s">
        <v>195</v>
      </c>
      <c r="C11734" s="1" t="n">
        <v>165000</v>
      </c>
      <c r="D11734" s="1" t="n">
        <v>7677.6</v>
      </c>
      <c r="F11734" s="1" t="n">
        <v>0.0432</v>
      </c>
    </row>
    <row r="11735" customFormat="false" ht="15" hidden="false" customHeight="false" outlineLevel="0" collapsed="false">
      <c r="A11735" s="1" t="s">
        <v>11770</v>
      </c>
      <c r="B11735" s="1" t="s">
        <v>26</v>
      </c>
      <c r="C11735" s="1" t="n">
        <v>109000</v>
      </c>
      <c r="D11735" s="1" t="n">
        <v>3025.2</v>
      </c>
      <c r="E11735" s="1" t="n">
        <v>0.0127</v>
      </c>
      <c r="F11735" s="1" t="n">
        <v>0.1327</v>
      </c>
    </row>
    <row r="11736" customFormat="false" ht="15" hidden="false" customHeight="false" outlineLevel="0" collapsed="false">
      <c r="A11736" s="1" t="s">
        <v>11771</v>
      </c>
      <c r="B11736" s="1" t="s">
        <v>62</v>
      </c>
      <c r="C11736" s="1" t="n">
        <v>1030000</v>
      </c>
      <c r="D11736" s="1" t="n">
        <v>46398</v>
      </c>
      <c r="E11736" s="1" t="n">
        <v>0.0582</v>
      </c>
      <c r="F11736" s="1" t="n">
        <v>0.0938</v>
      </c>
    </row>
    <row r="11737" customFormat="false" ht="15" hidden="false" customHeight="false" outlineLevel="0" collapsed="false">
      <c r="A11737" s="1" t="s">
        <v>11772</v>
      </c>
      <c r="B11737" s="1" t="s">
        <v>26</v>
      </c>
      <c r="C11737" s="1" t="n">
        <v>101000</v>
      </c>
      <c r="D11737" s="1" t="n">
        <v>1218.4</v>
      </c>
      <c r="E11737" s="1" t="n">
        <v>0.0235</v>
      </c>
      <c r="F11737" s="1" t="n">
        <v>0.0518</v>
      </c>
    </row>
    <row r="11738" customFormat="false" ht="15" hidden="false" customHeight="false" outlineLevel="0" collapsed="false">
      <c r="A11738" s="1" t="s">
        <v>11773</v>
      </c>
      <c r="B11738" s="1" t="s">
        <v>74</v>
      </c>
      <c r="C11738" s="1" t="n">
        <v>119000</v>
      </c>
      <c r="D11738" s="1" t="n">
        <v>10485.1</v>
      </c>
      <c r="E11738" s="1" t="n">
        <v>0.042</v>
      </c>
      <c r="F11738" s="1" t="n">
        <v>0.0951</v>
      </c>
    </row>
    <row r="11739" customFormat="false" ht="15" hidden="false" customHeight="false" outlineLevel="0" collapsed="false">
      <c r="A11739" s="1" t="s">
        <v>11774</v>
      </c>
      <c r="B11739" s="1" t="s">
        <v>71</v>
      </c>
      <c r="C11739" s="1" t="n">
        <v>116000</v>
      </c>
      <c r="D11739" s="1" t="n">
        <v>17913.3</v>
      </c>
      <c r="E11739" s="1" t="n">
        <v>0.0251</v>
      </c>
      <c r="F11739" s="1" t="n">
        <v>0.0951</v>
      </c>
    </row>
    <row r="11740" customFormat="false" ht="15" hidden="false" customHeight="false" outlineLevel="0" collapsed="false">
      <c r="A11740" s="1" t="s">
        <v>11775</v>
      </c>
      <c r="B11740" s="1" t="s">
        <v>41</v>
      </c>
      <c r="C11740" s="1" t="n">
        <v>99700</v>
      </c>
      <c r="D11740" s="1" t="n">
        <v>1464.6</v>
      </c>
      <c r="E11740" s="1" t="n">
        <v>0.0568</v>
      </c>
      <c r="F11740" s="1" t="n">
        <v>0.0951</v>
      </c>
    </row>
    <row r="11741" customFormat="false" ht="15" hidden="false" customHeight="false" outlineLevel="0" collapsed="false">
      <c r="A11741" s="1" t="s">
        <v>11776</v>
      </c>
      <c r="B11741" s="1" t="s">
        <v>74</v>
      </c>
      <c r="C11741" s="1" t="n">
        <v>121000</v>
      </c>
      <c r="D11741" s="1" t="n">
        <v>5468.9</v>
      </c>
      <c r="E11741" s="1" t="n">
        <v>0.0412</v>
      </c>
      <c r="F11741" s="1" t="n">
        <v>0.0951</v>
      </c>
    </row>
    <row r="11742" customFormat="false" ht="15" hidden="false" customHeight="false" outlineLevel="0" collapsed="false">
      <c r="A11742" s="1" t="s">
        <v>11777</v>
      </c>
      <c r="B11742" s="1" t="s">
        <v>88</v>
      </c>
      <c r="C11742" s="1" t="n">
        <v>191000</v>
      </c>
      <c r="D11742" s="1" t="n">
        <v>1690.5</v>
      </c>
      <c r="E11742" s="1" t="n">
        <v>0.0319</v>
      </c>
      <c r="F11742" s="1" t="n">
        <v>0.1109</v>
      </c>
    </row>
    <row r="11743" customFormat="false" ht="15" hidden="false" customHeight="false" outlineLevel="0" collapsed="false">
      <c r="A11743" s="1" t="s">
        <v>11778</v>
      </c>
      <c r="B11743" s="1" t="s">
        <v>41</v>
      </c>
      <c r="C11743" s="1" t="n">
        <v>102000</v>
      </c>
      <c r="D11743" s="1" t="n">
        <v>665.5</v>
      </c>
      <c r="E11743" s="1" t="n">
        <v>0.0408</v>
      </c>
      <c r="F11743" s="1" t="n">
        <v>0.2651</v>
      </c>
    </row>
    <row r="11744" customFormat="false" ht="15" hidden="false" customHeight="false" outlineLevel="0" collapsed="false">
      <c r="A11744" s="1" t="s">
        <v>11779</v>
      </c>
      <c r="B11744" s="1" t="s">
        <v>24</v>
      </c>
      <c r="C11744" s="1" t="n">
        <v>119000</v>
      </c>
      <c r="D11744" s="1" t="n">
        <v>2170.1</v>
      </c>
      <c r="E11744" s="1" t="n">
        <v>0.0689</v>
      </c>
      <c r="F11744" s="1" t="n">
        <v>0.0759</v>
      </c>
    </row>
    <row r="11745" customFormat="false" ht="15" hidden="false" customHeight="false" outlineLevel="0" collapsed="false">
      <c r="A11745" s="1" t="s">
        <v>11780</v>
      </c>
      <c r="B11745" s="1" t="s">
        <v>26</v>
      </c>
      <c r="C11745" s="1" t="n">
        <v>102000</v>
      </c>
      <c r="D11745" s="1" t="n">
        <v>1097.2</v>
      </c>
      <c r="E11745" s="1" t="n">
        <v>0.0384</v>
      </c>
      <c r="F11745" s="1" t="n">
        <v>0.0759</v>
      </c>
    </row>
    <row r="11746" customFormat="false" ht="15" hidden="false" customHeight="false" outlineLevel="0" collapsed="false">
      <c r="A11746" s="1" t="s">
        <v>11781</v>
      </c>
      <c r="B11746" s="1" t="s">
        <v>195</v>
      </c>
      <c r="C11746" s="1" t="n">
        <v>169000</v>
      </c>
      <c r="D11746" s="1" t="n">
        <v>7866.4</v>
      </c>
      <c r="E11746" s="1" t="n">
        <v>0.0143</v>
      </c>
      <c r="F11746" s="1" t="n">
        <v>0.0726</v>
      </c>
    </row>
    <row r="11747" customFormat="false" ht="15" hidden="false" customHeight="false" outlineLevel="0" collapsed="false">
      <c r="A11747" s="1" t="s">
        <v>11782</v>
      </c>
      <c r="B11747" s="1" t="s">
        <v>62</v>
      </c>
      <c r="C11747" s="1" t="n">
        <v>120000</v>
      </c>
      <c r="D11747" s="1" t="n">
        <v>942.1</v>
      </c>
      <c r="E11747" s="1" t="n">
        <v>0.0214</v>
      </c>
      <c r="F11747" s="1" t="n">
        <v>0.0462</v>
      </c>
    </row>
    <row r="11748" customFormat="false" ht="15" hidden="false" customHeight="false" outlineLevel="0" collapsed="false">
      <c r="A11748" s="1" t="s">
        <v>11783</v>
      </c>
      <c r="B11748" s="1" t="s">
        <v>26</v>
      </c>
      <c r="C11748" s="1" t="n">
        <v>104000</v>
      </c>
      <c r="D11748" s="1" t="n">
        <v>3821.6</v>
      </c>
      <c r="E11748" s="1" t="n">
        <v>0.0561</v>
      </c>
      <c r="F11748" s="1" t="n">
        <v>0.0759</v>
      </c>
    </row>
    <row r="11749" customFormat="false" ht="15" hidden="false" customHeight="false" outlineLevel="0" collapsed="false">
      <c r="A11749" s="1" t="s">
        <v>11784</v>
      </c>
      <c r="B11749" s="1" t="s">
        <v>88</v>
      </c>
      <c r="C11749" s="1" t="n">
        <v>154000</v>
      </c>
      <c r="D11749" s="1" t="n">
        <v>1695.1</v>
      </c>
      <c r="E11749" s="1" t="n">
        <v>0.0545</v>
      </c>
      <c r="F11749" s="1" t="n">
        <v>0.0938</v>
      </c>
    </row>
    <row r="11750" customFormat="false" ht="15" hidden="false" customHeight="false" outlineLevel="0" collapsed="false">
      <c r="A11750" s="1" t="s">
        <v>11785</v>
      </c>
      <c r="B11750" s="1" t="s">
        <v>26</v>
      </c>
      <c r="C11750" s="1" t="n">
        <v>131000</v>
      </c>
      <c r="D11750" s="1" t="n">
        <v>67765.6</v>
      </c>
      <c r="E11750" s="1" t="n">
        <v>0.0246</v>
      </c>
      <c r="F11750" s="1" t="n">
        <v>0.0584</v>
      </c>
    </row>
    <row r="11751" customFormat="false" ht="15" hidden="false" customHeight="false" outlineLevel="0" collapsed="false">
      <c r="A11751" s="1" t="s">
        <v>11786</v>
      </c>
      <c r="B11751" s="1" t="s">
        <v>26</v>
      </c>
      <c r="C11751" s="1" t="n">
        <v>236000</v>
      </c>
      <c r="D11751" s="1" t="n">
        <v>6359.4</v>
      </c>
      <c r="E11751" s="1" t="n">
        <v>0.0297</v>
      </c>
      <c r="F11751" s="1" t="n">
        <v>0.0938</v>
      </c>
    </row>
    <row r="11752" customFormat="false" ht="15" hidden="false" customHeight="false" outlineLevel="0" collapsed="false">
      <c r="A11752" s="1" t="s">
        <v>11787</v>
      </c>
      <c r="B11752" s="1" t="s">
        <v>24</v>
      </c>
      <c r="C11752" s="1" t="n">
        <v>113000</v>
      </c>
      <c r="D11752" s="1" t="n">
        <v>2184.1</v>
      </c>
      <c r="E11752" s="1" t="n">
        <v>0.0488</v>
      </c>
      <c r="F11752" s="1" t="n">
        <v>0.0938</v>
      </c>
    </row>
    <row r="11753" customFormat="false" ht="15" hidden="false" customHeight="false" outlineLevel="0" collapsed="false">
      <c r="A11753" s="1" t="s">
        <v>11788</v>
      </c>
      <c r="B11753" s="1" t="s">
        <v>26</v>
      </c>
      <c r="C11753" s="1" t="n">
        <v>98600</v>
      </c>
      <c r="D11753" s="1" t="n">
        <v>4204.9</v>
      </c>
      <c r="E11753" s="1" t="n">
        <v>0.0204</v>
      </c>
      <c r="F11753" s="1" t="n">
        <v>0.1067</v>
      </c>
    </row>
    <row r="11754" customFormat="false" ht="15" hidden="false" customHeight="false" outlineLevel="0" collapsed="false">
      <c r="A11754" s="1" t="s">
        <v>11789</v>
      </c>
      <c r="B11754" s="1" t="s">
        <v>92</v>
      </c>
      <c r="C11754" s="1" t="n">
        <v>102000</v>
      </c>
      <c r="D11754" s="1" t="n">
        <v>1272.8</v>
      </c>
      <c r="E11754" s="1" t="n">
        <v>0.0124</v>
      </c>
      <c r="F11754" s="1" t="n">
        <v>0.0584</v>
      </c>
    </row>
    <row r="11755" customFormat="false" ht="15" hidden="false" customHeight="false" outlineLevel="0" collapsed="false">
      <c r="A11755" s="1" t="s">
        <v>11790</v>
      </c>
      <c r="B11755" s="1" t="s">
        <v>26</v>
      </c>
      <c r="C11755" s="1" t="n">
        <v>100000</v>
      </c>
      <c r="D11755" s="1" t="n">
        <v>136.9</v>
      </c>
      <c r="E11755" s="1" t="n">
        <v>0.0579</v>
      </c>
      <c r="F11755" s="1" t="n">
        <v>0.0951</v>
      </c>
    </row>
    <row r="11756" customFormat="false" ht="15" hidden="false" customHeight="false" outlineLevel="0" collapsed="false">
      <c r="A11756" s="1" t="s">
        <v>11791</v>
      </c>
      <c r="B11756" s="1" t="s">
        <v>88</v>
      </c>
      <c r="C11756" s="1" t="n">
        <v>117000</v>
      </c>
      <c r="D11756" s="1" t="n">
        <v>6901.7</v>
      </c>
      <c r="E11756" s="1" t="n">
        <v>0.0126</v>
      </c>
      <c r="F11756" s="1" t="n">
        <v>0.1309</v>
      </c>
    </row>
    <row r="11757" customFormat="false" ht="15" hidden="false" customHeight="false" outlineLevel="0" collapsed="false">
      <c r="A11757" s="1" t="s">
        <v>11792</v>
      </c>
      <c r="B11757" s="1" t="s">
        <v>214</v>
      </c>
      <c r="C11757" s="1" t="n">
        <v>393000</v>
      </c>
      <c r="D11757" s="1" t="n">
        <v>20959.2</v>
      </c>
      <c r="E11757" s="1" t="n">
        <v>0.0154</v>
      </c>
      <c r="F11757" s="1" t="n">
        <v>0.0462</v>
      </c>
    </row>
    <row r="11758" customFormat="false" ht="15" hidden="false" customHeight="false" outlineLevel="0" collapsed="false">
      <c r="A11758" s="1" t="s">
        <v>11793</v>
      </c>
      <c r="B11758" s="1" t="s">
        <v>35</v>
      </c>
      <c r="C11758" s="1" t="n">
        <v>309000</v>
      </c>
      <c r="D11758" s="1" t="n">
        <v>155022.5</v>
      </c>
      <c r="E11758" s="1" t="n">
        <v>0.0469</v>
      </c>
      <c r="F11758" s="1" t="n">
        <v>0.0759</v>
      </c>
    </row>
    <row r="11759" customFormat="false" ht="15" hidden="false" customHeight="false" outlineLevel="0" collapsed="false">
      <c r="A11759" s="1" t="s">
        <v>11794</v>
      </c>
      <c r="B11759" s="1" t="s">
        <v>92</v>
      </c>
      <c r="C11759" s="1" t="n">
        <v>103000</v>
      </c>
      <c r="D11759" s="1" t="n">
        <v>813.3</v>
      </c>
      <c r="E11759" s="1" t="n">
        <v>0.0568</v>
      </c>
      <c r="F11759" s="1" t="n">
        <v>0.1243</v>
      </c>
    </row>
    <row r="11760" customFormat="false" ht="15" hidden="false" customHeight="false" outlineLevel="0" collapsed="false">
      <c r="A11760" s="1" t="s">
        <v>11795</v>
      </c>
      <c r="B11760" s="1" t="s">
        <v>74</v>
      </c>
      <c r="C11760" s="1" t="n">
        <v>197000</v>
      </c>
      <c r="D11760" s="1" t="n">
        <v>1582.1</v>
      </c>
      <c r="E11760" s="1" t="n">
        <v>0.0362</v>
      </c>
      <c r="F11760" s="1" t="n">
        <v>0.1241</v>
      </c>
    </row>
    <row r="11761" customFormat="false" ht="15" hidden="false" customHeight="false" outlineLevel="0" collapsed="false">
      <c r="A11761" s="1" t="s">
        <v>11796</v>
      </c>
      <c r="B11761" s="1" t="s">
        <v>21</v>
      </c>
      <c r="C11761" s="1" t="n">
        <v>391000</v>
      </c>
      <c r="D11761" s="1" t="n">
        <v>6057.2</v>
      </c>
      <c r="E11761" s="1" t="n">
        <v>0.0104</v>
      </c>
      <c r="F11761" s="1" t="n">
        <v>0.0822</v>
      </c>
    </row>
    <row r="11762" customFormat="false" ht="15" hidden="false" customHeight="false" outlineLevel="0" collapsed="false">
      <c r="A11762" s="1" t="s">
        <v>11797</v>
      </c>
      <c r="B11762" s="1" t="s">
        <v>41</v>
      </c>
      <c r="C11762" s="1" t="n">
        <v>136000</v>
      </c>
      <c r="D11762" s="1" t="n">
        <v>6076.2</v>
      </c>
      <c r="E11762" s="1" t="n">
        <v>0.125</v>
      </c>
      <c r="F11762" s="1" t="n">
        <v>0.0759</v>
      </c>
    </row>
    <row r="11763" customFormat="false" ht="15" hidden="false" customHeight="false" outlineLevel="0" collapsed="false">
      <c r="A11763" s="1" t="s">
        <v>11798</v>
      </c>
      <c r="B11763" s="1" t="s">
        <v>88</v>
      </c>
      <c r="C11763" s="1" t="n">
        <v>232000</v>
      </c>
      <c r="D11763" s="1" t="n">
        <v>4041.9</v>
      </c>
      <c r="E11763" s="1" t="n">
        <v>0.0412</v>
      </c>
      <c r="F11763" s="1" t="n">
        <v>0.0759</v>
      </c>
    </row>
    <row r="11764" customFormat="false" ht="15" hidden="false" customHeight="false" outlineLevel="0" collapsed="false">
      <c r="A11764" s="1" t="s">
        <v>11799</v>
      </c>
      <c r="B11764" s="1" t="s">
        <v>62</v>
      </c>
      <c r="C11764" s="1" t="n">
        <v>109000</v>
      </c>
      <c r="D11764" s="1" t="n">
        <v>4190368.5</v>
      </c>
      <c r="E11764" s="1" t="n">
        <v>0.0057</v>
      </c>
      <c r="F11764" s="1" t="n">
        <v>0.2072</v>
      </c>
    </row>
    <row r="11765" customFormat="false" ht="15" hidden="false" customHeight="false" outlineLevel="0" collapsed="false">
      <c r="A11765" s="1" t="s">
        <v>11800</v>
      </c>
      <c r="B11765" s="1" t="s">
        <v>26</v>
      </c>
      <c r="C11765" s="1" t="n">
        <v>164000</v>
      </c>
      <c r="D11765" s="1" t="n">
        <v>19847.7</v>
      </c>
      <c r="E11765" s="1" t="n">
        <v>0.0588</v>
      </c>
      <c r="F11765" s="1" t="n">
        <v>0.0759</v>
      </c>
    </row>
    <row r="11766" customFormat="false" ht="15" hidden="false" customHeight="false" outlineLevel="0" collapsed="false">
      <c r="A11766" s="1" t="s">
        <v>11801</v>
      </c>
      <c r="B11766" s="1" t="s">
        <v>26</v>
      </c>
      <c r="C11766" s="1" t="n">
        <v>110000</v>
      </c>
      <c r="D11766" s="1" t="n">
        <v>517</v>
      </c>
      <c r="E11766" s="1" t="n">
        <v>0.0646</v>
      </c>
      <c r="F11766" s="1" t="n">
        <v>0.0951</v>
      </c>
    </row>
    <row r="11767" customFormat="false" ht="15" hidden="false" customHeight="false" outlineLevel="0" collapsed="false">
      <c r="A11767" s="1" t="s">
        <v>11802</v>
      </c>
      <c r="B11767" s="1" t="s">
        <v>26</v>
      </c>
      <c r="C11767" s="1" t="n">
        <v>106000</v>
      </c>
      <c r="D11767" s="1" t="n">
        <v>2758.3</v>
      </c>
      <c r="E11767" s="1" t="n">
        <v>0.0097</v>
      </c>
      <c r="F11767" s="1" t="n">
        <v>0.1536</v>
      </c>
    </row>
    <row r="11768" customFormat="false" ht="15" hidden="false" customHeight="false" outlineLevel="0" collapsed="false">
      <c r="A11768" s="1" t="s">
        <v>11803</v>
      </c>
      <c r="B11768" s="1" t="s">
        <v>214</v>
      </c>
      <c r="C11768" s="1" t="n">
        <v>109000</v>
      </c>
      <c r="D11768" s="1" t="n">
        <v>1744.2</v>
      </c>
      <c r="E11768" s="1" t="n">
        <v>0.0355</v>
      </c>
      <c r="F11768" s="1" t="n">
        <v>0.0759</v>
      </c>
    </row>
    <row r="11769" customFormat="false" ht="15" hidden="false" customHeight="false" outlineLevel="0" collapsed="false">
      <c r="A11769" s="1" t="s">
        <v>11804</v>
      </c>
      <c r="B11769" s="1" t="s">
        <v>214</v>
      </c>
      <c r="C11769" s="1" t="n">
        <v>233000</v>
      </c>
      <c r="D11769" s="1" t="n">
        <v>649.5</v>
      </c>
      <c r="E11769" s="1" t="n">
        <v>0.0127</v>
      </c>
      <c r="F11769" s="1" t="n">
        <v>0.0576</v>
      </c>
    </row>
    <row r="11770" customFormat="false" ht="15" hidden="false" customHeight="false" outlineLevel="0" collapsed="false">
      <c r="A11770" s="1" t="s">
        <v>11805</v>
      </c>
      <c r="B11770" s="1" t="s">
        <v>26</v>
      </c>
      <c r="C11770" s="1" t="n">
        <v>149000</v>
      </c>
      <c r="D11770" s="1" t="n">
        <v>325.9</v>
      </c>
      <c r="E11770" s="1" t="n">
        <v>0.0543</v>
      </c>
      <c r="F11770" s="1" t="n">
        <v>0.5878</v>
      </c>
    </row>
    <row r="11771" customFormat="false" ht="15" hidden="false" customHeight="false" outlineLevel="0" collapsed="false">
      <c r="A11771" s="1" t="s">
        <v>11806</v>
      </c>
      <c r="B11771" s="1" t="s">
        <v>88</v>
      </c>
      <c r="C11771" s="1" t="n">
        <v>119000</v>
      </c>
      <c r="D11771" s="1" t="n">
        <v>8065.5</v>
      </c>
      <c r="E11771" s="1" t="n">
        <v>0.0112</v>
      </c>
      <c r="F11771" s="1" t="n">
        <v>0.0866</v>
      </c>
    </row>
    <row r="11772" customFormat="false" ht="15" hidden="false" customHeight="false" outlineLevel="0" collapsed="false">
      <c r="A11772" s="1" t="s">
        <v>11807</v>
      </c>
      <c r="B11772" s="1" t="s">
        <v>26</v>
      </c>
      <c r="C11772" s="1" t="n">
        <v>149000</v>
      </c>
      <c r="D11772" s="1" t="n">
        <v>19337.8</v>
      </c>
      <c r="E11772" s="1" t="n">
        <v>0.0235</v>
      </c>
      <c r="F11772" s="1" t="n">
        <v>0.0759</v>
      </c>
    </row>
    <row r="11773" customFormat="false" ht="15" hidden="false" customHeight="false" outlineLevel="0" collapsed="false">
      <c r="A11773" s="1" t="s">
        <v>11808</v>
      </c>
      <c r="B11773" s="1" t="s">
        <v>26</v>
      </c>
      <c r="C11773" s="1" t="n">
        <v>114000</v>
      </c>
      <c r="D11773" s="1" t="n">
        <v>471.5</v>
      </c>
      <c r="E11773" s="1" t="n">
        <v>0.0296</v>
      </c>
      <c r="F11773" s="1" t="n">
        <v>0.0951</v>
      </c>
    </row>
    <row r="11774" customFormat="false" ht="15" hidden="false" customHeight="false" outlineLevel="0" collapsed="false">
      <c r="A11774" s="1" t="s">
        <v>11809</v>
      </c>
      <c r="B11774" s="1" t="s">
        <v>92</v>
      </c>
      <c r="C11774" s="1" t="n">
        <v>103000</v>
      </c>
      <c r="D11774" s="1" t="n">
        <v>131986.1</v>
      </c>
      <c r="E11774" s="1" t="n">
        <v>0.0164</v>
      </c>
      <c r="F11774" s="1" t="n">
        <v>0.095</v>
      </c>
    </row>
    <row r="11775" customFormat="false" ht="15" hidden="false" customHeight="false" outlineLevel="0" collapsed="false">
      <c r="A11775" s="1" t="s">
        <v>11810</v>
      </c>
      <c r="B11775" s="1" t="s">
        <v>26</v>
      </c>
      <c r="C11775" s="1" t="n">
        <v>557000</v>
      </c>
      <c r="D11775" s="1" t="n">
        <v>82511.8</v>
      </c>
      <c r="E11775" s="1" t="n">
        <v>0.0249</v>
      </c>
      <c r="F11775" s="1" t="n">
        <v>0.0409</v>
      </c>
    </row>
    <row r="11776" customFormat="false" ht="15" hidden="false" customHeight="false" outlineLevel="0" collapsed="false">
      <c r="A11776" s="1" t="s">
        <v>11811</v>
      </c>
      <c r="B11776" s="1" t="s">
        <v>26</v>
      </c>
      <c r="C11776" s="1" t="n">
        <v>400000</v>
      </c>
      <c r="D11776" s="1" t="n">
        <v>757.6</v>
      </c>
      <c r="E11776" s="1" t="n">
        <v>0.0134</v>
      </c>
      <c r="F11776" s="1" t="n">
        <v>0.0811</v>
      </c>
    </row>
    <row r="11777" customFormat="false" ht="15" hidden="false" customHeight="false" outlineLevel="0" collapsed="false">
      <c r="A11777" s="1" t="s">
        <v>11812</v>
      </c>
      <c r="B11777" s="1" t="s">
        <v>88</v>
      </c>
      <c r="C11777" s="1" t="n">
        <v>130000</v>
      </c>
      <c r="D11777" s="1" t="n">
        <v>8748.3</v>
      </c>
      <c r="E11777" s="1" t="n">
        <v>0.0421</v>
      </c>
      <c r="F11777" s="1" t="n">
        <v>0.0759</v>
      </c>
    </row>
    <row r="11778" customFormat="false" ht="15" hidden="false" customHeight="false" outlineLevel="0" collapsed="false">
      <c r="A11778" s="1" t="s">
        <v>11813</v>
      </c>
      <c r="B11778" s="1" t="s">
        <v>92</v>
      </c>
      <c r="C11778" s="1" t="n">
        <v>111000</v>
      </c>
      <c r="D11778" s="1" t="n">
        <v>2360.5</v>
      </c>
      <c r="E11778" s="1" t="n">
        <v>0.0204</v>
      </c>
      <c r="F11778" s="1" t="n">
        <v>0.1886</v>
      </c>
    </row>
    <row r="11779" customFormat="false" ht="15" hidden="false" customHeight="false" outlineLevel="0" collapsed="false">
      <c r="A11779" s="1" t="s">
        <v>11814</v>
      </c>
      <c r="B11779" s="1" t="s">
        <v>92</v>
      </c>
      <c r="C11779" s="1" t="n">
        <v>117000</v>
      </c>
      <c r="D11779" s="1" t="n">
        <v>6724.7</v>
      </c>
      <c r="E11779" s="1" t="n">
        <v>0.0488</v>
      </c>
      <c r="F11779" s="1" t="n">
        <v>0.0759</v>
      </c>
    </row>
    <row r="11780" customFormat="false" ht="15" hidden="false" customHeight="false" outlineLevel="0" collapsed="false">
      <c r="A11780" s="1" t="s">
        <v>11815</v>
      </c>
      <c r="B11780" s="1" t="s">
        <v>26</v>
      </c>
      <c r="C11780" s="1" t="n">
        <v>104000</v>
      </c>
      <c r="D11780" s="1" t="n">
        <v>169.3</v>
      </c>
      <c r="E11780" s="1" t="n">
        <v>0.0597</v>
      </c>
      <c r="F11780" s="1" t="n">
        <v>0.0951</v>
      </c>
    </row>
    <row r="11781" customFormat="false" ht="15" hidden="false" customHeight="false" outlineLevel="0" collapsed="false">
      <c r="A11781" s="1" t="s">
        <v>11816</v>
      </c>
      <c r="B11781" s="1" t="s">
        <v>41</v>
      </c>
      <c r="C11781" s="1" t="n">
        <v>115000</v>
      </c>
      <c r="D11781" s="1" t="n">
        <v>40038.4</v>
      </c>
      <c r="E11781" s="1" t="n">
        <v>0.0086</v>
      </c>
      <c r="F11781" s="1" t="n">
        <v>0.0822</v>
      </c>
    </row>
    <row r="11782" customFormat="false" ht="15" hidden="false" customHeight="false" outlineLevel="0" collapsed="false">
      <c r="A11782" s="1" t="s">
        <v>11817</v>
      </c>
      <c r="B11782" s="1" t="s">
        <v>26</v>
      </c>
      <c r="C11782" s="1" t="n">
        <v>277000</v>
      </c>
      <c r="D11782" s="1" t="n">
        <v>1172.7</v>
      </c>
      <c r="E11782" s="1" t="n">
        <v>0.0397</v>
      </c>
      <c r="F11782" s="1" t="n">
        <v>0.0951</v>
      </c>
    </row>
    <row r="11783" customFormat="false" ht="15" hidden="false" customHeight="false" outlineLevel="0" collapsed="false">
      <c r="A11783" s="1" t="s">
        <v>11818</v>
      </c>
      <c r="B11783" s="1" t="s">
        <v>214</v>
      </c>
      <c r="C11783" s="1" t="n">
        <v>145000</v>
      </c>
      <c r="D11783" s="1" t="n">
        <v>1149.5</v>
      </c>
      <c r="E11783" s="1" t="n">
        <v>0.0075</v>
      </c>
      <c r="F11783" s="1" t="n">
        <v>0.1058</v>
      </c>
    </row>
    <row r="11784" customFormat="false" ht="15" hidden="false" customHeight="false" outlineLevel="0" collapsed="false">
      <c r="A11784" s="1" t="s">
        <v>11819</v>
      </c>
      <c r="B11784" s="1" t="s">
        <v>62</v>
      </c>
      <c r="C11784" s="1" t="n">
        <v>769000</v>
      </c>
      <c r="D11784" s="1" t="n">
        <v>6840.4</v>
      </c>
      <c r="E11784" s="1" t="n">
        <v>0.0446</v>
      </c>
      <c r="F11784" s="1" t="n">
        <v>0.0759</v>
      </c>
    </row>
    <row r="11785" customFormat="false" ht="15" hidden="false" customHeight="false" outlineLevel="0" collapsed="false">
      <c r="A11785" s="1" t="s">
        <v>11820</v>
      </c>
      <c r="B11785" s="1" t="s">
        <v>26</v>
      </c>
      <c r="C11785" s="1" t="n">
        <v>144000</v>
      </c>
      <c r="D11785" s="1" t="n">
        <v>618.8</v>
      </c>
      <c r="F11785" s="1" t="n">
        <v>0.051</v>
      </c>
    </row>
    <row r="11786" customFormat="false" ht="15" hidden="false" customHeight="false" outlineLevel="0" collapsed="false">
      <c r="A11786" s="1" t="s">
        <v>11821</v>
      </c>
      <c r="B11786" s="1" t="s">
        <v>92</v>
      </c>
      <c r="C11786" s="1" t="n">
        <v>198000</v>
      </c>
      <c r="D11786" s="1" t="n">
        <v>2658.6</v>
      </c>
      <c r="E11786" s="1" t="n">
        <v>0.0099</v>
      </c>
      <c r="F11786" s="1" t="n">
        <v>0.0654</v>
      </c>
    </row>
    <row r="11787" customFormat="false" ht="15" hidden="false" customHeight="false" outlineLevel="0" collapsed="false">
      <c r="A11787" s="1" t="s">
        <v>11822</v>
      </c>
      <c r="B11787" s="1" t="s">
        <v>26</v>
      </c>
      <c r="C11787" s="1" t="n">
        <v>231000</v>
      </c>
      <c r="D11787" s="1" t="n">
        <v>54032.3</v>
      </c>
      <c r="E11787" s="1" t="n">
        <v>0.0184</v>
      </c>
      <c r="F11787" s="1" t="n">
        <v>0.0854</v>
      </c>
    </row>
    <row r="11788" customFormat="false" ht="15" hidden="false" customHeight="false" outlineLevel="0" collapsed="false">
      <c r="A11788" s="1" t="s">
        <v>11823</v>
      </c>
      <c r="B11788" s="1" t="s">
        <v>74</v>
      </c>
      <c r="C11788" s="1" t="n">
        <v>140000</v>
      </c>
      <c r="D11788" s="1" t="n">
        <v>2533.5</v>
      </c>
      <c r="E11788" s="1" t="n">
        <v>0.0296</v>
      </c>
      <c r="F11788" s="1" t="n">
        <v>0.0845</v>
      </c>
    </row>
    <row r="11789" customFormat="false" ht="15" hidden="false" customHeight="false" outlineLevel="0" collapsed="false">
      <c r="A11789" s="1" t="s">
        <v>11824</v>
      </c>
      <c r="B11789" s="1" t="s">
        <v>26</v>
      </c>
      <c r="C11789" s="1" t="n">
        <v>104000</v>
      </c>
      <c r="D11789" s="1" t="n">
        <v>610.9</v>
      </c>
      <c r="E11789" s="1" t="n">
        <v>0.0111</v>
      </c>
      <c r="F11789" s="1" t="n">
        <v>0.2294</v>
      </c>
    </row>
    <row r="11790" customFormat="false" ht="15" hidden="false" customHeight="false" outlineLevel="0" collapsed="false">
      <c r="A11790" s="1" t="s">
        <v>11825</v>
      </c>
      <c r="B11790" s="1" t="s">
        <v>88</v>
      </c>
      <c r="C11790" s="1" t="n">
        <v>99300</v>
      </c>
      <c r="D11790" s="1" t="n">
        <v>1541.7</v>
      </c>
      <c r="E11790" s="1" t="n">
        <v>0.0419</v>
      </c>
      <c r="F11790" s="1" t="n">
        <v>0.0409</v>
      </c>
    </row>
    <row r="11791" customFormat="false" ht="15" hidden="false" customHeight="false" outlineLevel="0" collapsed="false">
      <c r="A11791" s="1" t="s">
        <v>11826</v>
      </c>
      <c r="B11791" s="1" t="s">
        <v>24</v>
      </c>
      <c r="C11791" s="1" t="n">
        <v>136000</v>
      </c>
      <c r="D11791" s="1" t="n">
        <v>1284.7</v>
      </c>
      <c r="E11791" s="1" t="n">
        <v>0.043</v>
      </c>
      <c r="F11791" s="1" t="n">
        <v>0.0759</v>
      </c>
    </row>
    <row r="11792" customFormat="false" ht="15" hidden="false" customHeight="false" outlineLevel="0" collapsed="false">
      <c r="A11792" s="1" t="s">
        <v>11827</v>
      </c>
      <c r="B11792" s="1" t="s">
        <v>71</v>
      </c>
      <c r="C11792" s="1" t="n">
        <v>119000</v>
      </c>
      <c r="D11792" s="1" t="n">
        <v>152.7</v>
      </c>
      <c r="E11792" s="1" t="n">
        <v>0.0119</v>
      </c>
      <c r="F11792" s="1" t="n">
        <v>0.1113</v>
      </c>
    </row>
    <row r="11793" customFormat="false" ht="15" hidden="false" customHeight="false" outlineLevel="0" collapsed="false">
      <c r="A11793" s="1" t="s">
        <v>11828</v>
      </c>
      <c r="B11793" s="1" t="s">
        <v>26</v>
      </c>
      <c r="C11793" s="1" t="n">
        <v>160000</v>
      </c>
      <c r="D11793" s="1" t="n">
        <v>8701.6</v>
      </c>
      <c r="E11793" s="1" t="n">
        <v>0.0473</v>
      </c>
      <c r="F11793" s="1" t="n">
        <v>0.0998</v>
      </c>
    </row>
    <row r="11794" customFormat="false" ht="15" hidden="false" customHeight="false" outlineLevel="0" collapsed="false">
      <c r="A11794" s="1" t="s">
        <v>11829</v>
      </c>
      <c r="B11794" s="1" t="s">
        <v>88</v>
      </c>
      <c r="C11794" s="1" t="n">
        <v>187000</v>
      </c>
      <c r="D11794" s="1" t="n">
        <v>6951.4</v>
      </c>
      <c r="E11794" s="1" t="n">
        <v>0.0461</v>
      </c>
      <c r="F11794" s="1" t="n">
        <v>0.0938</v>
      </c>
    </row>
    <row r="11795" customFormat="false" ht="15" hidden="false" customHeight="false" outlineLevel="0" collapsed="false">
      <c r="A11795" s="1" t="s">
        <v>11830</v>
      </c>
      <c r="B11795" s="1" t="s">
        <v>74</v>
      </c>
      <c r="C11795" s="1" t="n">
        <v>194000</v>
      </c>
      <c r="D11795" s="1" t="n">
        <v>3246.5</v>
      </c>
      <c r="E11795" s="1" t="n">
        <v>0.0253</v>
      </c>
      <c r="F11795" s="1" t="n">
        <v>0.0672</v>
      </c>
    </row>
    <row r="11796" customFormat="false" ht="15" hidden="false" customHeight="false" outlineLevel="0" collapsed="false">
      <c r="A11796" s="1" t="s">
        <v>11831</v>
      </c>
      <c r="B11796" s="1" t="s">
        <v>88</v>
      </c>
      <c r="C11796" s="1" t="n">
        <v>140000</v>
      </c>
      <c r="D11796" s="1" t="n">
        <v>1220.1</v>
      </c>
      <c r="E11796" s="1" t="n">
        <v>0.0449</v>
      </c>
      <c r="F11796" s="1" t="n">
        <v>0.0759</v>
      </c>
    </row>
    <row r="11797" customFormat="false" ht="15" hidden="false" customHeight="false" outlineLevel="0" collapsed="false">
      <c r="A11797" s="1" t="s">
        <v>11832</v>
      </c>
      <c r="B11797" s="1" t="s">
        <v>26</v>
      </c>
      <c r="C11797" s="1" t="n">
        <v>381000</v>
      </c>
      <c r="D11797" s="1" t="n">
        <v>152380.3</v>
      </c>
      <c r="E11797" s="1" t="n">
        <v>0.0251</v>
      </c>
      <c r="F11797" s="1" t="n">
        <v>0.0409</v>
      </c>
    </row>
    <row r="11798" customFormat="false" ht="15" hidden="false" customHeight="false" outlineLevel="0" collapsed="false">
      <c r="A11798" s="1" t="s">
        <v>11833</v>
      </c>
      <c r="B11798" s="1" t="s">
        <v>71</v>
      </c>
      <c r="C11798" s="1" t="n">
        <v>103000</v>
      </c>
      <c r="D11798" s="1" t="n">
        <v>890.7</v>
      </c>
      <c r="E11798" s="1" t="n">
        <v>0.0416</v>
      </c>
      <c r="F11798" s="1" t="n">
        <v>0.0998</v>
      </c>
    </row>
    <row r="11799" customFormat="false" ht="15" hidden="false" customHeight="false" outlineLevel="0" collapsed="false">
      <c r="A11799" s="1" t="s">
        <v>11834</v>
      </c>
      <c r="B11799" s="1" t="s">
        <v>195</v>
      </c>
      <c r="C11799" s="1" t="n">
        <v>116000</v>
      </c>
      <c r="D11799" s="1" t="n">
        <v>103.7</v>
      </c>
      <c r="E11799" s="1" t="n">
        <v>0.0266</v>
      </c>
      <c r="F11799" s="1" t="n">
        <v>0.1599</v>
      </c>
    </row>
    <row r="11800" customFormat="false" ht="15" hidden="false" customHeight="false" outlineLevel="0" collapsed="false">
      <c r="A11800" s="1" t="s">
        <v>11835</v>
      </c>
      <c r="B11800" s="1" t="s">
        <v>21</v>
      </c>
      <c r="C11800" s="1" t="n">
        <v>144000</v>
      </c>
      <c r="D11800" s="1" t="n">
        <v>13838.8</v>
      </c>
      <c r="E11800" s="1" t="n">
        <v>0.0165</v>
      </c>
      <c r="F11800" s="1" t="n">
        <v>0.095</v>
      </c>
    </row>
    <row r="11801" customFormat="false" ht="15" hidden="false" customHeight="false" outlineLevel="0" collapsed="false">
      <c r="A11801" s="1" t="s">
        <v>11836</v>
      </c>
      <c r="B11801" s="1" t="s">
        <v>92</v>
      </c>
      <c r="C11801" s="1" t="n">
        <v>144000</v>
      </c>
      <c r="D11801" s="1" t="n">
        <v>2382.6</v>
      </c>
      <c r="E11801" s="1" t="n">
        <v>0.0299</v>
      </c>
      <c r="F11801" s="1" t="n">
        <v>0.0759</v>
      </c>
    </row>
    <row r="11802" customFormat="false" ht="15" hidden="false" customHeight="false" outlineLevel="0" collapsed="false">
      <c r="A11802" s="1" t="s">
        <v>11837</v>
      </c>
      <c r="B11802" s="1" t="s">
        <v>26</v>
      </c>
      <c r="C11802" s="1" t="n">
        <v>109000</v>
      </c>
      <c r="D11802" s="1" t="n">
        <v>5187.8</v>
      </c>
      <c r="E11802" s="1" t="n">
        <v>0.0396</v>
      </c>
      <c r="F11802" s="1" t="n">
        <v>0.0518</v>
      </c>
    </row>
    <row r="11803" customFormat="false" ht="15" hidden="false" customHeight="false" outlineLevel="0" collapsed="false">
      <c r="A11803" s="1" t="s">
        <v>11838</v>
      </c>
      <c r="B11803" s="1" t="s">
        <v>26</v>
      </c>
      <c r="C11803" s="1" t="n">
        <v>167000</v>
      </c>
      <c r="D11803" s="1" t="n">
        <v>3405.9</v>
      </c>
      <c r="E11803" s="1" t="n">
        <v>0.0113</v>
      </c>
      <c r="F11803" s="1" t="n">
        <v>0.1471</v>
      </c>
    </row>
    <row r="11804" customFormat="false" ht="15" hidden="false" customHeight="false" outlineLevel="0" collapsed="false">
      <c r="A11804" s="1" t="s">
        <v>11839</v>
      </c>
      <c r="B11804" s="1" t="s">
        <v>214</v>
      </c>
      <c r="C11804" s="1" t="n">
        <v>109000</v>
      </c>
      <c r="D11804" s="1" t="n">
        <v>4973.1</v>
      </c>
      <c r="E11804" s="1" t="n">
        <v>0.0274</v>
      </c>
      <c r="F11804" s="1" t="n">
        <v>0.0518</v>
      </c>
    </row>
    <row r="11805" customFormat="false" ht="15" hidden="false" customHeight="false" outlineLevel="0" collapsed="false">
      <c r="A11805" s="1" t="s">
        <v>11840</v>
      </c>
      <c r="B11805" s="1" t="s">
        <v>88</v>
      </c>
      <c r="C11805" s="1" t="n">
        <v>126000</v>
      </c>
      <c r="D11805" s="1" t="n">
        <v>2361.3</v>
      </c>
      <c r="E11805" s="1" t="n">
        <v>0.0212</v>
      </c>
      <c r="F11805" s="1" t="n">
        <v>0.0585</v>
      </c>
    </row>
    <row r="11806" customFormat="false" ht="15" hidden="false" customHeight="false" outlineLevel="0" collapsed="false">
      <c r="A11806" s="1" t="s">
        <v>11841</v>
      </c>
      <c r="B11806" s="1" t="s">
        <v>26</v>
      </c>
      <c r="C11806" s="1" t="n">
        <v>105000</v>
      </c>
      <c r="D11806" s="1" t="n">
        <v>16602.3</v>
      </c>
      <c r="E11806" s="1" t="n">
        <v>0.0266</v>
      </c>
      <c r="F11806" s="1" t="n">
        <v>0.0845</v>
      </c>
    </row>
    <row r="11807" customFormat="false" ht="15" hidden="false" customHeight="false" outlineLevel="0" collapsed="false">
      <c r="A11807" s="1" t="s">
        <v>11842</v>
      </c>
      <c r="B11807" s="1" t="s">
        <v>88</v>
      </c>
      <c r="C11807" s="1" t="n">
        <v>102000</v>
      </c>
      <c r="D11807" s="1" t="n">
        <v>1515.1</v>
      </c>
      <c r="E11807" s="1" t="n">
        <v>0.0133</v>
      </c>
      <c r="F11807" s="1" t="n">
        <v>0.0822</v>
      </c>
    </row>
    <row r="11808" customFormat="false" ht="15" hidden="false" customHeight="false" outlineLevel="0" collapsed="false">
      <c r="A11808" s="1" t="s">
        <v>11843</v>
      </c>
      <c r="B11808" s="1" t="s">
        <v>26</v>
      </c>
      <c r="C11808" s="1" t="n">
        <v>125000</v>
      </c>
      <c r="D11808" s="1" t="n">
        <v>190186.5</v>
      </c>
      <c r="F11808" s="1" t="n">
        <v>0.0518</v>
      </c>
    </row>
    <row r="11809" customFormat="false" ht="15" hidden="false" customHeight="false" outlineLevel="0" collapsed="false">
      <c r="A11809" s="1" t="s">
        <v>11844</v>
      </c>
      <c r="B11809" s="1" t="s">
        <v>88</v>
      </c>
      <c r="C11809" s="1" t="n">
        <v>100000</v>
      </c>
      <c r="D11809" s="1" t="n">
        <v>388.6</v>
      </c>
      <c r="E11809" s="1" t="n">
        <v>0.0314</v>
      </c>
      <c r="F11809" s="1" t="n">
        <v>0.0518</v>
      </c>
    </row>
    <row r="11810" customFormat="false" ht="15" hidden="false" customHeight="false" outlineLevel="0" collapsed="false">
      <c r="A11810" s="1" t="s">
        <v>11845</v>
      </c>
      <c r="B11810" s="1" t="s">
        <v>88</v>
      </c>
      <c r="C11810" s="1" t="n">
        <v>177000</v>
      </c>
      <c r="D11810" s="1" t="n">
        <v>1648</v>
      </c>
      <c r="E11810" s="1" t="n">
        <v>0.0289</v>
      </c>
      <c r="F11810" s="1" t="n">
        <v>0.0432</v>
      </c>
    </row>
    <row r="11811" customFormat="false" ht="15" hidden="false" customHeight="false" outlineLevel="0" collapsed="false">
      <c r="A11811" s="1" t="s">
        <v>11846</v>
      </c>
      <c r="B11811" s="1" t="s">
        <v>26</v>
      </c>
      <c r="C11811" s="1" t="n">
        <v>116000</v>
      </c>
      <c r="D11811" s="1" t="n">
        <v>6544.1</v>
      </c>
      <c r="E11811" s="1" t="n">
        <v>0.027</v>
      </c>
      <c r="F11811" s="1" t="n">
        <v>0.0759</v>
      </c>
    </row>
    <row r="11812" customFormat="false" ht="15" hidden="false" customHeight="false" outlineLevel="0" collapsed="false">
      <c r="A11812" s="1" t="s">
        <v>11847</v>
      </c>
      <c r="B11812" s="1" t="s">
        <v>62</v>
      </c>
      <c r="C11812" s="1" t="n">
        <v>110000</v>
      </c>
      <c r="D11812" s="1" t="n">
        <v>596.3</v>
      </c>
      <c r="E11812" s="1" t="n">
        <v>0.0954</v>
      </c>
      <c r="F11812" s="1" t="n">
        <v>0.095</v>
      </c>
    </row>
    <row r="11813" customFormat="false" ht="15" hidden="false" customHeight="false" outlineLevel="0" collapsed="false">
      <c r="A11813" s="1" t="s">
        <v>11848</v>
      </c>
      <c r="B11813" s="1" t="s">
        <v>26</v>
      </c>
      <c r="C11813" s="1" t="n">
        <v>121000</v>
      </c>
      <c r="D11813" s="1" t="n">
        <v>1004.4</v>
      </c>
      <c r="E11813" s="1" t="n">
        <v>0.0349</v>
      </c>
      <c r="F11813" s="1" t="n">
        <v>0.301</v>
      </c>
    </row>
    <row r="11814" customFormat="false" ht="15" hidden="false" customHeight="false" outlineLevel="0" collapsed="false">
      <c r="A11814" s="1" t="s">
        <v>11849</v>
      </c>
      <c r="B11814" s="1" t="s">
        <v>26</v>
      </c>
      <c r="C11814" s="1" t="n">
        <v>115000</v>
      </c>
      <c r="D11814" s="1" t="n">
        <v>728.2</v>
      </c>
      <c r="E11814" s="1" t="n">
        <v>0.0112</v>
      </c>
      <c r="F11814" s="1" t="n">
        <v>0.0654</v>
      </c>
    </row>
    <row r="11815" customFormat="false" ht="15" hidden="false" customHeight="false" outlineLevel="0" collapsed="false">
      <c r="A11815" s="1" t="s">
        <v>11850</v>
      </c>
      <c r="B11815" s="1" t="s">
        <v>195</v>
      </c>
      <c r="C11815" s="1" t="n">
        <v>165000</v>
      </c>
      <c r="D11815" s="1" t="n">
        <v>150128.8</v>
      </c>
      <c r="E11815" s="1" t="n">
        <v>0.0251</v>
      </c>
      <c r="F11815" s="1" t="n">
        <v>0.0759</v>
      </c>
    </row>
    <row r="11816" customFormat="false" ht="15" hidden="false" customHeight="false" outlineLevel="0" collapsed="false">
      <c r="A11816" s="1" t="s">
        <v>11851</v>
      </c>
      <c r="B11816" s="1" t="s">
        <v>50</v>
      </c>
      <c r="C11816" s="1" t="n">
        <v>251000</v>
      </c>
      <c r="D11816" s="1" t="n">
        <v>208.5</v>
      </c>
      <c r="E11816" s="1" t="n">
        <v>0.0087</v>
      </c>
      <c r="F11816" s="1" t="n">
        <v>0.0654</v>
      </c>
    </row>
    <row r="11817" customFormat="false" ht="15" hidden="false" customHeight="false" outlineLevel="0" collapsed="false">
      <c r="A11817" s="1" t="s">
        <v>11852</v>
      </c>
      <c r="B11817" s="1" t="s">
        <v>62</v>
      </c>
      <c r="C11817" s="1" t="n">
        <v>96800</v>
      </c>
      <c r="D11817" s="1" t="n">
        <v>529.5</v>
      </c>
      <c r="E11817" s="1" t="n">
        <v>0.15</v>
      </c>
      <c r="F11817" s="1" t="n">
        <v>0.0518</v>
      </c>
    </row>
    <row r="11818" customFormat="false" ht="15" hidden="false" customHeight="false" outlineLevel="0" collapsed="false">
      <c r="A11818" s="1" t="s">
        <v>11853</v>
      </c>
      <c r="B11818" s="1" t="s">
        <v>26</v>
      </c>
      <c r="C11818" s="1" t="n">
        <v>104000</v>
      </c>
      <c r="D11818" s="1" t="n">
        <v>945.6</v>
      </c>
      <c r="E11818" s="1" t="n">
        <v>0.0225</v>
      </c>
      <c r="F11818" s="1" t="n">
        <v>0.0951</v>
      </c>
    </row>
    <row r="11819" customFormat="false" ht="15" hidden="false" customHeight="false" outlineLevel="0" collapsed="false">
      <c r="A11819" s="1" t="s">
        <v>11854</v>
      </c>
      <c r="B11819" s="1" t="s">
        <v>62</v>
      </c>
      <c r="C11819" s="1" t="n">
        <v>100000</v>
      </c>
      <c r="D11819" s="1" t="n">
        <v>184.2</v>
      </c>
      <c r="E11819" s="1" t="n">
        <v>0.025</v>
      </c>
      <c r="F11819" s="1" t="n">
        <v>0.1119</v>
      </c>
    </row>
    <row r="11820" customFormat="false" ht="15" hidden="false" customHeight="false" outlineLevel="0" collapsed="false">
      <c r="A11820" s="1" t="s">
        <v>11855</v>
      </c>
      <c r="B11820" s="1" t="s">
        <v>26</v>
      </c>
      <c r="C11820" s="1" t="n">
        <v>112000</v>
      </c>
      <c r="D11820" s="1" t="n">
        <v>992.1</v>
      </c>
      <c r="E11820" s="1" t="n">
        <v>0.0447</v>
      </c>
      <c r="F11820" s="1" t="n">
        <v>0.0951</v>
      </c>
    </row>
    <row r="11821" customFormat="false" ht="15" hidden="false" customHeight="false" outlineLevel="0" collapsed="false">
      <c r="A11821" s="1" t="s">
        <v>11856</v>
      </c>
      <c r="B11821" s="1" t="s">
        <v>30</v>
      </c>
      <c r="C11821" s="1" t="n">
        <v>108000</v>
      </c>
      <c r="D11821" s="1" t="n">
        <v>4207014.6</v>
      </c>
      <c r="E11821" s="1" t="n">
        <v>0.0173</v>
      </c>
      <c r="F11821" s="1" t="n">
        <v>0.0616</v>
      </c>
    </row>
    <row r="11822" customFormat="false" ht="15" hidden="false" customHeight="false" outlineLevel="0" collapsed="false">
      <c r="A11822" s="1" t="s">
        <v>11857</v>
      </c>
      <c r="B11822" s="1" t="s">
        <v>92</v>
      </c>
      <c r="C11822" s="1" t="n">
        <v>170000</v>
      </c>
      <c r="D11822" s="1" t="n">
        <v>1106</v>
      </c>
      <c r="E11822" s="1" t="n">
        <v>0.012</v>
      </c>
      <c r="F11822" s="1" t="n">
        <v>0.0584</v>
      </c>
    </row>
    <row r="11823" customFormat="false" ht="15" hidden="false" customHeight="false" outlineLevel="0" collapsed="false">
      <c r="A11823" s="1" t="s">
        <v>11858</v>
      </c>
      <c r="B11823" s="1" t="s">
        <v>214</v>
      </c>
      <c r="C11823" s="1" t="n">
        <v>97700</v>
      </c>
      <c r="D11823" s="1" t="n">
        <v>3449.9</v>
      </c>
      <c r="E11823" s="1" t="n">
        <v>0.0461</v>
      </c>
      <c r="F11823" s="1" t="n">
        <v>0.0951</v>
      </c>
    </row>
    <row r="11824" customFormat="false" ht="15" hidden="false" customHeight="false" outlineLevel="0" collapsed="false">
      <c r="A11824" s="1" t="s">
        <v>11859</v>
      </c>
      <c r="B11824" s="1" t="s">
        <v>28</v>
      </c>
      <c r="C11824" s="1" t="n">
        <v>117000</v>
      </c>
      <c r="D11824" s="1" t="n">
        <v>1441543.5</v>
      </c>
      <c r="E11824" s="1" t="n">
        <v>0.0017</v>
      </c>
      <c r="F11824" s="1" t="n">
        <v>0.0822</v>
      </c>
    </row>
    <row r="11825" customFormat="false" ht="15" hidden="false" customHeight="false" outlineLevel="0" collapsed="false">
      <c r="A11825" s="1" t="s">
        <v>11860</v>
      </c>
      <c r="B11825" s="1" t="s">
        <v>71</v>
      </c>
      <c r="C11825" s="1" t="n">
        <v>119000</v>
      </c>
      <c r="D11825" s="1" t="n">
        <v>1837.6</v>
      </c>
      <c r="E11825" s="1" t="n">
        <v>0.0276</v>
      </c>
      <c r="F11825" s="1" t="n">
        <v>0.0759</v>
      </c>
    </row>
    <row r="11826" customFormat="false" ht="15" hidden="false" customHeight="false" outlineLevel="0" collapsed="false">
      <c r="A11826" s="1" t="s">
        <v>11861</v>
      </c>
      <c r="B11826" s="1" t="s">
        <v>26</v>
      </c>
      <c r="C11826" s="1" t="n">
        <v>101000</v>
      </c>
      <c r="D11826" s="1" t="n">
        <v>3683</v>
      </c>
      <c r="E11826" s="1" t="n">
        <v>0.0302</v>
      </c>
      <c r="F11826" s="1" t="n">
        <v>0.0951</v>
      </c>
    </row>
    <row r="11827" customFormat="false" ht="15" hidden="false" customHeight="false" outlineLevel="0" collapsed="false">
      <c r="A11827" s="1" t="s">
        <v>11862</v>
      </c>
      <c r="B11827" s="1" t="s">
        <v>26</v>
      </c>
      <c r="C11827" s="1" t="n">
        <v>228000</v>
      </c>
      <c r="D11827" s="1" t="n">
        <v>17251.7</v>
      </c>
      <c r="E11827" s="1" t="n">
        <v>0.0256</v>
      </c>
      <c r="F11827" s="1" t="n">
        <v>0.0759</v>
      </c>
    </row>
    <row r="11828" customFormat="false" ht="15" hidden="false" customHeight="false" outlineLevel="0" collapsed="false">
      <c r="A11828" s="1" t="s">
        <v>11863</v>
      </c>
      <c r="B11828" s="1" t="s">
        <v>287</v>
      </c>
      <c r="C11828" s="1" t="n">
        <v>218000</v>
      </c>
      <c r="D11828" s="1" t="n">
        <v>1787.4</v>
      </c>
      <c r="E11828" s="1" t="n">
        <v>0.0186</v>
      </c>
      <c r="F11828" s="1" t="n">
        <v>0.0854</v>
      </c>
    </row>
    <row r="11829" customFormat="false" ht="15" hidden="false" customHeight="false" outlineLevel="0" collapsed="false">
      <c r="A11829" s="1" t="s">
        <v>11864</v>
      </c>
      <c r="B11829" s="1" t="s">
        <v>88</v>
      </c>
      <c r="C11829" s="1" t="n">
        <v>117000</v>
      </c>
      <c r="D11829" s="1" t="n">
        <v>998.1</v>
      </c>
      <c r="E11829" s="1" t="n">
        <v>0.0373</v>
      </c>
      <c r="F11829" s="1" t="n">
        <v>0.0951</v>
      </c>
    </row>
    <row r="11830" customFormat="false" ht="15" hidden="false" customHeight="false" outlineLevel="0" collapsed="false">
      <c r="A11830" s="1" t="s">
        <v>11865</v>
      </c>
      <c r="B11830" s="1" t="s">
        <v>26</v>
      </c>
      <c r="C11830" s="1" t="n">
        <v>550000</v>
      </c>
      <c r="D11830" s="1" t="n">
        <v>1773703.6</v>
      </c>
      <c r="E11830" s="1" t="n">
        <v>0.0246</v>
      </c>
      <c r="F11830" s="1" t="n">
        <v>0.0409</v>
      </c>
    </row>
    <row r="11831" customFormat="false" ht="15" hidden="false" customHeight="false" outlineLevel="0" collapsed="false">
      <c r="A11831" s="1" t="s">
        <v>11866</v>
      </c>
      <c r="B11831" s="1" t="s">
        <v>62</v>
      </c>
      <c r="C11831" s="1" t="n">
        <v>204000</v>
      </c>
      <c r="D11831" s="1" t="n">
        <v>4349.4</v>
      </c>
      <c r="E11831" s="1" t="n">
        <v>0.0124</v>
      </c>
      <c r="F11831" s="1" t="n">
        <v>0.0584</v>
      </c>
    </row>
    <row r="11832" customFormat="false" ht="15" hidden="false" customHeight="false" outlineLevel="0" collapsed="false">
      <c r="A11832" s="1" t="s">
        <v>11867</v>
      </c>
      <c r="B11832" s="1" t="s">
        <v>74</v>
      </c>
      <c r="C11832" s="1" t="n">
        <v>148000</v>
      </c>
      <c r="D11832" s="1" t="n">
        <v>835.6</v>
      </c>
      <c r="E11832" s="1" t="n">
        <v>0.0198</v>
      </c>
      <c r="F11832" s="1" t="n">
        <v>0.0937</v>
      </c>
    </row>
    <row r="11833" customFormat="false" ht="15" hidden="false" customHeight="false" outlineLevel="0" collapsed="false">
      <c r="A11833" s="1" t="s">
        <v>11868</v>
      </c>
      <c r="B11833" s="1" t="s">
        <v>26</v>
      </c>
      <c r="C11833" s="1" t="n">
        <v>117000</v>
      </c>
      <c r="D11833" s="1" t="n">
        <v>9285.7</v>
      </c>
      <c r="E11833" s="1" t="n">
        <v>0.0348</v>
      </c>
      <c r="F11833" s="1" t="n">
        <v>0.0845</v>
      </c>
    </row>
    <row r="11834" customFormat="false" ht="15" hidden="false" customHeight="false" outlineLevel="0" collapsed="false">
      <c r="A11834" s="1" t="s">
        <v>11869</v>
      </c>
      <c r="B11834" s="1" t="s">
        <v>88</v>
      </c>
      <c r="C11834" s="1" t="n">
        <v>122000</v>
      </c>
      <c r="D11834" s="1" t="n">
        <v>660.9</v>
      </c>
      <c r="E11834" s="1" t="n">
        <v>0.0286</v>
      </c>
      <c r="F11834" s="1" t="n">
        <v>0.0938</v>
      </c>
    </row>
    <row r="11835" customFormat="false" ht="15" hidden="false" customHeight="false" outlineLevel="0" collapsed="false">
      <c r="A11835" s="1" t="s">
        <v>11870</v>
      </c>
      <c r="B11835" s="1" t="s">
        <v>24</v>
      </c>
      <c r="C11835" s="1" t="n">
        <v>236000</v>
      </c>
      <c r="D11835" s="1" t="n">
        <v>15452724</v>
      </c>
      <c r="E11835" s="1" t="n">
        <v>0.0139</v>
      </c>
      <c r="F11835" s="1" t="n">
        <v>0.0736</v>
      </c>
    </row>
    <row r="11836" customFormat="false" ht="15" hidden="false" customHeight="false" outlineLevel="0" collapsed="false">
      <c r="A11836" s="1" t="s">
        <v>11871</v>
      </c>
      <c r="B11836" s="1" t="s">
        <v>92</v>
      </c>
      <c r="C11836" s="1" t="n">
        <v>143000</v>
      </c>
      <c r="D11836" s="1" t="n">
        <v>103012.4</v>
      </c>
      <c r="E11836" s="1" t="n">
        <v>0.0186</v>
      </c>
      <c r="F11836" s="1" t="n">
        <v>0.0462</v>
      </c>
    </row>
    <row r="11837" customFormat="false" ht="15" hidden="false" customHeight="false" outlineLevel="0" collapsed="false">
      <c r="A11837" s="1" t="s">
        <v>11872</v>
      </c>
      <c r="B11837" s="1" t="s">
        <v>53</v>
      </c>
      <c r="C11837" s="1" t="n">
        <v>104000</v>
      </c>
      <c r="D11837" s="1" t="n">
        <v>9040.5</v>
      </c>
      <c r="E11837" s="1" t="n">
        <v>0.0582</v>
      </c>
      <c r="F11837" s="1" t="n">
        <v>0.0951</v>
      </c>
    </row>
    <row r="11838" customFormat="false" ht="15" hidden="false" customHeight="false" outlineLevel="0" collapsed="false">
      <c r="A11838" s="1" t="s">
        <v>11873</v>
      </c>
      <c r="B11838" s="1" t="s">
        <v>26</v>
      </c>
      <c r="C11838" s="1" t="n">
        <v>238000</v>
      </c>
      <c r="D11838" s="1" t="n">
        <v>3298</v>
      </c>
      <c r="E11838" s="1" t="n">
        <v>0.0409</v>
      </c>
      <c r="F11838" s="1" t="n">
        <v>0.1535</v>
      </c>
    </row>
    <row r="11839" customFormat="false" ht="15" hidden="false" customHeight="false" outlineLevel="0" collapsed="false">
      <c r="A11839" s="1" t="s">
        <v>11874</v>
      </c>
      <c r="B11839" s="1" t="s">
        <v>26</v>
      </c>
      <c r="C11839" s="1" t="n">
        <v>287000</v>
      </c>
      <c r="D11839" s="1" t="n">
        <v>546612.5</v>
      </c>
      <c r="F11839" s="1" t="n">
        <v>0.0409</v>
      </c>
    </row>
    <row r="11840" customFormat="false" ht="15" hidden="false" customHeight="false" outlineLevel="0" collapsed="false">
      <c r="A11840" s="1" t="s">
        <v>11875</v>
      </c>
      <c r="B11840" s="1" t="s">
        <v>53</v>
      </c>
      <c r="C11840" s="1" t="n">
        <v>496000</v>
      </c>
      <c r="D11840" s="1" t="n">
        <v>214610.4</v>
      </c>
      <c r="E11840" s="1" t="n">
        <v>0.0277</v>
      </c>
      <c r="F11840" s="1" t="n">
        <v>0.051</v>
      </c>
    </row>
    <row r="11841" customFormat="false" ht="15" hidden="false" customHeight="false" outlineLevel="0" collapsed="false">
      <c r="A11841" s="1" t="s">
        <v>11876</v>
      </c>
      <c r="B11841" s="1" t="s">
        <v>26</v>
      </c>
      <c r="C11841" s="1" t="n">
        <v>140000</v>
      </c>
      <c r="D11841" s="1" t="n">
        <v>20610.6</v>
      </c>
      <c r="E11841" s="1" t="n">
        <v>0.02</v>
      </c>
      <c r="F11841" s="1" t="n">
        <v>0.0462</v>
      </c>
    </row>
    <row r="11842" customFormat="false" ht="15" hidden="false" customHeight="false" outlineLevel="0" collapsed="false">
      <c r="A11842" s="1" t="s">
        <v>11877</v>
      </c>
      <c r="B11842" s="1" t="s">
        <v>81</v>
      </c>
      <c r="C11842" s="1" t="n">
        <v>115000</v>
      </c>
      <c r="D11842" s="1" t="n">
        <v>2078.2</v>
      </c>
      <c r="F11842" s="1" t="n">
        <v>0.0518</v>
      </c>
    </row>
    <row r="11843" customFormat="false" ht="15" hidden="false" customHeight="false" outlineLevel="0" collapsed="false">
      <c r="A11843" s="1" t="s">
        <v>11878</v>
      </c>
      <c r="B11843" s="1" t="s">
        <v>26</v>
      </c>
      <c r="C11843" s="1" t="n">
        <v>125000</v>
      </c>
      <c r="D11843" s="1" t="n">
        <v>197.9</v>
      </c>
      <c r="E11843" s="1" t="n">
        <v>0.0562</v>
      </c>
      <c r="F11843" s="1" t="n">
        <v>0.0759</v>
      </c>
    </row>
    <row r="11844" customFormat="false" ht="15" hidden="false" customHeight="false" outlineLevel="0" collapsed="false">
      <c r="A11844" s="1" t="s">
        <v>11879</v>
      </c>
      <c r="B11844" s="1" t="s">
        <v>21</v>
      </c>
      <c r="C11844" s="1" t="n">
        <v>98700</v>
      </c>
      <c r="D11844" s="1" t="n">
        <v>15019.3</v>
      </c>
      <c r="E11844" s="1" t="n">
        <v>0.0137</v>
      </c>
      <c r="F11844" s="1" t="n">
        <v>0.1192</v>
      </c>
    </row>
    <row r="11845" customFormat="false" ht="15" hidden="false" customHeight="false" outlineLevel="0" collapsed="false">
      <c r="A11845" s="1" t="s">
        <v>11880</v>
      </c>
      <c r="B11845" s="1" t="s">
        <v>26</v>
      </c>
      <c r="C11845" s="1" t="n">
        <v>101000</v>
      </c>
      <c r="D11845" s="1" t="n">
        <v>12319.2</v>
      </c>
      <c r="E11845" s="1" t="n">
        <v>0.0442</v>
      </c>
      <c r="F11845" s="1" t="n">
        <v>0.0951</v>
      </c>
    </row>
    <row r="11846" customFormat="false" ht="15" hidden="false" customHeight="false" outlineLevel="0" collapsed="false">
      <c r="A11846" s="1" t="s">
        <v>11881</v>
      </c>
      <c r="B11846" s="1" t="s">
        <v>26</v>
      </c>
      <c r="C11846" s="1" t="n">
        <v>170000</v>
      </c>
      <c r="D11846" s="1" t="n">
        <v>281.6</v>
      </c>
      <c r="E11846" s="1" t="n">
        <v>0.0199</v>
      </c>
      <c r="F11846" s="1" t="n">
        <v>0.1536</v>
      </c>
    </row>
    <row r="11847" customFormat="false" ht="15" hidden="false" customHeight="false" outlineLevel="0" collapsed="false">
      <c r="A11847" s="1" t="s">
        <v>11882</v>
      </c>
      <c r="B11847" s="1" t="s">
        <v>41</v>
      </c>
      <c r="C11847" s="1" t="n">
        <v>103000</v>
      </c>
      <c r="D11847" s="1" t="n">
        <v>420.9</v>
      </c>
      <c r="E11847" s="1" t="n">
        <v>0.0128</v>
      </c>
      <c r="F11847" s="1" t="n">
        <v>0.339</v>
      </c>
    </row>
    <row r="11848" customFormat="false" ht="15" hidden="false" customHeight="false" outlineLevel="0" collapsed="false">
      <c r="A11848" s="1" t="s">
        <v>11883</v>
      </c>
      <c r="B11848" s="1" t="s">
        <v>92</v>
      </c>
      <c r="C11848" s="1" t="n">
        <v>114000</v>
      </c>
      <c r="D11848" s="1" t="n">
        <v>27778.8</v>
      </c>
      <c r="E11848" s="1" t="n">
        <v>0.0215</v>
      </c>
      <c r="F11848" s="1" t="n">
        <v>0.0951</v>
      </c>
    </row>
    <row r="11849" customFormat="false" ht="15" hidden="false" customHeight="false" outlineLevel="0" collapsed="false">
      <c r="A11849" s="1" t="s">
        <v>11884</v>
      </c>
      <c r="B11849" s="1" t="s">
        <v>74</v>
      </c>
      <c r="C11849" s="1" t="n">
        <v>101000</v>
      </c>
      <c r="D11849" s="1" t="n">
        <v>5956.6</v>
      </c>
      <c r="E11849" s="1" t="n">
        <v>0.0167</v>
      </c>
      <c r="F11849" s="1" t="n">
        <v>0.0616</v>
      </c>
    </row>
    <row r="11850" customFormat="false" ht="15" hidden="false" customHeight="false" outlineLevel="0" collapsed="false">
      <c r="A11850" s="1" t="s">
        <v>11885</v>
      </c>
      <c r="B11850" s="1" t="s">
        <v>26</v>
      </c>
      <c r="C11850" s="1" t="n">
        <v>195000</v>
      </c>
      <c r="D11850" s="1" t="n">
        <v>1177.3</v>
      </c>
      <c r="E11850" s="1" t="n">
        <v>0.0202</v>
      </c>
      <c r="F11850" s="1" t="n">
        <v>0.131</v>
      </c>
    </row>
    <row r="11851" customFormat="false" ht="15" hidden="false" customHeight="false" outlineLevel="0" collapsed="false">
      <c r="A11851" s="1" t="s">
        <v>11886</v>
      </c>
      <c r="B11851" s="1" t="s">
        <v>214</v>
      </c>
      <c r="C11851" s="1" t="n">
        <v>559000</v>
      </c>
      <c r="D11851" s="1" t="n">
        <v>1212667.2</v>
      </c>
      <c r="E11851" s="1" t="n">
        <v>0.0294</v>
      </c>
      <c r="F11851" s="1" t="n">
        <v>0.0518</v>
      </c>
    </row>
    <row r="11852" customFormat="false" ht="15" hidden="false" customHeight="false" outlineLevel="0" collapsed="false">
      <c r="A11852" s="1" t="s">
        <v>11887</v>
      </c>
      <c r="B11852" s="1" t="s">
        <v>53</v>
      </c>
      <c r="C11852" s="1" t="n">
        <v>119000</v>
      </c>
      <c r="D11852" s="1" t="n">
        <v>11034.4</v>
      </c>
      <c r="E11852" s="1" t="n">
        <v>0.0863</v>
      </c>
      <c r="F11852" s="1" t="n">
        <v>0.051</v>
      </c>
    </row>
    <row r="11853" customFormat="false" ht="15" hidden="false" customHeight="false" outlineLevel="0" collapsed="false">
      <c r="A11853" s="1" t="s">
        <v>11888</v>
      </c>
      <c r="B11853" s="1" t="s">
        <v>88</v>
      </c>
      <c r="C11853" s="1" t="n">
        <v>174000</v>
      </c>
      <c r="D11853" s="1" t="n">
        <v>21248.7</v>
      </c>
      <c r="E11853" s="1" t="n">
        <v>0.0229</v>
      </c>
      <c r="F11853" s="1" t="n">
        <v>0.0759</v>
      </c>
    </row>
    <row r="11854" customFormat="false" ht="15" hidden="false" customHeight="false" outlineLevel="0" collapsed="false">
      <c r="A11854" s="1" t="s">
        <v>11889</v>
      </c>
      <c r="B11854" s="1" t="s">
        <v>74</v>
      </c>
      <c r="C11854" s="1" t="n">
        <v>101000</v>
      </c>
      <c r="D11854" s="1" t="n">
        <v>265.4</v>
      </c>
      <c r="E11854" s="1" t="n">
        <v>0.0134</v>
      </c>
      <c r="F11854" s="1" t="n">
        <v>0.1471</v>
      </c>
    </row>
    <row r="11855" customFormat="false" ht="15" hidden="false" customHeight="false" outlineLevel="0" collapsed="false">
      <c r="A11855" s="1" t="s">
        <v>11890</v>
      </c>
      <c r="B11855" s="1" t="s">
        <v>26</v>
      </c>
      <c r="C11855" s="1" t="n">
        <v>101000</v>
      </c>
      <c r="D11855" s="1" t="n">
        <v>46.2</v>
      </c>
      <c r="E11855" s="1" t="n">
        <v>0.0654</v>
      </c>
      <c r="F11855" s="1" t="n">
        <v>0.0409</v>
      </c>
    </row>
    <row r="11856" customFormat="false" ht="15" hidden="false" customHeight="false" outlineLevel="0" collapsed="false">
      <c r="A11856" s="1" t="s">
        <v>11891</v>
      </c>
      <c r="B11856" s="1" t="s">
        <v>26</v>
      </c>
      <c r="C11856" s="1" t="n">
        <v>119000</v>
      </c>
      <c r="D11856" s="1" t="n">
        <v>5165.1</v>
      </c>
      <c r="E11856" s="1" t="n">
        <v>0.0503</v>
      </c>
      <c r="F11856" s="1" t="n">
        <v>0.0759</v>
      </c>
    </row>
    <row r="11857" customFormat="false" ht="15" hidden="false" customHeight="false" outlineLevel="0" collapsed="false">
      <c r="A11857" s="1" t="s">
        <v>11892</v>
      </c>
      <c r="B11857" s="1" t="s">
        <v>26</v>
      </c>
      <c r="C11857" s="1" t="n">
        <v>99600</v>
      </c>
      <c r="D11857" s="1" t="n">
        <v>119.3</v>
      </c>
      <c r="E11857" s="1" t="n">
        <v>0.042</v>
      </c>
      <c r="F11857" s="1" t="n">
        <v>0.0518</v>
      </c>
    </row>
    <row r="11858" customFormat="false" ht="15" hidden="false" customHeight="false" outlineLevel="0" collapsed="false">
      <c r="A11858" s="1" t="s">
        <v>11893</v>
      </c>
      <c r="B11858" s="1" t="s">
        <v>214</v>
      </c>
      <c r="C11858" s="1" t="n">
        <v>101000</v>
      </c>
      <c r="D11858" s="1" t="n">
        <v>619.1</v>
      </c>
      <c r="E11858" s="1" t="n">
        <v>0.0658</v>
      </c>
      <c r="F11858" s="1" t="n">
        <v>0.0951</v>
      </c>
    </row>
    <row r="11859" customFormat="false" ht="15" hidden="false" customHeight="false" outlineLevel="0" collapsed="false">
      <c r="A11859" s="1" t="s">
        <v>11894</v>
      </c>
      <c r="B11859" s="1" t="s">
        <v>53</v>
      </c>
      <c r="C11859" s="1" t="n">
        <v>117000</v>
      </c>
      <c r="D11859" s="1" t="n">
        <v>747.8</v>
      </c>
      <c r="E11859" s="1" t="n">
        <v>0.0214</v>
      </c>
      <c r="F11859" s="1" t="n">
        <v>0.0938</v>
      </c>
    </row>
    <row r="11860" customFormat="false" ht="15" hidden="false" customHeight="false" outlineLevel="0" collapsed="false">
      <c r="A11860" s="1" t="s">
        <v>11895</v>
      </c>
      <c r="B11860" s="1" t="s">
        <v>81</v>
      </c>
      <c r="C11860" s="1" t="n">
        <v>111000</v>
      </c>
      <c r="D11860" s="1" t="n">
        <v>2805.9</v>
      </c>
      <c r="E11860" s="1" t="n">
        <v>0.0211</v>
      </c>
      <c r="F11860" s="1" t="n">
        <v>0.1067</v>
      </c>
    </row>
    <row r="11861" customFormat="false" ht="15" hidden="false" customHeight="false" outlineLevel="0" collapsed="false">
      <c r="A11861" s="1" t="s">
        <v>11896</v>
      </c>
      <c r="B11861" s="1" t="s">
        <v>26</v>
      </c>
      <c r="C11861" s="1" t="n">
        <v>105000</v>
      </c>
      <c r="D11861" s="1" t="n">
        <v>11083.1</v>
      </c>
      <c r="E11861" s="1" t="n">
        <v>0.0288</v>
      </c>
      <c r="F11861" s="1" t="n">
        <v>0.0951</v>
      </c>
    </row>
    <row r="11862" customFormat="false" ht="15" hidden="false" customHeight="false" outlineLevel="0" collapsed="false">
      <c r="A11862" s="1" t="s">
        <v>11897</v>
      </c>
      <c r="B11862" s="1" t="s">
        <v>26</v>
      </c>
      <c r="C11862" s="1" t="n">
        <v>128000</v>
      </c>
      <c r="D11862" s="1" t="n">
        <v>7891.4</v>
      </c>
      <c r="E11862" s="1" t="n">
        <v>0.0271</v>
      </c>
      <c r="F11862" s="1" t="n">
        <v>0.0951</v>
      </c>
    </row>
    <row r="11863" customFormat="false" ht="15" hidden="false" customHeight="false" outlineLevel="0" collapsed="false">
      <c r="A11863" s="1" t="s">
        <v>11898</v>
      </c>
      <c r="B11863" s="1" t="s">
        <v>26</v>
      </c>
      <c r="C11863" s="1" t="n">
        <v>186000</v>
      </c>
      <c r="D11863" s="1" t="n">
        <v>19883.5</v>
      </c>
      <c r="E11863" s="1" t="n">
        <v>0.0232</v>
      </c>
      <c r="F11863" s="1" t="n">
        <v>0.0951</v>
      </c>
    </row>
    <row r="11864" customFormat="false" ht="15" hidden="false" customHeight="false" outlineLevel="0" collapsed="false">
      <c r="A11864" s="1" t="s">
        <v>11899</v>
      </c>
      <c r="B11864" s="1" t="s">
        <v>26</v>
      </c>
      <c r="C11864" s="1" t="n">
        <v>121000</v>
      </c>
      <c r="D11864" s="1" t="n">
        <v>7151.6</v>
      </c>
      <c r="E11864" s="1" t="n">
        <v>0.0194</v>
      </c>
      <c r="F11864" s="1" t="n">
        <v>0.1067</v>
      </c>
    </row>
    <row r="11865" customFormat="false" ht="15" hidden="false" customHeight="false" outlineLevel="0" collapsed="false">
      <c r="A11865" s="1" t="s">
        <v>11900</v>
      </c>
      <c r="B11865" s="1" t="s">
        <v>26</v>
      </c>
      <c r="C11865" s="1" t="n">
        <v>122000</v>
      </c>
      <c r="D11865" s="1" t="n">
        <v>3191.8</v>
      </c>
      <c r="E11865" s="1" t="n">
        <v>0.0369</v>
      </c>
      <c r="F11865" s="1" t="n">
        <v>0.0951</v>
      </c>
    </row>
    <row r="11866" customFormat="false" ht="15" hidden="false" customHeight="false" outlineLevel="0" collapsed="false">
      <c r="A11866" s="1" t="s">
        <v>11901</v>
      </c>
      <c r="B11866" s="1" t="s">
        <v>88</v>
      </c>
      <c r="C11866" s="1" t="n">
        <v>100000</v>
      </c>
      <c r="D11866" s="1" t="n">
        <v>1645</v>
      </c>
      <c r="E11866" s="1" t="n">
        <v>0.0345</v>
      </c>
      <c r="F11866" s="1" t="n">
        <v>0.0759</v>
      </c>
    </row>
    <row r="11867" customFormat="false" ht="15" hidden="false" customHeight="false" outlineLevel="0" collapsed="false">
      <c r="A11867" s="1" t="s">
        <v>11902</v>
      </c>
      <c r="B11867" s="1" t="s">
        <v>26</v>
      </c>
      <c r="C11867" s="1" t="n">
        <v>124000</v>
      </c>
      <c r="D11867" s="1" t="n">
        <v>1730</v>
      </c>
      <c r="E11867" s="1" t="n">
        <v>0.0357</v>
      </c>
      <c r="F11867" s="1" t="n">
        <v>0.1377</v>
      </c>
    </row>
    <row r="11868" customFormat="false" ht="15" hidden="false" customHeight="false" outlineLevel="0" collapsed="false">
      <c r="A11868" s="1" t="s">
        <v>11903</v>
      </c>
      <c r="B11868" s="1" t="s">
        <v>41</v>
      </c>
      <c r="C11868" s="1" t="n">
        <v>212000</v>
      </c>
      <c r="D11868" s="1" t="n">
        <v>1256.9</v>
      </c>
      <c r="E11868" s="1" t="n">
        <v>0.0198</v>
      </c>
      <c r="F11868" s="1" t="n">
        <v>0.1053</v>
      </c>
    </row>
    <row r="11869" customFormat="false" ht="15" hidden="false" customHeight="false" outlineLevel="0" collapsed="false">
      <c r="A11869" s="1" t="s">
        <v>11904</v>
      </c>
      <c r="B11869" s="1" t="s">
        <v>26</v>
      </c>
      <c r="C11869" s="1" t="n">
        <v>95400</v>
      </c>
      <c r="D11869" s="1" t="n">
        <v>198670.8</v>
      </c>
      <c r="E11869" s="1" t="n">
        <v>0.0421</v>
      </c>
      <c r="F11869" s="1" t="n">
        <v>0.0518</v>
      </c>
    </row>
    <row r="11870" customFormat="false" ht="15" hidden="false" customHeight="false" outlineLevel="0" collapsed="false">
      <c r="A11870" s="1" t="s">
        <v>11905</v>
      </c>
      <c r="B11870" s="1" t="s">
        <v>74</v>
      </c>
      <c r="C11870" s="1" t="n">
        <v>113000</v>
      </c>
      <c r="D11870" s="1" t="n">
        <v>543419.6</v>
      </c>
      <c r="E11870" s="1" t="n">
        <v>0.0091</v>
      </c>
      <c r="F11870" s="1" t="n">
        <v>0.0822</v>
      </c>
    </row>
    <row r="11871" customFormat="false" ht="15" hidden="false" customHeight="false" outlineLevel="0" collapsed="false">
      <c r="A11871" s="1" t="s">
        <v>11906</v>
      </c>
      <c r="B11871" s="1" t="s">
        <v>92</v>
      </c>
      <c r="C11871" s="1" t="n">
        <v>110000</v>
      </c>
      <c r="D11871" s="1" t="n">
        <v>630.6</v>
      </c>
      <c r="E11871" s="1" t="n">
        <v>0.0057</v>
      </c>
      <c r="F11871" s="1" t="n">
        <v>0.0811</v>
      </c>
    </row>
    <row r="11872" customFormat="false" ht="15" hidden="false" customHeight="false" outlineLevel="0" collapsed="false">
      <c r="A11872" s="1" t="s">
        <v>11907</v>
      </c>
      <c r="B11872" s="1" t="s">
        <v>26</v>
      </c>
      <c r="C11872" s="1" t="n">
        <v>144000</v>
      </c>
      <c r="D11872" s="1" t="n">
        <v>24094.5</v>
      </c>
      <c r="E11872" s="1" t="n">
        <v>0.041</v>
      </c>
      <c r="F11872" s="1" t="n">
        <v>0.0759</v>
      </c>
    </row>
    <row r="11873" customFormat="false" ht="15" hidden="false" customHeight="false" outlineLevel="0" collapsed="false">
      <c r="A11873" s="1" t="s">
        <v>11908</v>
      </c>
      <c r="B11873" s="1" t="s">
        <v>62</v>
      </c>
      <c r="C11873" s="1" t="n">
        <v>89600</v>
      </c>
      <c r="D11873" s="1" t="n">
        <v>6570.6</v>
      </c>
      <c r="E11873" s="1" t="n">
        <v>0.0163</v>
      </c>
      <c r="F11873" s="1" t="n">
        <v>0.1067</v>
      </c>
    </row>
    <row r="11874" customFormat="false" ht="15" hidden="false" customHeight="false" outlineLevel="0" collapsed="false">
      <c r="A11874" s="1" t="s">
        <v>11909</v>
      </c>
      <c r="B11874" s="1" t="s">
        <v>26</v>
      </c>
      <c r="C11874" s="1" t="n">
        <v>118000</v>
      </c>
      <c r="D11874" s="1" t="n">
        <v>826.3</v>
      </c>
      <c r="E11874" s="1" t="n">
        <v>0.0245</v>
      </c>
      <c r="F11874" s="1" t="n">
        <v>0.0998</v>
      </c>
    </row>
    <row r="11875" customFormat="false" ht="15" hidden="false" customHeight="false" outlineLevel="0" collapsed="false">
      <c r="A11875" s="1" t="s">
        <v>11910</v>
      </c>
      <c r="B11875" s="1" t="s">
        <v>26</v>
      </c>
      <c r="C11875" s="1" t="n">
        <v>99700</v>
      </c>
      <c r="D11875" s="1" t="n">
        <v>1426.3</v>
      </c>
      <c r="E11875" s="1" t="n">
        <v>0.0188</v>
      </c>
      <c r="F11875" s="1" t="n">
        <v>0.1067</v>
      </c>
    </row>
    <row r="11876" customFormat="false" ht="15" hidden="false" customHeight="false" outlineLevel="0" collapsed="false">
      <c r="A11876" s="1" t="s">
        <v>11911</v>
      </c>
      <c r="B11876" s="1" t="s">
        <v>26</v>
      </c>
      <c r="C11876" s="1" t="n">
        <v>302000</v>
      </c>
      <c r="D11876" s="1" t="n">
        <v>89.9</v>
      </c>
      <c r="F11876" s="1" t="n">
        <v>0.0759</v>
      </c>
    </row>
    <row r="11877" customFormat="false" ht="15" hidden="false" customHeight="false" outlineLevel="0" collapsed="false">
      <c r="A11877" s="1" t="s">
        <v>11912</v>
      </c>
      <c r="B11877" s="1" t="s">
        <v>53</v>
      </c>
      <c r="C11877" s="1" t="n">
        <v>104000</v>
      </c>
      <c r="D11877" s="1" t="n">
        <v>926</v>
      </c>
      <c r="E11877" s="1" t="n">
        <v>0.0171</v>
      </c>
      <c r="F11877" s="1" t="n">
        <v>0.0576</v>
      </c>
    </row>
    <row r="11878" customFormat="false" ht="15" hidden="false" customHeight="false" outlineLevel="0" collapsed="false">
      <c r="A11878" s="1" t="s">
        <v>11913</v>
      </c>
      <c r="B11878" s="1" t="s">
        <v>88</v>
      </c>
      <c r="C11878" s="1" t="n">
        <v>111000</v>
      </c>
      <c r="D11878" s="1" t="n">
        <v>12996.2</v>
      </c>
      <c r="E11878" s="1" t="n">
        <v>0.0244</v>
      </c>
      <c r="F11878" s="1" t="n">
        <v>0.0951</v>
      </c>
    </row>
    <row r="11879" customFormat="false" ht="15" hidden="false" customHeight="false" outlineLevel="0" collapsed="false">
      <c r="A11879" s="1" t="s">
        <v>11914</v>
      </c>
      <c r="B11879" s="1" t="s">
        <v>81</v>
      </c>
      <c r="C11879" s="1" t="n">
        <v>107000</v>
      </c>
      <c r="D11879" s="1" t="n">
        <v>167701.6</v>
      </c>
      <c r="E11879" s="1" t="n">
        <v>0.0182</v>
      </c>
      <c r="F11879" s="1" t="n">
        <v>0.1067</v>
      </c>
    </row>
    <row r="11880" customFormat="false" ht="15" hidden="false" customHeight="false" outlineLevel="0" collapsed="false">
      <c r="A11880" s="1" t="s">
        <v>11915</v>
      </c>
      <c r="B11880" s="1" t="s">
        <v>26</v>
      </c>
      <c r="C11880" s="1" t="n">
        <v>266000</v>
      </c>
      <c r="D11880" s="1" t="n">
        <v>22465.6</v>
      </c>
      <c r="E11880" s="1" t="n">
        <v>0.0077</v>
      </c>
      <c r="F11880" s="1" t="n">
        <v>0.0654</v>
      </c>
    </row>
    <row r="11881" customFormat="false" ht="15" hidden="false" customHeight="false" outlineLevel="0" collapsed="false">
      <c r="A11881" s="1" t="s">
        <v>11916</v>
      </c>
      <c r="B11881" s="1" t="s">
        <v>74</v>
      </c>
      <c r="C11881" s="1" t="n">
        <v>168000</v>
      </c>
      <c r="D11881" s="1" t="n">
        <v>33147.2</v>
      </c>
      <c r="E11881" s="1" t="n">
        <v>0.024</v>
      </c>
      <c r="F11881" s="1" t="n">
        <v>0.0951</v>
      </c>
    </row>
    <row r="11882" customFormat="false" ht="15" hidden="false" customHeight="false" outlineLevel="0" collapsed="false">
      <c r="A11882" s="1" t="s">
        <v>11917</v>
      </c>
      <c r="B11882" s="1" t="s">
        <v>88</v>
      </c>
      <c r="C11882" s="1" t="n">
        <v>107000</v>
      </c>
      <c r="D11882" s="1" t="n">
        <v>522.9</v>
      </c>
      <c r="E11882" s="1" t="n">
        <v>0.0231</v>
      </c>
      <c r="F11882" s="1" t="n">
        <v>0.0409</v>
      </c>
    </row>
    <row r="11883" customFormat="false" ht="15" hidden="false" customHeight="false" outlineLevel="0" collapsed="false">
      <c r="A11883" s="1" t="s">
        <v>11918</v>
      </c>
      <c r="B11883" s="1" t="s">
        <v>74</v>
      </c>
      <c r="C11883" s="1" t="n">
        <v>1170000</v>
      </c>
      <c r="D11883" s="1" t="n">
        <v>20828.8</v>
      </c>
      <c r="E11883" s="1" t="n">
        <v>0.053</v>
      </c>
      <c r="F11883" s="1" t="n">
        <v>0.0759</v>
      </c>
    </row>
    <row r="11884" customFormat="false" ht="15" hidden="false" customHeight="false" outlineLevel="0" collapsed="false">
      <c r="A11884" s="1" t="s">
        <v>11919</v>
      </c>
      <c r="B11884" s="1" t="s">
        <v>26</v>
      </c>
      <c r="C11884" s="1" t="n">
        <v>134000</v>
      </c>
      <c r="D11884" s="1" t="n">
        <v>12790.6</v>
      </c>
      <c r="E11884" s="1" t="n">
        <v>0.0288</v>
      </c>
      <c r="F11884" s="1" t="n">
        <v>0.0759</v>
      </c>
    </row>
    <row r="11885" customFormat="false" ht="15" hidden="false" customHeight="false" outlineLevel="0" collapsed="false">
      <c r="A11885" s="1" t="s">
        <v>11920</v>
      </c>
      <c r="B11885" s="1" t="s">
        <v>26</v>
      </c>
      <c r="C11885" s="1" t="n">
        <v>103000</v>
      </c>
      <c r="D11885" s="1" t="n">
        <v>7347.4</v>
      </c>
      <c r="E11885" s="1" t="n">
        <v>0.0348</v>
      </c>
      <c r="F11885" s="1" t="n">
        <v>0.0998</v>
      </c>
    </row>
    <row r="11886" customFormat="false" ht="15" hidden="false" customHeight="false" outlineLevel="0" collapsed="false">
      <c r="A11886" s="1" t="s">
        <v>11921</v>
      </c>
      <c r="B11886" s="1" t="s">
        <v>62</v>
      </c>
      <c r="C11886" s="1" t="n">
        <v>101000</v>
      </c>
      <c r="D11886" s="1" t="n">
        <v>850.2</v>
      </c>
      <c r="E11886" s="1" t="n">
        <v>0.0412</v>
      </c>
      <c r="F11886" s="1" t="n">
        <v>0.0518</v>
      </c>
    </row>
    <row r="11887" customFormat="false" ht="15" hidden="false" customHeight="false" outlineLevel="0" collapsed="false">
      <c r="A11887" s="1" t="s">
        <v>11922</v>
      </c>
      <c r="B11887" s="1" t="s">
        <v>24</v>
      </c>
      <c r="C11887" s="1" t="n">
        <v>131000</v>
      </c>
      <c r="D11887" s="1" t="n">
        <v>918.5</v>
      </c>
      <c r="E11887" s="1" t="n">
        <v>0.0473</v>
      </c>
      <c r="F11887" s="1" t="n">
        <v>0.1241</v>
      </c>
    </row>
    <row r="11888" customFormat="false" ht="15" hidden="false" customHeight="false" outlineLevel="0" collapsed="false">
      <c r="A11888" s="1" t="s">
        <v>11923</v>
      </c>
      <c r="B11888" s="1" t="s">
        <v>26</v>
      </c>
      <c r="C11888" s="1" t="n">
        <v>107000</v>
      </c>
      <c r="D11888" s="1" t="n">
        <v>4505.9</v>
      </c>
      <c r="E11888" s="1" t="n">
        <v>0.059</v>
      </c>
      <c r="F11888" s="1" t="n">
        <v>0.0759</v>
      </c>
    </row>
    <row r="11889" customFormat="false" ht="15" hidden="false" customHeight="false" outlineLevel="0" collapsed="false">
      <c r="A11889" s="1" t="s">
        <v>11924</v>
      </c>
      <c r="B11889" s="1" t="s">
        <v>88</v>
      </c>
      <c r="C11889" s="1" t="n">
        <v>115000</v>
      </c>
      <c r="D11889" s="1" t="n">
        <v>280.8</v>
      </c>
      <c r="E11889" s="1" t="n">
        <v>0.0183</v>
      </c>
      <c r="F11889" s="1" t="n">
        <v>0.2891</v>
      </c>
    </row>
    <row r="11890" customFormat="false" ht="15" hidden="false" customHeight="false" outlineLevel="0" collapsed="false">
      <c r="A11890" s="1" t="s">
        <v>11925</v>
      </c>
      <c r="B11890" s="1" t="s">
        <v>74</v>
      </c>
      <c r="C11890" s="1" t="n">
        <v>98400</v>
      </c>
      <c r="D11890" s="1" t="n">
        <v>81.3</v>
      </c>
      <c r="E11890" s="1" t="n">
        <v>0.0086</v>
      </c>
      <c r="F11890" s="1" t="n">
        <v>0.1305</v>
      </c>
    </row>
    <row r="11891" customFormat="false" ht="15" hidden="false" customHeight="false" outlineLevel="0" collapsed="false">
      <c r="A11891" s="1" t="s">
        <v>11926</v>
      </c>
      <c r="B11891" s="1" t="s">
        <v>92</v>
      </c>
      <c r="C11891" s="1" t="n">
        <v>100000</v>
      </c>
      <c r="D11891" s="1" t="n">
        <v>341.1</v>
      </c>
      <c r="E11891" s="1" t="n">
        <v>0.0399</v>
      </c>
      <c r="F11891" s="1" t="n">
        <v>0.0951</v>
      </c>
    </row>
    <row r="11892" customFormat="false" ht="15" hidden="false" customHeight="false" outlineLevel="0" collapsed="false">
      <c r="A11892" s="1" t="s">
        <v>11927</v>
      </c>
      <c r="B11892" s="1" t="s">
        <v>88</v>
      </c>
      <c r="C11892" s="1" t="n">
        <v>102000</v>
      </c>
      <c r="D11892" s="1" t="n">
        <v>971.2</v>
      </c>
      <c r="E11892" s="1" t="n">
        <v>0.0218</v>
      </c>
      <c r="F11892" s="1" t="n">
        <v>0.0585</v>
      </c>
    </row>
    <row r="11893" customFormat="false" ht="15" hidden="false" customHeight="false" outlineLevel="0" collapsed="false">
      <c r="A11893" s="1" t="s">
        <v>11928</v>
      </c>
      <c r="B11893" s="1" t="s">
        <v>41</v>
      </c>
      <c r="C11893" s="1" t="n">
        <v>109000</v>
      </c>
      <c r="D11893" s="1" t="n">
        <v>18855.6</v>
      </c>
      <c r="E11893" s="1" t="n">
        <v>0.0173</v>
      </c>
      <c r="F11893" s="1" t="n">
        <v>0.1067</v>
      </c>
    </row>
    <row r="11894" customFormat="false" ht="15" hidden="false" customHeight="false" outlineLevel="0" collapsed="false">
      <c r="A11894" s="1" t="s">
        <v>11929</v>
      </c>
      <c r="B11894" s="1" t="s">
        <v>81</v>
      </c>
      <c r="C11894" s="1" t="n">
        <v>158000</v>
      </c>
      <c r="D11894" s="1" t="n">
        <v>7442.5</v>
      </c>
      <c r="E11894" s="1" t="n">
        <v>0.0161</v>
      </c>
      <c r="F11894" s="1" t="n">
        <v>0.0576</v>
      </c>
    </row>
    <row r="11895" customFormat="false" ht="15" hidden="false" customHeight="false" outlineLevel="0" collapsed="false">
      <c r="A11895" s="1" t="s">
        <v>11930</v>
      </c>
      <c r="B11895" s="1" t="s">
        <v>74</v>
      </c>
      <c r="C11895" s="1" t="n">
        <v>100000</v>
      </c>
      <c r="D11895" s="1" t="n">
        <v>2.5</v>
      </c>
      <c r="E11895" s="1" t="n">
        <v>0.2747</v>
      </c>
      <c r="F11895" s="1" t="n">
        <v>0.0897</v>
      </c>
    </row>
    <row r="11896" customFormat="false" ht="15" hidden="false" customHeight="false" outlineLevel="0" collapsed="false">
      <c r="A11896" s="1" t="s">
        <v>11931</v>
      </c>
      <c r="B11896" s="1" t="s">
        <v>195</v>
      </c>
      <c r="C11896" s="1" t="n">
        <v>109000</v>
      </c>
      <c r="D11896" s="1" t="n">
        <v>297.2</v>
      </c>
      <c r="E11896" s="1" t="n">
        <v>0.0248</v>
      </c>
      <c r="F11896" s="1" t="n">
        <v>0.0998</v>
      </c>
    </row>
    <row r="11897" customFormat="false" ht="15" hidden="false" customHeight="false" outlineLevel="0" collapsed="false">
      <c r="A11897" s="1" t="s">
        <v>11932</v>
      </c>
      <c r="B11897" s="1" t="s">
        <v>26</v>
      </c>
      <c r="C11897" s="1" t="n">
        <v>106000</v>
      </c>
      <c r="D11897" s="1" t="n">
        <v>9002.8</v>
      </c>
      <c r="E11897" s="1" t="n">
        <v>0.0443</v>
      </c>
      <c r="F11897" s="1" t="n">
        <v>0.0951</v>
      </c>
    </row>
    <row r="11898" customFormat="false" ht="15" hidden="false" customHeight="false" outlineLevel="0" collapsed="false">
      <c r="A11898" s="1" t="s">
        <v>11933</v>
      </c>
      <c r="B11898" s="1" t="s">
        <v>26</v>
      </c>
      <c r="C11898" s="1" t="n">
        <v>236000</v>
      </c>
      <c r="D11898" s="1" t="n">
        <v>695.1</v>
      </c>
      <c r="E11898" s="1" t="n">
        <v>0.0474</v>
      </c>
      <c r="F11898" s="1" t="n">
        <v>0.1093</v>
      </c>
    </row>
    <row r="11899" customFormat="false" ht="15" hidden="false" customHeight="false" outlineLevel="0" collapsed="false">
      <c r="A11899" s="1" t="s">
        <v>11934</v>
      </c>
      <c r="B11899" s="1" t="s">
        <v>92</v>
      </c>
      <c r="C11899" s="1" t="n">
        <v>166000</v>
      </c>
      <c r="D11899" s="1" t="n">
        <v>52600.8</v>
      </c>
      <c r="E11899" s="1" t="n">
        <v>0.0347</v>
      </c>
      <c r="F11899" s="1" t="n">
        <v>0.0759</v>
      </c>
    </row>
    <row r="11900" customFormat="false" ht="15" hidden="false" customHeight="false" outlineLevel="0" collapsed="false">
      <c r="A11900" s="1" t="s">
        <v>11935</v>
      </c>
      <c r="B11900" s="1" t="s">
        <v>214</v>
      </c>
      <c r="C11900" s="1" t="n">
        <v>128000</v>
      </c>
      <c r="D11900" s="1" t="n">
        <v>1254</v>
      </c>
      <c r="E11900" s="1" t="n">
        <v>0.0239</v>
      </c>
      <c r="F11900" s="1" t="n">
        <v>0.1067</v>
      </c>
    </row>
    <row r="11901" customFormat="false" ht="15" hidden="false" customHeight="false" outlineLevel="0" collapsed="false">
      <c r="A11901" s="1" t="s">
        <v>11936</v>
      </c>
      <c r="B11901" s="1" t="s">
        <v>88</v>
      </c>
      <c r="C11901" s="1" t="n">
        <v>238000</v>
      </c>
      <c r="D11901" s="1" t="n">
        <v>7385</v>
      </c>
      <c r="E11901" s="1" t="n">
        <v>0.0294</v>
      </c>
      <c r="F11901" s="1" t="n">
        <v>0.0938</v>
      </c>
    </row>
    <row r="11902" customFormat="false" ht="15" hidden="false" customHeight="false" outlineLevel="0" collapsed="false">
      <c r="A11902" s="1" t="s">
        <v>11937</v>
      </c>
      <c r="B11902" s="1" t="s">
        <v>26</v>
      </c>
      <c r="C11902" s="1" t="n">
        <v>98400</v>
      </c>
      <c r="D11902" s="1" t="n">
        <v>2241.5</v>
      </c>
      <c r="E11902" s="1" t="n">
        <v>0.0491</v>
      </c>
      <c r="F11902" s="1" t="n">
        <v>0.1534</v>
      </c>
    </row>
    <row r="11903" customFormat="false" ht="15" hidden="false" customHeight="false" outlineLevel="0" collapsed="false">
      <c r="A11903" s="1" t="s">
        <v>11938</v>
      </c>
      <c r="B11903" s="1" t="s">
        <v>214</v>
      </c>
      <c r="C11903" s="1" t="n">
        <v>114000</v>
      </c>
      <c r="D11903" s="1" t="n">
        <v>6550.7</v>
      </c>
      <c r="E11903" s="1" t="n">
        <v>0.0177</v>
      </c>
      <c r="F11903" s="1" t="n">
        <v>0.1067</v>
      </c>
    </row>
    <row r="11904" customFormat="false" ht="15" hidden="false" customHeight="false" outlineLevel="0" collapsed="false">
      <c r="A11904" s="1" t="s">
        <v>11939</v>
      </c>
      <c r="B11904" s="1" t="s">
        <v>26</v>
      </c>
      <c r="C11904" s="1" t="n">
        <v>203000</v>
      </c>
      <c r="D11904" s="1" t="n">
        <v>85120.9</v>
      </c>
      <c r="E11904" s="1" t="n">
        <v>0.0462</v>
      </c>
      <c r="F11904" s="1" t="n">
        <v>0.0759</v>
      </c>
    </row>
    <row r="11905" customFormat="false" ht="15" hidden="false" customHeight="false" outlineLevel="0" collapsed="false">
      <c r="A11905" s="1" t="s">
        <v>11940</v>
      </c>
      <c r="B11905" s="1" t="s">
        <v>81</v>
      </c>
      <c r="C11905" s="1" t="n">
        <v>159000</v>
      </c>
      <c r="D11905" s="1" t="n">
        <v>3777.7</v>
      </c>
      <c r="E11905" s="1" t="n">
        <v>0.0216</v>
      </c>
      <c r="F11905" s="1" t="n">
        <v>0.0514</v>
      </c>
    </row>
    <row r="11906" customFormat="false" ht="15" hidden="false" customHeight="false" outlineLevel="0" collapsed="false">
      <c r="A11906" s="1" t="s">
        <v>11941</v>
      </c>
      <c r="B11906" s="1" t="s">
        <v>26</v>
      </c>
      <c r="C11906" s="1" t="n">
        <v>559000</v>
      </c>
      <c r="D11906" s="1" t="n">
        <v>7800.5</v>
      </c>
      <c r="E11906" s="1" t="n">
        <v>0.0389</v>
      </c>
      <c r="F11906" s="1" t="n">
        <v>0.0759</v>
      </c>
    </row>
    <row r="11907" customFormat="false" ht="15" hidden="false" customHeight="false" outlineLevel="0" collapsed="false">
      <c r="A11907" s="1" t="s">
        <v>11942</v>
      </c>
      <c r="B11907" s="1" t="s">
        <v>41</v>
      </c>
      <c r="C11907" s="1" t="n">
        <v>138000</v>
      </c>
      <c r="D11907" s="1" t="n">
        <v>1683.7</v>
      </c>
      <c r="E11907" s="1" t="n">
        <v>0.0201</v>
      </c>
      <c r="F11907" s="1" t="n">
        <v>0.0585</v>
      </c>
    </row>
    <row r="11908" customFormat="false" ht="15" hidden="false" customHeight="false" outlineLevel="0" collapsed="false">
      <c r="A11908" s="1" t="s">
        <v>11943</v>
      </c>
      <c r="B11908" s="1" t="s">
        <v>26</v>
      </c>
      <c r="C11908" s="1" t="n">
        <v>134000</v>
      </c>
      <c r="D11908" s="1" t="n">
        <v>4890</v>
      </c>
      <c r="F11908" s="1" t="n">
        <v>0.0951</v>
      </c>
    </row>
    <row r="11909" customFormat="false" ht="15" hidden="false" customHeight="false" outlineLevel="0" collapsed="false">
      <c r="A11909" s="1" t="s">
        <v>11944</v>
      </c>
      <c r="B11909" s="1" t="s">
        <v>74</v>
      </c>
      <c r="C11909" s="1" t="n">
        <v>99100</v>
      </c>
      <c r="D11909" s="1" t="n">
        <v>5676.7</v>
      </c>
      <c r="E11909" s="1" t="n">
        <v>0.0585</v>
      </c>
      <c r="F11909" s="1" t="n">
        <v>0.0951</v>
      </c>
    </row>
    <row r="11910" customFormat="false" ht="15" hidden="false" customHeight="false" outlineLevel="0" collapsed="false">
      <c r="A11910" s="1" t="s">
        <v>11945</v>
      </c>
      <c r="B11910" s="1" t="s">
        <v>490</v>
      </c>
      <c r="C11910" s="1" t="n">
        <v>113000</v>
      </c>
      <c r="D11910" s="1" t="n">
        <v>30200</v>
      </c>
      <c r="E11910" s="1" t="n">
        <v>0.0097</v>
      </c>
      <c r="F11910" s="1" t="n">
        <v>0.0822</v>
      </c>
    </row>
    <row r="11911" customFormat="false" ht="15" hidden="false" customHeight="false" outlineLevel="0" collapsed="false">
      <c r="A11911" s="1" t="s">
        <v>11946</v>
      </c>
      <c r="B11911" s="1" t="s">
        <v>26</v>
      </c>
      <c r="C11911" s="1" t="n">
        <v>310000</v>
      </c>
      <c r="D11911" s="1" t="n">
        <v>2421.1</v>
      </c>
      <c r="E11911" s="1" t="n">
        <v>0.0142</v>
      </c>
      <c r="F11911" s="1" t="n">
        <v>0.1053</v>
      </c>
    </row>
    <row r="11912" customFormat="false" ht="15" hidden="false" customHeight="false" outlineLevel="0" collapsed="false">
      <c r="A11912" s="1" t="s">
        <v>11947</v>
      </c>
      <c r="B11912" s="1" t="s">
        <v>88</v>
      </c>
      <c r="C11912" s="1" t="n">
        <v>95200</v>
      </c>
      <c r="D11912" s="1" t="n">
        <v>120.2</v>
      </c>
      <c r="E11912" s="1" t="n">
        <v>0.0557</v>
      </c>
      <c r="F11912" s="1" t="n">
        <v>0.117</v>
      </c>
    </row>
    <row r="11913" customFormat="false" ht="15" hidden="false" customHeight="false" outlineLevel="0" collapsed="false">
      <c r="A11913" s="1" t="s">
        <v>11948</v>
      </c>
      <c r="B11913" s="1" t="s">
        <v>26</v>
      </c>
      <c r="C11913" s="1" t="n">
        <v>1260000</v>
      </c>
      <c r="D11913" s="1" t="n">
        <v>21173.1</v>
      </c>
      <c r="F11913" s="1" t="n">
        <v>0.0409</v>
      </c>
    </row>
    <row r="11914" customFormat="false" ht="15" hidden="false" customHeight="false" outlineLevel="0" collapsed="false">
      <c r="A11914" s="1" t="s">
        <v>11949</v>
      </c>
      <c r="B11914" s="1" t="s">
        <v>53</v>
      </c>
      <c r="C11914" s="1" t="n">
        <v>109000</v>
      </c>
      <c r="D11914" s="1" t="n">
        <v>29503.4</v>
      </c>
      <c r="E11914" s="1" t="n">
        <v>0.0281</v>
      </c>
      <c r="F11914" s="1" t="n">
        <v>0.0951</v>
      </c>
    </row>
    <row r="11915" customFormat="false" ht="15" hidden="false" customHeight="false" outlineLevel="0" collapsed="false">
      <c r="A11915" s="1" t="s">
        <v>11950</v>
      </c>
      <c r="B11915" s="1" t="s">
        <v>62</v>
      </c>
      <c r="C11915" s="1" t="n">
        <v>136000</v>
      </c>
      <c r="D11915" s="1" t="n">
        <v>5061</v>
      </c>
      <c r="E11915" s="1" t="n">
        <v>0.082</v>
      </c>
      <c r="F11915" s="1" t="n">
        <v>0.0759</v>
      </c>
    </row>
    <row r="11916" customFormat="false" ht="15" hidden="false" customHeight="false" outlineLevel="0" collapsed="false">
      <c r="A11916" s="1" t="s">
        <v>11951</v>
      </c>
      <c r="B11916" s="1" t="s">
        <v>26</v>
      </c>
      <c r="C11916" s="1" t="n">
        <v>103000</v>
      </c>
      <c r="D11916" s="1" t="n">
        <v>6695.7</v>
      </c>
      <c r="E11916" s="1" t="n">
        <v>0.0263</v>
      </c>
      <c r="F11916" s="1" t="n">
        <v>0.0409</v>
      </c>
    </row>
    <row r="11917" customFormat="false" ht="15" hidden="false" customHeight="false" outlineLevel="0" collapsed="false">
      <c r="A11917" s="1" t="s">
        <v>11952</v>
      </c>
      <c r="B11917" s="1" t="s">
        <v>26</v>
      </c>
      <c r="C11917" s="1" t="n">
        <v>179000</v>
      </c>
      <c r="D11917" s="1" t="n">
        <v>8871.9</v>
      </c>
      <c r="E11917" s="1" t="n">
        <v>0.06</v>
      </c>
      <c r="F11917" s="1" t="n">
        <v>0.0759</v>
      </c>
    </row>
    <row r="11918" customFormat="false" ht="15" hidden="false" customHeight="false" outlineLevel="0" collapsed="false">
      <c r="A11918" s="1" t="s">
        <v>11953</v>
      </c>
      <c r="B11918" s="1" t="s">
        <v>88</v>
      </c>
      <c r="C11918" s="1" t="n">
        <v>164000</v>
      </c>
      <c r="D11918" s="1" t="n">
        <v>1670.9</v>
      </c>
      <c r="E11918" s="1" t="n">
        <v>0.0582</v>
      </c>
      <c r="F11918" s="1" t="n">
        <v>0.1043</v>
      </c>
    </row>
    <row r="11919" customFormat="false" ht="15" hidden="false" customHeight="false" outlineLevel="0" collapsed="false">
      <c r="A11919" s="1" t="s">
        <v>11954</v>
      </c>
      <c r="B11919" s="1" t="s">
        <v>26</v>
      </c>
      <c r="C11919" s="1" t="n">
        <v>105000</v>
      </c>
      <c r="D11919" s="1" t="n">
        <v>159.3</v>
      </c>
      <c r="E11919" s="1" t="n">
        <v>0.0085</v>
      </c>
      <c r="F11919" s="1" t="n">
        <v>0.3649</v>
      </c>
    </row>
    <row r="11920" customFormat="false" ht="15" hidden="false" customHeight="false" outlineLevel="0" collapsed="false">
      <c r="A11920" s="1" t="s">
        <v>11955</v>
      </c>
      <c r="B11920" s="1" t="s">
        <v>32</v>
      </c>
      <c r="C11920" s="1" t="n">
        <v>102000</v>
      </c>
      <c r="D11920" s="1" t="n">
        <v>439.4</v>
      </c>
      <c r="E11920" s="1" t="n">
        <v>0.034</v>
      </c>
      <c r="F11920" s="1" t="n">
        <v>0.1436</v>
      </c>
    </row>
    <row r="11921" customFormat="false" ht="15" hidden="false" customHeight="false" outlineLevel="0" collapsed="false">
      <c r="A11921" s="1" t="s">
        <v>11956</v>
      </c>
      <c r="B11921" s="1" t="s">
        <v>32</v>
      </c>
      <c r="C11921" s="1" t="n">
        <v>241000</v>
      </c>
      <c r="D11921" s="1" t="n">
        <v>214104.5</v>
      </c>
      <c r="E11921" s="1" t="n">
        <v>0.0065</v>
      </c>
      <c r="F11921" s="1" t="n">
        <v>0.0654</v>
      </c>
    </row>
    <row r="11922" customFormat="false" ht="15" hidden="false" customHeight="false" outlineLevel="0" collapsed="false">
      <c r="A11922" s="1" t="s">
        <v>11957</v>
      </c>
      <c r="B11922" s="1" t="s">
        <v>53</v>
      </c>
      <c r="C11922" s="1" t="n">
        <v>110000</v>
      </c>
      <c r="D11922" s="1" t="n">
        <v>8670.7</v>
      </c>
      <c r="E11922" s="1" t="n">
        <v>0.0628</v>
      </c>
      <c r="F11922" s="1" t="n">
        <v>0.0951</v>
      </c>
    </row>
    <row r="11923" customFormat="false" ht="15" hidden="false" customHeight="false" outlineLevel="0" collapsed="false">
      <c r="A11923" s="1" t="s">
        <v>11958</v>
      </c>
      <c r="B11923" s="1" t="s">
        <v>24</v>
      </c>
      <c r="C11923" s="1" t="n">
        <v>98400</v>
      </c>
      <c r="D11923" s="1" t="n">
        <v>3264.3</v>
      </c>
      <c r="E11923" s="1" t="n">
        <v>0.0545</v>
      </c>
      <c r="F11923" s="1" t="n">
        <v>0.0998</v>
      </c>
    </row>
    <row r="11924" customFormat="false" ht="15" hidden="false" customHeight="false" outlineLevel="0" collapsed="false">
      <c r="A11924" s="1" t="s">
        <v>11959</v>
      </c>
      <c r="B11924" s="1" t="s">
        <v>214</v>
      </c>
      <c r="C11924" s="1" t="n">
        <v>128000</v>
      </c>
      <c r="D11924" s="1" t="n">
        <v>1930</v>
      </c>
      <c r="E11924" s="1" t="n">
        <v>0.0437</v>
      </c>
      <c r="F11924" s="1" t="n">
        <v>0.0759</v>
      </c>
    </row>
    <row r="11925" customFormat="false" ht="15" hidden="false" customHeight="false" outlineLevel="0" collapsed="false">
      <c r="A11925" s="1" t="s">
        <v>11960</v>
      </c>
      <c r="B11925" s="1" t="s">
        <v>26</v>
      </c>
      <c r="C11925" s="1" t="n">
        <v>137000</v>
      </c>
      <c r="D11925" s="1" t="n">
        <v>1953.5</v>
      </c>
      <c r="E11925" s="1" t="n">
        <v>0.019</v>
      </c>
      <c r="F11925" s="1" t="n">
        <v>0.1053</v>
      </c>
    </row>
    <row r="11926" customFormat="false" ht="15" hidden="false" customHeight="false" outlineLevel="0" collapsed="false">
      <c r="A11926" s="1" t="s">
        <v>11961</v>
      </c>
      <c r="B11926" s="1" t="s">
        <v>26</v>
      </c>
      <c r="C11926" s="1" t="n">
        <v>173000</v>
      </c>
      <c r="D11926" s="1" t="n">
        <v>51616</v>
      </c>
      <c r="E11926" s="1" t="n">
        <v>0.0119</v>
      </c>
      <c r="F11926" s="1" t="n">
        <v>0.1067</v>
      </c>
    </row>
    <row r="11927" customFormat="false" ht="15" hidden="false" customHeight="false" outlineLevel="0" collapsed="false">
      <c r="A11927" s="1" t="s">
        <v>11962</v>
      </c>
      <c r="B11927" s="1" t="s">
        <v>50</v>
      </c>
      <c r="C11927" s="1" t="n">
        <v>551000</v>
      </c>
      <c r="D11927" s="1" t="n">
        <v>88513.8</v>
      </c>
      <c r="E11927" s="1" t="n">
        <v>0.0106</v>
      </c>
      <c r="F11927" s="1" t="n">
        <v>0.1058</v>
      </c>
    </row>
    <row r="11928" customFormat="false" ht="15" hidden="false" customHeight="false" outlineLevel="0" collapsed="false">
      <c r="A11928" s="1" t="s">
        <v>11963</v>
      </c>
      <c r="B11928" s="1" t="s">
        <v>26</v>
      </c>
      <c r="C11928" s="1" t="n">
        <v>125000</v>
      </c>
      <c r="D11928" s="1" t="n">
        <v>72188.9</v>
      </c>
      <c r="E11928" s="1" t="n">
        <v>0.0629</v>
      </c>
      <c r="F11928" s="1" t="n">
        <v>0.0951</v>
      </c>
    </row>
    <row r="11929" customFormat="false" ht="15" hidden="false" customHeight="false" outlineLevel="0" collapsed="false">
      <c r="A11929" s="1" t="s">
        <v>11964</v>
      </c>
      <c r="B11929" s="1" t="s">
        <v>26</v>
      </c>
      <c r="C11929" s="1" t="n">
        <v>195000</v>
      </c>
      <c r="D11929" s="1" t="n">
        <v>3375</v>
      </c>
      <c r="E11929" s="1" t="n">
        <v>0.0306</v>
      </c>
      <c r="F11929" s="1" t="n">
        <v>0.0759</v>
      </c>
    </row>
    <row r="11930" customFormat="false" ht="15" hidden="false" customHeight="false" outlineLevel="0" collapsed="false">
      <c r="A11930" s="1" t="s">
        <v>11965</v>
      </c>
      <c r="B11930" s="1" t="s">
        <v>88</v>
      </c>
      <c r="C11930" s="1" t="n">
        <v>106000</v>
      </c>
      <c r="D11930" s="1" t="n">
        <v>1795.2</v>
      </c>
      <c r="E11930" s="1" t="n">
        <v>0.042</v>
      </c>
      <c r="F11930" s="1" t="n">
        <v>0.0951</v>
      </c>
    </row>
    <row r="11931" customFormat="false" ht="15" hidden="false" customHeight="false" outlineLevel="0" collapsed="false">
      <c r="A11931" s="1" t="s">
        <v>11966</v>
      </c>
      <c r="B11931" s="1" t="s">
        <v>214</v>
      </c>
      <c r="C11931" s="1" t="n">
        <v>113000</v>
      </c>
      <c r="D11931" s="1" t="n">
        <v>279.7</v>
      </c>
      <c r="E11931" s="1" t="n">
        <v>0.0317</v>
      </c>
      <c r="F11931" s="1" t="n">
        <v>0.2788</v>
      </c>
    </row>
    <row r="11932" customFormat="false" ht="15" hidden="false" customHeight="false" outlineLevel="0" collapsed="false">
      <c r="A11932" s="1" t="s">
        <v>11967</v>
      </c>
      <c r="B11932" s="1" t="s">
        <v>26</v>
      </c>
      <c r="C11932" s="1" t="n">
        <v>140000</v>
      </c>
      <c r="D11932" s="1" t="n">
        <v>1034.7</v>
      </c>
      <c r="E11932" s="1" t="n">
        <v>0.0113</v>
      </c>
      <c r="F11932" s="1" t="n">
        <v>0.0654</v>
      </c>
    </row>
    <row r="11933" customFormat="false" ht="15" hidden="false" customHeight="false" outlineLevel="0" collapsed="false">
      <c r="A11933" s="1" t="s">
        <v>11968</v>
      </c>
      <c r="B11933" s="1" t="s">
        <v>71</v>
      </c>
      <c r="C11933" s="1" t="n">
        <v>115000</v>
      </c>
      <c r="D11933" s="1" t="n">
        <v>31269</v>
      </c>
      <c r="E11933" s="1" t="n">
        <v>0.0227</v>
      </c>
      <c r="F11933" s="1" t="n">
        <v>0.0854</v>
      </c>
    </row>
    <row r="11934" customFormat="false" ht="15" hidden="false" customHeight="false" outlineLevel="0" collapsed="false">
      <c r="A11934" s="1" t="s">
        <v>11969</v>
      </c>
      <c r="B11934" s="1" t="s">
        <v>81</v>
      </c>
      <c r="C11934" s="1" t="n">
        <v>181000</v>
      </c>
      <c r="D11934" s="1" t="n">
        <v>16226.3</v>
      </c>
      <c r="E11934" s="1" t="n">
        <v>0.0254</v>
      </c>
      <c r="F11934" s="1" t="n">
        <v>0.0409</v>
      </c>
    </row>
    <row r="11935" customFormat="false" ht="15" hidden="false" customHeight="false" outlineLevel="0" collapsed="false">
      <c r="A11935" s="1" t="s">
        <v>11970</v>
      </c>
      <c r="B11935" s="1" t="s">
        <v>88</v>
      </c>
      <c r="C11935" s="1" t="n">
        <v>105000</v>
      </c>
      <c r="D11935" s="1" t="n">
        <v>579.3</v>
      </c>
      <c r="E11935" s="1" t="n">
        <v>0.0707</v>
      </c>
      <c r="F11935" s="1" t="n">
        <v>0.0759</v>
      </c>
    </row>
    <row r="11936" customFormat="false" ht="15" hidden="false" customHeight="false" outlineLevel="0" collapsed="false">
      <c r="A11936" s="1" t="s">
        <v>11971</v>
      </c>
      <c r="B11936" s="1" t="s">
        <v>26</v>
      </c>
      <c r="C11936" s="1" t="n">
        <v>97500</v>
      </c>
      <c r="D11936" s="1" t="n">
        <v>2316.2</v>
      </c>
      <c r="E11936" s="1" t="n">
        <v>0.0836</v>
      </c>
      <c r="F11936" s="1" t="n">
        <v>0.504</v>
      </c>
    </row>
    <row r="11937" customFormat="false" ht="15" hidden="false" customHeight="false" outlineLevel="0" collapsed="false">
      <c r="A11937" s="1" t="s">
        <v>11972</v>
      </c>
      <c r="B11937" s="1" t="s">
        <v>88</v>
      </c>
      <c r="C11937" s="1" t="n">
        <v>123000</v>
      </c>
      <c r="D11937" s="1" t="n">
        <v>13061.2</v>
      </c>
      <c r="E11937" s="1" t="n">
        <v>0.0147</v>
      </c>
      <c r="F11937" s="1" t="n">
        <v>0.0585</v>
      </c>
    </row>
    <row r="11938" customFormat="false" ht="15" hidden="false" customHeight="false" outlineLevel="0" collapsed="false">
      <c r="A11938" s="1" t="s">
        <v>11973</v>
      </c>
      <c r="B11938" s="1" t="s">
        <v>26</v>
      </c>
      <c r="C11938" s="1" t="n">
        <v>88300</v>
      </c>
      <c r="D11938" s="1" t="n">
        <v>438.1</v>
      </c>
      <c r="E11938" s="1" t="n">
        <v>0.0049</v>
      </c>
      <c r="F11938" s="1" t="n">
        <v>0.1889</v>
      </c>
    </row>
    <row r="11939" customFormat="false" ht="15" hidden="false" customHeight="false" outlineLevel="0" collapsed="false">
      <c r="A11939" s="1" t="s">
        <v>11974</v>
      </c>
      <c r="B11939" s="1" t="s">
        <v>92</v>
      </c>
      <c r="C11939" s="1" t="n">
        <v>116000</v>
      </c>
      <c r="D11939" s="1" t="n">
        <v>10614</v>
      </c>
      <c r="E11939" s="1" t="n">
        <v>0.0336</v>
      </c>
      <c r="F11939" s="1" t="n">
        <v>0.0759</v>
      </c>
    </row>
    <row r="11940" customFormat="false" ht="15" hidden="false" customHeight="false" outlineLevel="0" collapsed="false">
      <c r="A11940" s="1" t="s">
        <v>11975</v>
      </c>
      <c r="B11940" s="1" t="s">
        <v>30</v>
      </c>
      <c r="C11940" s="1" t="n">
        <v>662000</v>
      </c>
      <c r="D11940" s="1" t="n">
        <v>443006.6</v>
      </c>
      <c r="E11940" s="1" t="n">
        <v>0.0162</v>
      </c>
      <c r="F11940" s="1" t="n">
        <v>0.0774</v>
      </c>
    </row>
    <row r="11941" customFormat="false" ht="15" hidden="false" customHeight="false" outlineLevel="0" collapsed="false">
      <c r="A11941" s="1" t="s">
        <v>11976</v>
      </c>
      <c r="B11941" s="1" t="s">
        <v>21</v>
      </c>
      <c r="C11941" s="1" t="n">
        <v>97800</v>
      </c>
      <c r="D11941" s="1" t="n">
        <v>401.3</v>
      </c>
      <c r="E11941" s="1" t="n">
        <v>0.0387</v>
      </c>
      <c r="F11941" s="1" t="n">
        <v>0.0759</v>
      </c>
    </row>
    <row r="11942" customFormat="false" ht="15" hidden="false" customHeight="false" outlineLevel="0" collapsed="false">
      <c r="A11942" s="1" t="s">
        <v>11977</v>
      </c>
      <c r="B11942" s="1" t="s">
        <v>88</v>
      </c>
      <c r="C11942" s="1" t="n">
        <v>111000</v>
      </c>
      <c r="D11942" s="1" t="n">
        <v>797.4</v>
      </c>
      <c r="E11942" s="1" t="n">
        <v>0.0287</v>
      </c>
      <c r="F11942" s="1" t="n">
        <v>0.051</v>
      </c>
    </row>
    <row r="11943" customFormat="false" ht="15" hidden="false" customHeight="false" outlineLevel="0" collapsed="false">
      <c r="A11943" s="1" t="s">
        <v>11978</v>
      </c>
      <c r="B11943" s="1" t="s">
        <v>26</v>
      </c>
      <c r="C11943" s="1" t="n">
        <v>98200</v>
      </c>
      <c r="D11943" s="1" t="n">
        <v>1047.2</v>
      </c>
      <c r="E11943" s="1" t="n">
        <v>0.0435</v>
      </c>
      <c r="F11943" s="1" t="n">
        <v>0.1243</v>
      </c>
    </row>
    <row r="11944" customFormat="false" ht="15" hidden="false" customHeight="false" outlineLevel="0" collapsed="false">
      <c r="A11944" s="1" t="s">
        <v>11979</v>
      </c>
      <c r="B11944" s="1" t="s">
        <v>24</v>
      </c>
      <c r="C11944" s="1" t="n">
        <v>178000</v>
      </c>
      <c r="D11944" s="1" t="n">
        <v>856.6</v>
      </c>
      <c r="E11944" s="1" t="n">
        <v>0.0061</v>
      </c>
      <c r="F11944" s="1" t="n">
        <v>0.0654</v>
      </c>
    </row>
    <row r="11945" customFormat="false" ht="15" hidden="false" customHeight="false" outlineLevel="0" collapsed="false">
      <c r="A11945" s="1" t="s">
        <v>11980</v>
      </c>
      <c r="B11945" s="1" t="s">
        <v>88</v>
      </c>
      <c r="C11945" s="1" t="n">
        <v>113000</v>
      </c>
      <c r="D11945" s="1" t="n">
        <v>1379.1</v>
      </c>
      <c r="E11945" s="1" t="n">
        <v>0.0346</v>
      </c>
      <c r="F11945" s="1" t="n">
        <v>0.0938</v>
      </c>
    </row>
    <row r="11946" customFormat="false" ht="15" hidden="false" customHeight="false" outlineLevel="0" collapsed="false">
      <c r="A11946" s="1" t="s">
        <v>11981</v>
      </c>
      <c r="B11946" s="1" t="s">
        <v>30</v>
      </c>
      <c r="C11946" s="1" t="n">
        <v>100000</v>
      </c>
      <c r="D11946" s="1" t="n">
        <v>151.6</v>
      </c>
      <c r="E11946" s="1" t="n">
        <v>0.0431</v>
      </c>
      <c r="F11946" s="1" t="n">
        <v>0.0951</v>
      </c>
    </row>
    <row r="11947" customFormat="false" ht="15" hidden="false" customHeight="false" outlineLevel="0" collapsed="false">
      <c r="A11947" s="1" t="s">
        <v>11982</v>
      </c>
      <c r="B11947" s="1" t="s">
        <v>26</v>
      </c>
      <c r="C11947" s="1" t="n">
        <v>104000</v>
      </c>
      <c r="D11947" s="1" t="n">
        <v>5524.5</v>
      </c>
      <c r="E11947" s="1" t="n">
        <v>0.0506</v>
      </c>
      <c r="F11947" s="1" t="n">
        <v>0.0951</v>
      </c>
    </row>
    <row r="11948" customFormat="false" ht="15" hidden="false" customHeight="false" outlineLevel="0" collapsed="false">
      <c r="A11948" s="1" t="s">
        <v>11983</v>
      </c>
      <c r="B11948" s="1" t="s">
        <v>26</v>
      </c>
      <c r="C11948" s="1" t="n">
        <v>110000</v>
      </c>
      <c r="D11948" s="1" t="n">
        <v>778725.5</v>
      </c>
      <c r="E11948" s="1" t="n">
        <v>0.0162</v>
      </c>
      <c r="F11948" s="1" t="n">
        <v>0.1953</v>
      </c>
    </row>
    <row r="11949" customFormat="false" ht="15" hidden="false" customHeight="false" outlineLevel="0" collapsed="false">
      <c r="A11949" s="1" t="s">
        <v>11984</v>
      </c>
      <c r="B11949" s="1" t="s">
        <v>92</v>
      </c>
      <c r="C11949" s="1" t="n">
        <v>227000</v>
      </c>
      <c r="D11949" s="1" t="n">
        <v>2809.2</v>
      </c>
      <c r="E11949" s="1" t="n">
        <v>0.0156</v>
      </c>
      <c r="F11949" s="1" t="n">
        <v>0.0915</v>
      </c>
    </row>
    <row r="11950" customFormat="false" ht="15" hidden="false" customHeight="false" outlineLevel="0" collapsed="false">
      <c r="A11950" s="1" t="s">
        <v>11985</v>
      </c>
      <c r="B11950" s="1" t="s">
        <v>88</v>
      </c>
      <c r="C11950" s="1" t="n">
        <v>192000</v>
      </c>
      <c r="D11950" s="1" t="n">
        <v>1511.8</v>
      </c>
      <c r="E11950" s="1" t="n">
        <v>0.0528</v>
      </c>
      <c r="F11950" s="1" t="n">
        <v>0.0759</v>
      </c>
    </row>
    <row r="11951" customFormat="false" ht="15" hidden="false" customHeight="false" outlineLevel="0" collapsed="false">
      <c r="A11951" s="1" t="s">
        <v>11986</v>
      </c>
      <c r="B11951" s="1" t="s">
        <v>287</v>
      </c>
      <c r="C11951" s="1" t="n">
        <v>179000</v>
      </c>
      <c r="D11951" s="1" t="n">
        <v>1879</v>
      </c>
      <c r="E11951" s="1" t="n">
        <v>0.0113</v>
      </c>
      <c r="F11951" s="1" t="n">
        <v>0.0726</v>
      </c>
    </row>
    <row r="11952" customFormat="false" ht="15" hidden="false" customHeight="false" outlineLevel="0" collapsed="false">
      <c r="A11952" s="1" t="s">
        <v>11987</v>
      </c>
      <c r="B11952" s="1" t="s">
        <v>26</v>
      </c>
      <c r="C11952" s="1" t="n">
        <v>149000</v>
      </c>
      <c r="D11952" s="1" t="n">
        <v>5722.7</v>
      </c>
      <c r="E11952" s="1" t="n">
        <v>0.0217</v>
      </c>
      <c r="F11952" s="1" t="n">
        <v>0.0854</v>
      </c>
    </row>
    <row r="11953" customFormat="false" ht="15" hidden="false" customHeight="false" outlineLevel="0" collapsed="false">
      <c r="A11953" s="1" t="s">
        <v>11988</v>
      </c>
      <c r="B11953" s="1" t="s">
        <v>287</v>
      </c>
      <c r="C11953" s="1" t="n">
        <v>150000</v>
      </c>
      <c r="D11953" s="1" t="n">
        <v>1031.2</v>
      </c>
      <c r="E11953" s="1" t="n">
        <v>0.0263</v>
      </c>
      <c r="F11953" s="1" t="n">
        <v>0.0998</v>
      </c>
    </row>
    <row r="11954" customFormat="false" ht="15" hidden="false" customHeight="false" outlineLevel="0" collapsed="false">
      <c r="A11954" s="1" t="s">
        <v>11989</v>
      </c>
      <c r="B11954" s="1" t="s">
        <v>214</v>
      </c>
      <c r="C11954" s="1" t="n">
        <v>99400</v>
      </c>
      <c r="D11954" s="1" t="n">
        <v>168</v>
      </c>
      <c r="E11954" s="1" t="n">
        <v>0.0279</v>
      </c>
      <c r="F11954" s="1" t="n">
        <v>0.0951</v>
      </c>
    </row>
    <row r="11955" customFormat="false" ht="15" hidden="false" customHeight="false" outlineLevel="0" collapsed="false">
      <c r="A11955" s="1" t="s">
        <v>11990</v>
      </c>
      <c r="B11955" s="1" t="s">
        <v>490</v>
      </c>
      <c r="C11955" s="1" t="n">
        <v>164000</v>
      </c>
      <c r="D11955" s="1" t="n">
        <v>3537.5</v>
      </c>
      <c r="E11955" s="1" t="n">
        <v>0.0225</v>
      </c>
      <c r="F11955" s="1" t="n">
        <v>0.0845</v>
      </c>
    </row>
    <row r="11956" customFormat="false" ht="15" hidden="false" customHeight="false" outlineLevel="0" collapsed="false">
      <c r="A11956" s="1" t="s">
        <v>11991</v>
      </c>
      <c r="B11956" s="1" t="s">
        <v>195</v>
      </c>
      <c r="C11956" s="1" t="n">
        <v>99100</v>
      </c>
      <c r="D11956" s="1" t="n">
        <v>508.4</v>
      </c>
      <c r="E11956" s="1" t="n">
        <v>0.0101</v>
      </c>
      <c r="F11956" s="1" t="n">
        <v>0.0462</v>
      </c>
    </row>
    <row r="11957" customFormat="false" ht="15" hidden="false" customHeight="false" outlineLevel="0" collapsed="false">
      <c r="A11957" s="1" t="s">
        <v>11992</v>
      </c>
      <c r="B11957" s="1" t="s">
        <v>62</v>
      </c>
      <c r="C11957" s="1" t="n">
        <v>102000</v>
      </c>
      <c r="D11957" s="1" t="n">
        <v>3460.9</v>
      </c>
      <c r="E11957" s="1" t="n">
        <v>0.0454</v>
      </c>
      <c r="F11957" s="1" t="n">
        <v>0.1184</v>
      </c>
    </row>
    <row r="11958" customFormat="false" ht="15" hidden="false" customHeight="false" outlineLevel="0" collapsed="false">
      <c r="A11958" s="1" t="s">
        <v>11993</v>
      </c>
      <c r="B11958" s="1" t="s">
        <v>26</v>
      </c>
      <c r="C11958" s="1" t="n">
        <v>97500</v>
      </c>
      <c r="D11958" s="1" t="n">
        <v>64028.4</v>
      </c>
      <c r="E11958" s="1" t="n">
        <v>0.0557</v>
      </c>
      <c r="F11958" s="1" t="n">
        <v>0.0951</v>
      </c>
    </row>
    <row r="11959" customFormat="false" ht="15" hidden="false" customHeight="false" outlineLevel="0" collapsed="false">
      <c r="A11959" s="1" t="s">
        <v>11994</v>
      </c>
      <c r="B11959" s="1" t="s">
        <v>53</v>
      </c>
      <c r="C11959" s="1" t="n">
        <v>115000</v>
      </c>
      <c r="D11959" s="1" t="n">
        <v>8527.4</v>
      </c>
      <c r="E11959" s="1" t="n">
        <v>0.0264</v>
      </c>
      <c r="F11959" s="1" t="n">
        <v>0.0759</v>
      </c>
    </row>
    <row r="11960" customFormat="false" ht="15" hidden="false" customHeight="false" outlineLevel="0" collapsed="false">
      <c r="A11960" s="1" t="s">
        <v>11995</v>
      </c>
      <c r="B11960" s="1" t="s">
        <v>74</v>
      </c>
      <c r="C11960" s="1" t="n">
        <v>102000</v>
      </c>
      <c r="D11960" s="1" t="n">
        <v>2089.5</v>
      </c>
      <c r="E11960" s="1" t="n">
        <v>0.0178</v>
      </c>
      <c r="F11960" s="1" t="n">
        <v>0.1241</v>
      </c>
    </row>
    <row r="11961" customFormat="false" ht="15" hidden="false" customHeight="false" outlineLevel="0" collapsed="false">
      <c r="A11961" s="1" t="s">
        <v>11996</v>
      </c>
      <c r="B11961" s="1" t="s">
        <v>26</v>
      </c>
      <c r="C11961" s="1" t="n">
        <v>103000</v>
      </c>
      <c r="D11961" s="1" t="n">
        <v>14452.1</v>
      </c>
      <c r="E11961" s="1" t="n">
        <v>0.0393</v>
      </c>
      <c r="F11961" s="1" t="n">
        <v>0.0759</v>
      </c>
    </row>
    <row r="11962" customFormat="false" ht="15" hidden="false" customHeight="false" outlineLevel="0" collapsed="false">
      <c r="A11962" s="1" t="s">
        <v>11997</v>
      </c>
      <c r="B11962" s="1" t="s">
        <v>26</v>
      </c>
      <c r="C11962" s="1" t="n">
        <v>203000</v>
      </c>
      <c r="D11962" s="1" t="n">
        <v>3418.4</v>
      </c>
      <c r="E11962" s="1" t="n">
        <v>0.0218</v>
      </c>
      <c r="F11962" s="1" t="n">
        <v>0.0462</v>
      </c>
    </row>
    <row r="11963" customFormat="false" ht="15" hidden="false" customHeight="false" outlineLevel="0" collapsed="false">
      <c r="A11963" s="1" t="s">
        <v>11998</v>
      </c>
      <c r="B11963" s="1" t="s">
        <v>88</v>
      </c>
      <c r="C11963" s="1" t="n">
        <v>262000</v>
      </c>
      <c r="D11963" s="1" t="n">
        <v>24454.6</v>
      </c>
      <c r="E11963" s="1" t="n">
        <v>0.0326</v>
      </c>
      <c r="F11963" s="1" t="n">
        <v>0.0759</v>
      </c>
    </row>
    <row r="11964" customFormat="false" ht="15" hidden="false" customHeight="false" outlineLevel="0" collapsed="false">
      <c r="A11964" s="1" t="s">
        <v>11999</v>
      </c>
      <c r="B11964" s="1" t="s">
        <v>21</v>
      </c>
      <c r="C11964" s="1" t="n">
        <v>99400</v>
      </c>
      <c r="D11964" s="1" t="n">
        <v>88087.1</v>
      </c>
      <c r="E11964" s="1" t="n">
        <v>0.0348</v>
      </c>
      <c r="F11964" s="1" t="n">
        <v>0.0951</v>
      </c>
    </row>
    <row r="11965" customFormat="false" ht="15" hidden="false" customHeight="false" outlineLevel="0" collapsed="false">
      <c r="A11965" s="1" t="s">
        <v>12000</v>
      </c>
      <c r="B11965" s="1" t="s">
        <v>26</v>
      </c>
      <c r="C11965" s="1" t="n">
        <v>98200</v>
      </c>
      <c r="D11965" s="1" t="n">
        <v>1216.7</v>
      </c>
      <c r="E11965" s="1" t="n">
        <v>0.0171</v>
      </c>
      <c r="F11965" s="1" t="n">
        <v>0.0488</v>
      </c>
    </row>
    <row r="11966" customFormat="false" ht="15" hidden="false" customHeight="false" outlineLevel="0" collapsed="false">
      <c r="A11966" s="1" t="s">
        <v>12001</v>
      </c>
      <c r="B11966" s="1" t="s">
        <v>74</v>
      </c>
      <c r="C11966" s="1" t="n">
        <v>116000</v>
      </c>
      <c r="D11966" s="1" t="n">
        <v>780.9</v>
      </c>
      <c r="E11966" s="1" t="n">
        <v>0.0483</v>
      </c>
      <c r="F11966" s="1" t="n">
        <v>0.0518</v>
      </c>
    </row>
    <row r="11967" customFormat="false" ht="15" hidden="false" customHeight="false" outlineLevel="0" collapsed="false">
      <c r="A11967" s="1" t="s">
        <v>12002</v>
      </c>
      <c r="B11967" s="1" t="s">
        <v>214</v>
      </c>
      <c r="C11967" s="1" t="n">
        <v>177000</v>
      </c>
      <c r="D11967" s="1" t="n">
        <v>5005.5</v>
      </c>
      <c r="E11967" s="1" t="n">
        <v>0.011</v>
      </c>
      <c r="F11967" s="1" t="n">
        <v>0.0584</v>
      </c>
    </row>
    <row r="11968" customFormat="false" ht="15" hidden="false" customHeight="false" outlineLevel="0" collapsed="false">
      <c r="A11968" s="1" t="s">
        <v>12003</v>
      </c>
      <c r="B11968" s="1" t="s">
        <v>24</v>
      </c>
      <c r="C11968" s="1" t="n">
        <v>113000</v>
      </c>
      <c r="D11968" s="1" t="n">
        <v>10282.5</v>
      </c>
      <c r="E11968" s="1" t="n">
        <v>0.0131</v>
      </c>
      <c r="F11968" s="1" t="n">
        <v>0.0585</v>
      </c>
    </row>
    <row r="11969" customFormat="false" ht="15" hidden="false" customHeight="false" outlineLevel="0" collapsed="false">
      <c r="A11969" s="1" t="s">
        <v>12004</v>
      </c>
      <c r="B11969" s="1" t="s">
        <v>74</v>
      </c>
      <c r="C11969" s="1" t="n">
        <v>171000</v>
      </c>
      <c r="D11969" s="1" t="n">
        <v>3130.6</v>
      </c>
      <c r="E11969" s="1" t="n">
        <v>0.0314</v>
      </c>
      <c r="F11969" s="1" t="n">
        <v>0.0951</v>
      </c>
    </row>
    <row r="11970" customFormat="false" ht="15" hidden="false" customHeight="false" outlineLevel="0" collapsed="false">
      <c r="A11970" s="1" t="s">
        <v>12005</v>
      </c>
      <c r="B11970" s="1" t="s">
        <v>26</v>
      </c>
      <c r="C11970" s="1" t="n">
        <v>128000</v>
      </c>
      <c r="D11970" s="1" t="n">
        <v>751.6</v>
      </c>
      <c r="E11970" s="1" t="n">
        <v>0.0235</v>
      </c>
      <c r="F11970" s="1" t="n">
        <v>0.0759</v>
      </c>
    </row>
    <row r="11971" customFormat="false" ht="15" hidden="false" customHeight="false" outlineLevel="0" collapsed="false">
      <c r="A11971" s="1" t="s">
        <v>12006</v>
      </c>
      <c r="B11971" s="1" t="s">
        <v>62</v>
      </c>
      <c r="C11971" s="1" t="n">
        <v>128000</v>
      </c>
      <c r="D11971" s="1" t="n">
        <v>7492.8</v>
      </c>
      <c r="E11971" s="1" t="n">
        <v>0.0134</v>
      </c>
      <c r="F11971" s="1" t="n">
        <v>0.0462</v>
      </c>
    </row>
    <row r="11972" customFormat="false" ht="15" hidden="false" customHeight="false" outlineLevel="0" collapsed="false">
      <c r="A11972" s="1" t="s">
        <v>12007</v>
      </c>
      <c r="B11972" s="1" t="s">
        <v>214</v>
      </c>
      <c r="C11972" s="1" t="n">
        <v>145000</v>
      </c>
      <c r="D11972" s="1" t="n">
        <v>2578.5</v>
      </c>
      <c r="E11972" s="1" t="n">
        <v>0.0314</v>
      </c>
      <c r="F11972" s="1" t="n">
        <v>0.0672</v>
      </c>
    </row>
    <row r="11973" customFormat="false" ht="15" hidden="false" customHeight="false" outlineLevel="0" collapsed="false">
      <c r="A11973" s="1" t="s">
        <v>12008</v>
      </c>
      <c r="B11973" s="1" t="s">
        <v>41</v>
      </c>
      <c r="C11973" s="1" t="n">
        <v>147000</v>
      </c>
      <c r="D11973" s="1" t="n">
        <v>4163.1</v>
      </c>
      <c r="E11973" s="1" t="n">
        <v>0.0205</v>
      </c>
      <c r="F11973" s="1" t="n">
        <v>0.0845</v>
      </c>
    </row>
    <row r="11974" customFormat="false" ht="15" hidden="false" customHeight="false" outlineLevel="0" collapsed="false">
      <c r="A11974" s="1" t="s">
        <v>12009</v>
      </c>
      <c r="B11974" s="1" t="s">
        <v>81</v>
      </c>
      <c r="C11974" s="1" t="n">
        <v>132000</v>
      </c>
      <c r="D11974" s="1" t="n">
        <v>3685.6</v>
      </c>
      <c r="E11974" s="1" t="n">
        <v>0.0241</v>
      </c>
      <c r="F11974" s="1" t="n">
        <v>0.131</v>
      </c>
    </row>
    <row r="11975" customFormat="false" ht="15" hidden="false" customHeight="false" outlineLevel="0" collapsed="false">
      <c r="A11975" s="1" t="s">
        <v>12010</v>
      </c>
      <c r="B11975" s="1" t="s">
        <v>28</v>
      </c>
      <c r="C11975" s="1" t="n">
        <v>98200</v>
      </c>
      <c r="D11975" s="1" t="n">
        <v>161.9</v>
      </c>
      <c r="E11975" s="1" t="n">
        <v>0.0434</v>
      </c>
      <c r="F11975" s="1" t="n">
        <v>0.0951</v>
      </c>
    </row>
    <row r="11976" customFormat="false" ht="15" hidden="false" customHeight="false" outlineLevel="0" collapsed="false">
      <c r="A11976" s="1" t="s">
        <v>12011</v>
      </c>
      <c r="B11976" s="1" t="s">
        <v>24</v>
      </c>
      <c r="C11976" s="1" t="n">
        <v>151000</v>
      </c>
      <c r="D11976" s="1" t="n">
        <v>4179.1</v>
      </c>
      <c r="E11976" s="1" t="n">
        <v>0.0576</v>
      </c>
      <c r="F11976" s="1" t="n">
        <v>0.0938</v>
      </c>
    </row>
    <row r="11977" customFormat="false" ht="15" hidden="false" customHeight="false" outlineLevel="0" collapsed="false">
      <c r="A11977" s="1" t="s">
        <v>12012</v>
      </c>
      <c r="B11977" s="1" t="s">
        <v>24</v>
      </c>
      <c r="C11977" s="1" t="n">
        <v>126000</v>
      </c>
      <c r="D11977" s="1" t="n">
        <v>15236.2</v>
      </c>
      <c r="F11977" s="1" t="n">
        <v>0.0951</v>
      </c>
    </row>
    <row r="11978" customFormat="false" ht="15" hidden="false" customHeight="false" outlineLevel="0" collapsed="false">
      <c r="A11978" s="1" t="s">
        <v>12013</v>
      </c>
      <c r="B11978" s="1" t="s">
        <v>74</v>
      </c>
      <c r="C11978" s="1" t="n">
        <v>133000</v>
      </c>
      <c r="D11978" s="1" t="n">
        <v>814.3</v>
      </c>
      <c r="E11978" s="1" t="n">
        <v>0.0454</v>
      </c>
      <c r="F11978" s="1" t="n">
        <v>0.0951</v>
      </c>
    </row>
    <row r="11979" customFormat="false" ht="15" hidden="false" customHeight="false" outlineLevel="0" collapsed="false">
      <c r="A11979" s="1" t="s">
        <v>12014</v>
      </c>
      <c r="B11979" s="1" t="s">
        <v>26</v>
      </c>
      <c r="C11979" s="1" t="n">
        <v>103000</v>
      </c>
      <c r="D11979" s="1" t="n">
        <v>2021.6</v>
      </c>
      <c r="E11979" s="1" t="n">
        <v>0.0156</v>
      </c>
      <c r="F11979" s="1" t="n">
        <v>0.0462</v>
      </c>
    </row>
    <row r="11980" customFormat="false" ht="15" hidden="false" customHeight="false" outlineLevel="0" collapsed="false">
      <c r="A11980" s="1" t="s">
        <v>12015</v>
      </c>
      <c r="B11980" s="1" t="s">
        <v>26</v>
      </c>
      <c r="C11980" s="1" t="n">
        <v>102000</v>
      </c>
      <c r="D11980" s="1" t="n">
        <v>1357.8</v>
      </c>
      <c r="E11980" s="1" t="n">
        <v>0.0233</v>
      </c>
      <c r="F11980" s="1" t="n">
        <v>0.3868</v>
      </c>
    </row>
    <row r="11981" customFormat="false" ht="15" hidden="false" customHeight="false" outlineLevel="0" collapsed="false">
      <c r="A11981" s="1" t="s">
        <v>12016</v>
      </c>
      <c r="B11981" s="1" t="s">
        <v>26</v>
      </c>
      <c r="C11981" s="1" t="n">
        <v>96800</v>
      </c>
      <c r="D11981" s="1" t="n">
        <v>104543.3</v>
      </c>
      <c r="E11981" s="1" t="n">
        <v>0.1133</v>
      </c>
      <c r="F11981" s="1" t="n">
        <v>0.0951</v>
      </c>
    </row>
    <row r="11982" customFormat="false" ht="15" hidden="false" customHeight="false" outlineLevel="0" collapsed="false">
      <c r="A11982" s="1" t="s">
        <v>12017</v>
      </c>
      <c r="B11982" s="1" t="s">
        <v>88</v>
      </c>
      <c r="C11982" s="1" t="n">
        <v>111000</v>
      </c>
      <c r="D11982" s="1" t="n">
        <v>10259.6</v>
      </c>
      <c r="E11982" s="1" t="n">
        <v>0.0192</v>
      </c>
      <c r="F11982" s="1" t="n">
        <v>0.0731</v>
      </c>
    </row>
    <row r="11983" customFormat="false" ht="15" hidden="false" customHeight="false" outlineLevel="0" collapsed="false">
      <c r="A11983" s="1" t="s">
        <v>12018</v>
      </c>
      <c r="B11983" s="1" t="s">
        <v>81</v>
      </c>
      <c r="C11983" s="1" t="n">
        <v>98400</v>
      </c>
      <c r="D11983" s="1" t="n">
        <v>2925.5</v>
      </c>
      <c r="E11983" s="1" t="n">
        <v>0.0276</v>
      </c>
      <c r="F11983" s="1" t="n">
        <v>0.0644</v>
      </c>
    </row>
    <row r="11984" customFormat="false" ht="15" hidden="false" customHeight="false" outlineLevel="0" collapsed="false">
      <c r="A11984" s="1" t="s">
        <v>12019</v>
      </c>
      <c r="B11984" s="1" t="s">
        <v>92</v>
      </c>
      <c r="C11984" s="1" t="n">
        <v>122000</v>
      </c>
      <c r="D11984" s="1" t="n">
        <v>39821.7</v>
      </c>
      <c r="E11984" s="1" t="n">
        <v>0.0267</v>
      </c>
      <c r="F11984" s="1" t="n">
        <v>0.0951</v>
      </c>
    </row>
    <row r="11985" customFormat="false" ht="15" hidden="false" customHeight="false" outlineLevel="0" collapsed="false">
      <c r="A11985" s="1" t="s">
        <v>12020</v>
      </c>
      <c r="B11985" s="1" t="s">
        <v>26</v>
      </c>
      <c r="C11985" s="1" t="n">
        <v>96800</v>
      </c>
      <c r="D11985" s="1" t="n">
        <v>595.9</v>
      </c>
      <c r="E11985" s="1" t="n">
        <v>0.0289</v>
      </c>
      <c r="F11985" s="1" t="n">
        <v>0.1108</v>
      </c>
    </row>
    <row r="11986" customFormat="false" ht="15" hidden="false" customHeight="false" outlineLevel="0" collapsed="false">
      <c r="A11986" s="1" t="s">
        <v>12021</v>
      </c>
      <c r="B11986" s="1" t="s">
        <v>214</v>
      </c>
      <c r="C11986" s="1" t="n">
        <v>106000</v>
      </c>
      <c r="D11986" s="1" t="n">
        <v>15504.7</v>
      </c>
      <c r="E11986" s="1" t="n">
        <v>0.0283</v>
      </c>
      <c r="F11986" s="1" t="n">
        <v>0.0845</v>
      </c>
    </row>
    <row r="11987" customFormat="false" ht="15" hidden="false" customHeight="false" outlineLevel="0" collapsed="false">
      <c r="A11987" s="1" t="s">
        <v>12022</v>
      </c>
      <c r="B11987" s="1" t="s">
        <v>74</v>
      </c>
      <c r="C11987" s="1" t="n">
        <v>94200</v>
      </c>
      <c r="D11987" s="1" t="n">
        <v>348.1</v>
      </c>
      <c r="E11987" s="1" t="n">
        <v>0.0138</v>
      </c>
      <c r="F11987" s="1" t="n">
        <v>0.2891</v>
      </c>
    </row>
    <row r="11988" customFormat="false" ht="15" hidden="false" customHeight="false" outlineLevel="0" collapsed="false">
      <c r="A11988" s="1" t="s">
        <v>12023</v>
      </c>
      <c r="B11988" s="1" t="s">
        <v>50</v>
      </c>
      <c r="C11988" s="1" t="n">
        <v>114000</v>
      </c>
      <c r="D11988" s="1" t="n">
        <v>8633.8</v>
      </c>
      <c r="E11988" s="1" t="n">
        <v>0.0528</v>
      </c>
      <c r="F11988" s="1" t="n">
        <v>0.0759</v>
      </c>
    </row>
    <row r="11989" customFormat="false" ht="15" hidden="false" customHeight="false" outlineLevel="0" collapsed="false">
      <c r="A11989" s="1" t="s">
        <v>12024</v>
      </c>
      <c r="B11989" s="1" t="s">
        <v>26</v>
      </c>
      <c r="C11989" s="1" t="n">
        <v>140000</v>
      </c>
      <c r="D11989" s="1" t="n">
        <v>689.2</v>
      </c>
      <c r="E11989" s="1" t="n">
        <v>0.0147</v>
      </c>
      <c r="F11989" s="1" t="n">
        <v>0.0488</v>
      </c>
    </row>
    <row r="11990" customFormat="false" ht="15" hidden="false" customHeight="false" outlineLevel="0" collapsed="false">
      <c r="A11990" s="1" t="s">
        <v>12025</v>
      </c>
      <c r="B11990" s="1" t="s">
        <v>74</v>
      </c>
      <c r="C11990" s="1" t="n">
        <v>116000</v>
      </c>
      <c r="D11990" s="1" t="n">
        <v>6119.7</v>
      </c>
      <c r="E11990" s="1" t="n">
        <v>0.0694</v>
      </c>
      <c r="F11990" s="1" t="n">
        <v>0.0938</v>
      </c>
    </row>
    <row r="11991" customFormat="false" ht="15" hidden="false" customHeight="false" outlineLevel="0" collapsed="false">
      <c r="A11991" s="1" t="s">
        <v>12026</v>
      </c>
      <c r="B11991" s="1" t="s">
        <v>53</v>
      </c>
      <c r="C11991" s="1" t="n">
        <v>190000</v>
      </c>
      <c r="D11991" s="1" t="n">
        <v>68670.7</v>
      </c>
      <c r="F11991" s="1" t="n">
        <v>0.051</v>
      </c>
    </row>
    <row r="11992" customFormat="false" ht="15" hidden="false" customHeight="false" outlineLevel="0" collapsed="false">
      <c r="A11992" s="1" t="s">
        <v>12027</v>
      </c>
      <c r="B11992" s="1" t="s">
        <v>24</v>
      </c>
      <c r="C11992" s="1" t="n">
        <v>126000</v>
      </c>
      <c r="D11992" s="1" t="n">
        <v>4482.6</v>
      </c>
      <c r="E11992" s="1" t="n">
        <v>0.049</v>
      </c>
      <c r="F11992" s="1" t="n">
        <v>0.0759</v>
      </c>
    </row>
    <row r="11993" customFormat="false" ht="15" hidden="false" customHeight="false" outlineLevel="0" collapsed="false">
      <c r="A11993" s="1" t="s">
        <v>12028</v>
      </c>
      <c r="B11993" s="1" t="s">
        <v>24</v>
      </c>
      <c r="C11993" s="1" t="n">
        <v>157000</v>
      </c>
      <c r="D11993" s="1" t="n">
        <v>1818.4</v>
      </c>
      <c r="E11993" s="1" t="n">
        <v>0.0649</v>
      </c>
      <c r="F11993" s="1" t="n">
        <v>0.0938</v>
      </c>
    </row>
    <row r="11994" customFormat="false" ht="15" hidden="false" customHeight="false" outlineLevel="0" collapsed="false">
      <c r="A11994" s="1" t="s">
        <v>12029</v>
      </c>
      <c r="B11994" s="1" t="s">
        <v>195</v>
      </c>
      <c r="C11994" s="1" t="n">
        <v>100000</v>
      </c>
      <c r="D11994" s="1" t="n">
        <v>77959.6</v>
      </c>
      <c r="E11994" s="1" t="n">
        <v>0.0839</v>
      </c>
      <c r="F11994" s="1" t="n">
        <v>0.0951</v>
      </c>
    </row>
    <row r="11995" customFormat="false" ht="15" hidden="false" customHeight="false" outlineLevel="0" collapsed="false">
      <c r="A11995" s="1" t="s">
        <v>12030</v>
      </c>
      <c r="B11995" s="1" t="s">
        <v>62</v>
      </c>
      <c r="C11995" s="1" t="n">
        <v>198000</v>
      </c>
      <c r="D11995" s="1" t="n">
        <v>31079.3</v>
      </c>
      <c r="E11995" s="1" t="n">
        <v>0.0709</v>
      </c>
      <c r="F11995" s="1" t="n">
        <v>0.0759</v>
      </c>
    </row>
    <row r="11996" customFormat="false" ht="15" hidden="false" customHeight="false" outlineLevel="0" collapsed="false">
      <c r="A11996" s="1" t="s">
        <v>12031</v>
      </c>
      <c r="B11996" s="1" t="s">
        <v>26</v>
      </c>
      <c r="C11996" s="1" t="n">
        <v>126000</v>
      </c>
      <c r="D11996" s="1" t="n">
        <v>948.6</v>
      </c>
      <c r="E11996" s="1" t="n">
        <v>0.0646</v>
      </c>
      <c r="F11996" s="1" t="n">
        <v>0.0759</v>
      </c>
    </row>
    <row r="11997" customFormat="false" ht="15" hidden="false" customHeight="false" outlineLevel="0" collapsed="false">
      <c r="A11997" s="1" t="s">
        <v>12032</v>
      </c>
      <c r="B11997" s="1" t="s">
        <v>26</v>
      </c>
      <c r="C11997" s="1" t="n">
        <v>96900</v>
      </c>
      <c r="D11997" s="1" t="n">
        <v>177.6</v>
      </c>
      <c r="E11997" s="1" t="n">
        <v>0.056</v>
      </c>
      <c r="F11997" s="1" t="n">
        <v>0.0951</v>
      </c>
    </row>
    <row r="11998" customFormat="false" ht="15" hidden="false" customHeight="false" outlineLevel="0" collapsed="false">
      <c r="A11998" s="1" t="s">
        <v>12033</v>
      </c>
      <c r="B11998" s="1" t="s">
        <v>62</v>
      </c>
      <c r="C11998" s="1" t="n">
        <v>103000</v>
      </c>
      <c r="D11998" s="1" t="n">
        <v>3174</v>
      </c>
      <c r="E11998" s="1" t="n">
        <v>0.0288</v>
      </c>
      <c r="F11998" s="1" t="n">
        <v>0.0759</v>
      </c>
    </row>
    <row r="11999" customFormat="false" ht="15" hidden="false" customHeight="false" outlineLevel="0" collapsed="false">
      <c r="A11999" s="1" t="s">
        <v>12034</v>
      </c>
      <c r="B11999" s="1" t="s">
        <v>214</v>
      </c>
      <c r="C11999" s="1" t="n">
        <v>126000</v>
      </c>
      <c r="D11999" s="1" t="n">
        <v>24025.5</v>
      </c>
      <c r="E11999" s="1" t="n">
        <v>0.0426</v>
      </c>
      <c r="F11999" s="1" t="n">
        <v>0.0951</v>
      </c>
    </row>
    <row r="12000" customFormat="false" ht="15" hidden="false" customHeight="false" outlineLevel="0" collapsed="false">
      <c r="A12000" s="1" t="s">
        <v>12035</v>
      </c>
      <c r="B12000" s="1" t="s">
        <v>26</v>
      </c>
      <c r="C12000" s="1" t="n">
        <v>95400</v>
      </c>
      <c r="D12000" s="1" t="n">
        <v>8249.3</v>
      </c>
      <c r="E12000" s="1" t="n">
        <v>0.01</v>
      </c>
      <c r="F12000" s="1" t="n">
        <v>0.0821</v>
      </c>
    </row>
    <row r="12001" customFormat="false" ht="15" hidden="false" customHeight="false" outlineLevel="0" collapsed="false">
      <c r="A12001" s="1" t="s">
        <v>12036</v>
      </c>
      <c r="B12001" s="1" t="s">
        <v>195</v>
      </c>
      <c r="C12001" s="1" t="n">
        <v>99000</v>
      </c>
      <c r="D12001" s="1" t="n">
        <v>13668</v>
      </c>
      <c r="E12001" s="1" t="n">
        <v>0.0062</v>
      </c>
      <c r="F12001" s="1" t="n">
        <v>0.1015</v>
      </c>
    </row>
    <row r="12002" customFormat="false" ht="15" hidden="false" customHeight="false" outlineLevel="0" collapsed="false">
      <c r="A12002" s="1" t="s">
        <v>12037</v>
      </c>
      <c r="B12002" s="1" t="s">
        <v>92</v>
      </c>
      <c r="C12002" s="1" t="n">
        <v>97800</v>
      </c>
      <c r="D12002" s="1" t="n">
        <v>18327.8</v>
      </c>
      <c r="E12002" s="1" t="n">
        <v>0.0357</v>
      </c>
      <c r="F12002" s="1" t="n">
        <v>0.0951</v>
      </c>
    </row>
    <row r="12003" customFormat="false" ht="15" hidden="false" customHeight="false" outlineLevel="0" collapsed="false">
      <c r="A12003" s="1" t="s">
        <v>12038</v>
      </c>
      <c r="B12003" s="1" t="s">
        <v>30</v>
      </c>
      <c r="C12003" s="1" t="n">
        <v>184000</v>
      </c>
      <c r="D12003" s="1" t="n">
        <v>967.9</v>
      </c>
      <c r="E12003" s="1" t="n">
        <v>0.0023</v>
      </c>
      <c r="F12003" s="1" t="n">
        <v>0.4532</v>
      </c>
    </row>
    <row r="12004" customFormat="false" ht="15" hidden="false" customHeight="false" outlineLevel="0" collapsed="false">
      <c r="A12004" s="1" t="s">
        <v>12039</v>
      </c>
      <c r="B12004" s="1" t="s">
        <v>26</v>
      </c>
      <c r="C12004" s="1" t="n">
        <v>97200</v>
      </c>
      <c r="D12004" s="1" t="n">
        <v>2282.7</v>
      </c>
      <c r="E12004" s="1" t="n">
        <v>0.0088</v>
      </c>
      <c r="F12004" s="1" t="n">
        <v>0.0822</v>
      </c>
    </row>
    <row r="12005" customFormat="false" ht="15" hidden="false" customHeight="false" outlineLevel="0" collapsed="false">
      <c r="A12005" s="1" t="s">
        <v>12040</v>
      </c>
      <c r="B12005" s="1" t="s">
        <v>88</v>
      </c>
      <c r="C12005" s="1" t="n">
        <v>130000</v>
      </c>
      <c r="D12005" s="1" t="n">
        <v>471.5</v>
      </c>
      <c r="E12005" s="1" t="n">
        <v>0.0363</v>
      </c>
      <c r="F12005" s="1" t="n">
        <v>0.0938</v>
      </c>
    </row>
    <row r="12006" customFormat="false" ht="15" hidden="false" customHeight="false" outlineLevel="0" collapsed="false">
      <c r="A12006" s="1" t="s">
        <v>12041</v>
      </c>
      <c r="B12006" s="1" t="s">
        <v>26</v>
      </c>
      <c r="C12006" s="1" t="n">
        <v>142000</v>
      </c>
      <c r="D12006" s="1" t="n">
        <v>8996.9</v>
      </c>
      <c r="E12006" s="1" t="n">
        <v>0.025</v>
      </c>
      <c r="F12006" s="1" t="n">
        <v>0.0432</v>
      </c>
    </row>
    <row r="12007" customFormat="false" ht="15" hidden="false" customHeight="false" outlineLevel="0" collapsed="false">
      <c r="A12007" s="1" t="s">
        <v>12042</v>
      </c>
      <c r="B12007" s="1" t="s">
        <v>24</v>
      </c>
      <c r="C12007" s="1" t="n">
        <v>110000</v>
      </c>
      <c r="D12007" s="1" t="n">
        <v>6850.4</v>
      </c>
      <c r="E12007" s="1" t="n">
        <v>0.0563</v>
      </c>
      <c r="F12007" s="1" t="n">
        <v>0.0759</v>
      </c>
    </row>
    <row r="12008" customFormat="false" ht="15" hidden="false" customHeight="false" outlineLevel="0" collapsed="false">
      <c r="A12008" s="1" t="s">
        <v>12043</v>
      </c>
      <c r="B12008" s="1" t="s">
        <v>214</v>
      </c>
      <c r="C12008" s="1" t="n">
        <v>180000</v>
      </c>
      <c r="D12008" s="1" t="n">
        <v>11043.3</v>
      </c>
      <c r="E12008" s="1" t="n">
        <v>0.0195</v>
      </c>
      <c r="F12008" s="1" t="n">
        <v>0.0854</v>
      </c>
    </row>
    <row r="12009" customFormat="false" ht="15" hidden="false" customHeight="false" outlineLevel="0" collapsed="false">
      <c r="A12009" s="1" t="s">
        <v>12044</v>
      </c>
      <c r="B12009" s="1" t="s">
        <v>26</v>
      </c>
      <c r="C12009" s="1" t="n">
        <v>117000</v>
      </c>
      <c r="D12009" s="1" t="n">
        <v>2351.8</v>
      </c>
      <c r="E12009" s="1" t="n">
        <v>0.0075</v>
      </c>
      <c r="F12009" s="1" t="n">
        <v>0.0822</v>
      </c>
    </row>
    <row r="12010" customFormat="false" ht="15" hidden="false" customHeight="false" outlineLevel="0" collapsed="false">
      <c r="A12010" s="1" t="s">
        <v>12045</v>
      </c>
      <c r="B12010" s="1" t="s">
        <v>26</v>
      </c>
      <c r="C12010" s="1" t="n">
        <v>108000</v>
      </c>
      <c r="D12010" s="1" t="n">
        <v>20316.2</v>
      </c>
      <c r="E12010" s="1" t="n">
        <v>0.0548</v>
      </c>
      <c r="F12010" s="1" t="n">
        <v>0.0951</v>
      </c>
    </row>
    <row r="12011" customFormat="false" ht="15" hidden="false" customHeight="false" outlineLevel="0" collapsed="false">
      <c r="A12011" s="1" t="s">
        <v>12046</v>
      </c>
      <c r="B12011" s="1" t="s">
        <v>81</v>
      </c>
      <c r="C12011" s="1" t="n">
        <v>102000</v>
      </c>
      <c r="D12011" s="1" t="n">
        <v>32.1</v>
      </c>
      <c r="E12011" s="1" t="n">
        <v>0.0054</v>
      </c>
      <c r="F12011" s="1" t="n">
        <v>0.1779</v>
      </c>
    </row>
    <row r="12012" customFormat="false" ht="15" hidden="false" customHeight="false" outlineLevel="0" collapsed="false">
      <c r="A12012" s="1" t="s">
        <v>12047</v>
      </c>
      <c r="B12012" s="1" t="s">
        <v>24</v>
      </c>
      <c r="C12012" s="1" t="n">
        <v>94700</v>
      </c>
      <c r="D12012" s="1" t="n">
        <v>21380.1</v>
      </c>
      <c r="E12012" s="1" t="n">
        <v>0.0707</v>
      </c>
      <c r="F12012" s="1" t="n">
        <v>0.0951</v>
      </c>
    </row>
    <row r="12013" customFormat="false" ht="15" hidden="false" customHeight="false" outlineLevel="0" collapsed="false">
      <c r="A12013" s="1" t="s">
        <v>12048</v>
      </c>
      <c r="B12013" s="1" t="s">
        <v>490</v>
      </c>
      <c r="C12013" s="1" t="n">
        <v>195000</v>
      </c>
      <c r="D12013" s="1" t="n">
        <v>8454.4</v>
      </c>
      <c r="E12013" s="1" t="n">
        <v>0.0073</v>
      </c>
      <c r="F12013" s="1" t="n">
        <v>0.0654</v>
      </c>
    </row>
    <row r="12014" customFormat="false" ht="15" hidden="false" customHeight="false" outlineLevel="0" collapsed="false">
      <c r="A12014" s="1" t="s">
        <v>12049</v>
      </c>
      <c r="B12014" s="1" t="s">
        <v>30</v>
      </c>
      <c r="C12014" s="1" t="n">
        <v>97400</v>
      </c>
      <c r="D12014" s="1" t="n">
        <v>104111</v>
      </c>
      <c r="E12014" s="1" t="n">
        <v>0.0195</v>
      </c>
      <c r="F12014" s="1" t="n">
        <v>0.095</v>
      </c>
    </row>
    <row r="12015" customFormat="false" ht="15" hidden="false" customHeight="false" outlineLevel="0" collapsed="false">
      <c r="A12015" s="1" t="s">
        <v>12050</v>
      </c>
      <c r="B12015" s="1" t="s">
        <v>26</v>
      </c>
      <c r="C12015" s="1" t="n">
        <v>130000</v>
      </c>
      <c r="D12015" s="1" t="n">
        <v>3444.8</v>
      </c>
      <c r="E12015" s="1" t="n">
        <v>0.0353</v>
      </c>
      <c r="F12015" s="1" t="n">
        <v>0.0938</v>
      </c>
    </row>
    <row r="12016" customFormat="false" ht="15" hidden="false" customHeight="false" outlineLevel="0" collapsed="false">
      <c r="A12016" s="1" t="s">
        <v>12051</v>
      </c>
      <c r="B12016" s="1" t="s">
        <v>71</v>
      </c>
      <c r="C12016" s="1" t="n">
        <v>126000</v>
      </c>
      <c r="D12016" s="1" t="n">
        <v>1591.3</v>
      </c>
      <c r="E12016" s="1" t="n">
        <v>0.0268</v>
      </c>
      <c r="F12016" s="1" t="n">
        <v>0.0759</v>
      </c>
    </row>
    <row r="12017" customFormat="false" ht="15" hidden="false" customHeight="false" outlineLevel="0" collapsed="false">
      <c r="A12017" s="1" t="s">
        <v>12052</v>
      </c>
      <c r="B12017" s="1" t="s">
        <v>26</v>
      </c>
      <c r="C12017" s="1" t="n">
        <v>118000</v>
      </c>
      <c r="D12017" s="1" t="n">
        <v>38710.4</v>
      </c>
      <c r="E12017" s="1" t="n">
        <v>0.0159</v>
      </c>
      <c r="F12017" s="1" t="n">
        <v>0.0585</v>
      </c>
    </row>
    <row r="12018" customFormat="false" ht="15" hidden="false" customHeight="false" outlineLevel="0" collapsed="false">
      <c r="A12018" s="1" t="s">
        <v>12053</v>
      </c>
      <c r="B12018" s="1" t="s">
        <v>26</v>
      </c>
      <c r="C12018" s="1" t="n">
        <v>103000</v>
      </c>
      <c r="D12018" s="1" t="n">
        <v>424861.6</v>
      </c>
      <c r="E12018" s="1" t="n">
        <v>0.0392</v>
      </c>
      <c r="F12018" s="1" t="n">
        <v>0.0951</v>
      </c>
    </row>
    <row r="12019" customFormat="false" ht="15" hidden="false" customHeight="false" outlineLevel="0" collapsed="false">
      <c r="A12019" s="1" t="s">
        <v>12054</v>
      </c>
      <c r="B12019" s="1" t="s">
        <v>490</v>
      </c>
      <c r="C12019" s="1" t="n">
        <v>114000</v>
      </c>
      <c r="D12019" s="1" t="n">
        <v>2088</v>
      </c>
      <c r="E12019" s="1" t="n">
        <v>0.0284</v>
      </c>
      <c r="F12019" s="1" t="n">
        <v>0.0759</v>
      </c>
    </row>
    <row r="12020" customFormat="false" ht="15" hidden="false" customHeight="false" outlineLevel="0" collapsed="false">
      <c r="A12020" s="1" t="s">
        <v>12055</v>
      </c>
      <c r="B12020" s="1" t="s">
        <v>88</v>
      </c>
      <c r="C12020" s="1" t="n">
        <v>276000</v>
      </c>
      <c r="D12020" s="1" t="n">
        <v>414.3</v>
      </c>
      <c r="E12020" s="1" t="n">
        <v>0.0634</v>
      </c>
      <c r="F12020" s="1" t="n">
        <v>0.0938</v>
      </c>
    </row>
    <row r="12021" customFormat="false" ht="15" hidden="false" customHeight="false" outlineLevel="0" collapsed="false">
      <c r="A12021" s="1" t="s">
        <v>12056</v>
      </c>
      <c r="B12021" s="1" t="s">
        <v>71</v>
      </c>
      <c r="C12021" s="1" t="n">
        <v>112000</v>
      </c>
      <c r="D12021" s="1" t="n">
        <v>106.6</v>
      </c>
      <c r="E12021" s="1" t="n">
        <v>0.0362</v>
      </c>
      <c r="F12021" s="1" t="n">
        <v>0.0938</v>
      </c>
    </row>
    <row r="12022" customFormat="false" ht="15" hidden="false" customHeight="false" outlineLevel="0" collapsed="false">
      <c r="A12022" s="1" t="s">
        <v>12057</v>
      </c>
      <c r="B12022" s="1" t="s">
        <v>81</v>
      </c>
      <c r="C12022" s="1" t="n">
        <v>107000</v>
      </c>
      <c r="D12022" s="1" t="n">
        <v>1683.4</v>
      </c>
      <c r="E12022" s="1" t="n">
        <v>0.0184</v>
      </c>
      <c r="F12022" s="1" t="n">
        <v>0.0462</v>
      </c>
    </row>
    <row r="12023" customFormat="false" ht="15" hidden="false" customHeight="false" outlineLevel="0" collapsed="false">
      <c r="A12023" s="1" t="s">
        <v>12058</v>
      </c>
      <c r="B12023" s="1" t="s">
        <v>26</v>
      </c>
      <c r="C12023" s="1" t="n">
        <v>129000</v>
      </c>
      <c r="D12023" s="1" t="n">
        <v>81027.2</v>
      </c>
      <c r="E12023" s="1" t="n">
        <v>0.0223</v>
      </c>
      <c r="F12023" s="1" t="n">
        <v>0.0759</v>
      </c>
    </row>
    <row r="12024" customFormat="false" ht="15" hidden="false" customHeight="false" outlineLevel="0" collapsed="false">
      <c r="A12024" s="1" t="s">
        <v>12059</v>
      </c>
      <c r="B12024" s="1" t="s">
        <v>41</v>
      </c>
      <c r="C12024" s="1" t="n">
        <v>139000</v>
      </c>
      <c r="D12024" s="1" t="n">
        <v>1805.4</v>
      </c>
      <c r="E12024" s="1" t="n">
        <v>0.0266</v>
      </c>
      <c r="F12024" s="1" t="n">
        <v>0.0759</v>
      </c>
    </row>
    <row r="12025" customFormat="false" ht="15" hidden="false" customHeight="false" outlineLevel="0" collapsed="false">
      <c r="A12025" s="1" t="s">
        <v>12060</v>
      </c>
      <c r="B12025" s="1" t="s">
        <v>24</v>
      </c>
      <c r="C12025" s="1" t="n">
        <v>130000</v>
      </c>
      <c r="D12025" s="1" t="n">
        <v>595.6</v>
      </c>
      <c r="E12025" s="1" t="n">
        <v>0.0546</v>
      </c>
      <c r="F12025" s="1" t="n">
        <v>0.1184</v>
      </c>
    </row>
    <row r="12026" customFormat="false" ht="15" hidden="false" customHeight="false" outlineLevel="0" collapsed="false">
      <c r="A12026" s="1" t="s">
        <v>12061</v>
      </c>
      <c r="B12026" s="1" t="s">
        <v>214</v>
      </c>
      <c r="C12026" s="1" t="n">
        <v>115000</v>
      </c>
      <c r="D12026" s="1" t="n">
        <v>4286.8</v>
      </c>
      <c r="E12026" s="1" t="n">
        <v>0.0389</v>
      </c>
      <c r="F12026" s="1" t="n">
        <v>0.0951</v>
      </c>
    </row>
    <row r="12027" customFormat="false" ht="15" hidden="false" customHeight="false" outlineLevel="0" collapsed="false">
      <c r="A12027" s="1" t="s">
        <v>12062</v>
      </c>
      <c r="B12027" s="1" t="s">
        <v>26</v>
      </c>
      <c r="C12027" s="1" t="n">
        <v>104000</v>
      </c>
      <c r="D12027" s="1" t="n">
        <v>84855.4</v>
      </c>
      <c r="E12027" s="1" t="n">
        <v>0.0221</v>
      </c>
      <c r="F12027" s="1" t="n">
        <v>0.0518</v>
      </c>
    </row>
    <row r="12028" customFormat="false" ht="15" hidden="false" customHeight="false" outlineLevel="0" collapsed="false">
      <c r="A12028" s="1" t="s">
        <v>12063</v>
      </c>
      <c r="B12028" s="1" t="s">
        <v>26</v>
      </c>
      <c r="C12028" s="1" t="n">
        <v>103000</v>
      </c>
      <c r="D12028" s="1" t="n">
        <v>26.5</v>
      </c>
      <c r="E12028" s="1" t="n">
        <v>0.0028</v>
      </c>
      <c r="F12028" s="1" t="n">
        <v>0.2688</v>
      </c>
    </row>
    <row r="12029" customFormat="false" ht="15" hidden="false" customHeight="false" outlineLevel="0" collapsed="false">
      <c r="A12029" s="1" t="s">
        <v>12064</v>
      </c>
      <c r="B12029" s="1" t="s">
        <v>26</v>
      </c>
      <c r="C12029" s="1" t="n">
        <v>122000</v>
      </c>
      <c r="D12029" s="1" t="n">
        <v>38060.5</v>
      </c>
      <c r="F12029" s="1" t="n">
        <v>0.0409</v>
      </c>
    </row>
    <row r="12030" customFormat="false" ht="15" hidden="false" customHeight="false" outlineLevel="0" collapsed="false">
      <c r="A12030" s="1" t="s">
        <v>12065</v>
      </c>
      <c r="B12030" s="1" t="s">
        <v>81</v>
      </c>
      <c r="C12030" s="1" t="n">
        <v>100000</v>
      </c>
      <c r="D12030" s="1" t="n">
        <v>11899.8</v>
      </c>
      <c r="E12030" s="1" t="n">
        <v>0.0535</v>
      </c>
      <c r="F12030" s="1" t="n">
        <v>0.0845</v>
      </c>
    </row>
    <row r="12031" customFormat="false" ht="15" hidden="false" customHeight="false" outlineLevel="0" collapsed="false">
      <c r="A12031" s="1" t="s">
        <v>12066</v>
      </c>
      <c r="B12031" s="1" t="s">
        <v>26</v>
      </c>
      <c r="C12031" s="1" t="n">
        <v>128000</v>
      </c>
      <c r="D12031" s="1" t="n">
        <v>3139.2</v>
      </c>
      <c r="E12031" s="1" t="n">
        <v>0.0337</v>
      </c>
      <c r="F12031" s="1" t="n">
        <v>0.0759</v>
      </c>
    </row>
    <row r="12032" customFormat="false" ht="15" hidden="false" customHeight="false" outlineLevel="0" collapsed="false">
      <c r="A12032" s="1" t="s">
        <v>12067</v>
      </c>
      <c r="B12032" s="1" t="s">
        <v>74</v>
      </c>
      <c r="C12032" s="1" t="n">
        <v>96100</v>
      </c>
      <c r="D12032" s="1" t="n">
        <v>3390.5</v>
      </c>
      <c r="E12032" s="1" t="n">
        <v>0.0404</v>
      </c>
      <c r="F12032" s="1" t="n">
        <v>0.0951</v>
      </c>
    </row>
    <row r="12033" customFormat="false" ht="15" hidden="false" customHeight="false" outlineLevel="0" collapsed="false">
      <c r="A12033" s="1" t="s">
        <v>12068</v>
      </c>
      <c r="B12033" s="1" t="s">
        <v>50</v>
      </c>
      <c r="C12033" s="1" t="n">
        <v>121000</v>
      </c>
      <c r="D12033" s="1" t="n">
        <v>64275.7</v>
      </c>
      <c r="F12033" s="1" t="n">
        <v>0.0951</v>
      </c>
    </row>
    <row r="12034" customFormat="false" ht="15" hidden="false" customHeight="false" outlineLevel="0" collapsed="false">
      <c r="A12034" s="1" t="s">
        <v>12069</v>
      </c>
      <c r="B12034" s="1" t="s">
        <v>26</v>
      </c>
      <c r="C12034" s="1" t="n">
        <v>127000</v>
      </c>
      <c r="D12034" s="1" t="n">
        <v>2573437.4</v>
      </c>
      <c r="E12034" s="1" t="n">
        <v>0.0134</v>
      </c>
      <c r="F12034" s="1" t="n">
        <v>0.0585</v>
      </c>
    </row>
    <row r="12035" customFormat="false" ht="15" hidden="false" customHeight="false" outlineLevel="0" collapsed="false">
      <c r="A12035" s="1" t="s">
        <v>12070</v>
      </c>
      <c r="B12035" s="1" t="s">
        <v>26</v>
      </c>
      <c r="C12035" s="1" t="n">
        <v>89100</v>
      </c>
      <c r="D12035" s="1" t="n">
        <v>131</v>
      </c>
      <c r="E12035" s="1" t="n">
        <v>0.0476</v>
      </c>
      <c r="F12035" s="1" t="n">
        <v>0.0759</v>
      </c>
    </row>
    <row r="12036" customFormat="false" ht="15" hidden="false" customHeight="false" outlineLevel="0" collapsed="false">
      <c r="A12036" s="1" t="s">
        <v>12071</v>
      </c>
      <c r="B12036" s="1" t="s">
        <v>26</v>
      </c>
      <c r="C12036" s="1" t="n">
        <v>146000</v>
      </c>
      <c r="D12036" s="1" t="n">
        <v>7584.1</v>
      </c>
      <c r="E12036" s="1" t="n">
        <v>0.046</v>
      </c>
      <c r="F12036" s="1" t="n">
        <v>0.0951</v>
      </c>
    </row>
    <row r="12037" customFormat="false" ht="15" hidden="false" customHeight="false" outlineLevel="0" collapsed="false">
      <c r="A12037" s="1" t="s">
        <v>12072</v>
      </c>
      <c r="B12037" s="1" t="s">
        <v>92</v>
      </c>
      <c r="C12037" s="1" t="n">
        <v>203000</v>
      </c>
      <c r="D12037" s="1" t="n">
        <v>15920.6</v>
      </c>
      <c r="E12037" s="1" t="n">
        <v>0.0061</v>
      </c>
      <c r="F12037" s="1" t="n">
        <v>0.0654</v>
      </c>
    </row>
    <row r="12038" customFormat="false" ht="15" hidden="false" customHeight="false" outlineLevel="0" collapsed="false">
      <c r="A12038" s="1" t="s">
        <v>12073</v>
      </c>
      <c r="B12038" s="1" t="s">
        <v>71</v>
      </c>
      <c r="C12038" s="1" t="n">
        <v>100000</v>
      </c>
      <c r="D12038" s="1" t="n">
        <v>12.8</v>
      </c>
      <c r="E12038" s="1" t="n">
        <v>0.0085</v>
      </c>
      <c r="F12038" s="1" t="n">
        <v>0.228</v>
      </c>
    </row>
    <row r="12039" customFormat="false" ht="15" hidden="false" customHeight="false" outlineLevel="0" collapsed="false">
      <c r="A12039" s="1" t="s">
        <v>12074</v>
      </c>
      <c r="B12039" s="1" t="s">
        <v>88</v>
      </c>
      <c r="C12039" s="1" t="n">
        <v>125000</v>
      </c>
      <c r="D12039" s="1" t="n">
        <v>1644.2</v>
      </c>
      <c r="E12039" s="1" t="n">
        <v>0.045</v>
      </c>
      <c r="F12039" s="1" t="n">
        <v>0.0951</v>
      </c>
    </row>
    <row r="12040" customFormat="false" ht="15" hidden="false" customHeight="false" outlineLevel="0" collapsed="false">
      <c r="A12040" s="1" t="s">
        <v>12075</v>
      </c>
      <c r="B12040" s="1" t="s">
        <v>32</v>
      </c>
      <c r="C12040" s="1" t="n">
        <v>274000</v>
      </c>
      <c r="D12040" s="1" t="n">
        <v>11361.7</v>
      </c>
      <c r="E12040" s="1" t="n">
        <v>0.0136</v>
      </c>
      <c r="F12040" s="1" t="n">
        <v>0.0462</v>
      </c>
    </row>
    <row r="12041" customFormat="false" ht="15" hidden="false" customHeight="false" outlineLevel="0" collapsed="false">
      <c r="A12041" s="1" t="s">
        <v>12076</v>
      </c>
      <c r="B12041" s="1" t="s">
        <v>26</v>
      </c>
      <c r="C12041" s="1" t="n">
        <v>134000</v>
      </c>
      <c r="D12041" s="1" t="n">
        <v>294.9</v>
      </c>
      <c r="E12041" s="1" t="n">
        <v>0.0721</v>
      </c>
      <c r="F12041" s="1" t="n">
        <v>0.0517</v>
      </c>
    </row>
    <row r="12042" customFormat="false" ht="15" hidden="false" customHeight="false" outlineLevel="0" collapsed="false">
      <c r="A12042" s="1" t="s">
        <v>12077</v>
      </c>
      <c r="B12042" s="1" t="s">
        <v>88</v>
      </c>
      <c r="C12042" s="1" t="n">
        <v>356000</v>
      </c>
      <c r="D12042" s="1" t="n">
        <v>381.5</v>
      </c>
      <c r="E12042" s="1" t="n">
        <v>0.1167</v>
      </c>
      <c r="F12042" s="1" t="n">
        <v>0.0759</v>
      </c>
    </row>
    <row r="12043" customFormat="false" ht="15" hidden="false" customHeight="false" outlineLevel="0" collapsed="false">
      <c r="A12043" s="1" t="s">
        <v>12078</v>
      </c>
      <c r="B12043" s="1" t="s">
        <v>195</v>
      </c>
      <c r="C12043" s="1" t="n">
        <v>104000</v>
      </c>
      <c r="D12043" s="1" t="n">
        <v>4253.1</v>
      </c>
      <c r="E12043" s="1" t="n">
        <v>0.0174</v>
      </c>
      <c r="F12043" s="1" t="n">
        <v>0.0462</v>
      </c>
    </row>
    <row r="12044" customFormat="false" ht="15" hidden="false" customHeight="false" outlineLevel="0" collapsed="false">
      <c r="A12044" s="1" t="s">
        <v>12079</v>
      </c>
      <c r="B12044" s="1" t="s">
        <v>26</v>
      </c>
      <c r="C12044" s="1" t="n">
        <v>95900</v>
      </c>
      <c r="D12044" s="1" t="n">
        <v>213.5</v>
      </c>
      <c r="E12044" s="1" t="n">
        <v>0.093</v>
      </c>
      <c r="F12044" s="1" t="n">
        <v>0.0951</v>
      </c>
    </row>
    <row r="12045" customFormat="false" ht="15" hidden="false" customHeight="false" outlineLevel="0" collapsed="false">
      <c r="A12045" s="1" t="s">
        <v>12080</v>
      </c>
      <c r="B12045" s="1" t="s">
        <v>26</v>
      </c>
      <c r="C12045" s="1" t="n">
        <v>94900</v>
      </c>
      <c r="D12045" s="1" t="n">
        <v>26815.4</v>
      </c>
      <c r="E12045" s="1" t="n">
        <v>0.0406</v>
      </c>
      <c r="F12045" s="1" t="n">
        <v>0.0951</v>
      </c>
    </row>
    <row r="12046" customFormat="false" ht="15" hidden="false" customHeight="false" outlineLevel="0" collapsed="false">
      <c r="A12046" s="1" t="s">
        <v>12081</v>
      </c>
      <c r="B12046" s="1" t="s">
        <v>287</v>
      </c>
      <c r="C12046" s="1" t="n">
        <v>137000</v>
      </c>
      <c r="D12046" s="1" t="n">
        <v>140</v>
      </c>
      <c r="E12046" s="1" t="n">
        <v>0.0528</v>
      </c>
      <c r="F12046" s="1" t="n">
        <v>0.4482</v>
      </c>
    </row>
    <row r="12047" customFormat="false" ht="15" hidden="false" customHeight="false" outlineLevel="0" collapsed="false">
      <c r="A12047" s="1" t="s">
        <v>12082</v>
      </c>
      <c r="B12047" s="1" t="s">
        <v>26</v>
      </c>
      <c r="C12047" s="1" t="n">
        <v>116000</v>
      </c>
      <c r="D12047" s="1" t="n">
        <v>1433.7</v>
      </c>
      <c r="E12047" s="1" t="n">
        <v>0.013</v>
      </c>
      <c r="F12047" s="1" t="n">
        <v>0.073</v>
      </c>
    </row>
    <row r="12048" customFormat="false" ht="15" hidden="false" customHeight="false" outlineLevel="0" collapsed="false">
      <c r="A12048" s="1" t="s">
        <v>12083</v>
      </c>
      <c r="B12048" s="1" t="s">
        <v>26</v>
      </c>
      <c r="C12048" s="1" t="n">
        <v>103000</v>
      </c>
      <c r="D12048" s="1" t="n">
        <v>4568.5</v>
      </c>
      <c r="E12048" s="1" t="n">
        <v>0.0231</v>
      </c>
      <c r="F12048" s="1" t="n">
        <v>0.0518</v>
      </c>
    </row>
    <row r="12049" customFormat="false" ht="15" hidden="false" customHeight="false" outlineLevel="0" collapsed="false">
      <c r="A12049" s="1" t="s">
        <v>12084</v>
      </c>
      <c r="B12049" s="1" t="s">
        <v>81</v>
      </c>
      <c r="C12049" s="1" t="n">
        <v>129000</v>
      </c>
      <c r="D12049" s="1" t="n">
        <v>13991.4</v>
      </c>
      <c r="E12049" s="1" t="n">
        <v>0.0205</v>
      </c>
      <c r="F12049" s="1" t="n">
        <v>0.0759</v>
      </c>
    </row>
    <row r="12050" customFormat="false" ht="15" hidden="false" customHeight="false" outlineLevel="0" collapsed="false">
      <c r="A12050" s="1" t="s">
        <v>12085</v>
      </c>
      <c r="B12050" s="1" t="s">
        <v>26</v>
      </c>
      <c r="C12050" s="1" t="n">
        <v>212000</v>
      </c>
      <c r="D12050" s="1" t="n">
        <v>53830.5</v>
      </c>
      <c r="E12050" s="1" t="n">
        <v>0.0517</v>
      </c>
      <c r="F12050" s="1" t="n">
        <v>0.0759</v>
      </c>
    </row>
    <row r="12051" customFormat="false" ht="15" hidden="false" customHeight="false" outlineLevel="0" collapsed="false">
      <c r="A12051" s="1" t="s">
        <v>12086</v>
      </c>
      <c r="B12051" s="1" t="s">
        <v>92</v>
      </c>
      <c r="C12051" s="1" t="n">
        <v>101000</v>
      </c>
      <c r="D12051" s="1" t="n">
        <v>412.1</v>
      </c>
      <c r="E12051" s="1" t="n">
        <v>0.0613</v>
      </c>
      <c r="F12051" s="1" t="n">
        <v>0.0998</v>
      </c>
    </row>
    <row r="12052" customFormat="false" ht="15" hidden="false" customHeight="false" outlineLevel="0" collapsed="false">
      <c r="A12052" s="1" t="s">
        <v>12087</v>
      </c>
      <c r="B12052" s="1" t="s">
        <v>26</v>
      </c>
      <c r="C12052" s="1" t="n">
        <v>390000</v>
      </c>
      <c r="D12052" s="1" t="n">
        <v>4447074.7</v>
      </c>
      <c r="E12052" s="1" t="n">
        <v>0.0089</v>
      </c>
      <c r="F12052" s="1" t="n">
        <v>0.0822</v>
      </c>
    </row>
    <row r="12053" customFormat="false" ht="15" hidden="false" customHeight="false" outlineLevel="0" collapsed="false">
      <c r="A12053" s="1" t="s">
        <v>12088</v>
      </c>
      <c r="B12053" s="1" t="s">
        <v>88</v>
      </c>
      <c r="C12053" s="1" t="n">
        <v>94400</v>
      </c>
      <c r="D12053" s="1" t="n">
        <v>956.2</v>
      </c>
      <c r="E12053" s="1" t="n">
        <v>0.0256</v>
      </c>
      <c r="F12053" s="1" t="n">
        <v>0.0518</v>
      </c>
    </row>
    <row r="12054" customFormat="false" ht="15" hidden="false" customHeight="false" outlineLevel="0" collapsed="false">
      <c r="A12054" s="1" t="s">
        <v>12089</v>
      </c>
      <c r="B12054" s="1" t="s">
        <v>24</v>
      </c>
      <c r="C12054" s="1" t="n">
        <v>96800</v>
      </c>
      <c r="D12054" s="1" t="n">
        <v>392.9</v>
      </c>
      <c r="E12054" s="1" t="n">
        <v>0.0224</v>
      </c>
      <c r="F12054" s="1" t="n">
        <v>0.1387</v>
      </c>
    </row>
    <row r="12055" customFormat="false" ht="15" hidden="false" customHeight="false" outlineLevel="0" collapsed="false">
      <c r="A12055" s="1" t="s">
        <v>12090</v>
      </c>
      <c r="B12055" s="1" t="s">
        <v>26</v>
      </c>
      <c r="C12055" s="1" t="n">
        <v>143000</v>
      </c>
      <c r="D12055" s="1" t="n">
        <v>506.2</v>
      </c>
      <c r="E12055" s="1" t="n">
        <v>0.0311</v>
      </c>
      <c r="F12055" s="1" t="n">
        <v>0.0759</v>
      </c>
    </row>
    <row r="12056" customFormat="false" ht="15" hidden="false" customHeight="false" outlineLevel="0" collapsed="false">
      <c r="A12056" s="1" t="s">
        <v>12091</v>
      </c>
      <c r="B12056" s="1" t="s">
        <v>53</v>
      </c>
      <c r="C12056" s="1" t="n">
        <v>153000</v>
      </c>
      <c r="D12056" s="1" t="n">
        <v>17328.8</v>
      </c>
      <c r="E12056" s="1" t="n">
        <v>0.0404</v>
      </c>
      <c r="F12056" s="1" t="n">
        <v>0.0951</v>
      </c>
    </row>
    <row r="12057" customFormat="false" ht="15" hidden="false" customHeight="false" outlineLevel="0" collapsed="false">
      <c r="A12057" s="1" t="s">
        <v>12092</v>
      </c>
      <c r="B12057" s="1" t="s">
        <v>26</v>
      </c>
      <c r="C12057" s="1" t="n">
        <v>391000</v>
      </c>
      <c r="D12057" s="1" t="n">
        <v>5200.5</v>
      </c>
      <c r="E12057" s="1" t="n">
        <v>0.0438</v>
      </c>
      <c r="F12057" s="1" t="n">
        <v>0.0759</v>
      </c>
    </row>
    <row r="12058" customFormat="false" ht="15" hidden="false" customHeight="false" outlineLevel="0" collapsed="false">
      <c r="A12058" s="1" t="s">
        <v>12093</v>
      </c>
      <c r="B12058" s="1" t="s">
        <v>50</v>
      </c>
      <c r="C12058" s="1" t="n">
        <v>140000</v>
      </c>
      <c r="D12058" s="1" t="n">
        <v>68681.6</v>
      </c>
      <c r="E12058" s="1" t="n">
        <v>0.051</v>
      </c>
      <c r="F12058" s="1" t="n">
        <v>0.0951</v>
      </c>
    </row>
    <row r="12059" customFormat="false" ht="15" hidden="false" customHeight="false" outlineLevel="0" collapsed="false">
      <c r="A12059" s="1" t="s">
        <v>12094</v>
      </c>
      <c r="B12059" s="1" t="s">
        <v>74</v>
      </c>
      <c r="C12059" s="1" t="n">
        <v>95800</v>
      </c>
      <c r="D12059" s="1" t="n">
        <v>102.7</v>
      </c>
      <c r="E12059" s="1" t="n">
        <v>0.0212</v>
      </c>
      <c r="F12059" s="1" t="n">
        <v>0.0656</v>
      </c>
    </row>
    <row r="12060" customFormat="false" ht="15" hidden="false" customHeight="false" outlineLevel="0" collapsed="false">
      <c r="A12060" s="1" t="s">
        <v>12095</v>
      </c>
      <c r="B12060" s="1" t="s">
        <v>26</v>
      </c>
      <c r="C12060" s="1" t="n">
        <v>193000</v>
      </c>
      <c r="D12060" s="1" t="n">
        <v>2898</v>
      </c>
      <c r="E12060" s="1" t="n">
        <v>0.0077</v>
      </c>
      <c r="F12060" s="1" t="n">
        <v>0.0811</v>
      </c>
    </row>
    <row r="12061" customFormat="false" ht="15" hidden="false" customHeight="false" outlineLevel="0" collapsed="false">
      <c r="A12061" s="1" t="s">
        <v>12096</v>
      </c>
      <c r="B12061" s="1" t="s">
        <v>214</v>
      </c>
      <c r="C12061" s="1" t="n">
        <v>115000</v>
      </c>
      <c r="D12061" s="1" t="n">
        <v>1132.1</v>
      </c>
      <c r="F12061" s="1" t="n">
        <v>0.0759</v>
      </c>
    </row>
    <row r="12062" customFormat="false" ht="15" hidden="false" customHeight="false" outlineLevel="0" collapsed="false">
      <c r="A12062" s="1" t="s">
        <v>12097</v>
      </c>
      <c r="B12062" s="1" t="s">
        <v>21</v>
      </c>
      <c r="C12062" s="1" t="n">
        <v>127000</v>
      </c>
      <c r="D12062" s="1" t="n">
        <v>568.9</v>
      </c>
      <c r="E12062" s="1" t="n">
        <v>0.0215</v>
      </c>
      <c r="F12062" s="1" t="n">
        <v>0.1387</v>
      </c>
    </row>
    <row r="12063" customFormat="false" ht="15" hidden="false" customHeight="false" outlineLevel="0" collapsed="false">
      <c r="A12063" s="1" t="s">
        <v>12098</v>
      </c>
      <c r="B12063" s="1" t="s">
        <v>92</v>
      </c>
      <c r="C12063" s="1" t="n">
        <v>411000</v>
      </c>
      <c r="D12063" s="1" t="n">
        <v>39766.2</v>
      </c>
      <c r="E12063" s="1" t="n">
        <v>0.0367</v>
      </c>
      <c r="F12063" s="1" t="n">
        <v>0.0759</v>
      </c>
    </row>
    <row r="12064" customFormat="false" ht="15" hidden="false" customHeight="false" outlineLevel="0" collapsed="false">
      <c r="A12064" s="1" t="s">
        <v>12099</v>
      </c>
      <c r="B12064" s="1" t="s">
        <v>214</v>
      </c>
      <c r="C12064" s="1" t="n">
        <v>97200</v>
      </c>
      <c r="D12064" s="1" t="n">
        <v>1220.5</v>
      </c>
      <c r="E12064" s="1" t="n">
        <v>0.0141</v>
      </c>
      <c r="F12064" s="1" t="n">
        <v>0.1889</v>
      </c>
    </row>
    <row r="12065" customFormat="false" ht="15" hidden="false" customHeight="false" outlineLevel="0" collapsed="false">
      <c r="A12065" s="1" t="s">
        <v>12100</v>
      </c>
      <c r="B12065" s="1" t="s">
        <v>26</v>
      </c>
      <c r="C12065" s="1" t="n">
        <v>107000</v>
      </c>
      <c r="D12065" s="1" t="n">
        <v>20171.8</v>
      </c>
      <c r="E12065" s="1" t="n">
        <v>0.0263</v>
      </c>
      <c r="F12065" s="1" t="n">
        <v>0.0759</v>
      </c>
    </row>
    <row r="12066" customFormat="false" ht="15" hidden="false" customHeight="false" outlineLevel="0" collapsed="false">
      <c r="A12066" s="1" t="s">
        <v>12101</v>
      </c>
      <c r="B12066" s="1" t="s">
        <v>92</v>
      </c>
      <c r="C12066" s="1" t="n">
        <v>116000</v>
      </c>
      <c r="D12066" s="1" t="n">
        <v>1037.4</v>
      </c>
      <c r="E12066" s="1" t="n">
        <v>0.0322</v>
      </c>
      <c r="F12066" s="1" t="n">
        <v>0.0759</v>
      </c>
    </row>
    <row r="12067" customFormat="false" ht="15" hidden="false" customHeight="false" outlineLevel="0" collapsed="false">
      <c r="A12067" s="1" t="s">
        <v>12102</v>
      </c>
      <c r="B12067" s="1" t="s">
        <v>92</v>
      </c>
      <c r="C12067" s="1" t="n">
        <v>91000</v>
      </c>
      <c r="D12067" s="1" t="n">
        <v>40951.7</v>
      </c>
      <c r="E12067" s="1" t="n">
        <v>0.0587</v>
      </c>
      <c r="F12067" s="1" t="n">
        <v>0.0518</v>
      </c>
    </row>
    <row r="12068" customFormat="false" ht="15" hidden="false" customHeight="false" outlineLevel="0" collapsed="false">
      <c r="A12068" s="1" t="s">
        <v>12103</v>
      </c>
      <c r="B12068" s="1" t="s">
        <v>26</v>
      </c>
      <c r="C12068" s="1" t="n">
        <v>94100</v>
      </c>
      <c r="D12068" s="1" t="n">
        <v>1494.9</v>
      </c>
      <c r="E12068" s="1" t="n">
        <v>0.0444</v>
      </c>
      <c r="F12068" s="1" t="n">
        <v>0.0951</v>
      </c>
    </row>
    <row r="12069" customFormat="false" ht="15" hidden="false" customHeight="false" outlineLevel="0" collapsed="false">
      <c r="A12069" s="1" t="s">
        <v>12104</v>
      </c>
      <c r="B12069" s="1" t="s">
        <v>88</v>
      </c>
      <c r="C12069" s="1" t="n">
        <v>127000</v>
      </c>
      <c r="D12069" s="1" t="n">
        <v>6088.2</v>
      </c>
      <c r="F12069" s="1" t="n">
        <v>0.0938</v>
      </c>
    </row>
    <row r="12070" customFormat="false" ht="15" hidden="false" customHeight="false" outlineLevel="0" collapsed="false">
      <c r="A12070" s="1" t="s">
        <v>12105</v>
      </c>
      <c r="B12070" s="1" t="s">
        <v>26</v>
      </c>
      <c r="C12070" s="1" t="n">
        <v>119000</v>
      </c>
      <c r="D12070" s="1" t="n">
        <v>14757.8</v>
      </c>
      <c r="E12070" s="1" t="n">
        <v>0.0443</v>
      </c>
      <c r="F12070" s="1" t="n">
        <v>0.0759</v>
      </c>
    </row>
    <row r="12071" customFormat="false" ht="15" hidden="false" customHeight="false" outlineLevel="0" collapsed="false">
      <c r="A12071" s="1" t="s">
        <v>12106</v>
      </c>
      <c r="B12071" s="1" t="s">
        <v>41</v>
      </c>
      <c r="C12071" s="1" t="n">
        <v>243000</v>
      </c>
      <c r="D12071" s="1" t="n">
        <v>69405.7</v>
      </c>
      <c r="E12071" s="1" t="n">
        <v>0.0275</v>
      </c>
      <c r="F12071" s="1" t="n">
        <v>0.0538</v>
      </c>
    </row>
    <row r="12072" customFormat="false" ht="15" hidden="false" customHeight="false" outlineLevel="0" collapsed="false">
      <c r="A12072" s="1" t="s">
        <v>12107</v>
      </c>
      <c r="B12072" s="1" t="s">
        <v>26</v>
      </c>
      <c r="C12072" s="1" t="n">
        <v>105000</v>
      </c>
      <c r="D12072" s="1" t="n">
        <v>1167.6</v>
      </c>
      <c r="E12072" s="1" t="n">
        <v>0.0314</v>
      </c>
      <c r="F12072" s="1" t="n">
        <v>0.0998</v>
      </c>
    </row>
    <row r="12073" customFormat="false" ht="15" hidden="false" customHeight="false" outlineLevel="0" collapsed="false">
      <c r="A12073" s="1" t="s">
        <v>12108</v>
      </c>
      <c r="B12073" s="1" t="s">
        <v>26</v>
      </c>
      <c r="C12073" s="1" t="n">
        <v>111000</v>
      </c>
      <c r="D12073" s="1" t="n">
        <v>1568.4</v>
      </c>
      <c r="E12073" s="1" t="n">
        <v>0.0467</v>
      </c>
      <c r="F12073" s="1" t="n">
        <v>0.0951</v>
      </c>
    </row>
    <row r="12074" customFormat="false" ht="15" hidden="false" customHeight="false" outlineLevel="0" collapsed="false">
      <c r="A12074" s="1" t="s">
        <v>12109</v>
      </c>
      <c r="B12074" s="1" t="s">
        <v>81</v>
      </c>
      <c r="C12074" s="1" t="n">
        <v>100000</v>
      </c>
      <c r="D12074" s="1" t="n">
        <v>349.3</v>
      </c>
      <c r="E12074" s="1" t="n">
        <v>0.019</v>
      </c>
      <c r="F12074" s="1" t="n">
        <v>0.1013</v>
      </c>
    </row>
    <row r="12075" customFormat="false" ht="15" hidden="false" customHeight="false" outlineLevel="0" collapsed="false">
      <c r="A12075" s="1" t="s">
        <v>12110</v>
      </c>
      <c r="B12075" s="1" t="s">
        <v>26</v>
      </c>
      <c r="C12075" s="1" t="n">
        <v>117000</v>
      </c>
      <c r="D12075" s="1" t="n">
        <v>23231.8</v>
      </c>
      <c r="E12075" s="1" t="n">
        <v>0.0179</v>
      </c>
      <c r="F12075" s="1" t="n">
        <v>0.0585</v>
      </c>
    </row>
    <row r="12076" customFormat="false" ht="15" hidden="false" customHeight="false" outlineLevel="0" collapsed="false">
      <c r="A12076" s="1" t="s">
        <v>12111</v>
      </c>
      <c r="B12076" s="1" t="s">
        <v>53</v>
      </c>
      <c r="C12076" s="1" t="n">
        <v>140000</v>
      </c>
      <c r="D12076" s="1" t="n">
        <v>756.1</v>
      </c>
      <c r="E12076" s="1" t="n">
        <v>0.0231</v>
      </c>
      <c r="F12076" s="1" t="n">
        <v>0.0938</v>
      </c>
    </row>
    <row r="12077" customFormat="false" ht="15" hidden="false" customHeight="false" outlineLevel="0" collapsed="false">
      <c r="A12077" s="1" t="s">
        <v>12112</v>
      </c>
      <c r="B12077" s="1" t="s">
        <v>32</v>
      </c>
      <c r="C12077" s="1" t="n">
        <v>104000</v>
      </c>
      <c r="D12077" s="1" t="n">
        <v>30791</v>
      </c>
      <c r="E12077" s="1" t="n">
        <v>0.0538</v>
      </c>
      <c r="F12077" s="1" t="n">
        <v>0.0951</v>
      </c>
    </row>
    <row r="12078" customFormat="false" ht="15" hidden="false" customHeight="false" outlineLevel="0" collapsed="false">
      <c r="A12078" s="1" t="s">
        <v>12113</v>
      </c>
      <c r="B12078" s="1" t="s">
        <v>24</v>
      </c>
      <c r="C12078" s="1" t="n">
        <v>240000</v>
      </c>
      <c r="D12078" s="1" t="n">
        <v>64101.2</v>
      </c>
      <c r="E12078" s="1" t="n">
        <v>0.0123</v>
      </c>
      <c r="F12078" s="1" t="n">
        <v>0.1067</v>
      </c>
    </row>
    <row r="12079" customFormat="false" ht="15" hidden="false" customHeight="false" outlineLevel="0" collapsed="false">
      <c r="A12079" s="1" t="s">
        <v>12114</v>
      </c>
      <c r="B12079" s="1" t="s">
        <v>88</v>
      </c>
      <c r="C12079" s="1" t="n">
        <v>100000</v>
      </c>
      <c r="D12079" s="1" t="n">
        <v>9048.6</v>
      </c>
      <c r="E12079" s="1" t="n">
        <v>0.0496</v>
      </c>
      <c r="F12079" s="1" t="n">
        <v>0.0951</v>
      </c>
    </row>
    <row r="12080" customFormat="false" ht="15" hidden="false" customHeight="false" outlineLevel="0" collapsed="false">
      <c r="A12080" s="1" t="s">
        <v>12115</v>
      </c>
      <c r="B12080" s="1" t="s">
        <v>81</v>
      </c>
      <c r="C12080" s="1" t="n">
        <v>173000</v>
      </c>
      <c r="D12080" s="1" t="n">
        <v>4425</v>
      </c>
      <c r="E12080" s="1" t="n">
        <v>0.0249</v>
      </c>
      <c r="F12080" s="1" t="n">
        <v>0.1387</v>
      </c>
    </row>
    <row r="12081" customFormat="false" ht="15" hidden="false" customHeight="false" outlineLevel="0" collapsed="false">
      <c r="A12081" s="1" t="s">
        <v>12116</v>
      </c>
      <c r="B12081" s="1" t="s">
        <v>41</v>
      </c>
      <c r="C12081" s="1" t="n">
        <v>182000</v>
      </c>
      <c r="D12081" s="1" t="n">
        <v>64415.1</v>
      </c>
      <c r="E12081" s="1" t="n">
        <v>0.0277</v>
      </c>
      <c r="F12081" s="1" t="n">
        <v>0.0409</v>
      </c>
    </row>
    <row r="12082" customFormat="false" ht="15" hidden="false" customHeight="false" outlineLevel="0" collapsed="false">
      <c r="A12082" s="1" t="s">
        <v>12117</v>
      </c>
      <c r="B12082" s="1" t="s">
        <v>26</v>
      </c>
      <c r="C12082" s="1" t="n">
        <v>139000</v>
      </c>
      <c r="D12082" s="1" t="n">
        <v>16626.2</v>
      </c>
      <c r="E12082" s="1" t="n">
        <v>0.0135</v>
      </c>
      <c r="F12082" s="1" t="n">
        <v>0.0854</v>
      </c>
    </row>
    <row r="12083" customFormat="false" ht="15" hidden="false" customHeight="false" outlineLevel="0" collapsed="false">
      <c r="A12083" s="1" t="s">
        <v>12118</v>
      </c>
      <c r="B12083" s="1" t="s">
        <v>62</v>
      </c>
      <c r="C12083" s="1" t="n">
        <v>93000</v>
      </c>
      <c r="D12083" s="1" t="n">
        <v>622.1</v>
      </c>
      <c r="F12083" s="1" t="n">
        <v>0.0951</v>
      </c>
    </row>
    <row r="12084" customFormat="false" ht="15" hidden="false" customHeight="false" outlineLevel="0" collapsed="false">
      <c r="A12084" s="1" t="s">
        <v>12119</v>
      </c>
      <c r="B12084" s="1" t="s">
        <v>21</v>
      </c>
      <c r="C12084" s="1" t="n">
        <v>118000</v>
      </c>
      <c r="D12084" s="1" t="n">
        <v>1450.2</v>
      </c>
      <c r="E12084" s="1" t="n">
        <v>0.026</v>
      </c>
      <c r="F12084" s="1" t="n">
        <v>0.0938</v>
      </c>
    </row>
    <row r="12085" customFormat="false" ht="15" hidden="false" customHeight="false" outlineLevel="0" collapsed="false">
      <c r="A12085" s="1" t="s">
        <v>12120</v>
      </c>
      <c r="B12085" s="1" t="s">
        <v>88</v>
      </c>
      <c r="C12085" s="1" t="n">
        <v>246000</v>
      </c>
      <c r="D12085" s="1" t="n">
        <v>45939.3</v>
      </c>
      <c r="E12085" s="1" t="n">
        <v>0.0234</v>
      </c>
      <c r="F12085" s="1" t="n">
        <v>0.0909</v>
      </c>
    </row>
    <row r="12086" customFormat="false" ht="15" hidden="false" customHeight="false" outlineLevel="0" collapsed="false">
      <c r="A12086" s="1" t="s">
        <v>12121</v>
      </c>
      <c r="B12086" s="1" t="s">
        <v>32</v>
      </c>
      <c r="C12086" s="1" t="n">
        <v>115000</v>
      </c>
      <c r="D12086" s="1" t="n">
        <v>203181.6</v>
      </c>
      <c r="E12086" s="1" t="n">
        <v>0.0377</v>
      </c>
      <c r="F12086" s="1" t="n">
        <v>0.0951</v>
      </c>
    </row>
    <row r="12087" customFormat="false" ht="15" hidden="false" customHeight="false" outlineLevel="0" collapsed="false">
      <c r="A12087" s="1" t="s">
        <v>12122</v>
      </c>
      <c r="B12087" s="1" t="s">
        <v>53</v>
      </c>
      <c r="C12087" s="1" t="n">
        <v>95900</v>
      </c>
      <c r="D12087" s="1" t="n">
        <v>629.7</v>
      </c>
      <c r="E12087" s="1" t="n">
        <v>0.0189</v>
      </c>
      <c r="F12087" s="1" t="n">
        <v>0.0585</v>
      </c>
    </row>
    <row r="12088" customFormat="false" ht="15" hidden="false" customHeight="false" outlineLevel="0" collapsed="false">
      <c r="A12088" s="1" t="s">
        <v>12123</v>
      </c>
      <c r="B12088" s="1" t="s">
        <v>88</v>
      </c>
      <c r="C12088" s="1" t="n">
        <v>165000</v>
      </c>
      <c r="D12088" s="1" t="n">
        <v>5479.3</v>
      </c>
      <c r="E12088" s="1" t="n">
        <v>0.0324</v>
      </c>
      <c r="F12088" s="1" t="n">
        <v>0.0759</v>
      </c>
    </row>
    <row r="12089" customFormat="false" ht="15" hidden="false" customHeight="false" outlineLevel="0" collapsed="false">
      <c r="A12089" s="1" t="s">
        <v>12124</v>
      </c>
      <c r="B12089" s="1" t="s">
        <v>92</v>
      </c>
      <c r="C12089" s="1" t="n">
        <v>94400</v>
      </c>
      <c r="D12089" s="1" t="n">
        <v>6135.9</v>
      </c>
      <c r="E12089" s="1" t="n">
        <v>0.0615</v>
      </c>
      <c r="F12089" s="1" t="n">
        <v>0.0951</v>
      </c>
    </row>
    <row r="12090" customFormat="false" ht="15" hidden="false" customHeight="false" outlineLevel="0" collapsed="false">
      <c r="A12090" s="1" t="s">
        <v>12125</v>
      </c>
      <c r="B12090" s="1" t="s">
        <v>74</v>
      </c>
      <c r="C12090" s="1" t="n">
        <v>98900</v>
      </c>
      <c r="D12090" s="1" t="n">
        <v>503.4</v>
      </c>
      <c r="E12090" s="1" t="n">
        <v>0.0063</v>
      </c>
      <c r="F12090" s="1" t="n">
        <v>0.0822</v>
      </c>
    </row>
    <row r="12091" customFormat="false" ht="15" hidden="false" customHeight="false" outlineLevel="0" collapsed="false">
      <c r="A12091" s="1" t="s">
        <v>12126</v>
      </c>
      <c r="B12091" s="1" t="s">
        <v>26</v>
      </c>
      <c r="C12091" s="1" t="n">
        <v>167000</v>
      </c>
      <c r="D12091" s="1" t="n">
        <v>5910.5</v>
      </c>
      <c r="F12091" s="1" t="n">
        <v>0.051</v>
      </c>
    </row>
    <row r="12092" customFormat="false" ht="15" hidden="false" customHeight="false" outlineLevel="0" collapsed="false">
      <c r="A12092" s="1" t="s">
        <v>12127</v>
      </c>
      <c r="B12092" s="1" t="s">
        <v>21</v>
      </c>
      <c r="C12092" s="1" t="n">
        <v>120000</v>
      </c>
      <c r="D12092" s="1" t="n">
        <v>36657.7</v>
      </c>
      <c r="E12092" s="1" t="n">
        <v>0.0137</v>
      </c>
      <c r="F12092" s="1" t="n">
        <v>0.0736</v>
      </c>
    </row>
    <row r="12093" customFormat="false" ht="15" hidden="false" customHeight="false" outlineLevel="0" collapsed="false">
      <c r="A12093" s="1" t="s">
        <v>12128</v>
      </c>
      <c r="B12093" s="1" t="s">
        <v>24</v>
      </c>
      <c r="C12093" s="1" t="n">
        <v>116000</v>
      </c>
      <c r="D12093" s="1" t="n">
        <v>31469.1</v>
      </c>
      <c r="E12093" s="1" t="n">
        <v>0.031</v>
      </c>
      <c r="F12093" s="1" t="n">
        <v>0.0951</v>
      </c>
    </row>
    <row r="12094" customFormat="false" ht="15" hidden="false" customHeight="false" outlineLevel="0" collapsed="false">
      <c r="A12094" s="1" t="s">
        <v>12129</v>
      </c>
      <c r="B12094" s="1" t="s">
        <v>53</v>
      </c>
      <c r="C12094" s="1" t="n">
        <v>97500</v>
      </c>
      <c r="D12094" s="1" t="n">
        <v>379.1</v>
      </c>
      <c r="E12094" s="1" t="n">
        <v>0.0521</v>
      </c>
      <c r="F12094" s="1" t="n">
        <v>0.0998</v>
      </c>
    </row>
    <row r="12095" customFormat="false" ht="15" hidden="false" customHeight="false" outlineLevel="0" collapsed="false">
      <c r="A12095" s="1" t="s">
        <v>12130</v>
      </c>
      <c r="B12095" s="1" t="s">
        <v>26</v>
      </c>
      <c r="C12095" s="1" t="n">
        <v>177000</v>
      </c>
      <c r="D12095" s="1" t="n">
        <v>6855.9</v>
      </c>
      <c r="E12095" s="1" t="n">
        <v>0.0443</v>
      </c>
      <c r="F12095" s="1" t="n">
        <v>0.0951</v>
      </c>
    </row>
    <row r="12096" customFormat="false" ht="15" hidden="false" customHeight="false" outlineLevel="0" collapsed="false">
      <c r="A12096" s="1" t="s">
        <v>12131</v>
      </c>
      <c r="B12096" s="1" t="s">
        <v>88</v>
      </c>
      <c r="C12096" s="1" t="n">
        <v>103000</v>
      </c>
      <c r="D12096" s="1" t="n">
        <v>1741.6</v>
      </c>
      <c r="E12096" s="1" t="n">
        <v>0.0257</v>
      </c>
      <c r="F12096" s="1" t="n">
        <v>0.1067</v>
      </c>
    </row>
    <row r="12097" customFormat="false" ht="15" hidden="false" customHeight="false" outlineLevel="0" collapsed="false">
      <c r="A12097" s="1" t="s">
        <v>12132</v>
      </c>
      <c r="B12097" s="1" t="s">
        <v>26</v>
      </c>
      <c r="C12097" s="1" t="n">
        <v>123000</v>
      </c>
      <c r="D12097" s="1" t="n">
        <v>137450.7</v>
      </c>
      <c r="E12097" s="1" t="n">
        <v>0.0301</v>
      </c>
      <c r="F12097" s="1" t="n">
        <v>0.0845</v>
      </c>
    </row>
    <row r="12098" customFormat="false" ht="15" hidden="false" customHeight="false" outlineLevel="0" collapsed="false">
      <c r="A12098" s="1" t="s">
        <v>12133</v>
      </c>
      <c r="B12098" s="1" t="s">
        <v>21</v>
      </c>
      <c r="C12098" s="1" t="n">
        <v>108000</v>
      </c>
      <c r="D12098" s="1" t="n">
        <v>1901</v>
      </c>
      <c r="E12098" s="1" t="n">
        <v>0.0502</v>
      </c>
      <c r="F12098" s="1" t="n">
        <v>0.0951</v>
      </c>
    </row>
    <row r="12099" customFormat="false" ht="15" hidden="false" customHeight="false" outlineLevel="0" collapsed="false">
      <c r="A12099" s="1" t="s">
        <v>12134</v>
      </c>
      <c r="B12099" s="1" t="s">
        <v>214</v>
      </c>
      <c r="C12099" s="1" t="n">
        <v>95000</v>
      </c>
      <c r="D12099" s="1" t="n">
        <v>2829.1</v>
      </c>
      <c r="E12099" s="1" t="n">
        <v>0.03</v>
      </c>
      <c r="F12099" s="1" t="n">
        <v>0.0951</v>
      </c>
    </row>
    <row r="12100" customFormat="false" ht="15" hidden="false" customHeight="false" outlineLevel="0" collapsed="false">
      <c r="A12100" s="1" t="s">
        <v>12135</v>
      </c>
      <c r="B12100" s="1" t="s">
        <v>287</v>
      </c>
      <c r="C12100" s="1" t="n">
        <v>120000</v>
      </c>
      <c r="D12100" s="1" t="n">
        <v>4880.3</v>
      </c>
      <c r="E12100" s="1" t="n">
        <v>0.0248</v>
      </c>
      <c r="F12100" s="1" t="n">
        <v>0.0759</v>
      </c>
    </row>
    <row r="12101" customFormat="false" ht="15" hidden="false" customHeight="false" outlineLevel="0" collapsed="false">
      <c r="A12101" s="1" t="s">
        <v>12136</v>
      </c>
      <c r="B12101" s="1" t="s">
        <v>81</v>
      </c>
      <c r="C12101" s="1" t="n">
        <v>105000</v>
      </c>
      <c r="D12101" s="1" t="n">
        <v>1377</v>
      </c>
      <c r="E12101" s="1" t="n">
        <v>0.0392</v>
      </c>
      <c r="F12101" s="1" t="n">
        <v>0.0759</v>
      </c>
    </row>
    <row r="12102" customFormat="false" ht="15" hidden="false" customHeight="false" outlineLevel="0" collapsed="false">
      <c r="A12102" s="1" t="s">
        <v>12137</v>
      </c>
      <c r="B12102" s="1" t="s">
        <v>26</v>
      </c>
      <c r="C12102" s="1" t="n">
        <v>113000</v>
      </c>
      <c r="D12102" s="1" t="n">
        <v>771.9</v>
      </c>
      <c r="E12102" s="1" t="n">
        <v>0.0514</v>
      </c>
      <c r="F12102" s="1" t="n">
        <v>0.0951</v>
      </c>
    </row>
    <row r="12103" customFormat="false" ht="15" hidden="false" customHeight="false" outlineLevel="0" collapsed="false">
      <c r="A12103" s="1" t="s">
        <v>12138</v>
      </c>
      <c r="B12103" s="1" t="s">
        <v>214</v>
      </c>
      <c r="C12103" s="1" t="n">
        <v>149000</v>
      </c>
      <c r="D12103" s="1" t="n">
        <v>27764.1</v>
      </c>
      <c r="E12103" s="1" t="n">
        <v>0.018</v>
      </c>
      <c r="F12103" s="1" t="n">
        <v>0.0462</v>
      </c>
    </row>
    <row r="12104" customFormat="false" ht="15" hidden="false" customHeight="false" outlineLevel="0" collapsed="false">
      <c r="A12104" s="1" t="s">
        <v>12139</v>
      </c>
      <c r="B12104" s="1" t="s">
        <v>30</v>
      </c>
      <c r="C12104" s="1" t="n">
        <v>95900</v>
      </c>
      <c r="D12104" s="1" t="n">
        <v>45708.5</v>
      </c>
      <c r="E12104" s="1" t="n">
        <v>0.0234</v>
      </c>
      <c r="F12104" s="1" t="n">
        <v>0.0951</v>
      </c>
    </row>
    <row r="12105" customFormat="false" ht="15" hidden="false" customHeight="false" outlineLevel="0" collapsed="false">
      <c r="A12105" s="1" t="s">
        <v>12140</v>
      </c>
      <c r="B12105" s="1" t="s">
        <v>81</v>
      </c>
      <c r="C12105" s="1" t="n">
        <v>591000</v>
      </c>
      <c r="D12105" s="1" t="n">
        <v>529496.7</v>
      </c>
      <c r="E12105" s="1" t="n">
        <v>0.0186</v>
      </c>
      <c r="F12105" s="1" t="n">
        <v>0.139</v>
      </c>
    </row>
    <row r="12106" customFormat="false" ht="15" hidden="false" customHeight="false" outlineLevel="0" collapsed="false">
      <c r="A12106" s="1" t="s">
        <v>12141</v>
      </c>
      <c r="B12106" s="1" t="s">
        <v>24</v>
      </c>
      <c r="C12106" s="1" t="n">
        <v>134000</v>
      </c>
      <c r="D12106" s="1" t="n">
        <v>35739.6</v>
      </c>
      <c r="E12106" s="1" t="n">
        <v>0.0211</v>
      </c>
      <c r="F12106" s="1" t="n">
        <v>0.0951</v>
      </c>
    </row>
    <row r="12107" customFormat="false" ht="15" hidden="false" customHeight="false" outlineLevel="0" collapsed="false">
      <c r="A12107" s="1" t="s">
        <v>12142</v>
      </c>
      <c r="B12107" s="1" t="s">
        <v>71</v>
      </c>
      <c r="C12107" s="1" t="n">
        <v>100000</v>
      </c>
      <c r="D12107" s="1" t="n">
        <v>1202.5</v>
      </c>
      <c r="E12107" s="1" t="n">
        <v>0.0414</v>
      </c>
      <c r="F12107" s="1" t="n">
        <v>0.0759</v>
      </c>
    </row>
    <row r="12108" customFormat="false" ht="15" hidden="false" customHeight="false" outlineLevel="0" collapsed="false">
      <c r="A12108" s="1" t="s">
        <v>12143</v>
      </c>
      <c r="B12108" s="1" t="s">
        <v>287</v>
      </c>
      <c r="C12108" s="1" t="n">
        <v>92300</v>
      </c>
      <c r="D12108" s="1" t="n">
        <v>67866.6</v>
      </c>
      <c r="E12108" s="1" t="n">
        <v>0.0593</v>
      </c>
      <c r="F12108" s="1" t="n">
        <v>0.0845</v>
      </c>
    </row>
    <row r="12109" customFormat="false" ht="15" hidden="false" customHeight="false" outlineLevel="0" collapsed="false">
      <c r="A12109" s="1" t="s">
        <v>12144</v>
      </c>
      <c r="B12109" s="1" t="s">
        <v>62</v>
      </c>
      <c r="C12109" s="1" t="n">
        <v>105000</v>
      </c>
      <c r="D12109" s="1" t="n">
        <v>1847.5</v>
      </c>
      <c r="E12109" s="1" t="n">
        <v>0.0277</v>
      </c>
      <c r="F12109" s="1" t="n">
        <v>0.0938</v>
      </c>
    </row>
    <row r="12110" customFormat="false" ht="15" hidden="false" customHeight="false" outlineLevel="0" collapsed="false">
      <c r="A12110" s="1" t="s">
        <v>12145</v>
      </c>
      <c r="B12110" s="1" t="s">
        <v>214</v>
      </c>
      <c r="C12110" s="1" t="n">
        <v>97200</v>
      </c>
      <c r="D12110" s="1" t="n">
        <v>1856.8</v>
      </c>
      <c r="E12110" s="1" t="n">
        <v>0.0222</v>
      </c>
      <c r="F12110" s="1" t="n">
        <v>0.0951</v>
      </c>
    </row>
    <row r="12111" customFormat="false" ht="15" hidden="false" customHeight="false" outlineLevel="0" collapsed="false">
      <c r="A12111" s="1" t="s">
        <v>12146</v>
      </c>
      <c r="B12111" s="1" t="s">
        <v>26</v>
      </c>
      <c r="C12111" s="1" t="n">
        <v>124000</v>
      </c>
      <c r="D12111" s="1" t="n">
        <v>6410.1</v>
      </c>
      <c r="E12111" s="1" t="n">
        <v>0.0444</v>
      </c>
      <c r="F12111" s="1" t="n">
        <v>0.0951</v>
      </c>
    </row>
    <row r="12112" customFormat="false" ht="15" hidden="false" customHeight="false" outlineLevel="0" collapsed="false">
      <c r="A12112" s="1" t="s">
        <v>12147</v>
      </c>
      <c r="B12112" s="1" t="s">
        <v>26</v>
      </c>
      <c r="C12112" s="1" t="n">
        <v>93400</v>
      </c>
      <c r="D12112" s="1" t="n">
        <v>4189.2</v>
      </c>
      <c r="E12112" s="1" t="n">
        <v>0.0504</v>
      </c>
      <c r="F12112" s="1" t="n">
        <v>0.051</v>
      </c>
    </row>
    <row r="12113" customFormat="false" ht="15" hidden="false" customHeight="false" outlineLevel="0" collapsed="false">
      <c r="A12113" s="1" t="s">
        <v>12148</v>
      </c>
      <c r="B12113" s="1" t="s">
        <v>195</v>
      </c>
      <c r="C12113" s="1" t="n">
        <v>94900</v>
      </c>
      <c r="D12113" s="1" t="n">
        <v>27116</v>
      </c>
      <c r="E12113" s="1" t="n">
        <v>0.0188</v>
      </c>
      <c r="F12113" s="1" t="n">
        <v>0.0518</v>
      </c>
    </row>
    <row r="12114" customFormat="false" ht="15" hidden="false" customHeight="false" outlineLevel="0" collapsed="false">
      <c r="A12114" s="1" t="s">
        <v>12149</v>
      </c>
      <c r="B12114" s="1" t="s">
        <v>26</v>
      </c>
      <c r="C12114" s="1" t="n">
        <v>96300</v>
      </c>
      <c r="D12114" s="1" t="n">
        <v>9498.6</v>
      </c>
      <c r="E12114" s="1" t="n">
        <v>0.0196</v>
      </c>
      <c r="F12114" s="1" t="n">
        <v>0.0616</v>
      </c>
    </row>
    <row r="12115" customFormat="false" ht="15" hidden="false" customHeight="false" outlineLevel="0" collapsed="false">
      <c r="A12115" s="1" t="s">
        <v>12150</v>
      </c>
      <c r="B12115" s="1" t="s">
        <v>41</v>
      </c>
      <c r="C12115" s="1" t="n">
        <v>278000</v>
      </c>
      <c r="D12115" s="1" t="n">
        <v>10989.9</v>
      </c>
      <c r="E12115" s="1" t="n">
        <v>0.0211</v>
      </c>
      <c r="F12115" s="1" t="n">
        <v>0.0759</v>
      </c>
    </row>
    <row r="12116" customFormat="false" ht="15" hidden="false" customHeight="false" outlineLevel="0" collapsed="false">
      <c r="A12116" s="1" t="s">
        <v>12151</v>
      </c>
      <c r="B12116" s="1" t="s">
        <v>26</v>
      </c>
      <c r="C12116" s="1" t="n">
        <v>135000</v>
      </c>
      <c r="D12116" s="1" t="n">
        <v>3517.2</v>
      </c>
      <c r="E12116" s="1" t="n">
        <v>0.0089</v>
      </c>
      <c r="F12116" s="1" t="n">
        <v>0.0821</v>
      </c>
    </row>
    <row r="12117" customFormat="false" ht="15" hidden="false" customHeight="false" outlineLevel="0" collapsed="false">
      <c r="A12117" s="1" t="s">
        <v>12152</v>
      </c>
      <c r="B12117" s="1" t="s">
        <v>88</v>
      </c>
      <c r="C12117" s="1" t="n">
        <v>127000</v>
      </c>
      <c r="D12117" s="1" t="n">
        <v>98.5</v>
      </c>
      <c r="E12117" s="1" t="n">
        <v>0.0082</v>
      </c>
      <c r="F12117" s="1" t="n">
        <v>0.1801</v>
      </c>
    </row>
    <row r="12118" customFormat="false" ht="15" hidden="false" customHeight="false" outlineLevel="0" collapsed="false">
      <c r="A12118" s="1" t="s">
        <v>12153</v>
      </c>
      <c r="B12118" s="1" t="s">
        <v>81</v>
      </c>
      <c r="C12118" s="1" t="n">
        <v>100000</v>
      </c>
      <c r="D12118" s="1" t="n">
        <v>440.6</v>
      </c>
      <c r="E12118" s="1" t="n">
        <v>0.0495</v>
      </c>
      <c r="F12118" s="1" t="n">
        <v>0.0951</v>
      </c>
    </row>
    <row r="12119" customFormat="false" ht="15" hidden="false" customHeight="false" outlineLevel="0" collapsed="false">
      <c r="A12119" s="1" t="s">
        <v>12154</v>
      </c>
      <c r="B12119" s="1" t="s">
        <v>62</v>
      </c>
      <c r="C12119" s="1" t="n">
        <v>185000</v>
      </c>
      <c r="D12119" s="1" t="n">
        <v>34807.3</v>
      </c>
      <c r="E12119" s="1" t="n">
        <v>0.0336</v>
      </c>
      <c r="F12119" s="1" t="n">
        <v>0.0951</v>
      </c>
    </row>
    <row r="12120" customFormat="false" ht="15" hidden="false" customHeight="false" outlineLevel="0" collapsed="false">
      <c r="A12120" s="1" t="s">
        <v>12155</v>
      </c>
      <c r="B12120" s="1" t="s">
        <v>195</v>
      </c>
      <c r="C12120" s="1" t="n">
        <v>94500</v>
      </c>
      <c r="D12120" s="1" t="n">
        <v>1844.3</v>
      </c>
      <c r="E12120" s="1" t="n">
        <v>0.0364</v>
      </c>
      <c r="F12120" s="1" t="n">
        <v>0.0951</v>
      </c>
    </row>
    <row r="12121" customFormat="false" ht="15" hidden="false" customHeight="false" outlineLevel="0" collapsed="false">
      <c r="A12121" s="1" t="s">
        <v>12156</v>
      </c>
      <c r="B12121" s="1" t="s">
        <v>26</v>
      </c>
      <c r="C12121" s="1" t="n">
        <v>94200</v>
      </c>
      <c r="D12121" s="1" t="n">
        <v>21437.4</v>
      </c>
      <c r="E12121" s="1" t="n">
        <v>0.0408</v>
      </c>
      <c r="F12121" s="1" t="n">
        <v>0.0951</v>
      </c>
    </row>
    <row r="12122" customFormat="false" ht="15" hidden="false" customHeight="false" outlineLevel="0" collapsed="false">
      <c r="A12122" s="1" t="s">
        <v>12157</v>
      </c>
      <c r="B12122" s="1" t="s">
        <v>26</v>
      </c>
      <c r="C12122" s="1" t="n">
        <v>95100</v>
      </c>
      <c r="D12122" s="1" t="n">
        <v>5903.5</v>
      </c>
      <c r="E12122" s="1" t="n">
        <v>0.013</v>
      </c>
      <c r="F12122" s="1" t="n">
        <v>0.1327</v>
      </c>
    </row>
    <row r="12123" customFormat="false" ht="15" hidden="false" customHeight="false" outlineLevel="0" collapsed="false">
      <c r="A12123" s="1" t="s">
        <v>12158</v>
      </c>
      <c r="B12123" s="1" t="s">
        <v>24</v>
      </c>
      <c r="C12123" s="1" t="n">
        <v>262000</v>
      </c>
      <c r="D12123" s="1" t="n">
        <v>8997.9</v>
      </c>
      <c r="E12123" s="1" t="n">
        <v>0.0494</v>
      </c>
      <c r="F12123" s="1" t="n">
        <v>0.0938</v>
      </c>
    </row>
    <row r="12124" customFormat="false" ht="15" hidden="false" customHeight="false" outlineLevel="0" collapsed="false">
      <c r="A12124" s="1" t="s">
        <v>12159</v>
      </c>
      <c r="B12124" s="1" t="s">
        <v>53</v>
      </c>
      <c r="C12124" s="1" t="n">
        <v>100000</v>
      </c>
      <c r="D12124" s="1" t="n">
        <v>87</v>
      </c>
      <c r="E12124" s="1" t="n">
        <v>0.011</v>
      </c>
      <c r="F12124" s="1" t="n">
        <v>0.4576</v>
      </c>
    </row>
    <row r="12125" customFormat="false" ht="15" hidden="false" customHeight="false" outlineLevel="0" collapsed="false">
      <c r="A12125" s="1" t="s">
        <v>12160</v>
      </c>
      <c r="B12125" s="1" t="s">
        <v>214</v>
      </c>
      <c r="C12125" s="1" t="n">
        <v>96000</v>
      </c>
      <c r="D12125" s="1" t="n">
        <v>232.6</v>
      </c>
      <c r="E12125" s="1" t="n">
        <v>0.0327</v>
      </c>
      <c r="F12125" s="1" t="n">
        <v>0.0759</v>
      </c>
    </row>
    <row r="12126" customFormat="false" ht="15" hidden="false" customHeight="false" outlineLevel="0" collapsed="false">
      <c r="A12126" s="1" t="s">
        <v>12161</v>
      </c>
      <c r="B12126" s="1" t="s">
        <v>50</v>
      </c>
      <c r="C12126" s="1" t="n">
        <v>102000</v>
      </c>
      <c r="D12126" s="1" t="n">
        <v>8332.3</v>
      </c>
      <c r="E12126" s="1" t="n">
        <v>0.026</v>
      </c>
      <c r="F12126" s="1" t="n">
        <v>0.0951</v>
      </c>
    </row>
    <row r="12127" customFormat="false" ht="15" hidden="false" customHeight="false" outlineLevel="0" collapsed="false">
      <c r="A12127" s="1" t="s">
        <v>12162</v>
      </c>
      <c r="B12127" s="1" t="s">
        <v>88</v>
      </c>
      <c r="C12127" s="1" t="n">
        <v>135000</v>
      </c>
      <c r="D12127" s="1" t="n">
        <v>11607</v>
      </c>
      <c r="E12127" s="1" t="n">
        <v>0.0729</v>
      </c>
      <c r="F12127" s="1" t="n">
        <v>0.0759</v>
      </c>
    </row>
    <row r="12128" customFormat="false" ht="15" hidden="false" customHeight="false" outlineLevel="0" collapsed="false">
      <c r="A12128" s="1" t="s">
        <v>12163</v>
      </c>
      <c r="B12128" s="1" t="s">
        <v>88</v>
      </c>
      <c r="C12128" s="1" t="n">
        <v>107000</v>
      </c>
      <c r="D12128" s="1" t="n">
        <v>83.1</v>
      </c>
      <c r="E12128" s="1" t="n">
        <v>0.0816</v>
      </c>
      <c r="F12128" s="1" t="n">
        <v>0.0759</v>
      </c>
    </row>
    <row r="12129" customFormat="false" ht="15" hidden="false" customHeight="false" outlineLevel="0" collapsed="false">
      <c r="A12129" s="1" t="s">
        <v>12164</v>
      </c>
      <c r="B12129" s="1" t="s">
        <v>26</v>
      </c>
      <c r="C12129" s="1" t="n">
        <v>105000</v>
      </c>
      <c r="D12129" s="1" t="n">
        <v>1736.6</v>
      </c>
      <c r="E12129" s="1" t="n">
        <v>0.0138</v>
      </c>
      <c r="F12129" s="1" t="n">
        <v>0.1067</v>
      </c>
    </row>
    <row r="12130" customFormat="false" ht="15" hidden="false" customHeight="false" outlineLevel="0" collapsed="false">
      <c r="A12130" s="1" t="s">
        <v>12165</v>
      </c>
      <c r="B12130" s="1" t="s">
        <v>214</v>
      </c>
      <c r="C12130" s="1" t="n">
        <v>93800</v>
      </c>
      <c r="D12130" s="1" t="n">
        <v>1613.1</v>
      </c>
      <c r="E12130" s="1" t="n">
        <v>0.0112</v>
      </c>
      <c r="F12130" s="1" t="n">
        <v>0.1027</v>
      </c>
    </row>
    <row r="12131" customFormat="false" ht="15" hidden="false" customHeight="false" outlineLevel="0" collapsed="false">
      <c r="A12131" s="1" t="s">
        <v>12166</v>
      </c>
      <c r="B12131" s="1" t="s">
        <v>88</v>
      </c>
      <c r="C12131" s="1" t="n">
        <v>139000</v>
      </c>
      <c r="D12131" s="1" t="n">
        <v>9444.7</v>
      </c>
      <c r="E12131" s="1" t="n">
        <v>0.0442</v>
      </c>
      <c r="F12131" s="1" t="n">
        <v>0.0951</v>
      </c>
    </row>
    <row r="12132" customFormat="false" ht="15" hidden="false" customHeight="false" outlineLevel="0" collapsed="false">
      <c r="A12132" s="1" t="s">
        <v>12167</v>
      </c>
      <c r="B12132" s="1" t="s">
        <v>88</v>
      </c>
      <c r="C12132" s="1" t="n">
        <v>144000</v>
      </c>
      <c r="D12132" s="1" t="n">
        <v>8866.5</v>
      </c>
      <c r="E12132" s="1" t="n">
        <v>0.0554</v>
      </c>
      <c r="F12132" s="1" t="n">
        <v>0.0759</v>
      </c>
    </row>
    <row r="12133" customFormat="false" ht="15" hidden="false" customHeight="false" outlineLevel="0" collapsed="false">
      <c r="A12133" s="1" t="s">
        <v>12168</v>
      </c>
      <c r="B12133" s="1" t="s">
        <v>26</v>
      </c>
      <c r="C12133" s="1" t="n">
        <v>106000</v>
      </c>
      <c r="D12133" s="1" t="n">
        <v>18162.8</v>
      </c>
      <c r="E12133" s="1" t="n">
        <v>0.0441</v>
      </c>
      <c r="F12133" s="1" t="n">
        <v>0.0409</v>
      </c>
    </row>
    <row r="12134" customFormat="false" ht="15" hidden="false" customHeight="false" outlineLevel="0" collapsed="false">
      <c r="A12134" s="1" t="s">
        <v>12169</v>
      </c>
      <c r="B12134" s="1" t="s">
        <v>41</v>
      </c>
      <c r="C12134" s="1" t="n">
        <v>108000</v>
      </c>
      <c r="D12134" s="1" t="n">
        <v>3633</v>
      </c>
      <c r="E12134" s="1" t="n">
        <v>0.0264</v>
      </c>
      <c r="F12134" s="1" t="n">
        <v>0.051</v>
      </c>
    </row>
    <row r="12135" customFormat="false" ht="15" hidden="false" customHeight="false" outlineLevel="0" collapsed="false">
      <c r="A12135" s="1" t="s">
        <v>12170</v>
      </c>
      <c r="B12135" s="1" t="s">
        <v>88</v>
      </c>
      <c r="C12135" s="1" t="n">
        <v>161000</v>
      </c>
      <c r="D12135" s="1" t="n">
        <v>3061.1</v>
      </c>
      <c r="E12135" s="1" t="n">
        <v>0.0417</v>
      </c>
      <c r="F12135" s="1" t="n">
        <v>0.0759</v>
      </c>
    </row>
    <row r="12136" customFormat="false" ht="15" hidden="false" customHeight="false" outlineLevel="0" collapsed="false">
      <c r="A12136" s="1" t="s">
        <v>12171</v>
      </c>
      <c r="B12136" s="1" t="s">
        <v>26</v>
      </c>
      <c r="C12136" s="1" t="n">
        <v>96400</v>
      </c>
      <c r="D12136" s="1" t="n">
        <v>3013.8</v>
      </c>
      <c r="E12136" s="1" t="n">
        <v>0.0289</v>
      </c>
      <c r="F12136" s="1" t="n">
        <v>0.0759</v>
      </c>
    </row>
    <row r="12137" customFormat="false" ht="15" hidden="false" customHeight="false" outlineLevel="0" collapsed="false">
      <c r="A12137" s="1" t="s">
        <v>12172</v>
      </c>
      <c r="B12137" s="1" t="s">
        <v>74</v>
      </c>
      <c r="C12137" s="1" t="n">
        <v>205000</v>
      </c>
      <c r="D12137" s="1" t="n">
        <v>21508.3</v>
      </c>
      <c r="E12137" s="1" t="n">
        <v>0.0435</v>
      </c>
      <c r="F12137" s="1" t="n">
        <v>0.0759</v>
      </c>
    </row>
    <row r="12138" customFormat="false" ht="15" hidden="false" customHeight="false" outlineLevel="0" collapsed="false">
      <c r="A12138" s="1" t="s">
        <v>12173</v>
      </c>
      <c r="B12138" s="1" t="s">
        <v>26</v>
      </c>
      <c r="C12138" s="1" t="n">
        <v>98900</v>
      </c>
      <c r="D12138" s="1" t="n">
        <v>1381.5</v>
      </c>
      <c r="E12138" s="1" t="n">
        <v>0.0093</v>
      </c>
      <c r="F12138" s="1" t="n">
        <v>0.1027</v>
      </c>
    </row>
    <row r="12139" customFormat="false" ht="15" hidden="false" customHeight="false" outlineLevel="0" collapsed="false">
      <c r="A12139" s="1" t="s">
        <v>12174</v>
      </c>
      <c r="B12139" s="1" t="s">
        <v>62</v>
      </c>
      <c r="C12139" s="1" t="n">
        <v>103000</v>
      </c>
      <c r="D12139" s="1" t="n">
        <v>1069.5</v>
      </c>
      <c r="E12139" s="1" t="n">
        <v>0.0121</v>
      </c>
      <c r="F12139" s="1" t="n">
        <v>0.0462</v>
      </c>
    </row>
    <row r="12140" customFormat="false" ht="15" hidden="false" customHeight="false" outlineLevel="0" collapsed="false">
      <c r="A12140" s="1" t="s">
        <v>12175</v>
      </c>
      <c r="B12140" s="1" t="s">
        <v>214</v>
      </c>
      <c r="C12140" s="1" t="n">
        <v>139000</v>
      </c>
      <c r="D12140" s="1" t="n">
        <v>2524.2</v>
      </c>
      <c r="E12140" s="1" t="n">
        <v>0.0105</v>
      </c>
      <c r="F12140" s="1" t="n">
        <v>0.0822</v>
      </c>
    </row>
    <row r="12141" customFormat="false" ht="15" hidden="false" customHeight="false" outlineLevel="0" collapsed="false">
      <c r="A12141" s="1" t="s">
        <v>12176</v>
      </c>
      <c r="B12141" s="1" t="s">
        <v>53</v>
      </c>
      <c r="C12141" s="1" t="n">
        <v>108000</v>
      </c>
      <c r="D12141" s="1" t="n">
        <v>197835.3</v>
      </c>
      <c r="E12141" s="1" t="n">
        <v>0.0208</v>
      </c>
      <c r="F12141" s="1" t="n">
        <v>0.117</v>
      </c>
    </row>
    <row r="12142" customFormat="false" ht="15" hidden="false" customHeight="false" outlineLevel="0" collapsed="false">
      <c r="A12142" s="1" t="s">
        <v>12177</v>
      </c>
      <c r="B12142" s="1" t="s">
        <v>26</v>
      </c>
      <c r="C12142" s="1" t="n">
        <v>105000</v>
      </c>
      <c r="D12142" s="1" t="n">
        <v>116.6</v>
      </c>
      <c r="E12142" s="1" t="n">
        <v>0.0371</v>
      </c>
      <c r="F12142" s="1" t="n">
        <v>0.0518</v>
      </c>
    </row>
    <row r="12143" customFormat="false" ht="15" hidden="false" customHeight="false" outlineLevel="0" collapsed="false">
      <c r="A12143" s="1" t="s">
        <v>12178</v>
      </c>
      <c r="B12143" s="1" t="s">
        <v>26</v>
      </c>
      <c r="C12143" s="1" t="n">
        <v>122000</v>
      </c>
      <c r="D12143" s="1" t="n">
        <v>127</v>
      </c>
      <c r="E12143" s="1" t="n">
        <v>0.0279</v>
      </c>
      <c r="F12143" s="1" t="n">
        <v>0.0759</v>
      </c>
    </row>
    <row r="12144" customFormat="false" ht="15" hidden="false" customHeight="false" outlineLevel="0" collapsed="false">
      <c r="A12144" s="1" t="s">
        <v>12179</v>
      </c>
      <c r="B12144" s="1" t="s">
        <v>88</v>
      </c>
      <c r="C12144" s="1" t="n">
        <v>149000</v>
      </c>
      <c r="D12144" s="1" t="n">
        <v>911.7</v>
      </c>
      <c r="E12144" s="1" t="n">
        <v>0.0637</v>
      </c>
      <c r="F12144" s="1" t="n">
        <v>0.0938</v>
      </c>
    </row>
    <row r="12145" customFormat="false" ht="15" hidden="false" customHeight="false" outlineLevel="0" collapsed="false">
      <c r="A12145" s="1" t="s">
        <v>12180</v>
      </c>
      <c r="B12145" s="1" t="s">
        <v>53</v>
      </c>
      <c r="C12145" s="1" t="n">
        <v>97600</v>
      </c>
      <c r="D12145" s="1" t="n">
        <v>1206.9</v>
      </c>
      <c r="E12145" s="1" t="n">
        <v>0.0245</v>
      </c>
      <c r="F12145" s="1" t="n">
        <v>0.0759</v>
      </c>
    </row>
    <row r="12146" customFormat="false" ht="15" hidden="false" customHeight="false" outlineLevel="0" collapsed="false">
      <c r="A12146" s="1" t="s">
        <v>12181</v>
      </c>
      <c r="B12146" s="1" t="s">
        <v>26</v>
      </c>
      <c r="C12146" s="1" t="n">
        <v>136000</v>
      </c>
      <c r="D12146" s="1" t="n">
        <v>20450.4</v>
      </c>
      <c r="E12146" s="1" t="n">
        <v>0.003</v>
      </c>
      <c r="F12146" s="1" t="n">
        <v>0.0654</v>
      </c>
    </row>
    <row r="12147" customFormat="false" ht="15" hidden="false" customHeight="false" outlineLevel="0" collapsed="false">
      <c r="A12147" s="1" t="s">
        <v>12182</v>
      </c>
      <c r="B12147" s="1" t="s">
        <v>92</v>
      </c>
      <c r="C12147" s="1" t="n">
        <v>181000</v>
      </c>
      <c r="D12147" s="1" t="n">
        <v>77204.1</v>
      </c>
      <c r="E12147" s="1" t="n">
        <v>0.0121</v>
      </c>
      <c r="F12147" s="1" t="n">
        <v>0.052</v>
      </c>
    </row>
    <row r="12148" customFormat="false" ht="15" hidden="false" customHeight="false" outlineLevel="0" collapsed="false">
      <c r="A12148" s="1" t="s">
        <v>12183</v>
      </c>
      <c r="B12148" s="1" t="s">
        <v>71</v>
      </c>
      <c r="C12148" s="1" t="n">
        <v>243000</v>
      </c>
      <c r="D12148" s="1" t="n">
        <v>38512</v>
      </c>
      <c r="E12148" s="1" t="n">
        <v>0.055</v>
      </c>
      <c r="F12148" s="1" t="n">
        <v>0.0759</v>
      </c>
    </row>
    <row r="12149" customFormat="false" ht="15" hidden="false" customHeight="false" outlineLevel="0" collapsed="false">
      <c r="A12149" s="1" t="s">
        <v>12184</v>
      </c>
      <c r="B12149" s="1" t="s">
        <v>24</v>
      </c>
      <c r="C12149" s="1" t="n">
        <v>95600</v>
      </c>
      <c r="D12149" s="1" t="n">
        <v>66.3</v>
      </c>
      <c r="E12149" s="1" t="n">
        <v>0.0608</v>
      </c>
      <c r="F12149" s="1" t="n">
        <v>0.0409</v>
      </c>
    </row>
    <row r="12150" customFormat="false" ht="15" hidden="false" customHeight="false" outlineLevel="0" collapsed="false">
      <c r="A12150" s="1" t="s">
        <v>12185</v>
      </c>
      <c r="B12150" s="1" t="s">
        <v>50</v>
      </c>
      <c r="C12150" s="1" t="n">
        <v>94100</v>
      </c>
      <c r="D12150" s="1" t="n">
        <v>59505.9</v>
      </c>
      <c r="E12150" s="1" t="n">
        <v>0.0111</v>
      </c>
      <c r="F12150" s="1" t="n">
        <v>0.0736</v>
      </c>
    </row>
    <row r="12151" customFormat="false" ht="15" hidden="false" customHeight="false" outlineLevel="0" collapsed="false">
      <c r="A12151" s="1" t="s">
        <v>12186</v>
      </c>
      <c r="B12151" s="1" t="s">
        <v>24</v>
      </c>
      <c r="C12151" s="1" t="n">
        <v>102000</v>
      </c>
      <c r="D12151" s="1" t="n">
        <v>517.8</v>
      </c>
      <c r="E12151" s="1" t="n">
        <v>0.0513</v>
      </c>
      <c r="F12151" s="1" t="n">
        <v>0.0951</v>
      </c>
    </row>
    <row r="12152" customFormat="false" ht="15" hidden="false" customHeight="false" outlineLevel="0" collapsed="false">
      <c r="A12152" s="1" t="s">
        <v>12187</v>
      </c>
      <c r="B12152" s="1" t="s">
        <v>287</v>
      </c>
      <c r="C12152" s="1" t="n">
        <v>87800</v>
      </c>
      <c r="D12152" s="1" t="n">
        <v>107164.1</v>
      </c>
      <c r="E12152" s="1" t="n">
        <v>0.0266</v>
      </c>
      <c r="F12152" s="1" t="n">
        <v>0.0951</v>
      </c>
    </row>
    <row r="12153" customFormat="false" ht="15" hidden="false" customHeight="false" outlineLevel="0" collapsed="false">
      <c r="A12153" s="1" t="s">
        <v>12188</v>
      </c>
      <c r="B12153" s="1" t="s">
        <v>74</v>
      </c>
      <c r="C12153" s="1" t="n">
        <v>108000</v>
      </c>
      <c r="D12153" s="1" t="n">
        <v>1443.5</v>
      </c>
      <c r="E12153" s="1" t="n">
        <v>0.1045</v>
      </c>
      <c r="F12153" s="1" t="n">
        <v>0.0759</v>
      </c>
    </row>
    <row r="12154" customFormat="false" ht="15" hidden="false" customHeight="false" outlineLevel="0" collapsed="false">
      <c r="A12154" s="1" t="s">
        <v>12189</v>
      </c>
      <c r="B12154" s="1" t="s">
        <v>26</v>
      </c>
      <c r="C12154" s="1" t="n">
        <v>102000</v>
      </c>
      <c r="D12154" s="1" t="n">
        <v>15935.9</v>
      </c>
      <c r="E12154" s="1" t="n">
        <v>0.0408</v>
      </c>
      <c r="F12154" s="1" t="n">
        <v>0.0759</v>
      </c>
    </row>
    <row r="12155" customFormat="false" ht="15" hidden="false" customHeight="false" outlineLevel="0" collapsed="false">
      <c r="A12155" s="1" t="s">
        <v>12190</v>
      </c>
      <c r="B12155" s="1" t="s">
        <v>41</v>
      </c>
      <c r="C12155" s="1" t="n">
        <v>149000</v>
      </c>
      <c r="D12155" s="1" t="n">
        <v>16990.6</v>
      </c>
      <c r="E12155" s="1" t="n">
        <v>0.0524</v>
      </c>
      <c r="F12155" s="1" t="n">
        <v>0.0759</v>
      </c>
    </row>
    <row r="12156" customFormat="false" ht="15" hidden="false" customHeight="false" outlineLevel="0" collapsed="false">
      <c r="A12156" s="1" t="s">
        <v>12191</v>
      </c>
      <c r="B12156" s="1" t="s">
        <v>92</v>
      </c>
      <c r="C12156" s="1" t="n">
        <v>282000</v>
      </c>
      <c r="D12156" s="1" t="n">
        <v>3158.2</v>
      </c>
      <c r="E12156" s="1" t="n">
        <v>0.0113</v>
      </c>
      <c r="F12156" s="1" t="n">
        <v>0.1187</v>
      </c>
    </row>
    <row r="12157" customFormat="false" ht="15" hidden="false" customHeight="false" outlineLevel="0" collapsed="false">
      <c r="A12157" s="1" t="s">
        <v>12192</v>
      </c>
      <c r="B12157" s="1" t="s">
        <v>214</v>
      </c>
      <c r="C12157" s="1" t="n">
        <v>100000</v>
      </c>
      <c r="D12157" s="1" t="n">
        <v>3050.8</v>
      </c>
      <c r="E12157" s="1" t="n">
        <v>0.043</v>
      </c>
      <c r="F12157" s="1" t="n">
        <v>0.0951</v>
      </c>
    </row>
    <row r="12158" customFormat="false" ht="15" hidden="false" customHeight="false" outlineLevel="0" collapsed="false">
      <c r="A12158" s="1" t="s">
        <v>12193</v>
      </c>
      <c r="B12158" s="1" t="s">
        <v>88</v>
      </c>
      <c r="C12158" s="1" t="n">
        <v>135000</v>
      </c>
      <c r="D12158" s="1" t="n">
        <v>1567.6</v>
      </c>
      <c r="E12158" s="1" t="n">
        <v>0.0101</v>
      </c>
      <c r="F12158" s="1" t="n">
        <v>0.1786</v>
      </c>
    </row>
    <row r="12159" customFormat="false" ht="15" hidden="false" customHeight="false" outlineLevel="0" collapsed="false">
      <c r="A12159" s="1" t="s">
        <v>12194</v>
      </c>
      <c r="B12159" s="1" t="s">
        <v>26</v>
      </c>
      <c r="C12159" s="1" t="n">
        <v>182000</v>
      </c>
      <c r="D12159" s="1" t="n">
        <v>2247</v>
      </c>
      <c r="E12159" s="1" t="n">
        <v>0.0228</v>
      </c>
      <c r="F12159" s="1" t="n">
        <v>0.0938</v>
      </c>
    </row>
    <row r="12160" customFormat="false" ht="15" hidden="false" customHeight="false" outlineLevel="0" collapsed="false">
      <c r="A12160" s="1" t="s">
        <v>12195</v>
      </c>
      <c r="B12160" s="1" t="s">
        <v>74</v>
      </c>
      <c r="C12160" s="1" t="n">
        <v>97300</v>
      </c>
      <c r="D12160" s="1" t="n">
        <v>12616.5</v>
      </c>
      <c r="E12160" s="1" t="n">
        <v>0.0358</v>
      </c>
      <c r="F12160" s="1" t="n">
        <v>0.0951</v>
      </c>
    </row>
    <row r="12161" customFormat="false" ht="15" hidden="false" customHeight="false" outlineLevel="0" collapsed="false">
      <c r="A12161" s="1" t="s">
        <v>12196</v>
      </c>
      <c r="B12161" s="1" t="s">
        <v>92</v>
      </c>
      <c r="C12161" s="1" t="n">
        <v>508000</v>
      </c>
      <c r="D12161" s="1" t="n">
        <v>48944.3</v>
      </c>
      <c r="E12161" s="1" t="n">
        <v>0.0082</v>
      </c>
      <c r="F12161" s="1" t="n">
        <v>0.0822</v>
      </c>
    </row>
    <row r="12162" customFormat="false" ht="15" hidden="false" customHeight="false" outlineLevel="0" collapsed="false">
      <c r="A12162" s="1" t="s">
        <v>12197</v>
      </c>
      <c r="B12162" s="1" t="s">
        <v>74</v>
      </c>
      <c r="C12162" s="1" t="n">
        <v>223000</v>
      </c>
      <c r="D12162" s="1" t="n">
        <v>22238.8</v>
      </c>
      <c r="E12162" s="1" t="n">
        <v>0.0952</v>
      </c>
      <c r="F12162" s="1" t="n">
        <v>0.0951</v>
      </c>
    </row>
    <row r="12163" customFormat="false" ht="15" hidden="false" customHeight="false" outlineLevel="0" collapsed="false">
      <c r="A12163" s="1" t="s">
        <v>12198</v>
      </c>
      <c r="B12163" s="1" t="s">
        <v>26</v>
      </c>
      <c r="C12163" s="1" t="n">
        <v>98000</v>
      </c>
      <c r="D12163" s="1" t="n">
        <v>977.6</v>
      </c>
      <c r="E12163" s="1" t="n">
        <v>0.0225</v>
      </c>
      <c r="F12163" s="1" t="n">
        <v>0.0951</v>
      </c>
    </row>
    <row r="12164" customFormat="false" ht="15" hidden="false" customHeight="false" outlineLevel="0" collapsed="false">
      <c r="A12164" s="1" t="s">
        <v>12199</v>
      </c>
      <c r="B12164" s="1" t="s">
        <v>88</v>
      </c>
      <c r="C12164" s="1" t="n">
        <v>103000</v>
      </c>
      <c r="D12164" s="1" t="n">
        <v>1488.1</v>
      </c>
      <c r="E12164" s="1" t="n">
        <v>0.0469</v>
      </c>
      <c r="F12164" s="1" t="n">
        <v>0.0951</v>
      </c>
    </row>
    <row r="12165" customFormat="false" ht="15" hidden="false" customHeight="false" outlineLevel="0" collapsed="false">
      <c r="A12165" s="1" t="s">
        <v>12200</v>
      </c>
      <c r="B12165" s="1" t="s">
        <v>88</v>
      </c>
      <c r="C12165" s="1" t="n">
        <v>150000</v>
      </c>
      <c r="D12165" s="1" t="n">
        <v>3579.4</v>
      </c>
      <c r="E12165" s="1" t="n">
        <v>0.0585</v>
      </c>
      <c r="F12165" s="1" t="n">
        <v>0.1359</v>
      </c>
    </row>
    <row r="12166" customFormat="false" ht="15" hidden="false" customHeight="false" outlineLevel="0" collapsed="false">
      <c r="A12166" s="1" t="s">
        <v>12201</v>
      </c>
      <c r="B12166" s="1" t="s">
        <v>50</v>
      </c>
      <c r="C12166" s="1" t="n">
        <v>186000</v>
      </c>
      <c r="D12166" s="1" t="n">
        <v>2799.2</v>
      </c>
      <c r="E12166" s="1" t="n">
        <v>0.038</v>
      </c>
      <c r="F12166" s="1" t="n">
        <v>0.144</v>
      </c>
    </row>
    <row r="12167" customFormat="false" ht="15" hidden="false" customHeight="false" outlineLevel="0" collapsed="false">
      <c r="A12167" s="1" t="s">
        <v>12202</v>
      </c>
      <c r="B12167" s="1" t="s">
        <v>24</v>
      </c>
      <c r="C12167" s="1" t="n">
        <v>126000</v>
      </c>
      <c r="D12167" s="1" t="n">
        <v>9615.4</v>
      </c>
      <c r="E12167" s="1" t="n">
        <v>0.0533</v>
      </c>
      <c r="F12167" s="1" t="n">
        <v>0.0759</v>
      </c>
    </row>
    <row r="12168" customFormat="false" ht="15" hidden="false" customHeight="false" outlineLevel="0" collapsed="false">
      <c r="A12168" s="1" t="s">
        <v>12203</v>
      </c>
      <c r="B12168" s="1" t="s">
        <v>88</v>
      </c>
      <c r="C12168" s="1" t="n">
        <v>93300</v>
      </c>
      <c r="D12168" s="1" t="n">
        <v>1286.8</v>
      </c>
      <c r="E12168" s="1" t="n">
        <v>0.0562</v>
      </c>
      <c r="F12168" s="1" t="n">
        <v>0.117</v>
      </c>
    </row>
    <row r="12169" customFormat="false" ht="15" hidden="false" customHeight="false" outlineLevel="0" collapsed="false">
      <c r="A12169" s="1" t="s">
        <v>12204</v>
      </c>
      <c r="B12169" s="1" t="s">
        <v>26</v>
      </c>
      <c r="C12169" s="1" t="n">
        <v>107000</v>
      </c>
      <c r="D12169" s="1" t="n">
        <v>26178.3</v>
      </c>
      <c r="E12169" s="1" t="n">
        <v>0.0551</v>
      </c>
      <c r="F12169" s="1" t="n">
        <v>0.0759</v>
      </c>
    </row>
    <row r="12170" customFormat="false" ht="15" hidden="false" customHeight="false" outlineLevel="0" collapsed="false">
      <c r="A12170" s="1" t="s">
        <v>12205</v>
      </c>
      <c r="B12170" s="1" t="s">
        <v>92</v>
      </c>
      <c r="C12170" s="1" t="n">
        <v>95200</v>
      </c>
      <c r="D12170" s="1" t="n">
        <v>658648.6</v>
      </c>
      <c r="E12170" s="1" t="n">
        <v>0.0232</v>
      </c>
      <c r="F12170" s="1" t="n">
        <v>0.0518</v>
      </c>
    </row>
    <row r="12171" customFormat="false" ht="15" hidden="false" customHeight="false" outlineLevel="0" collapsed="false">
      <c r="A12171" s="1" t="s">
        <v>12206</v>
      </c>
      <c r="B12171" s="1" t="s">
        <v>81</v>
      </c>
      <c r="C12171" s="1" t="n">
        <v>112000</v>
      </c>
      <c r="D12171" s="1" t="n">
        <v>7581.1</v>
      </c>
      <c r="E12171" s="1" t="n">
        <v>0.0267</v>
      </c>
      <c r="F12171" s="1" t="n">
        <v>0.0518</v>
      </c>
    </row>
    <row r="12172" customFormat="false" ht="15" hidden="false" customHeight="false" outlineLevel="0" collapsed="false">
      <c r="A12172" s="1" t="s">
        <v>12207</v>
      </c>
      <c r="B12172" s="1" t="s">
        <v>74</v>
      </c>
      <c r="C12172" s="1" t="n">
        <v>110000</v>
      </c>
      <c r="D12172" s="1" t="n">
        <v>2055.2</v>
      </c>
      <c r="E12172" s="1" t="n">
        <v>0.0567</v>
      </c>
      <c r="F12172" s="1" t="n">
        <v>0.0951</v>
      </c>
    </row>
    <row r="12173" customFormat="false" ht="15" hidden="false" customHeight="false" outlineLevel="0" collapsed="false">
      <c r="A12173" s="1" t="s">
        <v>12208</v>
      </c>
      <c r="B12173" s="1" t="s">
        <v>26</v>
      </c>
      <c r="C12173" s="1" t="n">
        <v>95900</v>
      </c>
      <c r="D12173" s="1" t="n">
        <v>616873</v>
      </c>
      <c r="E12173" s="1" t="n">
        <v>0.0433</v>
      </c>
      <c r="F12173" s="1" t="n">
        <v>0.0518</v>
      </c>
    </row>
    <row r="12174" customFormat="false" ht="15" hidden="false" customHeight="false" outlineLevel="0" collapsed="false">
      <c r="A12174" s="1" t="s">
        <v>12209</v>
      </c>
      <c r="B12174" s="1" t="s">
        <v>71</v>
      </c>
      <c r="C12174" s="1" t="n">
        <v>95600</v>
      </c>
      <c r="D12174" s="1" t="n">
        <v>27266.1</v>
      </c>
      <c r="E12174" s="1" t="n">
        <v>0.0251</v>
      </c>
      <c r="F12174" s="1" t="n">
        <v>0.0951</v>
      </c>
    </row>
    <row r="12175" customFormat="false" ht="15" hidden="false" customHeight="false" outlineLevel="0" collapsed="false">
      <c r="A12175" s="1" t="s">
        <v>12210</v>
      </c>
      <c r="B12175" s="1" t="s">
        <v>26</v>
      </c>
      <c r="C12175" s="1" t="n">
        <v>97600</v>
      </c>
      <c r="D12175" s="1" t="n">
        <v>2851.7</v>
      </c>
      <c r="E12175" s="1" t="n">
        <v>0.0372</v>
      </c>
      <c r="F12175" s="1" t="n">
        <v>0.0938</v>
      </c>
    </row>
    <row r="12176" customFormat="false" ht="15" hidden="false" customHeight="false" outlineLevel="0" collapsed="false">
      <c r="A12176" s="1" t="s">
        <v>12211</v>
      </c>
      <c r="B12176" s="1" t="s">
        <v>92</v>
      </c>
      <c r="C12176" s="1" t="n">
        <v>104000</v>
      </c>
      <c r="D12176" s="1" t="n">
        <v>1812.6</v>
      </c>
      <c r="F12176" s="1" t="n">
        <v>0.0518</v>
      </c>
    </row>
    <row r="12177" customFormat="false" ht="15" hidden="false" customHeight="false" outlineLevel="0" collapsed="false">
      <c r="A12177" s="1" t="s">
        <v>12212</v>
      </c>
      <c r="B12177" s="1" t="s">
        <v>490</v>
      </c>
      <c r="C12177" s="1" t="n">
        <v>121000</v>
      </c>
      <c r="D12177" s="1" t="n">
        <v>10613.1</v>
      </c>
      <c r="E12177" s="1" t="n">
        <v>0.0143</v>
      </c>
      <c r="F12177" s="1" t="n">
        <v>0.052</v>
      </c>
    </row>
    <row r="12178" customFormat="false" ht="15" hidden="false" customHeight="false" outlineLevel="0" collapsed="false">
      <c r="A12178" s="1" t="s">
        <v>12213</v>
      </c>
      <c r="B12178" s="1" t="s">
        <v>74</v>
      </c>
      <c r="C12178" s="1" t="n">
        <v>161000</v>
      </c>
      <c r="D12178" s="1" t="n">
        <v>5040.5</v>
      </c>
      <c r="E12178" s="1" t="n">
        <v>0.0572</v>
      </c>
      <c r="F12178" s="1" t="n">
        <v>0.0759</v>
      </c>
    </row>
    <row r="12179" customFormat="false" ht="15" hidden="false" customHeight="false" outlineLevel="0" collapsed="false">
      <c r="A12179" s="1" t="s">
        <v>12214</v>
      </c>
      <c r="B12179" s="1" t="s">
        <v>88</v>
      </c>
      <c r="C12179" s="1" t="n">
        <v>145000</v>
      </c>
      <c r="D12179" s="1" t="n">
        <v>2649.3</v>
      </c>
      <c r="E12179" s="1" t="n">
        <v>0.0361</v>
      </c>
      <c r="F12179" s="1" t="n">
        <v>0.0643</v>
      </c>
    </row>
    <row r="12180" customFormat="false" ht="15" hidden="false" customHeight="false" outlineLevel="0" collapsed="false">
      <c r="A12180" s="1" t="s">
        <v>12215</v>
      </c>
      <c r="B12180" s="1" t="s">
        <v>214</v>
      </c>
      <c r="C12180" s="1" t="n">
        <v>173000</v>
      </c>
      <c r="D12180" s="1" t="n">
        <v>178779.4</v>
      </c>
      <c r="E12180" s="1" t="n">
        <v>0.0102</v>
      </c>
      <c r="F12180" s="1" t="n">
        <v>0.0822</v>
      </c>
    </row>
    <row r="12181" customFormat="false" ht="15" hidden="false" customHeight="false" outlineLevel="0" collapsed="false">
      <c r="A12181" s="1" t="s">
        <v>12216</v>
      </c>
      <c r="B12181" s="1" t="s">
        <v>74</v>
      </c>
      <c r="C12181" s="1" t="n">
        <v>108000</v>
      </c>
      <c r="D12181" s="1" t="n">
        <v>1626</v>
      </c>
      <c r="E12181" s="1" t="n">
        <v>0.0761</v>
      </c>
      <c r="F12181" s="1" t="n">
        <v>0.0938</v>
      </c>
    </row>
    <row r="12182" customFormat="false" ht="15" hidden="false" customHeight="false" outlineLevel="0" collapsed="false">
      <c r="A12182" s="1" t="s">
        <v>12217</v>
      </c>
      <c r="B12182" s="1" t="s">
        <v>62</v>
      </c>
      <c r="C12182" s="1" t="n">
        <v>534000</v>
      </c>
      <c r="D12182" s="1" t="n">
        <v>34261.3</v>
      </c>
      <c r="E12182" s="1" t="n">
        <v>0.0348</v>
      </c>
      <c r="F12182" s="1" t="n">
        <v>0.0759</v>
      </c>
    </row>
    <row r="12183" customFormat="false" ht="15" hidden="false" customHeight="false" outlineLevel="0" collapsed="false">
      <c r="A12183" s="1" t="s">
        <v>12218</v>
      </c>
      <c r="B12183" s="1" t="s">
        <v>81</v>
      </c>
      <c r="C12183" s="1" t="n">
        <v>109000</v>
      </c>
      <c r="D12183" s="1" t="n">
        <v>6014.6</v>
      </c>
      <c r="E12183" s="1" t="n">
        <v>0.0443</v>
      </c>
      <c r="F12183" s="1" t="n">
        <v>0.0579</v>
      </c>
    </row>
    <row r="12184" customFormat="false" ht="15" hidden="false" customHeight="false" outlineLevel="0" collapsed="false">
      <c r="A12184" s="1" t="s">
        <v>12219</v>
      </c>
      <c r="B12184" s="1" t="s">
        <v>26</v>
      </c>
      <c r="C12184" s="1" t="n">
        <v>291000</v>
      </c>
      <c r="D12184" s="1" t="n">
        <v>5483.5</v>
      </c>
      <c r="E12184" s="1" t="n">
        <v>0.0263</v>
      </c>
      <c r="F12184" s="1" t="n">
        <v>0.0409</v>
      </c>
    </row>
    <row r="12185" customFormat="false" ht="15" hidden="false" customHeight="false" outlineLevel="0" collapsed="false">
      <c r="A12185" s="1" t="s">
        <v>12220</v>
      </c>
      <c r="B12185" s="1" t="s">
        <v>30</v>
      </c>
      <c r="C12185" s="1" t="n">
        <v>287000</v>
      </c>
      <c r="D12185" s="1" t="n">
        <v>2143.5</v>
      </c>
      <c r="E12185" s="1" t="n">
        <v>0.0118</v>
      </c>
      <c r="F12185" s="1" t="n">
        <v>0.0822</v>
      </c>
    </row>
    <row r="12186" customFormat="false" ht="15" hidden="false" customHeight="false" outlineLevel="0" collapsed="false">
      <c r="A12186" s="1" t="s">
        <v>12221</v>
      </c>
      <c r="B12186" s="1" t="s">
        <v>41</v>
      </c>
      <c r="C12186" s="1" t="n">
        <v>93900</v>
      </c>
      <c r="D12186" s="1" t="n">
        <v>438.5</v>
      </c>
      <c r="E12186" s="1" t="n">
        <v>0.0533</v>
      </c>
      <c r="F12186" s="1" t="n">
        <v>0.0951</v>
      </c>
    </row>
    <row r="12187" customFormat="false" ht="15" hidden="false" customHeight="false" outlineLevel="0" collapsed="false">
      <c r="A12187" s="1" t="s">
        <v>12222</v>
      </c>
      <c r="B12187" s="1" t="s">
        <v>92</v>
      </c>
      <c r="C12187" s="1" t="n">
        <v>156000</v>
      </c>
      <c r="D12187" s="1" t="n">
        <v>6990.3</v>
      </c>
      <c r="E12187" s="1" t="n">
        <v>0.0132</v>
      </c>
      <c r="F12187" s="1" t="n">
        <v>0.0616</v>
      </c>
    </row>
    <row r="12188" customFormat="false" ht="15" hidden="false" customHeight="false" outlineLevel="0" collapsed="false">
      <c r="A12188" s="1" t="s">
        <v>12223</v>
      </c>
      <c r="B12188" s="1" t="s">
        <v>81</v>
      </c>
      <c r="C12188" s="1" t="n">
        <v>100000</v>
      </c>
      <c r="D12188" s="1" t="n">
        <v>5106.3</v>
      </c>
      <c r="E12188" s="1" t="n">
        <v>0.03</v>
      </c>
      <c r="F12188" s="1" t="n">
        <v>0.0951</v>
      </c>
    </row>
    <row r="12189" customFormat="false" ht="15" hidden="false" customHeight="false" outlineLevel="0" collapsed="false">
      <c r="A12189" s="1" t="s">
        <v>12224</v>
      </c>
      <c r="B12189" s="1" t="s">
        <v>24</v>
      </c>
      <c r="C12189" s="1" t="n">
        <v>188000</v>
      </c>
      <c r="D12189" s="1" t="n">
        <v>1520</v>
      </c>
      <c r="E12189" s="1" t="n">
        <v>0.0386</v>
      </c>
      <c r="F12189" s="1" t="n">
        <v>0.0938</v>
      </c>
    </row>
    <row r="12190" customFormat="false" ht="15" hidden="false" customHeight="false" outlineLevel="0" collapsed="false">
      <c r="A12190" s="1" t="s">
        <v>12225</v>
      </c>
      <c r="B12190" s="1" t="s">
        <v>88</v>
      </c>
      <c r="C12190" s="1" t="n">
        <v>95500</v>
      </c>
      <c r="D12190" s="1" t="n">
        <v>2841.6</v>
      </c>
      <c r="E12190" s="1" t="n">
        <v>0.0255</v>
      </c>
      <c r="F12190" s="1" t="n">
        <v>0.0951</v>
      </c>
    </row>
    <row r="12191" customFormat="false" ht="15" hidden="false" customHeight="false" outlineLevel="0" collapsed="false">
      <c r="A12191" s="1" t="s">
        <v>12226</v>
      </c>
      <c r="B12191" s="1" t="s">
        <v>26</v>
      </c>
      <c r="C12191" s="1" t="n">
        <v>98100</v>
      </c>
      <c r="D12191" s="1" t="n">
        <v>93409.5</v>
      </c>
      <c r="E12191" s="1" t="n">
        <v>0.0095</v>
      </c>
      <c r="F12191" s="1" t="n">
        <v>0.0822</v>
      </c>
    </row>
    <row r="12192" customFormat="false" ht="15" hidden="false" customHeight="false" outlineLevel="0" collapsed="false">
      <c r="A12192" s="1" t="s">
        <v>12227</v>
      </c>
      <c r="B12192" s="1" t="s">
        <v>88</v>
      </c>
      <c r="C12192" s="1" t="n">
        <v>158000</v>
      </c>
      <c r="D12192" s="1" t="n">
        <v>3532.9</v>
      </c>
      <c r="E12192" s="1" t="n">
        <v>0.0301</v>
      </c>
      <c r="F12192" s="1" t="n">
        <v>0.0759</v>
      </c>
    </row>
    <row r="12193" customFormat="false" ht="15" hidden="false" customHeight="false" outlineLevel="0" collapsed="false">
      <c r="A12193" s="1" t="s">
        <v>12228</v>
      </c>
      <c r="B12193" s="1" t="s">
        <v>26</v>
      </c>
      <c r="C12193" s="1" t="n">
        <v>111000</v>
      </c>
      <c r="D12193" s="1" t="n">
        <v>14694.6</v>
      </c>
      <c r="E12193" s="1" t="n">
        <v>0.0293</v>
      </c>
      <c r="F12193" s="1" t="n">
        <v>0.0938</v>
      </c>
    </row>
    <row r="12194" customFormat="false" ht="15" hidden="false" customHeight="false" outlineLevel="0" collapsed="false">
      <c r="A12194" s="1" t="s">
        <v>12229</v>
      </c>
      <c r="B12194" s="1" t="s">
        <v>214</v>
      </c>
      <c r="C12194" s="1" t="n">
        <v>154000</v>
      </c>
      <c r="D12194" s="1" t="n">
        <v>16516.1</v>
      </c>
      <c r="E12194" s="1" t="n">
        <v>0.0105</v>
      </c>
      <c r="F12194" s="1" t="n">
        <v>0.1471</v>
      </c>
    </row>
    <row r="12195" customFormat="false" ht="15" hidden="false" customHeight="false" outlineLevel="0" collapsed="false">
      <c r="A12195" s="1" t="s">
        <v>12230</v>
      </c>
      <c r="B12195" s="1" t="s">
        <v>26</v>
      </c>
      <c r="C12195" s="1" t="n">
        <v>130000</v>
      </c>
      <c r="D12195" s="1" t="n">
        <v>7154.1</v>
      </c>
      <c r="E12195" s="1" t="n">
        <v>0.0213</v>
      </c>
      <c r="F12195" s="1" t="n">
        <v>0.0672</v>
      </c>
    </row>
    <row r="12196" customFormat="false" ht="15" hidden="false" customHeight="false" outlineLevel="0" collapsed="false">
      <c r="A12196" s="1" t="s">
        <v>12231</v>
      </c>
      <c r="B12196" s="1" t="s">
        <v>26</v>
      </c>
      <c r="C12196" s="1" t="n">
        <v>318000</v>
      </c>
      <c r="D12196" s="1" t="n">
        <v>90646.5</v>
      </c>
      <c r="E12196" s="1" t="n">
        <v>0.0222</v>
      </c>
      <c r="F12196" s="1" t="n">
        <v>0.1308</v>
      </c>
    </row>
    <row r="12197" customFormat="false" ht="15" hidden="false" customHeight="false" outlineLevel="0" collapsed="false">
      <c r="A12197" s="1" t="s">
        <v>12232</v>
      </c>
      <c r="B12197" s="1" t="s">
        <v>92</v>
      </c>
      <c r="C12197" s="1" t="n">
        <v>86900</v>
      </c>
      <c r="D12197" s="1" t="n">
        <v>2780.6</v>
      </c>
      <c r="E12197" s="1" t="n">
        <v>0.0105</v>
      </c>
      <c r="F12197" s="1" t="n">
        <v>0.2294</v>
      </c>
    </row>
    <row r="12198" customFormat="false" ht="15" hidden="false" customHeight="false" outlineLevel="0" collapsed="false">
      <c r="A12198" s="1" t="s">
        <v>12233</v>
      </c>
      <c r="B12198" s="1" t="s">
        <v>53</v>
      </c>
      <c r="C12198" s="1" t="n">
        <v>104000</v>
      </c>
      <c r="D12198" s="1" t="n">
        <v>15378.4</v>
      </c>
      <c r="E12198" s="1" t="n">
        <v>0.0788</v>
      </c>
      <c r="F12198" s="1" t="n">
        <v>0.0951</v>
      </c>
    </row>
    <row r="12199" customFormat="false" ht="15" hidden="false" customHeight="false" outlineLevel="0" collapsed="false">
      <c r="A12199" s="1" t="s">
        <v>12234</v>
      </c>
      <c r="B12199" s="1" t="s">
        <v>50</v>
      </c>
      <c r="C12199" s="1" t="n">
        <v>111000</v>
      </c>
      <c r="D12199" s="1" t="n">
        <v>55.5</v>
      </c>
      <c r="E12199" s="1" t="n">
        <v>0.0166</v>
      </c>
      <c r="F12199" s="1" t="n">
        <v>0.3298</v>
      </c>
    </row>
    <row r="12200" customFormat="false" ht="15" hidden="false" customHeight="false" outlineLevel="0" collapsed="false">
      <c r="A12200" s="1" t="s">
        <v>12235</v>
      </c>
      <c r="B12200" s="1" t="s">
        <v>26</v>
      </c>
      <c r="C12200" s="1" t="n">
        <v>325000</v>
      </c>
      <c r="D12200" s="1" t="n">
        <v>293587.4</v>
      </c>
      <c r="E12200" s="1" t="n">
        <v>0.0414</v>
      </c>
      <c r="F12200" s="1" t="n">
        <v>0.0409</v>
      </c>
    </row>
    <row r="12201" customFormat="false" ht="15" hidden="false" customHeight="false" outlineLevel="0" collapsed="false">
      <c r="A12201" s="1" t="s">
        <v>12236</v>
      </c>
      <c r="B12201" s="1" t="s">
        <v>26</v>
      </c>
      <c r="C12201" s="1" t="n">
        <v>122000</v>
      </c>
      <c r="D12201" s="1" t="n">
        <v>2119.8</v>
      </c>
      <c r="E12201" s="1" t="n">
        <v>0.0191</v>
      </c>
      <c r="F12201" s="1" t="n">
        <v>0.0759</v>
      </c>
    </row>
    <row r="12202" customFormat="false" ht="15" hidden="false" customHeight="false" outlineLevel="0" collapsed="false">
      <c r="A12202" s="1" t="s">
        <v>12237</v>
      </c>
      <c r="B12202" s="1" t="s">
        <v>71</v>
      </c>
      <c r="C12202" s="1" t="n">
        <v>104000</v>
      </c>
      <c r="D12202" s="1" t="n">
        <v>43237.3</v>
      </c>
      <c r="E12202" s="1" t="n">
        <v>0.0113</v>
      </c>
      <c r="F12202" s="1" t="n">
        <v>0.1187</v>
      </c>
    </row>
    <row r="12203" customFormat="false" ht="15" hidden="false" customHeight="false" outlineLevel="0" collapsed="false">
      <c r="A12203" s="1" t="s">
        <v>12238</v>
      </c>
      <c r="B12203" s="1" t="s">
        <v>74</v>
      </c>
      <c r="C12203" s="1" t="n">
        <v>137000</v>
      </c>
      <c r="D12203" s="1" t="n">
        <v>1780.7</v>
      </c>
      <c r="E12203" s="1" t="n">
        <v>0.0312</v>
      </c>
      <c r="F12203" s="1" t="n">
        <v>0.0759</v>
      </c>
    </row>
    <row r="12204" customFormat="false" ht="15" hidden="false" customHeight="false" outlineLevel="0" collapsed="false">
      <c r="A12204" s="1" t="s">
        <v>12239</v>
      </c>
      <c r="B12204" s="1" t="s">
        <v>92</v>
      </c>
      <c r="C12204" s="1" t="n">
        <v>120000</v>
      </c>
      <c r="D12204" s="1" t="n">
        <v>15359.6</v>
      </c>
      <c r="E12204" s="1" t="n">
        <v>0.02</v>
      </c>
      <c r="F12204" s="1" t="n">
        <v>0.0462</v>
      </c>
    </row>
    <row r="12205" customFormat="false" ht="15" hidden="false" customHeight="false" outlineLevel="0" collapsed="false">
      <c r="A12205" s="1" t="s">
        <v>12240</v>
      </c>
      <c r="B12205" s="1" t="s">
        <v>88</v>
      </c>
      <c r="C12205" s="1" t="n">
        <v>104000</v>
      </c>
      <c r="D12205" s="1" t="n">
        <v>1068.3</v>
      </c>
      <c r="E12205" s="1" t="n">
        <v>0.0594</v>
      </c>
      <c r="F12205" s="1" t="n">
        <v>0.0938</v>
      </c>
    </row>
    <row r="12206" customFormat="false" ht="15" hidden="false" customHeight="false" outlineLevel="0" collapsed="false">
      <c r="A12206" s="1" t="s">
        <v>12241</v>
      </c>
      <c r="B12206" s="1" t="s">
        <v>26</v>
      </c>
      <c r="C12206" s="1" t="n">
        <v>93800</v>
      </c>
      <c r="D12206" s="1" t="n">
        <v>913.9</v>
      </c>
      <c r="E12206" s="1" t="n">
        <v>0.0052</v>
      </c>
      <c r="F12206" s="1" t="n">
        <v>0.0822</v>
      </c>
    </row>
    <row r="12207" customFormat="false" ht="15" hidden="false" customHeight="false" outlineLevel="0" collapsed="false">
      <c r="A12207" s="1" t="s">
        <v>12242</v>
      </c>
      <c r="B12207" s="1" t="s">
        <v>41</v>
      </c>
      <c r="C12207" s="1" t="n">
        <v>111000</v>
      </c>
      <c r="D12207" s="1" t="n">
        <v>388.2</v>
      </c>
      <c r="E12207" s="1" t="n">
        <v>0.0064</v>
      </c>
      <c r="F12207" s="1" t="n">
        <v>0.1676</v>
      </c>
    </row>
    <row r="12208" customFormat="false" ht="15" hidden="false" customHeight="false" outlineLevel="0" collapsed="false">
      <c r="A12208" s="1" t="s">
        <v>12243</v>
      </c>
      <c r="B12208" s="1" t="s">
        <v>62</v>
      </c>
      <c r="C12208" s="1" t="n">
        <v>96800</v>
      </c>
      <c r="D12208" s="1" t="n">
        <v>6113.4</v>
      </c>
      <c r="E12208" s="1" t="n">
        <v>0.0309</v>
      </c>
      <c r="F12208" s="1" t="n">
        <v>0.171</v>
      </c>
    </row>
    <row r="12209" customFormat="false" ht="15" hidden="false" customHeight="false" outlineLevel="0" collapsed="false">
      <c r="A12209" s="1" t="s">
        <v>12244</v>
      </c>
      <c r="B12209" s="1" t="s">
        <v>195</v>
      </c>
      <c r="C12209" s="1" t="n">
        <v>104000</v>
      </c>
      <c r="D12209" s="1" t="n">
        <v>32362.2</v>
      </c>
      <c r="E12209" s="1" t="n">
        <v>0.0113</v>
      </c>
      <c r="F12209" s="1" t="n">
        <v>0.0822</v>
      </c>
    </row>
    <row r="12210" customFormat="false" ht="15" hidden="false" customHeight="false" outlineLevel="0" collapsed="false">
      <c r="A12210" s="1" t="s">
        <v>12245</v>
      </c>
      <c r="B12210" s="1" t="s">
        <v>88</v>
      </c>
      <c r="C12210" s="1" t="n">
        <v>167000</v>
      </c>
      <c r="D12210" s="1" t="n">
        <v>1148.5</v>
      </c>
      <c r="E12210" s="1" t="n">
        <v>0.0605</v>
      </c>
      <c r="F12210" s="1" t="n">
        <v>0.0938</v>
      </c>
    </row>
    <row r="12211" customFormat="false" ht="15" hidden="false" customHeight="false" outlineLevel="0" collapsed="false">
      <c r="A12211" s="1" t="s">
        <v>12246</v>
      </c>
      <c r="B12211" s="1" t="s">
        <v>26</v>
      </c>
      <c r="C12211" s="1" t="n">
        <v>161000</v>
      </c>
      <c r="D12211" s="1" t="n">
        <v>28161.4</v>
      </c>
      <c r="E12211" s="1" t="n">
        <v>0.0928</v>
      </c>
      <c r="F12211" s="1" t="n">
        <v>0.0951</v>
      </c>
    </row>
    <row r="12212" customFormat="false" ht="15" hidden="false" customHeight="false" outlineLevel="0" collapsed="false">
      <c r="A12212" s="1" t="s">
        <v>12247</v>
      </c>
      <c r="B12212" s="1" t="s">
        <v>214</v>
      </c>
      <c r="C12212" s="1" t="n">
        <v>94500</v>
      </c>
      <c r="D12212" s="1" t="n">
        <v>2176.1</v>
      </c>
      <c r="E12212" s="1" t="n">
        <v>0.0202</v>
      </c>
      <c r="F12212" s="1" t="n">
        <v>0.1067</v>
      </c>
    </row>
    <row r="12213" customFormat="false" ht="15" hidden="false" customHeight="false" outlineLevel="0" collapsed="false">
      <c r="A12213" s="1" t="s">
        <v>12248</v>
      </c>
      <c r="B12213" s="1" t="s">
        <v>26</v>
      </c>
      <c r="C12213" s="1" t="n">
        <v>132000</v>
      </c>
      <c r="D12213" s="1" t="n">
        <v>535.8</v>
      </c>
      <c r="E12213" s="1" t="n">
        <v>0.0627</v>
      </c>
      <c r="F12213" s="1" t="n">
        <v>0.0998</v>
      </c>
    </row>
    <row r="12214" customFormat="false" ht="15" hidden="false" customHeight="false" outlineLevel="0" collapsed="false">
      <c r="A12214" s="1" t="s">
        <v>12249</v>
      </c>
      <c r="B12214" s="1" t="s">
        <v>88</v>
      </c>
      <c r="C12214" s="1" t="n">
        <v>113000</v>
      </c>
      <c r="D12214" s="1" t="n">
        <v>13014.5</v>
      </c>
      <c r="E12214" s="1" t="n">
        <v>0.0148</v>
      </c>
      <c r="F12214" s="1" t="n">
        <v>0.131</v>
      </c>
    </row>
    <row r="12215" customFormat="false" ht="15" hidden="false" customHeight="false" outlineLevel="0" collapsed="false">
      <c r="A12215" s="1" t="s">
        <v>12250</v>
      </c>
      <c r="B12215" s="1" t="s">
        <v>26</v>
      </c>
      <c r="C12215" s="1" t="n">
        <v>157000</v>
      </c>
      <c r="D12215" s="1" t="n">
        <v>82953.1</v>
      </c>
      <c r="E12215" s="1" t="n">
        <v>0.0631</v>
      </c>
      <c r="F12215" s="1" t="n">
        <v>0.0951</v>
      </c>
    </row>
    <row r="12216" customFormat="false" ht="15" hidden="false" customHeight="false" outlineLevel="0" collapsed="false">
      <c r="A12216" s="1" t="s">
        <v>12251</v>
      </c>
      <c r="B12216" s="1" t="s">
        <v>26</v>
      </c>
      <c r="C12216" s="1" t="n">
        <v>94300</v>
      </c>
      <c r="D12216" s="1" t="n">
        <v>2419</v>
      </c>
      <c r="E12216" s="1" t="n">
        <v>0.0144</v>
      </c>
      <c r="F12216" s="1" t="n">
        <v>0.3897</v>
      </c>
    </row>
    <row r="12217" customFormat="false" ht="15" hidden="false" customHeight="false" outlineLevel="0" collapsed="false">
      <c r="A12217" s="1" t="s">
        <v>12252</v>
      </c>
      <c r="B12217" s="1" t="s">
        <v>26</v>
      </c>
      <c r="C12217" s="1" t="n">
        <v>104000</v>
      </c>
      <c r="D12217" s="1" t="n">
        <v>169.3</v>
      </c>
      <c r="F12217" s="1" t="n">
        <v>0.0759</v>
      </c>
    </row>
    <row r="12218" customFormat="false" ht="15" hidden="false" customHeight="false" outlineLevel="0" collapsed="false">
      <c r="A12218" s="1" t="s">
        <v>12253</v>
      </c>
      <c r="B12218" s="1" t="s">
        <v>62</v>
      </c>
      <c r="C12218" s="1" t="n">
        <v>93400</v>
      </c>
      <c r="D12218" s="1" t="n">
        <v>1239.5</v>
      </c>
      <c r="E12218" s="1" t="n">
        <v>0.0482</v>
      </c>
      <c r="F12218" s="1" t="n">
        <v>0.0951</v>
      </c>
    </row>
    <row r="12219" customFormat="false" ht="15" hidden="false" customHeight="false" outlineLevel="0" collapsed="false">
      <c r="A12219" s="1" t="s">
        <v>12254</v>
      </c>
      <c r="B12219" s="1" t="s">
        <v>74</v>
      </c>
      <c r="C12219" s="1" t="n">
        <v>94900</v>
      </c>
      <c r="D12219" s="1" t="n">
        <v>1002.6</v>
      </c>
      <c r="E12219" s="1" t="n">
        <v>0.0341</v>
      </c>
      <c r="F12219" s="1" t="n">
        <v>0.0759</v>
      </c>
    </row>
    <row r="12220" customFormat="false" ht="15" hidden="false" customHeight="false" outlineLevel="0" collapsed="false">
      <c r="A12220" s="1" t="s">
        <v>12255</v>
      </c>
      <c r="B12220" s="1" t="s">
        <v>81</v>
      </c>
      <c r="C12220" s="1" t="n">
        <v>149000</v>
      </c>
      <c r="D12220" s="1" t="n">
        <v>10733.5</v>
      </c>
      <c r="E12220" s="1" t="n">
        <v>0.0511</v>
      </c>
      <c r="F12220" s="1" t="n">
        <v>0.0759</v>
      </c>
    </row>
    <row r="12221" customFormat="false" ht="15" hidden="false" customHeight="false" outlineLevel="0" collapsed="false">
      <c r="A12221" s="1" t="s">
        <v>12256</v>
      </c>
      <c r="B12221" s="1" t="s">
        <v>214</v>
      </c>
      <c r="C12221" s="1" t="n">
        <v>108000</v>
      </c>
      <c r="D12221" s="1" t="n">
        <v>5409.4</v>
      </c>
      <c r="E12221" s="1" t="n">
        <v>0.039</v>
      </c>
      <c r="F12221" s="1" t="n">
        <v>0.0759</v>
      </c>
    </row>
    <row r="12222" customFormat="false" ht="15" hidden="false" customHeight="false" outlineLevel="0" collapsed="false">
      <c r="A12222" s="1" t="s">
        <v>12257</v>
      </c>
      <c r="B12222" s="1" t="s">
        <v>88</v>
      </c>
      <c r="C12222" s="1" t="n">
        <v>226000</v>
      </c>
      <c r="D12222" s="1" t="n">
        <v>11602.8</v>
      </c>
      <c r="E12222" s="1" t="n">
        <v>0.0516</v>
      </c>
      <c r="F12222" s="1" t="n">
        <v>0.0432</v>
      </c>
    </row>
    <row r="12223" customFormat="false" ht="15" hidden="false" customHeight="false" outlineLevel="0" collapsed="false">
      <c r="A12223" s="1" t="s">
        <v>12258</v>
      </c>
      <c r="B12223" s="1" t="s">
        <v>490</v>
      </c>
      <c r="C12223" s="1" t="n">
        <v>531000</v>
      </c>
      <c r="D12223" s="1" t="n">
        <v>29387.4</v>
      </c>
      <c r="F12223" s="1" t="n">
        <v>0.0409</v>
      </c>
    </row>
    <row r="12224" customFormat="false" ht="15" hidden="false" customHeight="false" outlineLevel="0" collapsed="false">
      <c r="A12224" s="1" t="s">
        <v>12259</v>
      </c>
      <c r="B12224" s="1" t="s">
        <v>41</v>
      </c>
      <c r="C12224" s="1" t="n">
        <v>196000</v>
      </c>
      <c r="D12224" s="1" t="n">
        <v>25.4</v>
      </c>
      <c r="E12224" s="1" t="n">
        <v>0.0091</v>
      </c>
      <c r="F12224" s="1" t="n">
        <v>0.1592</v>
      </c>
    </row>
    <row r="12225" customFormat="false" ht="15" hidden="false" customHeight="false" outlineLevel="0" collapsed="false">
      <c r="A12225" s="1" t="s">
        <v>12260</v>
      </c>
      <c r="B12225" s="1" t="s">
        <v>88</v>
      </c>
      <c r="C12225" s="1" t="n">
        <v>420000</v>
      </c>
      <c r="D12225" s="1" t="n">
        <v>30799.9</v>
      </c>
      <c r="E12225" s="1" t="n">
        <v>0.0557</v>
      </c>
      <c r="F12225" s="1" t="n">
        <v>0.0951</v>
      </c>
    </row>
    <row r="12226" customFormat="false" ht="15" hidden="false" customHeight="false" outlineLevel="0" collapsed="false">
      <c r="A12226" s="1" t="s">
        <v>12261</v>
      </c>
      <c r="B12226" s="1" t="s">
        <v>88</v>
      </c>
      <c r="C12226" s="1" t="n">
        <v>94900</v>
      </c>
      <c r="D12226" s="1" t="n">
        <v>265.2</v>
      </c>
      <c r="E12226" s="1" t="n">
        <v>0.0228</v>
      </c>
      <c r="F12226" s="1" t="n">
        <v>0.171</v>
      </c>
    </row>
    <row r="12227" customFormat="false" ht="15" hidden="false" customHeight="false" outlineLevel="0" collapsed="false">
      <c r="A12227" s="1" t="s">
        <v>12262</v>
      </c>
      <c r="B12227" s="1" t="s">
        <v>26</v>
      </c>
      <c r="C12227" s="1" t="n">
        <v>114000</v>
      </c>
      <c r="D12227" s="1" t="n">
        <v>44145.2</v>
      </c>
      <c r="E12227" s="1" t="n">
        <v>0.0388</v>
      </c>
      <c r="F12227" s="1" t="n">
        <v>0.0759</v>
      </c>
    </row>
    <row r="12228" customFormat="false" ht="15" hidden="false" customHeight="false" outlineLevel="0" collapsed="false">
      <c r="A12228" s="1" t="s">
        <v>12263</v>
      </c>
      <c r="B12228" s="1" t="s">
        <v>92</v>
      </c>
      <c r="C12228" s="1" t="n">
        <v>123000</v>
      </c>
      <c r="D12228" s="1" t="n">
        <v>10499.5</v>
      </c>
      <c r="E12228" s="1" t="n">
        <v>0.0291</v>
      </c>
      <c r="F12228" s="1" t="n">
        <v>0.0759</v>
      </c>
    </row>
    <row r="12229" customFormat="false" ht="15" hidden="false" customHeight="false" outlineLevel="0" collapsed="false">
      <c r="A12229" s="1" t="s">
        <v>12264</v>
      </c>
      <c r="B12229" s="1" t="s">
        <v>62</v>
      </c>
      <c r="C12229" s="1" t="n">
        <v>93900</v>
      </c>
      <c r="D12229" s="1" t="n">
        <v>969.8</v>
      </c>
      <c r="E12229" s="1" t="n">
        <v>0.0257</v>
      </c>
      <c r="F12229" s="1" t="n">
        <v>0.1387</v>
      </c>
    </row>
    <row r="12230" customFormat="false" ht="15" hidden="false" customHeight="false" outlineLevel="0" collapsed="false">
      <c r="A12230" s="1" t="s">
        <v>12265</v>
      </c>
      <c r="B12230" s="1" t="s">
        <v>88</v>
      </c>
      <c r="C12230" s="1" t="n">
        <v>186000</v>
      </c>
      <c r="D12230" s="1" t="n">
        <v>11788.9</v>
      </c>
      <c r="E12230" s="1" t="n">
        <v>0.0318</v>
      </c>
      <c r="F12230" s="1" t="n">
        <v>0.0759</v>
      </c>
    </row>
    <row r="12231" customFormat="false" ht="15" hidden="false" customHeight="false" outlineLevel="0" collapsed="false">
      <c r="A12231" s="1" t="s">
        <v>12266</v>
      </c>
      <c r="B12231" s="1" t="s">
        <v>41</v>
      </c>
      <c r="C12231" s="1" t="n">
        <v>99000</v>
      </c>
      <c r="D12231" s="1" t="n">
        <v>59.9</v>
      </c>
      <c r="E12231" s="1" t="n">
        <v>0.0382</v>
      </c>
      <c r="F12231" s="1" t="n">
        <v>0.051</v>
      </c>
    </row>
    <row r="12232" customFormat="false" ht="15" hidden="false" customHeight="false" outlineLevel="0" collapsed="false">
      <c r="A12232" s="1" t="s">
        <v>12267</v>
      </c>
      <c r="B12232" s="1" t="s">
        <v>88</v>
      </c>
      <c r="C12232" s="1" t="n">
        <v>155000</v>
      </c>
      <c r="D12232" s="1" t="n">
        <v>17088.5</v>
      </c>
      <c r="E12232" s="1" t="n">
        <v>0.0301</v>
      </c>
      <c r="F12232" s="1" t="n">
        <v>0.0951</v>
      </c>
    </row>
    <row r="12233" customFormat="false" ht="15" hidden="false" customHeight="false" outlineLevel="0" collapsed="false">
      <c r="A12233" s="1" t="s">
        <v>12268</v>
      </c>
      <c r="B12233" s="1" t="s">
        <v>26</v>
      </c>
      <c r="C12233" s="1" t="n">
        <v>91800</v>
      </c>
      <c r="D12233" s="1" t="n">
        <v>280.3</v>
      </c>
      <c r="E12233" s="1" t="n">
        <v>0.0251</v>
      </c>
      <c r="F12233" s="1" t="n">
        <v>0.0584</v>
      </c>
    </row>
    <row r="12234" customFormat="false" ht="15" hidden="false" customHeight="false" outlineLevel="0" collapsed="false">
      <c r="A12234" s="1" t="s">
        <v>12269</v>
      </c>
      <c r="B12234" s="1" t="s">
        <v>41</v>
      </c>
      <c r="C12234" s="1" t="n">
        <v>161000</v>
      </c>
      <c r="D12234" s="1" t="n">
        <v>1148.8</v>
      </c>
      <c r="E12234" s="1" t="n">
        <v>0.027</v>
      </c>
      <c r="F12234" s="1" t="n">
        <v>0.6055</v>
      </c>
    </row>
    <row r="12235" customFormat="false" ht="15" hidden="false" customHeight="false" outlineLevel="0" collapsed="false">
      <c r="A12235" s="1" t="s">
        <v>12270</v>
      </c>
      <c r="B12235" s="1" t="s">
        <v>74</v>
      </c>
      <c r="C12235" s="1" t="n">
        <v>108000</v>
      </c>
      <c r="D12235" s="1" t="n">
        <v>19566.7</v>
      </c>
      <c r="E12235" s="1" t="n">
        <v>0.0242</v>
      </c>
      <c r="F12235" s="1" t="n">
        <v>0.1067</v>
      </c>
    </row>
    <row r="12236" customFormat="false" ht="15" hidden="false" customHeight="false" outlineLevel="0" collapsed="false">
      <c r="A12236" s="1" t="s">
        <v>12271</v>
      </c>
      <c r="B12236" s="1" t="s">
        <v>88</v>
      </c>
      <c r="C12236" s="1" t="n">
        <v>119000</v>
      </c>
      <c r="D12236" s="1" t="n">
        <v>5887.8</v>
      </c>
      <c r="E12236" s="1" t="n">
        <v>0.078</v>
      </c>
      <c r="F12236" s="1" t="n">
        <v>0.0759</v>
      </c>
    </row>
    <row r="12237" customFormat="false" ht="15" hidden="false" customHeight="false" outlineLevel="0" collapsed="false">
      <c r="A12237" s="1" t="s">
        <v>12272</v>
      </c>
      <c r="B12237" s="1" t="s">
        <v>62</v>
      </c>
      <c r="C12237" s="1" t="n">
        <v>96100</v>
      </c>
      <c r="D12237" s="1" t="n">
        <v>2429</v>
      </c>
      <c r="E12237" s="1" t="n">
        <v>0.0572</v>
      </c>
      <c r="F12237" s="1" t="n">
        <v>0.0951</v>
      </c>
    </row>
    <row r="12238" customFormat="false" ht="15" hidden="false" customHeight="false" outlineLevel="0" collapsed="false">
      <c r="A12238" s="1" t="s">
        <v>12273</v>
      </c>
      <c r="B12238" s="1" t="s">
        <v>26</v>
      </c>
      <c r="C12238" s="1" t="n">
        <v>95700</v>
      </c>
      <c r="D12238" s="1" t="n">
        <v>1952.1</v>
      </c>
      <c r="E12238" s="1" t="n">
        <v>0.0259</v>
      </c>
      <c r="F12238" s="1" t="n">
        <v>0.0951</v>
      </c>
    </row>
    <row r="12239" customFormat="false" ht="15" hidden="false" customHeight="false" outlineLevel="0" collapsed="false">
      <c r="A12239" s="1" t="s">
        <v>12274</v>
      </c>
      <c r="B12239" s="1" t="s">
        <v>50</v>
      </c>
      <c r="C12239" s="1" t="n">
        <v>94700</v>
      </c>
      <c r="D12239" s="1" t="n">
        <v>13302</v>
      </c>
      <c r="E12239" s="1" t="n">
        <v>0.0668</v>
      </c>
      <c r="F12239" s="1" t="n">
        <v>0.0951</v>
      </c>
    </row>
    <row r="12240" customFormat="false" ht="15" hidden="false" customHeight="false" outlineLevel="0" collapsed="false">
      <c r="A12240" s="1" t="s">
        <v>12275</v>
      </c>
      <c r="B12240" s="1" t="s">
        <v>71</v>
      </c>
      <c r="C12240" s="1" t="n">
        <v>128000</v>
      </c>
      <c r="D12240" s="1" t="n">
        <v>25714.3</v>
      </c>
      <c r="E12240" s="1" t="n">
        <v>0.0201</v>
      </c>
      <c r="F12240" s="1" t="n">
        <v>0.0854</v>
      </c>
    </row>
    <row r="12241" customFormat="false" ht="15" hidden="false" customHeight="false" outlineLevel="0" collapsed="false">
      <c r="A12241" s="1" t="s">
        <v>12276</v>
      </c>
      <c r="B12241" s="1" t="s">
        <v>24</v>
      </c>
      <c r="C12241" s="1" t="n">
        <v>96700</v>
      </c>
      <c r="D12241" s="1" t="n">
        <v>32539.5</v>
      </c>
      <c r="E12241" s="1" t="n">
        <v>0.0308</v>
      </c>
      <c r="F12241" s="1" t="n">
        <v>0.0951</v>
      </c>
    </row>
    <row r="12242" customFormat="false" ht="15" hidden="false" customHeight="false" outlineLevel="0" collapsed="false">
      <c r="A12242" s="1" t="s">
        <v>12277</v>
      </c>
      <c r="B12242" s="1" t="s">
        <v>88</v>
      </c>
      <c r="C12242" s="1" t="n">
        <v>105000</v>
      </c>
      <c r="D12242" s="1" t="n">
        <v>15.8</v>
      </c>
      <c r="E12242" s="1" t="n">
        <v>0.0283</v>
      </c>
      <c r="F12242" s="1" t="n">
        <v>0.2059</v>
      </c>
    </row>
    <row r="12243" customFormat="false" ht="15" hidden="false" customHeight="false" outlineLevel="0" collapsed="false">
      <c r="A12243" s="1" t="s">
        <v>12278</v>
      </c>
      <c r="B12243" s="1" t="s">
        <v>92</v>
      </c>
      <c r="C12243" s="1" t="n">
        <v>94900</v>
      </c>
      <c r="D12243" s="1" t="n">
        <v>562.5</v>
      </c>
      <c r="E12243" s="1" t="n">
        <v>0.0323</v>
      </c>
      <c r="F12243" s="1" t="n">
        <v>0.3849</v>
      </c>
    </row>
    <row r="12244" customFormat="false" ht="15" hidden="false" customHeight="false" outlineLevel="0" collapsed="false">
      <c r="A12244" s="1" t="s">
        <v>12279</v>
      </c>
      <c r="B12244" s="1" t="s">
        <v>92</v>
      </c>
      <c r="C12244" s="1" t="n">
        <v>149000</v>
      </c>
      <c r="D12244" s="1" t="n">
        <v>5487.2</v>
      </c>
      <c r="E12244" s="1" t="n">
        <v>0.0212</v>
      </c>
      <c r="F12244" s="1" t="n">
        <v>0.1053</v>
      </c>
    </row>
    <row r="12245" customFormat="false" ht="15" hidden="false" customHeight="false" outlineLevel="0" collapsed="false">
      <c r="A12245" s="1" t="s">
        <v>12280</v>
      </c>
      <c r="B12245" s="1" t="s">
        <v>26</v>
      </c>
      <c r="C12245" s="1" t="n">
        <v>90300</v>
      </c>
      <c r="D12245" s="1" t="n">
        <v>956.2</v>
      </c>
      <c r="E12245" s="1" t="n">
        <v>0.0259</v>
      </c>
      <c r="F12245" s="1" t="n">
        <v>0.0951</v>
      </c>
    </row>
    <row r="12246" customFormat="false" ht="15" hidden="false" customHeight="false" outlineLevel="0" collapsed="false">
      <c r="A12246" s="1" t="s">
        <v>12281</v>
      </c>
      <c r="B12246" s="1" t="s">
        <v>81</v>
      </c>
      <c r="C12246" s="1" t="n">
        <v>106000</v>
      </c>
      <c r="D12246" s="1" t="n">
        <v>49053.1</v>
      </c>
      <c r="E12246" s="1" t="n">
        <v>0.009</v>
      </c>
      <c r="F12246" s="1" t="n">
        <v>0.0822</v>
      </c>
    </row>
    <row r="12247" customFormat="false" ht="15" hidden="false" customHeight="false" outlineLevel="0" collapsed="false">
      <c r="A12247" s="1" t="s">
        <v>12282</v>
      </c>
      <c r="B12247" s="1" t="s">
        <v>53</v>
      </c>
      <c r="C12247" s="1" t="n">
        <v>95600</v>
      </c>
      <c r="F12247" s="1" t="n">
        <v>0.0759</v>
      </c>
    </row>
    <row r="12248" customFormat="false" ht="15" hidden="false" customHeight="false" outlineLevel="0" collapsed="false">
      <c r="A12248" s="1" t="s">
        <v>12283</v>
      </c>
      <c r="B12248" s="1" t="s">
        <v>74</v>
      </c>
      <c r="C12248" s="1" t="n">
        <v>93000</v>
      </c>
      <c r="D12248" s="1" t="n">
        <v>1438.6</v>
      </c>
      <c r="F12248" s="1" t="n">
        <v>0.0518</v>
      </c>
    </row>
    <row r="12249" customFormat="false" ht="15" hidden="false" customHeight="false" outlineLevel="0" collapsed="false">
      <c r="A12249" s="1" t="s">
        <v>12284</v>
      </c>
      <c r="B12249" s="1" t="s">
        <v>24</v>
      </c>
      <c r="C12249" s="1" t="n">
        <v>633000</v>
      </c>
      <c r="D12249" s="1" t="n">
        <v>406953.3</v>
      </c>
      <c r="E12249" s="1" t="n">
        <v>0.0181</v>
      </c>
      <c r="F12249" s="1" t="n">
        <v>0.0576</v>
      </c>
    </row>
    <row r="12250" customFormat="false" ht="15" hidden="false" customHeight="false" outlineLevel="0" collapsed="false">
      <c r="A12250" s="1" t="s">
        <v>12285</v>
      </c>
      <c r="B12250" s="1" t="s">
        <v>24</v>
      </c>
      <c r="C12250" s="1" t="n">
        <v>98900</v>
      </c>
      <c r="D12250" s="1" t="n">
        <v>62.4</v>
      </c>
      <c r="E12250" s="1" t="n">
        <v>0.0672</v>
      </c>
      <c r="F12250" s="1" t="n">
        <v>0.0759</v>
      </c>
    </row>
    <row r="12251" customFormat="false" ht="15" hidden="false" customHeight="false" outlineLevel="0" collapsed="false">
      <c r="A12251" s="1" t="s">
        <v>12286</v>
      </c>
      <c r="B12251" s="1" t="s">
        <v>26</v>
      </c>
      <c r="C12251" s="1" t="n">
        <v>152000</v>
      </c>
      <c r="D12251" s="1" t="n">
        <v>15823.3</v>
      </c>
      <c r="E12251" s="1" t="n">
        <v>0.0235</v>
      </c>
      <c r="F12251" s="1" t="n">
        <v>0.0409</v>
      </c>
    </row>
    <row r="12252" customFormat="false" ht="15" hidden="false" customHeight="false" outlineLevel="0" collapsed="false">
      <c r="A12252" s="1" t="s">
        <v>12287</v>
      </c>
      <c r="B12252" s="1" t="s">
        <v>24</v>
      </c>
      <c r="C12252" s="1" t="n">
        <v>149000</v>
      </c>
      <c r="D12252" s="1" t="n">
        <v>5283.7</v>
      </c>
      <c r="E12252" s="1" t="n">
        <v>0.049</v>
      </c>
      <c r="F12252" s="1" t="n">
        <v>0.0951</v>
      </c>
    </row>
    <row r="12253" customFormat="false" ht="15" hidden="false" customHeight="false" outlineLevel="0" collapsed="false">
      <c r="A12253" s="1" t="s">
        <v>12288</v>
      </c>
      <c r="B12253" s="1" t="s">
        <v>71</v>
      </c>
      <c r="C12253" s="1" t="n">
        <v>99300</v>
      </c>
      <c r="D12253" s="1" t="n">
        <v>9970</v>
      </c>
      <c r="E12253" s="1" t="n">
        <v>0.0302</v>
      </c>
      <c r="F12253" s="1" t="n">
        <v>0.0951</v>
      </c>
    </row>
    <row r="12254" customFormat="false" ht="15" hidden="false" customHeight="false" outlineLevel="0" collapsed="false">
      <c r="A12254" s="1" t="s">
        <v>12289</v>
      </c>
      <c r="B12254" s="1" t="s">
        <v>24</v>
      </c>
      <c r="C12254" s="1" t="n">
        <v>137000</v>
      </c>
      <c r="D12254" s="1" t="n">
        <v>12031.8</v>
      </c>
      <c r="E12254" s="1" t="n">
        <v>0.0494</v>
      </c>
      <c r="F12254" s="1" t="n">
        <v>0.0951</v>
      </c>
    </row>
    <row r="12255" customFormat="false" ht="15" hidden="false" customHeight="false" outlineLevel="0" collapsed="false">
      <c r="A12255" s="1" t="s">
        <v>12290</v>
      </c>
      <c r="B12255" s="1" t="s">
        <v>92</v>
      </c>
      <c r="C12255" s="1" t="n">
        <v>109000</v>
      </c>
      <c r="D12255" s="1" t="n">
        <v>340.2</v>
      </c>
      <c r="E12255" s="1" t="n">
        <v>0.0781</v>
      </c>
      <c r="F12255" s="1" t="n">
        <v>0.0759</v>
      </c>
    </row>
    <row r="12256" customFormat="false" ht="15" hidden="false" customHeight="false" outlineLevel="0" collapsed="false">
      <c r="A12256" s="1" t="s">
        <v>12291</v>
      </c>
      <c r="B12256" s="1" t="s">
        <v>26</v>
      </c>
      <c r="C12256" s="1" t="n">
        <v>95900</v>
      </c>
      <c r="D12256" s="1" t="n">
        <v>442</v>
      </c>
      <c r="E12256" s="1" t="n">
        <v>0.014</v>
      </c>
      <c r="F12256" s="1" t="n">
        <v>0.0726</v>
      </c>
    </row>
    <row r="12257" customFormat="false" ht="15" hidden="false" customHeight="false" outlineLevel="0" collapsed="false">
      <c r="A12257" s="1" t="s">
        <v>12292</v>
      </c>
      <c r="B12257" s="1" t="s">
        <v>88</v>
      </c>
      <c r="C12257" s="1" t="n">
        <v>95700</v>
      </c>
      <c r="D12257" s="1" t="n">
        <v>418.8</v>
      </c>
      <c r="E12257" s="1" t="n">
        <v>0.0478</v>
      </c>
      <c r="F12257" s="1" t="n">
        <v>0.0938</v>
      </c>
    </row>
    <row r="12258" customFormat="false" ht="15" hidden="false" customHeight="false" outlineLevel="0" collapsed="false">
      <c r="A12258" s="1" t="s">
        <v>12293</v>
      </c>
      <c r="B12258" s="1" t="s">
        <v>26</v>
      </c>
      <c r="C12258" s="1" t="n">
        <v>120000</v>
      </c>
      <c r="D12258" s="1" t="n">
        <v>2154.4</v>
      </c>
      <c r="E12258" s="1" t="n">
        <v>0.0112</v>
      </c>
      <c r="F12258" s="1" t="n">
        <v>0.1471</v>
      </c>
    </row>
    <row r="12259" customFormat="false" ht="15" hidden="false" customHeight="false" outlineLevel="0" collapsed="false">
      <c r="A12259" s="1" t="s">
        <v>12294</v>
      </c>
      <c r="B12259" s="1" t="s">
        <v>88</v>
      </c>
      <c r="C12259" s="1" t="n">
        <v>126000</v>
      </c>
      <c r="D12259" s="1" t="n">
        <v>1051.6</v>
      </c>
      <c r="E12259" s="1" t="n">
        <v>0.0144</v>
      </c>
      <c r="F12259" s="1" t="n">
        <v>0.1457</v>
      </c>
    </row>
    <row r="12260" customFormat="false" ht="15" hidden="false" customHeight="false" outlineLevel="0" collapsed="false">
      <c r="A12260" s="1" t="s">
        <v>12295</v>
      </c>
      <c r="B12260" s="1" t="s">
        <v>195</v>
      </c>
      <c r="C12260" s="1" t="n">
        <v>93000</v>
      </c>
      <c r="D12260" s="1" t="n">
        <v>123.8</v>
      </c>
      <c r="E12260" s="1" t="n">
        <v>0.0146</v>
      </c>
      <c r="F12260" s="1" t="n">
        <v>0.2066</v>
      </c>
    </row>
    <row r="12261" customFormat="false" ht="15" hidden="false" customHeight="false" outlineLevel="0" collapsed="false">
      <c r="A12261" s="1" t="s">
        <v>12296</v>
      </c>
      <c r="B12261" s="1" t="s">
        <v>81</v>
      </c>
      <c r="C12261" s="1" t="n">
        <v>109000</v>
      </c>
      <c r="D12261" s="1" t="n">
        <v>19403.1</v>
      </c>
      <c r="E12261" s="1" t="n">
        <v>0.0249</v>
      </c>
      <c r="F12261" s="1" t="n">
        <v>0.0951</v>
      </c>
    </row>
    <row r="12262" customFormat="false" ht="15" hidden="false" customHeight="false" outlineLevel="0" collapsed="false">
      <c r="A12262" s="1" t="s">
        <v>12297</v>
      </c>
      <c r="B12262" s="1" t="s">
        <v>26</v>
      </c>
      <c r="C12262" s="1" t="n">
        <v>97200</v>
      </c>
      <c r="D12262" s="1" t="n">
        <v>20682.6</v>
      </c>
      <c r="E12262" s="1" t="n">
        <v>0.0056</v>
      </c>
      <c r="F12262" s="1" t="n">
        <v>0.0822</v>
      </c>
    </row>
    <row r="12263" customFormat="false" ht="15" hidden="false" customHeight="false" outlineLevel="0" collapsed="false">
      <c r="A12263" s="1" t="s">
        <v>12298</v>
      </c>
      <c r="B12263" s="1" t="s">
        <v>26</v>
      </c>
      <c r="C12263" s="1" t="n">
        <v>92200</v>
      </c>
      <c r="D12263" s="1" t="n">
        <v>5866.2</v>
      </c>
      <c r="E12263" s="1" t="n">
        <v>0.048</v>
      </c>
      <c r="F12263" s="1" t="n">
        <v>0.0951</v>
      </c>
    </row>
    <row r="12264" customFormat="false" ht="15" hidden="false" customHeight="false" outlineLevel="0" collapsed="false">
      <c r="A12264" s="1" t="s">
        <v>12299</v>
      </c>
      <c r="B12264" s="1" t="s">
        <v>53</v>
      </c>
      <c r="C12264" s="1" t="n">
        <v>100000</v>
      </c>
      <c r="D12264" s="1" t="n">
        <v>5829.3</v>
      </c>
      <c r="E12264" s="1" t="n">
        <v>0.0168</v>
      </c>
      <c r="F12264" s="1" t="n">
        <v>0.1709</v>
      </c>
    </row>
    <row r="12265" customFormat="false" ht="15" hidden="false" customHeight="false" outlineLevel="0" collapsed="false">
      <c r="A12265" s="1" t="s">
        <v>12300</v>
      </c>
      <c r="B12265" s="1" t="s">
        <v>88</v>
      </c>
      <c r="C12265" s="1" t="n">
        <v>167000</v>
      </c>
      <c r="D12265" s="1" t="n">
        <v>5588.6</v>
      </c>
      <c r="E12265" s="1" t="n">
        <v>0.0887</v>
      </c>
      <c r="F12265" s="1" t="n">
        <v>0.0518</v>
      </c>
    </row>
    <row r="12266" customFormat="false" ht="15" hidden="false" customHeight="false" outlineLevel="0" collapsed="false">
      <c r="A12266" s="1" t="s">
        <v>12301</v>
      </c>
      <c r="B12266" s="1" t="s">
        <v>26</v>
      </c>
      <c r="C12266" s="1" t="n">
        <v>131000</v>
      </c>
      <c r="D12266" s="1" t="n">
        <v>3662.5</v>
      </c>
      <c r="E12266" s="1" t="n">
        <v>0.0485</v>
      </c>
      <c r="F12266" s="1" t="n">
        <v>0.0759</v>
      </c>
    </row>
    <row r="12267" customFormat="false" ht="15" hidden="false" customHeight="false" outlineLevel="0" collapsed="false">
      <c r="A12267" s="1" t="s">
        <v>12302</v>
      </c>
      <c r="B12267" s="1" t="s">
        <v>41</v>
      </c>
      <c r="C12267" s="1" t="n">
        <v>113000</v>
      </c>
      <c r="D12267" s="1" t="n">
        <v>3413.8</v>
      </c>
      <c r="E12267" s="1" t="n">
        <v>0.0181</v>
      </c>
      <c r="F12267" s="1" t="n">
        <v>0.0585</v>
      </c>
    </row>
    <row r="12268" customFormat="false" ht="15" hidden="false" customHeight="false" outlineLevel="0" collapsed="false">
      <c r="A12268" s="1" t="s">
        <v>12303</v>
      </c>
      <c r="B12268" s="1" t="s">
        <v>92</v>
      </c>
      <c r="C12268" s="1" t="n">
        <v>106000</v>
      </c>
      <c r="D12268" s="1" t="n">
        <v>5359.5</v>
      </c>
      <c r="E12268" s="1" t="n">
        <v>0.0275</v>
      </c>
      <c r="F12268" s="1" t="n">
        <v>0.0951</v>
      </c>
    </row>
    <row r="12269" customFormat="false" ht="15" hidden="false" customHeight="false" outlineLevel="0" collapsed="false">
      <c r="A12269" s="1" t="s">
        <v>12304</v>
      </c>
      <c r="B12269" s="1" t="s">
        <v>88</v>
      </c>
      <c r="C12269" s="1" t="n">
        <v>192000</v>
      </c>
      <c r="D12269" s="1" t="n">
        <v>12338.7</v>
      </c>
      <c r="E12269" s="1" t="n">
        <v>0.0326</v>
      </c>
      <c r="F12269" s="1" t="n">
        <v>0.0951</v>
      </c>
    </row>
    <row r="12270" customFormat="false" ht="15" hidden="false" customHeight="false" outlineLevel="0" collapsed="false">
      <c r="A12270" s="1" t="s">
        <v>12305</v>
      </c>
      <c r="B12270" s="1" t="s">
        <v>24</v>
      </c>
      <c r="C12270" s="1" t="n">
        <v>128000</v>
      </c>
      <c r="D12270" s="1" t="n">
        <v>7448.5</v>
      </c>
      <c r="E12270" s="1" t="n">
        <v>0.0242</v>
      </c>
      <c r="F12270" s="1" t="n">
        <v>0.0833</v>
      </c>
    </row>
    <row r="12271" customFormat="false" ht="15" hidden="false" customHeight="false" outlineLevel="0" collapsed="false">
      <c r="A12271" s="1" t="s">
        <v>12306</v>
      </c>
      <c r="B12271" s="1" t="s">
        <v>26</v>
      </c>
      <c r="C12271" s="1" t="n">
        <v>96000</v>
      </c>
      <c r="D12271" s="1" t="n">
        <v>5108</v>
      </c>
      <c r="E12271" s="1" t="n">
        <v>0.0623</v>
      </c>
      <c r="F12271" s="1" t="n">
        <v>0.0951</v>
      </c>
    </row>
    <row r="12272" customFormat="false" ht="15" hidden="false" customHeight="false" outlineLevel="0" collapsed="false">
      <c r="A12272" s="1" t="s">
        <v>12307</v>
      </c>
      <c r="B12272" s="1" t="s">
        <v>92</v>
      </c>
      <c r="C12272" s="1" t="n">
        <v>249000</v>
      </c>
      <c r="D12272" s="1" t="n">
        <v>18123.5</v>
      </c>
      <c r="E12272" s="1" t="n">
        <v>0.0231</v>
      </c>
      <c r="F12272" s="1" t="n">
        <v>0.0759</v>
      </c>
    </row>
    <row r="12273" customFormat="false" ht="15" hidden="false" customHeight="false" outlineLevel="0" collapsed="false">
      <c r="A12273" s="1" t="s">
        <v>12308</v>
      </c>
      <c r="B12273" s="1" t="s">
        <v>26</v>
      </c>
      <c r="C12273" s="1" t="n">
        <v>88500</v>
      </c>
      <c r="D12273" s="1" t="n">
        <v>1223.3</v>
      </c>
      <c r="E12273" s="1" t="n">
        <v>0.0386</v>
      </c>
      <c r="F12273" s="1" t="n">
        <v>0.0951</v>
      </c>
    </row>
    <row r="12274" customFormat="false" ht="15" hidden="false" customHeight="false" outlineLevel="0" collapsed="false">
      <c r="A12274" s="1" t="s">
        <v>12309</v>
      </c>
      <c r="B12274" s="1" t="s">
        <v>490</v>
      </c>
      <c r="C12274" s="1" t="n">
        <v>107000</v>
      </c>
      <c r="D12274" s="1" t="n">
        <v>8773.2</v>
      </c>
      <c r="E12274" s="1" t="n">
        <v>0.0225</v>
      </c>
      <c r="F12274" s="1" t="n">
        <v>0.0585</v>
      </c>
    </row>
    <row r="12275" customFormat="false" ht="15" hidden="false" customHeight="false" outlineLevel="0" collapsed="false">
      <c r="A12275" s="1" t="s">
        <v>12310</v>
      </c>
      <c r="B12275" s="1" t="s">
        <v>26</v>
      </c>
      <c r="C12275" s="1" t="n">
        <v>134000</v>
      </c>
      <c r="D12275" s="1" t="n">
        <v>5536.2</v>
      </c>
      <c r="E12275" s="1" t="n">
        <v>0.0139</v>
      </c>
      <c r="F12275" s="1" t="n">
        <v>0.0462</v>
      </c>
    </row>
    <row r="12276" customFormat="false" ht="15" hidden="false" customHeight="false" outlineLevel="0" collapsed="false">
      <c r="A12276" s="1" t="s">
        <v>12311</v>
      </c>
      <c r="B12276" s="1" t="s">
        <v>490</v>
      </c>
      <c r="C12276" s="1" t="n">
        <v>92500</v>
      </c>
      <c r="D12276" s="1" t="n">
        <v>677.8</v>
      </c>
      <c r="E12276" s="1" t="n">
        <v>0.0184</v>
      </c>
      <c r="F12276" s="1" t="n">
        <v>0.1267</v>
      </c>
    </row>
    <row r="12277" customFormat="false" ht="15" hidden="false" customHeight="false" outlineLevel="0" collapsed="false">
      <c r="A12277" s="1" t="s">
        <v>12312</v>
      </c>
      <c r="B12277" s="1" t="s">
        <v>71</v>
      </c>
      <c r="C12277" s="1" t="n">
        <v>171000</v>
      </c>
      <c r="D12277" s="1" t="n">
        <v>15205.8</v>
      </c>
      <c r="E12277" s="1" t="n">
        <v>0.0432</v>
      </c>
      <c r="F12277" s="1" t="n">
        <v>0.0938</v>
      </c>
    </row>
    <row r="12278" customFormat="false" ht="15" hidden="false" customHeight="false" outlineLevel="0" collapsed="false">
      <c r="A12278" s="1" t="s">
        <v>12313</v>
      </c>
      <c r="B12278" s="1" t="s">
        <v>88</v>
      </c>
      <c r="C12278" s="1" t="n">
        <v>97400</v>
      </c>
      <c r="D12278" s="1" t="n">
        <v>5026.6</v>
      </c>
      <c r="E12278" s="1" t="n">
        <v>0.032</v>
      </c>
      <c r="F12278" s="1" t="n">
        <v>0.0759</v>
      </c>
    </row>
    <row r="12279" customFormat="false" ht="15" hidden="false" customHeight="false" outlineLevel="0" collapsed="false">
      <c r="A12279" s="1" t="s">
        <v>12314</v>
      </c>
      <c r="B12279" s="1" t="s">
        <v>92</v>
      </c>
      <c r="C12279" s="1" t="n">
        <v>128000</v>
      </c>
      <c r="D12279" s="1" t="n">
        <v>1649.4</v>
      </c>
      <c r="E12279" s="1" t="n">
        <v>0.0137</v>
      </c>
      <c r="F12279" s="1" t="n">
        <v>0.0822</v>
      </c>
    </row>
    <row r="12280" customFormat="false" ht="15" hidden="false" customHeight="false" outlineLevel="0" collapsed="false">
      <c r="A12280" s="1" t="s">
        <v>12315</v>
      </c>
      <c r="B12280" s="1" t="s">
        <v>71</v>
      </c>
      <c r="C12280" s="1" t="n">
        <v>95900</v>
      </c>
      <c r="D12280" s="1" t="n">
        <v>10003.7</v>
      </c>
      <c r="E12280" s="1" t="n">
        <v>0.0314</v>
      </c>
      <c r="F12280" s="1" t="n">
        <v>0.0951</v>
      </c>
    </row>
    <row r="12281" customFormat="false" ht="15" hidden="false" customHeight="false" outlineLevel="0" collapsed="false">
      <c r="A12281" s="1" t="s">
        <v>12316</v>
      </c>
      <c r="B12281" s="1" t="s">
        <v>92</v>
      </c>
      <c r="C12281" s="1" t="n">
        <v>98000</v>
      </c>
      <c r="D12281" s="1" t="n">
        <v>1706.4</v>
      </c>
      <c r="E12281" s="1" t="n">
        <v>0.0309</v>
      </c>
      <c r="F12281" s="1" t="n">
        <v>0.0759</v>
      </c>
    </row>
    <row r="12282" customFormat="false" ht="15" hidden="false" customHeight="false" outlineLevel="0" collapsed="false">
      <c r="A12282" s="1" t="s">
        <v>12317</v>
      </c>
      <c r="B12282" s="1" t="s">
        <v>71</v>
      </c>
      <c r="C12282" s="1" t="n">
        <v>92100</v>
      </c>
      <c r="D12282" s="1" t="n">
        <v>23951</v>
      </c>
      <c r="E12282" s="1" t="n">
        <v>0.0214</v>
      </c>
      <c r="F12282" s="1" t="n">
        <v>0.1067</v>
      </c>
    </row>
    <row r="12283" customFormat="false" ht="15" hidden="false" customHeight="false" outlineLevel="0" collapsed="false">
      <c r="A12283" s="1" t="s">
        <v>12318</v>
      </c>
      <c r="B12283" s="1" t="s">
        <v>92</v>
      </c>
      <c r="C12283" s="1" t="n">
        <v>94300</v>
      </c>
      <c r="D12283" s="1" t="n">
        <v>460.9</v>
      </c>
      <c r="E12283" s="1" t="n">
        <v>0.0382</v>
      </c>
      <c r="F12283" s="1" t="n">
        <v>0.0759</v>
      </c>
    </row>
    <row r="12284" customFormat="false" ht="15" hidden="false" customHeight="false" outlineLevel="0" collapsed="false">
      <c r="A12284" s="1" t="s">
        <v>12319</v>
      </c>
      <c r="B12284" s="1" t="s">
        <v>26</v>
      </c>
      <c r="C12284" s="1" t="n">
        <v>102000</v>
      </c>
      <c r="D12284" s="1" t="n">
        <v>94.6</v>
      </c>
      <c r="E12284" s="1" t="n">
        <v>0.0211</v>
      </c>
      <c r="F12284" s="1" t="n">
        <v>0.0824</v>
      </c>
    </row>
    <row r="12285" customFormat="false" ht="15" hidden="false" customHeight="false" outlineLevel="0" collapsed="false">
      <c r="A12285" s="1" t="s">
        <v>12320</v>
      </c>
      <c r="B12285" s="1" t="s">
        <v>26</v>
      </c>
      <c r="C12285" s="1" t="n">
        <v>105000</v>
      </c>
      <c r="D12285" s="1" t="n">
        <v>1160.2</v>
      </c>
      <c r="E12285" s="1" t="n">
        <v>0.0046</v>
      </c>
      <c r="F12285" s="1" t="n">
        <v>0.0811</v>
      </c>
    </row>
    <row r="12286" customFormat="false" ht="15" hidden="false" customHeight="false" outlineLevel="0" collapsed="false">
      <c r="A12286" s="1" t="s">
        <v>12321</v>
      </c>
      <c r="B12286" s="1" t="s">
        <v>28</v>
      </c>
      <c r="C12286" s="1" t="n">
        <v>104000</v>
      </c>
      <c r="D12286" s="1" t="n">
        <v>16432.7</v>
      </c>
      <c r="E12286" s="1" t="n">
        <v>0.0031</v>
      </c>
      <c r="F12286" s="1" t="n">
        <v>0.0822</v>
      </c>
    </row>
    <row r="12287" customFormat="false" ht="15" hidden="false" customHeight="false" outlineLevel="0" collapsed="false">
      <c r="A12287" s="1" t="s">
        <v>12322</v>
      </c>
      <c r="B12287" s="1" t="s">
        <v>81</v>
      </c>
      <c r="C12287" s="1" t="n">
        <v>93200</v>
      </c>
      <c r="D12287" s="1" t="n">
        <v>9032.6</v>
      </c>
      <c r="E12287" s="1" t="n">
        <v>0.0335</v>
      </c>
      <c r="F12287" s="1" t="n">
        <v>0.0951</v>
      </c>
    </row>
    <row r="12288" customFormat="false" ht="15" hidden="false" customHeight="false" outlineLevel="0" collapsed="false">
      <c r="A12288" s="1" t="s">
        <v>12323</v>
      </c>
      <c r="B12288" s="1" t="s">
        <v>88</v>
      </c>
      <c r="C12288" s="1" t="n">
        <v>95100</v>
      </c>
      <c r="D12288" s="1" t="n">
        <v>1779.9</v>
      </c>
      <c r="E12288" s="1" t="n">
        <v>0.0555</v>
      </c>
      <c r="F12288" s="1" t="n">
        <v>0.0951</v>
      </c>
    </row>
    <row r="12289" customFormat="false" ht="15" hidden="false" customHeight="false" outlineLevel="0" collapsed="false">
      <c r="A12289" s="1" t="s">
        <v>12324</v>
      </c>
      <c r="B12289" s="1" t="s">
        <v>74</v>
      </c>
      <c r="C12289" s="1" t="n">
        <v>90600</v>
      </c>
      <c r="D12289" s="1" t="n">
        <v>3163.4</v>
      </c>
      <c r="E12289" s="1" t="n">
        <v>0.0456</v>
      </c>
      <c r="F12289" s="1" t="n">
        <v>0.1243</v>
      </c>
    </row>
    <row r="12290" customFormat="false" ht="15" hidden="false" customHeight="false" outlineLevel="0" collapsed="false">
      <c r="A12290" s="1" t="s">
        <v>12325</v>
      </c>
      <c r="B12290" s="1" t="s">
        <v>26</v>
      </c>
      <c r="C12290" s="1" t="n">
        <v>109000</v>
      </c>
      <c r="D12290" s="1" t="n">
        <v>4361.6</v>
      </c>
      <c r="F12290" s="1" t="n">
        <v>0.0951</v>
      </c>
    </row>
    <row r="12291" customFormat="false" ht="15" hidden="false" customHeight="false" outlineLevel="0" collapsed="false">
      <c r="A12291" s="1" t="s">
        <v>12326</v>
      </c>
      <c r="B12291" s="1" t="s">
        <v>26</v>
      </c>
      <c r="C12291" s="1" t="n">
        <v>147000</v>
      </c>
      <c r="D12291" s="1" t="n">
        <v>6105.8</v>
      </c>
      <c r="E12291" s="1" t="n">
        <v>0.0343</v>
      </c>
      <c r="F12291" s="1" t="n">
        <v>0.0951</v>
      </c>
    </row>
    <row r="12292" customFormat="false" ht="15" hidden="false" customHeight="false" outlineLevel="0" collapsed="false">
      <c r="A12292" s="1" t="s">
        <v>12327</v>
      </c>
      <c r="B12292" s="1" t="s">
        <v>26</v>
      </c>
      <c r="C12292" s="1" t="n">
        <v>174000</v>
      </c>
      <c r="D12292" s="1" t="n">
        <v>6744.3</v>
      </c>
      <c r="E12292" s="1" t="n">
        <v>0.0302</v>
      </c>
      <c r="F12292" s="1" t="n">
        <v>0.0938</v>
      </c>
    </row>
    <row r="12293" customFormat="false" ht="15" hidden="false" customHeight="false" outlineLevel="0" collapsed="false">
      <c r="A12293" s="1" t="s">
        <v>12328</v>
      </c>
      <c r="B12293" s="1" t="s">
        <v>81</v>
      </c>
      <c r="C12293" s="1" t="n">
        <v>98800</v>
      </c>
      <c r="D12293" s="1" t="n">
        <v>1338.9</v>
      </c>
      <c r="E12293" s="1" t="n">
        <v>0.0175</v>
      </c>
      <c r="F12293" s="1" t="n">
        <v>0.1067</v>
      </c>
    </row>
    <row r="12294" customFormat="false" ht="15" hidden="false" customHeight="false" outlineLevel="0" collapsed="false">
      <c r="A12294" s="1" t="s">
        <v>12329</v>
      </c>
      <c r="B12294" s="1" t="s">
        <v>195</v>
      </c>
      <c r="C12294" s="1" t="n">
        <v>91600</v>
      </c>
      <c r="D12294" s="1" t="n">
        <v>847.9</v>
      </c>
      <c r="E12294" s="1" t="n">
        <v>0.0346</v>
      </c>
      <c r="F12294" s="1" t="n">
        <v>0.0951</v>
      </c>
    </row>
    <row r="12295" customFormat="false" ht="15" hidden="false" customHeight="false" outlineLevel="0" collapsed="false">
      <c r="A12295" s="1" t="s">
        <v>12330</v>
      </c>
      <c r="B12295" s="1" t="s">
        <v>26</v>
      </c>
      <c r="C12295" s="1" t="n">
        <v>176000</v>
      </c>
      <c r="D12295" s="1" t="n">
        <v>4318.2</v>
      </c>
      <c r="E12295" s="1" t="n">
        <v>0.0353</v>
      </c>
      <c r="F12295" s="1" t="n">
        <v>0.0409</v>
      </c>
    </row>
    <row r="12296" customFormat="false" ht="15" hidden="false" customHeight="false" outlineLevel="0" collapsed="false">
      <c r="A12296" s="1" t="s">
        <v>12331</v>
      </c>
      <c r="B12296" s="1" t="s">
        <v>88</v>
      </c>
      <c r="C12296" s="1" t="n">
        <v>103000</v>
      </c>
      <c r="D12296" s="1" t="n">
        <v>174.5</v>
      </c>
      <c r="F12296" s="1" t="n">
        <v>0.0759</v>
      </c>
    </row>
    <row r="12297" customFormat="false" ht="15" hidden="false" customHeight="false" outlineLevel="0" collapsed="false">
      <c r="A12297" s="1" t="s">
        <v>12332</v>
      </c>
      <c r="B12297" s="1" t="s">
        <v>62</v>
      </c>
      <c r="C12297" s="1" t="n">
        <v>103000</v>
      </c>
      <c r="D12297" s="1" t="n">
        <v>387.9</v>
      </c>
      <c r="E12297" s="1" t="n">
        <v>0.017</v>
      </c>
      <c r="F12297" s="1" t="n">
        <v>0.0821</v>
      </c>
    </row>
    <row r="12298" customFormat="false" ht="15" hidden="false" customHeight="false" outlineLevel="0" collapsed="false">
      <c r="A12298" s="1" t="s">
        <v>12333</v>
      </c>
      <c r="B12298" s="1" t="s">
        <v>26</v>
      </c>
      <c r="C12298" s="1" t="n">
        <v>151000</v>
      </c>
      <c r="D12298" s="1" t="n">
        <v>17612.8</v>
      </c>
      <c r="E12298" s="1" t="n">
        <v>0.0166</v>
      </c>
      <c r="F12298" s="1" t="n">
        <v>0.0854</v>
      </c>
    </row>
    <row r="12299" customFormat="false" ht="15" hidden="false" customHeight="false" outlineLevel="0" collapsed="false">
      <c r="A12299" s="1" t="s">
        <v>12334</v>
      </c>
      <c r="B12299" s="1" t="s">
        <v>26</v>
      </c>
      <c r="C12299" s="1" t="n">
        <v>232000</v>
      </c>
      <c r="D12299" s="1" t="n">
        <v>3984</v>
      </c>
      <c r="F12299" s="1" t="n">
        <v>0.0759</v>
      </c>
    </row>
    <row r="12300" customFormat="false" ht="15" hidden="false" customHeight="false" outlineLevel="0" collapsed="false">
      <c r="A12300" s="1" t="s">
        <v>12335</v>
      </c>
      <c r="B12300" s="1" t="s">
        <v>26</v>
      </c>
      <c r="C12300" s="1" t="n">
        <v>110000</v>
      </c>
      <c r="D12300" s="1" t="n">
        <v>1224.9</v>
      </c>
      <c r="F12300" s="1" t="n">
        <v>0.0951</v>
      </c>
    </row>
    <row r="12301" customFormat="false" ht="15" hidden="false" customHeight="false" outlineLevel="0" collapsed="false">
      <c r="A12301" s="1" t="s">
        <v>12336</v>
      </c>
      <c r="B12301" s="1" t="s">
        <v>21</v>
      </c>
      <c r="C12301" s="1" t="n">
        <v>108000</v>
      </c>
      <c r="D12301" s="1" t="n">
        <v>15747.5</v>
      </c>
      <c r="E12301" s="1" t="n">
        <v>0.0434</v>
      </c>
      <c r="F12301" s="1" t="n">
        <v>0.0759</v>
      </c>
    </row>
    <row r="12302" customFormat="false" ht="15" hidden="false" customHeight="false" outlineLevel="0" collapsed="false">
      <c r="A12302" s="1" t="s">
        <v>12337</v>
      </c>
      <c r="B12302" s="1" t="s">
        <v>88</v>
      </c>
      <c r="C12302" s="1" t="n">
        <v>176000</v>
      </c>
      <c r="D12302" s="1" t="n">
        <v>1245.3</v>
      </c>
      <c r="E12302" s="1" t="n">
        <v>0.0292</v>
      </c>
      <c r="F12302" s="1" t="n">
        <v>0.0938</v>
      </c>
    </row>
    <row r="12303" customFormat="false" ht="15" hidden="false" customHeight="false" outlineLevel="0" collapsed="false">
      <c r="A12303" s="1" t="s">
        <v>12338</v>
      </c>
      <c r="B12303" s="1" t="s">
        <v>26</v>
      </c>
      <c r="C12303" s="1" t="n">
        <v>95700</v>
      </c>
      <c r="D12303" s="1" t="n">
        <v>43022</v>
      </c>
      <c r="E12303" s="1" t="n">
        <v>0.0662</v>
      </c>
      <c r="F12303" s="1" t="n">
        <v>0.0759</v>
      </c>
    </row>
    <row r="12304" customFormat="false" ht="15" hidden="false" customHeight="false" outlineLevel="0" collapsed="false">
      <c r="A12304" s="1" t="s">
        <v>12339</v>
      </c>
      <c r="B12304" s="1" t="s">
        <v>50</v>
      </c>
      <c r="C12304" s="1" t="n">
        <v>101000</v>
      </c>
      <c r="D12304" s="1" t="n">
        <v>17598.9</v>
      </c>
      <c r="F12304" s="1" t="n">
        <v>0.0951</v>
      </c>
    </row>
    <row r="12305" customFormat="false" ht="15" hidden="false" customHeight="false" outlineLevel="0" collapsed="false">
      <c r="A12305" s="1" t="s">
        <v>12340</v>
      </c>
      <c r="B12305" s="1" t="s">
        <v>26</v>
      </c>
      <c r="C12305" s="1" t="n">
        <v>91700</v>
      </c>
      <c r="D12305" s="1" t="n">
        <v>618.5</v>
      </c>
      <c r="E12305" s="1" t="n">
        <v>0.0168</v>
      </c>
      <c r="F12305" s="1" t="n">
        <v>0.0585</v>
      </c>
    </row>
    <row r="12306" customFormat="false" ht="15" hidden="false" customHeight="false" outlineLevel="0" collapsed="false">
      <c r="A12306" s="1" t="s">
        <v>12341</v>
      </c>
      <c r="B12306" s="1" t="s">
        <v>88</v>
      </c>
      <c r="C12306" s="1" t="n">
        <v>102000</v>
      </c>
      <c r="D12306" s="1" t="n">
        <v>229.4</v>
      </c>
      <c r="E12306" s="1" t="n">
        <v>0.1215</v>
      </c>
      <c r="F12306" s="1" t="n">
        <v>0.117</v>
      </c>
    </row>
    <row r="12307" customFormat="false" ht="15" hidden="false" customHeight="false" outlineLevel="0" collapsed="false">
      <c r="A12307" s="1" t="s">
        <v>12342</v>
      </c>
      <c r="B12307" s="1" t="s">
        <v>26</v>
      </c>
      <c r="C12307" s="1" t="n">
        <v>111000</v>
      </c>
      <c r="D12307" s="1" t="n">
        <v>199408.1</v>
      </c>
      <c r="E12307" s="1" t="n">
        <v>0.0425</v>
      </c>
      <c r="F12307" s="1" t="n">
        <v>0.0518</v>
      </c>
    </row>
    <row r="12308" customFormat="false" ht="15" hidden="false" customHeight="false" outlineLevel="0" collapsed="false">
      <c r="A12308" s="1" t="s">
        <v>12343</v>
      </c>
      <c r="B12308" s="1" t="s">
        <v>88</v>
      </c>
      <c r="C12308" s="1" t="n">
        <v>106000</v>
      </c>
      <c r="D12308" s="1" t="n">
        <v>565.7</v>
      </c>
      <c r="E12308" s="1" t="n">
        <v>0.0139</v>
      </c>
      <c r="F12308" s="1" t="n">
        <v>0.1067</v>
      </c>
    </row>
    <row r="12309" customFormat="false" ht="15" hidden="false" customHeight="false" outlineLevel="0" collapsed="false">
      <c r="A12309" s="1" t="s">
        <v>12344</v>
      </c>
      <c r="B12309" s="1" t="s">
        <v>24</v>
      </c>
      <c r="C12309" s="1" t="n">
        <v>188000</v>
      </c>
      <c r="D12309" s="1" t="n">
        <v>2204</v>
      </c>
      <c r="E12309" s="1" t="n">
        <v>0.0088</v>
      </c>
      <c r="F12309" s="1" t="n">
        <v>0.0654</v>
      </c>
    </row>
    <row r="12310" customFormat="false" ht="15" hidden="false" customHeight="false" outlineLevel="0" collapsed="false">
      <c r="A12310" s="1" t="s">
        <v>12345</v>
      </c>
      <c r="B12310" s="1" t="s">
        <v>74</v>
      </c>
      <c r="C12310" s="1" t="n">
        <v>101000</v>
      </c>
      <c r="D12310" s="1" t="n">
        <v>469</v>
      </c>
      <c r="E12310" s="1" t="n">
        <v>0.0479</v>
      </c>
      <c r="F12310" s="1" t="n">
        <v>0.0759</v>
      </c>
    </row>
    <row r="12311" customFormat="false" ht="15" hidden="false" customHeight="false" outlineLevel="0" collapsed="false">
      <c r="A12311" s="1" t="s">
        <v>12346</v>
      </c>
      <c r="B12311" s="1" t="s">
        <v>26</v>
      </c>
      <c r="C12311" s="1" t="n">
        <v>90300</v>
      </c>
      <c r="D12311" s="1" t="n">
        <v>773</v>
      </c>
      <c r="E12311" s="1" t="n">
        <v>0.0303</v>
      </c>
      <c r="F12311" s="1" t="n">
        <v>0.0951</v>
      </c>
    </row>
    <row r="12312" customFormat="false" ht="15" hidden="false" customHeight="false" outlineLevel="0" collapsed="false">
      <c r="A12312" s="1" t="s">
        <v>12347</v>
      </c>
      <c r="B12312" s="1" t="s">
        <v>74</v>
      </c>
      <c r="C12312" s="1" t="n">
        <v>110000</v>
      </c>
      <c r="D12312" s="1" t="n">
        <v>24607.1</v>
      </c>
      <c r="E12312" s="1" t="n">
        <v>0.0157</v>
      </c>
      <c r="F12312" s="1" t="n">
        <v>0.1067</v>
      </c>
    </row>
    <row r="12313" customFormat="false" ht="15" hidden="false" customHeight="false" outlineLevel="0" collapsed="false">
      <c r="A12313" s="1" t="s">
        <v>12348</v>
      </c>
      <c r="B12313" s="1" t="s">
        <v>62</v>
      </c>
      <c r="C12313" s="1" t="n">
        <v>492000</v>
      </c>
      <c r="D12313" s="1" t="n">
        <v>287799.7</v>
      </c>
      <c r="E12313" s="1" t="n">
        <v>0.0285</v>
      </c>
      <c r="F12313" s="1" t="n">
        <v>0.0672</v>
      </c>
    </row>
    <row r="12314" customFormat="false" ht="15" hidden="false" customHeight="false" outlineLevel="0" collapsed="false">
      <c r="A12314" s="1" t="s">
        <v>12349</v>
      </c>
      <c r="B12314" s="1" t="s">
        <v>74</v>
      </c>
      <c r="C12314" s="1" t="n">
        <v>106000</v>
      </c>
      <c r="D12314" s="1" t="n">
        <v>6.7</v>
      </c>
      <c r="E12314" s="1" t="n">
        <v>0.004</v>
      </c>
      <c r="F12314" s="1" t="n">
        <v>0.2657</v>
      </c>
    </row>
    <row r="12315" customFormat="false" ht="15" hidden="false" customHeight="false" outlineLevel="0" collapsed="false">
      <c r="A12315" s="1" t="s">
        <v>12350</v>
      </c>
      <c r="B12315" s="1" t="s">
        <v>26</v>
      </c>
      <c r="C12315" s="1" t="n">
        <v>93200</v>
      </c>
      <c r="D12315" s="1" t="n">
        <v>10.8</v>
      </c>
      <c r="F12315" s="1" t="n">
        <v>0.0409</v>
      </c>
    </row>
    <row r="12316" customFormat="false" ht="15" hidden="false" customHeight="false" outlineLevel="0" collapsed="false">
      <c r="A12316" s="1" t="s">
        <v>12351</v>
      </c>
      <c r="B12316" s="1" t="s">
        <v>74</v>
      </c>
      <c r="C12316" s="1" t="n">
        <v>142000</v>
      </c>
      <c r="F12316" s="1" t="n">
        <v>0.0759</v>
      </c>
    </row>
    <row r="12317" customFormat="false" ht="15" hidden="false" customHeight="false" outlineLevel="0" collapsed="false">
      <c r="A12317" s="1" t="s">
        <v>12352</v>
      </c>
      <c r="B12317" s="1" t="s">
        <v>26</v>
      </c>
      <c r="C12317" s="1" t="n">
        <v>351000</v>
      </c>
      <c r="D12317" s="1" t="n">
        <v>22521.5</v>
      </c>
      <c r="E12317" s="1" t="n">
        <v>0.0011</v>
      </c>
      <c r="F12317" s="1" t="n">
        <v>0.0811</v>
      </c>
    </row>
    <row r="12318" customFormat="false" ht="15" hidden="false" customHeight="false" outlineLevel="0" collapsed="false">
      <c r="A12318" s="1" t="s">
        <v>12353</v>
      </c>
      <c r="B12318" s="1" t="s">
        <v>24</v>
      </c>
      <c r="C12318" s="1" t="n">
        <v>111000</v>
      </c>
      <c r="D12318" s="1" t="n">
        <v>30313.2</v>
      </c>
      <c r="E12318" s="1" t="n">
        <v>0.0319</v>
      </c>
      <c r="F12318" s="1" t="n">
        <v>0.0951</v>
      </c>
    </row>
    <row r="12319" customFormat="false" ht="15" hidden="false" customHeight="false" outlineLevel="0" collapsed="false">
      <c r="A12319" s="1" t="s">
        <v>12354</v>
      </c>
      <c r="B12319" s="1" t="s">
        <v>62</v>
      </c>
      <c r="C12319" s="1" t="n">
        <v>95200</v>
      </c>
      <c r="D12319" s="1" t="n">
        <v>948.3</v>
      </c>
      <c r="E12319" s="1" t="n">
        <v>0.0165</v>
      </c>
      <c r="F12319" s="1" t="n">
        <v>0.0462</v>
      </c>
    </row>
    <row r="12320" customFormat="false" ht="15" hidden="false" customHeight="false" outlineLevel="0" collapsed="false">
      <c r="A12320" s="1" t="s">
        <v>12355</v>
      </c>
      <c r="B12320" s="1" t="s">
        <v>41</v>
      </c>
      <c r="C12320" s="1" t="n">
        <v>151000</v>
      </c>
      <c r="D12320" s="1" t="n">
        <v>3062.4</v>
      </c>
      <c r="E12320" s="1" t="n">
        <v>0.0226</v>
      </c>
      <c r="F12320" s="1" t="n">
        <v>0.0938</v>
      </c>
    </row>
    <row r="12321" customFormat="false" ht="15" hidden="false" customHeight="false" outlineLevel="0" collapsed="false">
      <c r="A12321" s="1" t="s">
        <v>12356</v>
      </c>
      <c r="B12321" s="1" t="s">
        <v>53</v>
      </c>
      <c r="C12321" s="1" t="n">
        <v>110000</v>
      </c>
      <c r="D12321" s="1" t="n">
        <v>11737.7</v>
      </c>
      <c r="E12321" s="1" t="n">
        <v>0.0256</v>
      </c>
      <c r="F12321" s="1" t="n">
        <v>0.1119</v>
      </c>
    </row>
    <row r="12322" customFormat="false" ht="15" hidden="false" customHeight="false" outlineLevel="0" collapsed="false">
      <c r="A12322" s="1" t="s">
        <v>12357</v>
      </c>
      <c r="B12322" s="1" t="s">
        <v>24</v>
      </c>
      <c r="C12322" s="1" t="n">
        <v>98700</v>
      </c>
      <c r="D12322" s="1" t="n">
        <v>787.7</v>
      </c>
      <c r="E12322" s="1" t="n">
        <v>0.0038</v>
      </c>
      <c r="F12322" s="1" t="n">
        <v>0.0866</v>
      </c>
    </row>
    <row r="12323" customFormat="false" ht="15" hidden="false" customHeight="false" outlineLevel="0" collapsed="false">
      <c r="A12323" s="1" t="s">
        <v>12358</v>
      </c>
      <c r="B12323" s="1" t="s">
        <v>214</v>
      </c>
      <c r="C12323" s="1" t="n">
        <v>95500</v>
      </c>
      <c r="D12323" s="1" t="n">
        <v>3503.7</v>
      </c>
      <c r="E12323" s="1" t="n">
        <v>0.0052</v>
      </c>
      <c r="F12323" s="1" t="n">
        <v>0.0822</v>
      </c>
    </row>
    <row r="12324" customFormat="false" ht="15" hidden="false" customHeight="false" outlineLevel="0" collapsed="false">
      <c r="A12324" s="1" t="s">
        <v>12359</v>
      </c>
      <c r="B12324" s="1" t="s">
        <v>26</v>
      </c>
      <c r="C12324" s="1" t="n">
        <v>114000</v>
      </c>
      <c r="D12324" s="1" t="n">
        <v>57193.9</v>
      </c>
      <c r="E12324" s="1" t="n">
        <v>0.0517</v>
      </c>
      <c r="F12324" s="1" t="n">
        <v>0.0672</v>
      </c>
    </row>
    <row r="12325" customFormat="false" ht="15" hidden="false" customHeight="false" outlineLevel="0" collapsed="false">
      <c r="A12325" s="1" t="s">
        <v>12360</v>
      </c>
      <c r="B12325" s="1" t="s">
        <v>26</v>
      </c>
      <c r="C12325" s="1" t="n">
        <v>120000</v>
      </c>
      <c r="D12325" s="1" t="n">
        <v>2608.6</v>
      </c>
      <c r="E12325" s="1" t="n">
        <v>0.0193</v>
      </c>
      <c r="F12325" s="1" t="n">
        <v>0.0854</v>
      </c>
    </row>
    <row r="12326" customFormat="false" ht="15" hidden="false" customHeight="false" outlineLevel="0" collapsed="false">
      <c r="A12326" s="1" t="s">
        <v>12361</v>
      </c>
      <c r="B12326" s="1" t="s">
        <v>88</v>
      </c>
      <c r="C12326" s="1" t="n">
        <v>130000</v>
      </c>
      <c r="D12326" s="1" t="n">
        <v>2907.8</v>
      </c>
      <c r="E12326" s="1" t="n">
        <v>0.028</v>
      </c>
      <c r="F12326" s="1" t="n">
        <v>0.0759</v>
      </c>
    </row>
    <row r="12327" customFormat="false" ht="15" hidden="false" customHeight="false" outlineLevel="0" collapsed="false">
      <c r="A12327" s="1" t="s">
        <v>12362</v>
      </c>
      <c r="B12327" s="1" t="s">
        <v>50</v>
      </c>
      <c r="C12327" s="1" t="n">
        <v>103000</v>
      </c>
      <c r="D12327" s="1" t="n">
        <v>2869</v>
      </c>
      <c r="E12327" s="1" t="n">
        <v>0.0571</v>
      </c>
      <c r="F12327" s="1" t="n">
        <v>0.0759</v>
      </c>
    </row>
    <row r="12328" customFormat="false" ht="15" hidden="false" customHeight="false" outlineLevel="0" collapsed="false">
      <c r="A12328" s="1" t="s">
        <v>12363</v>
      </c>
      <c r="B12328" s="1" t="s">
        <v>88</v>
      </c>
      <c r="C12328" s="1" t="n">
        <v>97500</v>
      </c>
      <c r="D12328" s="1" t="n">
        <v>14216.4</v>
      </c>
      <c r="F12328" s="1" t="n">
        <v>0.0518</v>
      </c>
    </row>
    <row r="12329" customFormat="false" ht="15" hidden="false" customHeight="false" outlineLevel="0" collapsed="false">
      <c r="A12329" s="1" t="s">
        <v>12364</v>
      </c>
      <c r="B12329" s="1" t="s">
        <v>81</v>
      </c>
      <c r="C12329" s="1" t="n">
        <v>164000</v>
      </c>
      <c r="D12329" s="1" t="n">
        <v>13123.1</v>
      </c>
      <c r="E12329" s="1" t="n">
        <v>0.0164</v>
      </c>
      <c r="F12329" s="1" t="n">
        <v>0.0854</v>
      </c>
    </row>
    <row r="12330" customFormat="false" ht="15" hidden="false" customHeight="false" outlineLevel="0" collapsed="false">
      <c r="A12330" s="1" t="s">
        <v>12365</v>
      </c>
      <c r="B12330" s="1" t="s">
        <v>214</v>
      </c>
      <c r="C12330" s="1" t="n">
        <v>141000</v>
      </c>
      <c r="D12330" s="1" t="n">
        <v>7361.5</v>
      </c>
      <c r="E12330" s="1" t="n">
        <v>0.0686</v>
      </c>
      <c r="F12330" s="1" t="n">
        <v>0.0951</v>
      </c>
    </row>
    <row r="12331" customFormat="false" ht="15" hidden="false" customHeight="false" outlineLevel="0" collapsed="false">
      <c r="A12331" s="1" t="s">
        <v>12366</v>
      </c>
      <c r="B12331" s="1" t="s">
        <v>53</v>
      </c>
      <c r="C12331" s="1" t="n">
        <v>132000</v>
      </c>
      <c r="D12331" s="1" t="n">
        <v>14561.6</v>
      </c>
      <c r="E12331" s="1" t="n">
        <v>0.0403</v>
      </c>
      <c r="F12331" s="1" t="n">
        <v>0.0759</v>
      </c>
    </row>
    <row r="12332" customFormat="false" ht="15" hidden="false" customHeight="false" outlineLevel="0" collapsed="false">
      <c r="A12332" s="1" t="s">
        <v>12367</v>
      </c>
      <c r="B12332" s="1" t="s">
        <v>26</v>
      </c>
      <c r="C12332" s="1" t="n">
        <v>106000</v>
      </c>
      <c r="D12332" s="1" t="n">
        <v>1009.6</v>
      </c>
      <c r="E12332" s="1" t="n">
        <v>0.0609</v>
      </c>
      <c r="F12332" s="1" t="n">
        <v>0.0759</v>
      </c>
    </row>
    <row r="12333" customFormat="false" ht="15" hidden="false" customHeight="false" outlineLevel="0" collapsed="false">
      <c r="A12333" s="1" t="s">
        <v>12368</v>
      </c>
      <c r="B12333" s="1" t="s">
        <v>88</v>
      </c>
      <c r="C12333" s="1" t="n">
        <v>105000</v>
      </c>
      <c r="D12333" s="1" t="n">
        <v>950.6</v>
      </c>
      <c r="E12333" s="1" t="n">
        <v>0.0112</v>
      </c>
      <c r="F12333" s="1" t="n">
        <v>0.0822</v>
      </c>
    </row>
    <row r="12334" customFormat="false" ht="15" hidden="false" customHeight="false" outlineLevel="0" collapsed="false">
      <c r="A12334" s="1" t="s">
        <v>12369</v>
      </c>
      <c r="B12334" s="1" t="s">
        <v>26</v>
      </c>
      <c r="C12334" s="1" t="n">
        <v>91200</v>
      </c>
      <c r="F12334" s="1" t="n">
        <v>0.0759</v>
      </c>
    </row>
    <row r="12335" customFormat="false" ht="15" hidden="false" customHeight="false" outlineLevel="0" collapsed="false">
      <c r="A12335" s="1" t="s">
        <v>12370</v>
      </c>
      <c r="B12335" s="1" t="s">
        <v>88</v>
      </c>
      <c r="C12335" s="1" t="n">
        <v>190000</v>
      </c>
      <c r="D12335" s="1" t="n">
        <v>1130.2</v>
      </c>
      <c r="E12335" s="1" t="n">
        <v>0.0995</v>
      </c>
      <c r="F12335" s="1" t="n">
        <v>0.0938</v>
      </c>
    </row>
    <row r="12336" customFormat="false" ht="15" hidden="false" customHeight="false" outlineLevel="0" collapsed="false">
      <c r="A12336" s="1" t="s">
        <v>12371</v>
      </c>
      <c r="B12336" s="1" t="s">
        <v>26</v>
      </c>
      <c r="C12336" s="1" t="n">
        <v>104000</v>
      </c>
      <c r="D12336" s="1" t="n">
        <v>8207.3</v>
      </c>
      <c r="F12336" s="1" t="n">
        <v>0.0546</v>
      </c>
    </row>
    <row r="12337" customFormat="false" ht="15" hidden="false" customHeight="false" outlineLevel="0" collapsed="false">
      <c r="A12337" s="1" t="s">
        <v>12372</v>
      </c>
      <c r="B12337" s="1" t="s">
        <v>74</v>
      </c>
      <c r="C12337" s="1" t="n">
        <v>115000</v>
      </c>
      <c r="D12337" s="1" t="n">
        <v>2842.9</v>
      </c>
      <c r="E12337" s="1" t="n">
        <v>0.0358</v>
      </c>
      <c r="F12337" s="1" t="n">
        <v>0.0409</v>
      </c>
    </row>
    <row r="12338" customFormat="false" ht="15" hidden="false" customHeight="false" outlineLevel="0" collapsed="false">
      <c r="A12338" s="1" t="s">
        <v>12373</v>
      </c>
      <c r="B12338" s="1" t="s">
        <v>26</v>
      </c>
      <c r="C12338" s="1" t="n">
        <v>99300</v>
      </c>
      <c r="D12338" s="1" t="n">
        <v>53512.7</v>
      </c>
      <c r="E12338" s="1" t="n">
        <v>0.0065</v>
      </c>
      <c r="F12338" s="1" t="n">
        <v>0.1471</v>
      </c>
    </row>
    <row r="12339" customFormat="false" ht="15" hidden="false" customHeight="false" outlineLevel="0" collapsed="false">
      <c r="A12339" s="1" t="s">
        <v>12374</v>
      </c>
      <c r="B12339" s="1" t="s">
        <v>71</v>
      </c>
      <c r="C12339" s="1" t="n">
        <v>97300</v>
      </c>
      <c r="D12339" s="1" t="n">
        <v>1599.4</v>
      </c>
      <c r="E12339" s="1" t="n">
        <v>0.0253</v>
      </c>
      <c r="F12339" s="1" t="n">
        <v>0.0759</v>
      </c>
    </row>
    <row r="12340" customFormat="false" ht="15" hidden="false" customHeight="false" outlineLevel="0" collapsed="false">
      <c r="A12340" s="1" t="s">
        <v>12375</v>
      </c>
      <c r="B12340" s="1" t="s">
        <v>53</v>
      </c>
      <c r="C12340" s="1" t="n">
        <v>205000</v>
      </c>
      <c r="D12340" s="1" t="n">
        <v>3381.6</v>
      </c>
      <c r="E12340" s="1" t="n">
        <v>0.0192</v>
      </c>
      <c r="F12340" s="1" t="n">
        <v>0.0462</v>
      </c>
    </row>
    <row r="12341" customFormat="false" ht="15" hidden="false" customHeight="false" outlineLevel="0" collapsed="false">
      <c r="A12341" s="1" t="s">
        <v>12376</v>
      </c>
      <c r="B12341" s="1" t="s">
        <v>26</v>
      </c>
      <c r="C12341" s="1" t="n">
        <v>91100</v>
      </c>
      <c r="D12341" s="1" t="n">
        <v>4022</v>
      </c>
      <c r="E12341" s="1" t="n">
        <v>0.0358</v>
      </c>
      <c r="F12341" s="1" t="n">
        <v>0.0951</v>
      </c>
    </row>
    <row r="12342" customFormat="false" ht="15" hidden="false" customHeight="false" outlineLevel="0" collapsed="false">
      <c r="A12342" s="1" t="s">
        <v>12377</v>
      </c>
      <c r="B12342" s="1" t="s">
        <v>88</v>
      </c>
      <c r="C12342" s="1" t="n">
        <v>97800</v>
      </c>
      <c r="D12342" s="1" t="n">
        <v>30.8</v>
      </c>
      <c r="E12342" s="1" t="n">
        <v>0.0167</v>
      </c>
      <c r="F12342" s="1" t="n">
        <v>0.1592</v>
      </c>
    </row>
    <row r="12343" customFormat="false" ht="15" hidden="false" customHeight="false" outlineLevel="0" collapsed="false">
      <c r="A12343" s="1" t="s">
        <v>12378</v>
      </c>
      <c r="B12343" s="1" t="s">
        <v>62</v>
      </c>
      <c r="C12343" s="1" t="n">
        <v>90100</v>
      </c>
      <c r="D12343" s="1" t="n">
        <v>425</v>
      </c>
      <c r="E12343" s="1" t="n">
        <v>0.0057</v>
      </c>
      <c r="F12343" s="1" t="n">
        <v>0.0822</v>
      </c>
    </row>
    <row r="12344" customFormat="false" ht="15" hidden="false" customHeight="false" outlineLevel="0" collapsed="false">
      <c r="A12344" s="1" t="s">
        <v>12379</v>
      </c>
      <c r="B12344" s="1" t="s">
        <v>26</v>
      </c>
      <c r="C12344" s="1" t="n">
        <v>113000</v>
      </c>
      <c r="D12344" s="1" t="n">
        <v>963.8</v>
      </c>
      <c r="E12344" s="1" t="n">
        <v>0.0148</v>
      </c>
      <c r="F12344" s="1" t="n">
        <v>0.0585</v>
      </c>
    </row>
    <row r="12345" customFormat="false" ht="15" hidden="false" customHeight="false" outlineLevel="0" collapsed="false">
      <c r="A12345" s="1" t="s">
        <v>12380</v>
      </c>
      <c r="B12345" s="1" t="s">
        <v>26</v>
      </c>
      <c r="C12345" s="1" t="n">
        <v>107000</v>
      </c>
      <c r="D12345" s="1" t="n">
        <v>624923.2</v>
      </c>
      <c r="E12345" s="1" t="n">
        <v>0.0344</v>
      </c>
      <c r="F12345" s="1" t="n">
        <v>0.0518</v>
      </c>
    </row>
    <row r="12346" customFormat="false" ht="15" hidden="false" customHeight="false" outlineLevel="0" collapsed="false">
      <c r="A12346" s="1" t="s">
        <v>12381</v>
      </c>
      <c r="B12346" s="1" t="s">
        <v>88</v>
      </c>
      <c r="C12346" s="1" t="n">
        <v>258000</v>
      </c>
      <c r="D12346" s="1" t="n">
        <v>11788.5</v>
      </c>
      <c r="E12346" s="1" t="n">
        <v>0.0243</v>
      </c>
      <c r="F12346" s="1" t="n">
        <v>0.0759</v>
      </c>
    </row>
    <row r="12347" customFormat="false" ht="15" hidden="false" customHeight="false" outlineLevel="0" collapsed="false">
      <c r="A12347" s="1" t="s">
        <v>12382</v>
      </c>
      <c r="B12347" s="1" t="s">
        <v>41</v>
      </c>
      <c r="C12347" s="1" t="n">
        <v>97900</v>
      </c>
      <c r="D12347" s="1" t="n">
        <v>383.6</v>
      </c>
      <c r="E12347" s="1" t="n">
        <v>0.0182</v>
      </c>
      <c r="F12347" s="1" t="n">
        <v>0.1053</v>
      </c>
    </row>
    <row r="12348" customFormat="false" ht="15" hidden="false" customHeight="false" outlineLevel="0" collapsed="false">
      <c r="A12348" s="1" t="s">
        <v>12383</v>
      </c>
      <c r="B12348" s="1" t="s">
        <v>62</v>
      </c>
      <c r="C12348" s="1" t="n">
        <v>92600</v>
      </c>
      <c r="D12348" s="1" t="n">
        <v>240</v>
      </c>
      <c r="E12348" s="1" t="n">
        <v>0.048</v>
      </c>
      <c r="F12348" s="1" t="n">
        <v>0.0759</v>
      </c>
    </row>
    <row r="12349" customFormat="false" ht="15" hidden="false" customHeight="false" outlineLevel="0" collapsed="false">
      <c r="A12349" s="1" t="s">
        <v>12384</v>
      </c>
      <c r="B12349" s="1" t="s">
        <v>41</v>
      </c>
      <c r="C12349" s="1" t="n">
        <v>129000</v>
      </c>
      <c r="D12349" s="1" t="n">
        <v>716.4</v>
      </c>
      <c r="E12349" s="1" t="n">
        <v>0.0266</v>
      </c>
      <c r="F12349" s="1" t="n">
        <v>0.3041</v>
      </c>
    </row>
    <row r="12350" customFormat="false" ht="15" hidden="false" customHeight="false" outlineLevel="0" collapsed="false">
      <c r="A12350" s="1" t="s">
        <v>12385</v>
      </c>
      <c r="B12350" s="1" t="s">
        <v>26</v>
      </c>
      <c r="C12350" s="1" t="n">
        <v>114000</v>
      </c>
      <c r="D12350" s="1" t="n">
        <v>1624.4</v>
      </c>
      <c r="E12350" s="1" t="n">
        <v>0.0171</v>
      </c>
      <c r="F12350" s="1" t="n">
        <v>0.1067</v>
      </c>
    </row>
    <row r="12351" customFormat="false" ht="15" hidden="false" customHeight="false" outlineLevel="0" collapsed="false">
      <c r="A12351" s="1" t="s">
        <v>12386</v>
      </c>
      <c r="B12351" s="1" t="s">
        <v>287</v>
      </c>
      <c r="C12351" s="1" t="n">
        <v>130000</v>
      </c>
      <c r="D12351" s="1" t="n">
        <v>5772.1</v>
      </c>
      <c r="E12351" s="1" t="n">
        <v>0.0601</v>
      </c>
      <c r="F12351" s="1" t="n">
        <v>0.0951</v>
      </c>
    </row>
    <row r="12352" customFormat="false" ht="15" hidden="false" customHeight="false" outlineLevel="0" collapsed="false">
      <c r="A12352" s="1" t="s">
        <v>12387</v>
      </c>
      <c r="B12352" s="1" t="s">
        <v>74</v>
      </c>
      <c r="C12352" s="1" t="n">
        <v>269000</v>
      </c>
      <c r="D12352" s="1" t="n">
        <v>6423.6</v>
      </c>
      <c r="E12352" s="1" t="n">
        <v>0.0398</v>
      </c>
      <c r="F12352" s="1" t="n">
        <v>0.0409</v>
      </c>
    </row>
    <row r="12353" customFormat="false" ht="15" hidden="false" customHeight="false" outlineLevel="0" collapsed="false">
      <c r="A12353" s="1" t="s">
        <v>12388</v>
      </c>
      <c r="B12353" s="1" t="s">
        <v>195</v>
      </c>
      <c r="C12353" s="1" t="n">
        <v>192000</v>
      </c>
      <c r="D12353" s="1" t="n">
        <v>2289.5</v>
      </c>
      <c r="E12353" s="1" t="n">
        <v>0.0094</v>
      </c>
      <c r="F12353" s="1" t="n">
        <v>0.0811</v>
      </c>
    </row>
    <row r="12354" customFormat="false" ht="15" hidden="false" customHeight="false" outlineLevel="0" collapsed="false">
      <c r="A12354" s="1" t="s">
        <v>12389</v>
      </c>
      <c r="B12354" s="1" t="s">
        <v>88</v>
      </c>
      <c r="C12354" s="1" t="n">
        <v>121000</v>
      </c>
      <c r="D12354" s="1" t="n">
        <v>1097.6</v>
      </c>
      <c r="E12354" s="1" t="n">
        <v>0.0628</v>
      </c>
      <c r="F12354" s="1" t="n">
        <v>0.0938</v>
      </c>
    </row>
    <row r="12355" customFormat="false" ht="15" hidden="false" customHeight="false" outlineLevel="0" collapsed="false">
      <c r="A12355" s="1" t="s">
        <v>12390</v>
      </c>
      <c r="B12355" s="1" t="s">
        <v>214</v>
      </c>
      <c r="C12355" s="1" t="n">
        <v>133000</v>
      </c>
      <c r="D12355" s="1" t="n">
        <v>6704.4</v>
      </c>
      <c r="E12355" s="1" t="n">
        <v>0.0195</v>
      </c>
      <c r="F12355" s="1" t="n">
        <v>0.0517</v>
      </c>
    </row>
    <row r="12356" customFormat="false" ht="15" hidden="false" customHeight="false" outlineLevel="0" collapsed="false">
      <c r="A12356" s="1" t="s">
        <v>12391</v>
      </c>
      <c r="B12356" s="1" t="s">
        <v>88</v>
      </c>
      <c r="C12356" s="1" t="n">
        <v>148000</v>
      </c>
      <c r="D12356" s="1" t="n">
        <v>4964.4</v>
      </c>
      <c r="E12356" s="1" t="n">
        <v>0.0227</v>
      </c>
      <c r="F12356" s="1" t="n">
        <v>0.1053</v>
      </c>
    </row>
    <row r="12357" customFormat="false" ht="15" hidden="false" customHeight="false" outlineLevel="0" collapsed="false">
      <c r="A12357" s="1" t="s">
        <v>12392</v>
      </c>
      <c r="B12357" s="1" t="s">
        <v>26</v>
      </c>
      <c r="C12357" s="1" t="n">
        <v>91400</v>
      </c>
      <c r="D12357" s="1" t="n">
        <v>9388.9</v>
      </c>
      <c r="E12357" s="1" t="n">
        <v>0.1016</v>
      </c>
      <c r="F12357" s="1" t="n">
        <v>0.0951</v>
      </c>
    </row>
    <row r="12358" customFormat="false" ht="15" hidden="false" customHeight="false" outlineLevel="0" collapsed="false">
      <c r="A12358" s="1" t="s">
        <v>12393</v>
      </c>
      <c r="B12358" s="1" t="s">
        <v>74</v>
      </c>
      <c r="C12358" s="1" t="n">
        <v>100000</v>
      </c>
      <c r="D12358" s="1" t="n">
        <v>3442.3</v>
      </c>
      <c r="F12358" s="1" t="n">
        <v>0.0759</v>
      </c>
    </row>
    <row r="12359" customFormat="false" ht="15" hidden="false" customHeight="false" outlineLevel="0" collapsed="false">
      <c r="A12359" s="1" t="s">
        <v>12394</v>
      </c>
      <c r="B12359" s="1" t="s">
        <v>88</v>
      </c>
      <c r="C12359" s="1" t="n">
        <v>93100</v>
      </c>
      <c r="D12359" s="1" t="n">
        <v>2120.1</v>
      </c>
      <c r="E12359" s="1" t="n">
        <v>0.021</v>
      </c>
      <c r="F12359" s="1" t="n">
        <v>0.3868</v>
      </c>
    </row>
    <row r="12360" customFormat="false" ht="15" hidden="false" customHeight="false" outlineLevel="0" collapsed="false">
      <c r="A12360" s="1" t="s">
        <v>12395</v>
      </c>
      <c r="B12360" s="1" t="s">
        <v>74</v>
      </c>
      <c r="C12360" s="1" t="n">
        <v>101000</v>
      </c>
      <c r="D12360" s="1" t="n">
        <v>2060.2</v>
      </c>
      <c r="E12360" s="1" t="n">
        <v>0.007</v>
      </c>
      <c r="F12360" s="1" t="n">
        <v>0.3541</v>
      </c>
    </row>
    <row r="12361" customFormat="false" ht="15" hidden="false" customHeight="false" outlineLevel="0" collapsed="false">
      <c r="A12361" s="1" t="s">
        <v>12396</v>
      </c>
      <c r="B12361" s="1" t="s">
        <v>26</v>
      </c>
      <c r="C12361" s="1" t="n">
        <v>99900</v>
      </c>
      <c r="D12361" s="1" t="n">
        <v>7855.7</v>
      </c>
      <c r="E12361" s="1" t="n">
        <v>0.0119</v>
      </c>
      <c r="F12361" s="1" t="n">
        <v>0.0822</v>
      </c>
    </row>
    <row r="12362" customFormat="false" ht="15" hidden="false" customHeight="false" outlineLevel="0" collapsed="false">
      <c r="A12362" s="1" t="s">
        <v>12397</v>
      </c>
      <c r="B12362" s="1" t="s">
        <v>35</v>
      </c>
      <c r="C12362" s="1" t="n">
        <v>100000</v>
      </c>
      <c r="D12362" s="1" t="n">
        <v>6703.3</v>
      </c>
      <c r="E12362" s="1" t="n">
        <v>0.0092</v>
      </c>
      <c r="F12362" s="1" t="n">
        <v>0.0822</v>
      </c>
    </row>
    <row r="12363" customFormat="false" ht="15" hidden="false" customHeight="false" outlineLevel="0" collapsed="false">
      <c r="A12363" s="1" t="s">
        <v>12398</v>
      </c>
      <c r="B12363" s="1" t="s">
        <v>195</v>
      </c>
      <c r="C12363" s="1" t="n">
        <v>109000</v>
      </c>
      <c r="D12363" s="1" t="n">
        <v>8164.3</v>
      </c>
      <c r="E12363" s="1" t="n">
        <v>0.0348</v>
      </c>
      <c r="F12363" s="1" t="n">
        <v>0.0759</v>
      </c>
    </row>
    <row r="12364" customFormat="false" ht="15" hidden="false" customHeight="false" outlineLevel="0" collapsed="false">
      <c r="A12364" s="1" t="s">
        <v>12399</v>
      </c>
      <c r="B12364" s="1" t="s">
        <v>62</v>
      </c>
      <c r="C12364" s="1" t="n">
        <v>174000</v>
      </c>
      <c r="D12364" s="1" t="n">
        <v>18201.8</v>
      </c>
      <c r="F12364" s="1" t="n">
        <v>0.0409</v>
      </c>
    </row>
    <row r="12365" customFormat="false" ht="15" hidden="false" customHeight="false" outlineLevel="0" collapsed="false">
      <c r="A12365" s="1" t="s">
        <v>12400</v>
      </c>
      <c r="B12365" s="1" t="s">
        <v>92</v>
      </c>
      <c r="C12365" s="1" t="n">
        <v>119000</v>
      </c>
      <c r="D12365" s="1" t="n">
        <v>5831.2</v>
      </c>
      <c r="E12365" s="1" t="n">
        <v>0.0107</v>
      </c>
      <c r="F12365" s="1" t="n">
        <v>0.0654</v>
      </c>
    </row>
    <row r="12366" customFormat="false" ht="15" hidden="false" customHeight="false" outlineLevel="0" collapsed="false">
      <c r="A12366" s="1" t="s">
        <v>12401</v>
      </c>
      <c r="B12366" s="1" t="s">
        <v>24</v>
      </c>
      <c r="C12366" s="1" t="n">
        <v>92100</v>
      </c>
      <c r="D12366" s="1" t="n">
        <v>2522.1</v>
      </c>
      <c r="E12366" s="1" t="n">
        <v>0.0356</v>
      </c>
      <c r="F12366" s="1" t="n">
        <v>0.117</v>
      </c>
    </row>
    <row r="12367" customFormat="false" ht="15" hidden="false" customHeight="false" outlineLevel="0" collapsed="false">
      <c r="A12367" s="1" t="s">
        <v>12402</v>
      </c>
      <c r="B12367" s="1" t="s">
        <v>35</v>
      </c>
      <c r="C12367" s="1" t="n">
        <v>103000</v>
      </c>
      <c r="D12367" s="1" t="n">
        <v>233580.1</v>
      </c>
      <c r="E12367" s="1" t="n">
        <v>0.0143</v>
      </c>
      <c r="F12367" s="1" t="n">
        <v>0.0462</v>
      </c>
    </row>
    <row r="12368" customFormat="false" ht="15" hidden="false" customHeight="false" outlineLevel="0" collapsed="false">
      <c r="A12368" s="1" t="s">
        <v>12403</v>
      </c>
      <c r="B12368" s="1" t="s">
        <v>195</v>
      </c>
      <c r="C12368" s="1" t="n">
        <v>89500</v>
      </c>
      <c r="D12368" s="1" t="n">
        <v>1956.3</v>
      </c>
      <c r="E12368" s="1" t="n">
        <v>0.0136</v>
      </c>
      <c r="F12368" s="1" t="n">
        <v>0.0821</v>
      </c>
    </row>
    <row r="12369" customFormat="false" ht="15" hidden="false" customHeight="false" outlineLevel="0" collapsed="false">
      <c r="A12369" s="1" t="s">
        <v>12404</v>
      </c>
      <c r="B12369" s="1" t="s">
        <v>195</v>
      </c>
      <c r="C12369" s="1" t="n">
        <v>153000</v>
      </c>
      <c r="D12369" s="1" t="n">
        <v>375371.3</v>
      </c>
      <c r="E12369" s="1" t="n">
        <v>0.0103</v>
      </c>
      <c r="F12369" s="1" t="n">
        <v>0.0654</v>
      </c>
    </row>
    <row r="12370" customFormat="false" ht="15" hidden="false" customHeight="false" outlineLevel="0" collapsed="false">
      <c r="A12370" s="1" t="s">
        <v>12405</v>
      </c>
      <c r="B12370" s="1" t="s">
        <v>88</v>
      </c>
      <c r="C12370" s="1" t="n">
        <v>136000</v>
      </c>
      <c r="D12370" s="1" t="n">
        <v>1053</v>
      </c>
      <c r="E12370" s="1" t="n">
        <v>0.0338</v>
      </c>
      <c r="F12370" s="1" t="n">
        <v>0.0938</v>
      </c>
    </row>
    <row r="12371" customFormat="false" ht="15" hidden="false" customHeight="false" outlineLevel="0" collapsed="false">
      <c r="A12371" s="1" t="s">
        <v>12406</v>
      </c>
      <c r="B12371" s="1" t="s">
        <v>81</v>
      </c>
      <c r="C12371" s="1" t="n">
        <v>209000</v>
      </c>
      <c r="D12371" s="1" t="n">
        <v>30522.9</v>
      </c>
      <c r="E12371" s="1" t="n">
        <v>0.0241</v>
      </c>
      <c r="F12371" s="1" t="n">
        <v>0.0432</v>
      </c>
    </row>
    <row r="12372" customFormat="false" ht="15" hidden="false" customHeight="false" outlineLevel="0" collapsed="false">
      <c r="A12372" s="1" t="s">
        <v>12407</v>
      </c>
      <c r="B12372" s="1" t="s">
        <v>88</v>
      </c>
      <c r="C12372" s="1" t="n">
        <v>162000</v>
      </c>
      <c r="D12372" s="1" t="n">
        <v>10600.2</v>
      </c>
      <c r="E12372" s="1" t="n">
        <v>0.041</v>
      </c>
      <c r="F12372" s="1" t="n">
        <v>0.0759</v>
      </c>
    </row>
    <row r="12373" customFormat="false" ht="15" hidden="false" customHeight="false" outlineLevel="0" collapsed="false">
      <c r="A12373" s="1" t="s">
        <v>12408</v>
      </c>
      <c r="B12373" s="1" t="s">
        <v>88</v>
      </c>
      <c r="C12373" s="1" t="n">
        <v>93200</v>
      </c>
      <c r="D12373" s="1" t="n">
        <v>1646</v>
      </c>
      <c r="E12373" s="1" t="n">
        <v>0.0266</v>
      </c>
      <c r="F12373" s="1" t="n">
        <v>0.3041</v>
      </c>
    </row>
    <row r="12374" customFormat="false" ht="15" hidden="false" customHeight="false" outlineLevel="0" collapsed="false">
      <c r="A12374" s="1" t="s">
        <v>12409</v>
      </c>
      <c r="B12374" s="1" t="s">
        <v>74</v>
      </c>
      <c r="C12374" s="1" t="n">
        <v>88800</v>
      </c>
      <c r="D12374" s="1" t="n">
        <v>2222.9</v>
      </c>
      <c r="E12374" s="1" t="n">
        <v>0.0123</v>
      </c>
      <c r="F12374" s="1" t="n">
        <v>0.0585</v>
      </c>
    </row>
    <row r="12375" customFormat="false" ht="15" hidden="false" customHeight="false" outlineLevel="0" collapsed="false">
      <c r="A12375" s="1" t="s">
        <v>12410</v>
      </c>
      <c r="B12375" s="1" t="s">
        <v>214</v>
      </c>
      <c r="C12375" s="1" t="n">
        <v>146000</v>
      </c>
      <c r="D12375" s="1" t="n">
        <v>32467.7</v>
      </c>
      <c r="E12375" s="1" t="n">
        <v>0.0153</v>
      </c>
      <c r="F12375" s="1" t="n">
        <v>0.0462</v>
      </c>
    </row>
    <row r="12376" customFormat="false" ht="15" hidden="false" customHeight="false" outlineLevel="0" collapsed="false">
      <c r="A12376" s="1" t="s">
        <v>12411</v>
      </c>
      <c r="B12376" s="1" t="s">
        <v>53</v>
      </c>
      <c r="C12376" s="1" t="n">
        <v>139000</v>
      </c>
      <c r="D12376" s="1" t="n">
        <v>3246.6</v>
      </c>
      <c r="E12376" s="1" t="n">
        <v>0.0069</v>
      </c>
      <c r="F12376" s="1" t="n">
        <v>0.0903</v>
      </c>
    </row>
    <row r="12377" customFormat="false" ht="15" hidden="false" customHeight="false" outlineLevel="0" collapsed="false">
      <c r="A12377" s="1" t="s">
        <v>12412</v>
      </c>
      <c r="B12377" s="1" t="s">
        <v>24</v>
      </c>
      <c r="C12377" s="1" t="n">
        <v>114000</v>
      </c>
      <c r="D12377" s="1" t="n">
        <v>1177</v>
      </c>
      <c r="E12377" s="1" t="n">
        <v>0.088</v>
      </c>
      <c r="F12377" s="1" t="n">
        <v>0.0938</v>
      </c>
    </row>
    <row r="12378" customFormat="false" ht="15" hidden="false" customHeight="false" outlineLevel="0" collapsed="false">
      <c r="A12378" s="1" t="s">
        <v>12413</v>
      </c>
      <c r="B12378" s="1" t="s">
        <v>26</v>
      </c>
      <c r="C12378" s="1" t="n">
        <v>97200</v>
      </c>
      <c r="D12378" s="1" t="n">
        <v>54978.1</v>
      </c>
      <c r="E12378" s="1" t="n">
        <v>0.0343</v>
      </c>
      <c r="F12378" s="1" t="n">
        <v>0.0951</v>
      </c>
    </row>
    <row r="12379" customFormat="false" ht="15" hidden="false" customHeight="false" outlineLevel="0" collapsed="false">
      <c r="A12379" s="1" t="s">
        <v>12414</v>
      </c>
      <c r="B12379" s="1" t="s">
        <v>26</v>
      </c>
      <c r="C12379" s="1" t="n">
        <v>98500</v>
      </c>
      <c r="D12379" s="1" t="n">
        <v>3789.7</v>
      </c>
      <c r="E12379" s="1" t="n">
        <v>0.0762</v>
      </c>
      <c r="F12379" s="1" t="n">
        <v>0.0938</v>
      </c>
    </row>
    <row r="12380" customFormat="false" ht="15" hidden="false" customHeight="false" outlineLevel="0" collapsed="false">
      <c r="A12380" s="1" t="s">
        <v>12415</v>
      </c>
      <c r="B12380" s="1" t="s">
        <v>81</v>
      </c>
      <c r="C12380" s="1" t="n">
        <v>109000</v>
      </c>
      <c r="D12380" s="1" t="n">
        <v>7386.1</v>
      </c>
      <c r="E12380" s="1" t="n">
        <v>0.0269</v>
      </c>
      <c r="F12380" s="1" t="n">
        <v>0.0432</v>
      </c>
    </row>
    <row r="12381" customFormat="false" ht="15" hidden="false" customHeight="false" outlineLevel="0" collapsed="false">
      <c r="A12381" s="1" t="s">
        <v>12416</v>
      </c>
      <c r="B12381" s="1" t="s">
        <v>71</v>
      </c>
      <c r="C12381" s="1" t="n">
        <v>93600</v>
      </c>
      <c r="D12381" s="1" t="n">
        <v>1856.2</v>
      </c>
      <c r="E12381" s="1" t="n">
        <v>0.0103</v>
      </c>
      <c r="F12381" s="1" t="n">
        <v>0.0584</v>
      </c>
    </row>
    <row r="12382" customFormat="false" ht="15" hidden="false" customHeight="false" outlineLevel="0" collapsed="false">
      <c r="A12382" s="1" t="s">
        <v>12417</v>
      </c>
      <c r="B12382" s="1" t="s">
        <v>26</v>
      </c>
      <c r="C12382" s="1" t="n">
        <v>112000</v>
      </c>
      <c r="D12382" s="1" t="n">
        <v>59865.8</v>
      </c>
      <c r="E12382" s="1" t="n">
        <v>0.0353</v>
      </c>
      <c r="F12382" s="1" t="n">
        <v>0.1377</v>
      </c>
    </row>
    <row r="12383" customFormat="false" ht="15" hidden="false" customHeight="false" outlineLevel="0" collapsed="false">
      <c r="A12383" s="1" t="s">
        <v>12418</v>
      </c>
      <c r="B12383" s="1" t="s">
        <v>88</v>
      </c>
      <c r="C12383" s="1" t="n">
        <v>134000</v>
      </c>
      <c r="D12383" s="1" t="n">
        <v>54103.2</v>
      </c>
      <c r="E12383" s="1" t="n">
        <v>0.0259</v>
      </c>
      <c r="F12383" s="1" t="n">
        <v>0.0759</v>
      </c>
    </row>
    <row r="12384" customFormat="false" ht="15" hidden="false" customHeight="false" outlineLevel="0" collapsed="false">
      <c r="A12384" s="1" t="s">
        <v>12419</v>
      </c>
      <c r="B12384" s="1" t="s">
        <v>88</v>
      </c>
      <c r="C12384" s="1" t="n">
        <v>184000</v>
      </c>
      <c r="D12384" s="1" t="n">
        <v>2975507.4</v>
      </c>
      <c r="E12384" s="1" t="n">
        <v>0.0299</v>
      </c>
      <c r="F12384" s="1" t="n">
        <v>0.0518</v>
      </c>
    </row>
    <row r="12385" customFormat="false" ht="15" hidden="false" customHeight="false" outlineLevel="0" collapsed="false">
      <c r="A12385" s="1" t="s">
        <v>12420</v>
      </c>
      <c r="B12385" s="1" t="s">
        <v>71</v>
      </c>
      <c r="C12385" s="1" t="n">
        <v>97800</v>
      </c>
      <c r="D12385" s="1" t="n">
        <v>42309</v>
      </c>
      <c r="E12385" s="1" t="n">
        <v>0.0254</v>
      </c>
      <c r="F12385" s="1" t="n">
        <v>0.0951</v>
      </c>
    </row>
    <row r="12386" customFormat="false" ht="15" hidden="false" customHeight="false" outlineLevel="0" collapsed="false">
      <c r="A12386" s="1" t="s">
        <v>12421</v>
      </c>
      <c r="B12386" s="1" t="s">
        <v>92</v>
      </c>
      <c r="C12386" s="1" t="n">
        <v>121000</v>
      </c>
      <c r="D12386" s="1" t="n">
        <v>5039.9</v>
      </c>
      <c r="E12386" s="1" t="n">
        <v>0.0107</v>
      </c>
      <c r="F12386" s="1" t="n">
        <v>0.0584</v>
      </c>
    </row>
    <row r="12387" customFormat="false" ht="15" hidden="false" customHeight="false" outlineLevel="0" collapsed="false">
      <c r="A12387" s="1" t="s">
        <v>12422</v>
      </c>
      <c r="B12387" s="1" t="s">
        <v>88</v>
      </c>
      <c r="C12387" s="1" t="n">
        <v>109000</v>
      </c>
      <c r="D12387" s="1" t="n">
        <v>4228.9</v>
      </c>
      <c r="E12387" s="1" t="n">
        <v>0.0198</v>
      </c>
      <c r="F12387" s="1" t="n">
        <v>0.0759</v>
      </c>
    </row>
    <row r="12388" customFormat="false" ht="15" hidden="false" customHeight="false" outlineLevel="0" collapsed="false">
      <c r="A12388" s="1" t="s">
        <v>12423</v>
      </c>
      <c r="B12388" s="1" t="s">
        <v>26</v>
      </c>
      <c r="C12388" s="1" t="n">
        <v>169000</v>
      </c>
      <c r="D12388" s="1" t="n">
        <v>955.1</v>
      </c>
      <c r="E12388" s="1" t="n">
        <v>0.0093</v>
      </c>
      <c r="F12388" s="1" t="n">
        <v>0.0811</v>
      </c>
    </row>
    <row r="12389" customFormat="false" ht="15" hidden="false" customHeight="false" outlineLevel="0" collapsed="false">
      <c r="A12389" s="1" t="s">
        <v>12424</v>
      </c>
      <c r="B12389" s="1" t="s">
        <v>62</v>
      </c>
      <c r="C12389" s="1" t="n">
        <v>99200</v>
      </c>
      <c r="D12389" s="1" t="n">
        <v>791.2</v>
      </c>
      <c r="E12389" s="1" t="n">
        <v>0.03</v>
      </c>
      <c r="F12389" s="1" t="n">
        <v>0.1387</v>
      </c>
    </row>
    <row r="12390" customFormat="false" ht="15" hidden="false" customHeight="false" outlineLevel="0" collapsed="false">
      <c r="A12390" s="1" t="s">
        <v>12425</v>
      </c>
      <c r="B12390" s="1" t="s">
        <v>26</v>
      </c>
      <c r="C12390" s="1" t="n">
        <v>116000</v>
      </c>
      <c r="D12390" s="1" t="n">
        <v>13253.1</v>
      </c>
      <c r="E12390" s="1" t="n">
        <v>0.0392</v>
      </c>
      <c r="F12390" s="1" t="n">
        <v>0.0759</v>
      </c>
    </row>
    <row r="12391" customFormat="false" ht="15" hidden="false" customHeight="false" outlineLevel="0" collapsed="false">
      <c r="A12391" s="1" t="s">
        <v>12426</v>
      </c>
      <c r="B12391" s="1" t="s">
        <v>24</v>
      </c>
      <c r="C12391" s="1" t="n">
        <v>109000</v>
      </c>
      <c r="D12391" s="1" t="n">
        <v>542.7</v>
      </c>
      <c r="E12391" s="1" t="n">
        <v>0.0636</v>
      </c>
      <c r="F12391" s="1" t="n">
        <v>0.0951</v>
      </c>
    </row>
    <row r="12392" customFormat="false" ht="15" hidden="false" customHeight="false" outlineLevel="0" collapsed="false">
      <c r="A12392" s="1" t="s">
        <v>12427</v>
      </c>
      <c r="B12392" s="1" t="s">
        <v>88</v>
      </c>
      <c r="C12392" s="1" t="n">
        <v>97600</v>
      </c>
      <c r="D12392" s="1" t="n">
        <v>1956.9</v>
      </c>
      <c r="E12392" s="1" t="n">
        <v>0.0338</v>
      </c>
      <c r="F12392" s="1" t="n">
        <v>0.0951</v>
      </c>
    </row>
    <row r="12393" customFormat="false" ht="15" hidden="false" customHeight="false" outlineLevel="0" collapsed="false">
      <c r="A12393" s="1" t="s">
        <v>12428</v>
      </c>
      <c r="B12393" s="1" t="s">
        <v>26</v>
      </c>
      <c r="C12393" s="1" t="n">
        <v>104000</v>
      </c>
      <c r="D12393" s="1" t="n">
        <v>3121.4</v>
      </c>
      <c r="E12393" s="1" t="n">
        <v>0.014</v>
      </c>
      <c r="F12393" s="1" t="n">
        <v>0.0854</v>
      </c>
    </row>
    <row r="12394" customFormat="false" ht="15" hidden="false" customHeight="false" outlineLevel="0" collapsed="false">
      <c r="A12394" s="1" t="s">
        <v>12429</v>
      </c>
      <c r="B12394" s="1" t="s">
        <v>53</v>
      </c>
      <c r="C12394" s="1" t="n">
        <v>90900</v>
      </c>
      <c r="D12394" s="1" t="n">
        <v>271.2</v>
      </c>
      <c r="E12394" s="1" t="n">
        <v>0.0495</v>
      </c>
      <c r="F12394" s="1" t="n">
        <v>0.0951</v>
      </c>
    </row>
    <row r="12395" customFormat="false" ht="15" hidden="false" customHeight="false" outlineLevel="0" collapsed="false">
      <c r="A12395" s="1" t="s">
        <v>12430</v>
      </c>
      <c r="B12395" s="1" t="s">
        <v>53</v>
      </c>
      <c r="C12395" s="1" t="n">
        <v>90500</v>
      </c>
      <c r="D12395" s="1" t="n">
        <v>1513.5</v>
      </c>
      <c r="E12395" s="1" t="n">
        <v>0.0763</v>
      </c>
      <c r="F12395" s="1" t="n">
        <v>0.0951</v>
      </c>
    </row>
    <row r="12396" customFormat="false" ht="15" hidden="false" customHeight="false" outlineLevel="0" collapsed="false">
      <c r="A12396" s="1" t="s">
        <v>12431</v>
      </c>
      <c r="B12396" s="1" t="s">
        <v>81</v>
      </c>
      <c r="C12396" s="1" t="n">
        <v>125000</v>
      </c>
      <c r="D12396" s="1" t="n">
        <v>13999.3</v>
      </c>
      <c r="E12396" s="1" t="n">
        <v>0.033</v>
      </c>
      <c r="F12396" s="1" t="n">
        <v>0.0759</v>
      </c>
    </row>
    <row r="12397" customFormat="false" ht="15" hidden="false" customHeight="false" outlineLevel="0" collapsed="false">
      <c r="A12397" s="1" t="s">
        <v>12432</v>
      </c>
      <c r="B12397" s="1" t="s">
        <v>41</v>
      </c>
      <c r="C12397" s="1" t="n">
        <v>148000</v>
      </c>
      <c r="D12397" s="1" t="n">
        <v>6075.7</v>
      </c>
      <c r="E12397" s="1" t="n">
        <v>0.0341</v>
      </c>
      <c r="F12397" s="1" t="n">
        <v>0.0759</v>
      </c>
    </row>
    <row r="12398" customFormat="false" ht="15" hidden="false" customHeight="false" outlineLevel="0" collapsed="false">
      <c r="A12398" s="1" t="s">
        <v>12433</v>
      </c>
      <c r="B12398" s="1" t="s">
        <v>53</v>
      </c>
      <c r="C12398" s="1" t="n">
        <v>147000</v>
      </c>
      <c r="D12398" s="1" t="n">
        <v>85440.4</v>
      </c>
      <c r="E12398" s="1" t="n">
        <v>0.0139</v>
      </c>
      <c r="F12398" s="1" t="n">
        <v>0.0585</v>
      </c>
    </row>
    <row r="12399" customFormat="false" ht="15" hidden="false" customHeight="false" outlineLevel="0" collapsed="false">
      <c r="A12399" s="1" t="s">
        <v>12434</v>
      </c>
      <c r="B12399" s="1" t="s">
        <v>62</v>
      </c>
      <c r="C12399" s="1" t="n">
        <v>124000</v>
      </c>
      <c r="D12399" s="1" t="n">
        <v>5381</v>
      </c>
      <c r="F12399" s="1" t="n">
        <v>0.051</v>
      </c>
    </row>
    <row r="12400" customFormat="false" ht="15" hidden="false" customHeight="false" outlineLevel="0" collapsed="false">
      <c r="A12400" s="1" t="s">
        <v>12435</v>
      </c>
      <c r="B12400" s="1" t="s">
        <v>26</v>
      </c>
      <c r="C12400" s="1" t="n">
        <v>91600</v>
      </c>
      <c r="D12400" s="1" t="n">
        <v>13610.4</v>
      </c>
      <c r="E12400" s="1" t="n">
        <v>0.0308</v>
      </c>
      <c r="F12400" s="1" t="n">
        <v>0.0951</v>
      </c>
    </row>
    <row r="12401" customFormat="false" ht="15" hidden="false" customHeight="false" outlineLevel="0" collapsed="false">
      <c r="A12401" s="1" t="s">
        <v>12436</v>
      </c>
      <c r="B12401" s="1" t="s">
        <v>26</v>
      </c>
      <c r="C12401" s="1" t="n">
        <v>90600</v>
      </c>
      <c r="D12401" s="1" t="n">
        <v>86528.8</v>
      </c>
      <c r="E12401" s="1" t="n">
        <v>0.0252</v>
      </c>
      <c r="F12401" s="1" t="n">
        <v>0.0951</v>
      </c>
    </row>
    <row r="12402" customFormat="false" ht="15" hidden="false" customHeight="false" outlineLevel="0" collapsed="false">
      <c r="A12402" s="1" t="s">
        <v>12437</v>
      </c>
      <c r="B12402" s="1" t="s">
        <v>26</v>
      </c>
      <c r="C12402" s="1" t="n">
        <v>96000</v>
      </c>
      <c r="D12402" s="1" t="n">
        <v>10935.6</v>
      </c>
      <c r="E12402" s="1" t="n">
        <v>0.024</v>
      </c>
      <c r="F12402" s="1" t="n">
        <v>0.0951</v>
      </c>
    </row>
    <row r="12403" customFormat="false" ht="15" hidden="false" customHeight="false" outlineLevel="0" collapsed="false">
      <c r="A12403" s="1" t="s">
        <v>12438</v>
      </c>
      <c r="B12403" s="1" t="s">
        <v>26</v>
      </c>
      <c r="C12403" s="1" t="n">
        <v>121000</v>
      </c>
      <c r="D12403" s="1" t="n">
        <v>33316.8</v>
      </c>
      <c r="E12403" s="1" t="n">
        <v>0.0082</v>
      </c>
      <c r="F12403" s="1" t="n">
        <v>0.0654</v>
      </c>
    </row>
    <row r="12404" customFormat="false" ht="15" hidden="false" customHeight="false" outlineLevel="0" collapsed="false">
      <c r="A12404" s="1" t="s">
        <v>12439</v>
      </c>
      <c r="B12404" s="1" t="s">
        <v>35</v>
      </c>
      <c r="C12404" s="1" t="n">
        <v>95500</v>
      </c>
      <c r="D12404" s="1" t="n">
        <v>656.3</v>
      </c>
      <c r="E12404" s="1" t="n">
        <v>0.0183</v>
      </c>
      <c r="F12404" s="1" t="n">
        <v>0.0462</v>
      </c>
    </row>
    <row r="12405" customFormat="false" ht="15" hidden="false" customHeight="false" outlineLevel="0" collapsed="false">
      <c r="A12405" s="1" t="s">
        <v>12440</v>
      </c>
      <c r="B12405" s="1" t="s">
        <v>26</v>
      </c>
      <c r="C12405" s="1" t="n">
        <v>457000</v>
      </c>
      <c r="D12405" s="1" t="n">
        <v>606420.9</v>
      </c>
      <c r="E12405" s="1" t="n">
        <v>0.0352</v>
      </c>
      <c r="F12405" s="1" t="n">
        <v>0.0672</v>
      </c>
    </row>
    <row r="12406" customFormat="false" ht="15" hidden="false" customHeight="false" outlineLevel="0" collapsed="false">
      <c r="A12406" s="1" t="s">
        <v>12441</v>
      </c>
      <c r="B12406" s="1" t="s">
        <v>74</v>
      </c>
      <c r="C12406" s="1" t="n">
        <v>327000</v>
      </c>
      <c r="D12406" s="1" t="n">
        <v>6354.3</v>
      </c>
      <c r="E12406" s="1" t="n">
        <v>0.069</v>
      </c>
      <c r="F12406" s="1" t="n">
        <v>0.1226</v>
      </c>
    </row>
    <row r="12407" customFormat="false" ht="15" hidden="false" customHeight="false" outlineLevel="0" collapsed="false">
      <c r="A12407" s="1" t="s">
        <v>12442</v>
      </c>
      <c r="B12407" s="1" t="s">
        <v>24</v>
      </c>
      <c r="C12407" s="1" t="n">
        <v>244000</v>
      </c>
      <c r="D12407" s="1" t="n">
        <v>37.3</v>
      </c>
      <c r="E12407" s="1" t="n">
        <v>0.0111</v>
      </c>
      <c r="F12407" s="1" t="n">
        <v>0.0736</v>
      </c>
    </row>
    <row r="12408" customFormat="false" ht="15" hidden="false" customHeight="false" outlineLevel="0" collapsed="false">
      <c r="A12408" s="1" t="s">
        <v>12443</v>
      </c>
      <c r="B12408" s="1" t="s">
        <v>26</v>
      </c>
      <c r="C12408" s="1" t="n">
        <v>135000</v>
      </c>
      <c r="D12408" s="1" t="n">
        <v>7298</v>
      </c>
      <c r="E12408" s="1" t="n">
        <v>0.079</v>
      </c>
      <c r="F12408" s="1" t="n">
        <v>0.0759</v>
      </c>
    </row>
    <row r="12409" customFormat="false" ht="15" hidden="false" customHeight="false" outlineLevel="0" collapsed="false">
      <c r="A12409" s="1" t="s">
        <v>12444</v>
      </c>
      <c r="B12409" s="1" t="s">
        <v>74</v>
      </c>
      <c r="C12409" s="1" t="n">
        <v>122000</v>
      </c>
      <c r="D12409" s="1" t="n">
        <v>2041.7</v>
      </c>
      <c r="E12409" s="1" t="n">
        <v>0.0078</v>
      </c>
      <c r="F12409" s="1" t="n">
        <v>0.0811</v>
      </c>
    </row>
    <row r="12410" customFormat="false" ht="15" hidden="false" customHeight="false" outlineLevel="0" collapsed="false">
      <c r="A12410" s="1" t="s">
        <v>12445</v>
      </c>
      <c r="B12410" s="1" t="s">
        <v>26</v>
      </c>
      <c r="C12410" s="1" t="n">
        <v>152000</v>
      </c>
      <c r="D12410" s="1" t="n">
        <v>4764.7</v>
      </c>
      <c r="E12410" s="1" t="n">
        <v>0.0316</v>
      </c>
      <c r="F12410" s="1" t="n">
        <v>0.0759</v>
      </c>
    </row>
    <row r="12411" customFormat="false" ht="15" hidden="false" customHeight="false" outlineLevel="0" collapsed="false">
      <c r="A12411" s="1" t="s">
        <v>12446</v>
      </c>
      <c r="B12411" s="1" t="s">
        <v>24</v>
      </c>
      <c r="C12411" s="1" t="n">
        <v>93900</v>
      </c>
      <c r="D12411" s="1" t="n">
        <v>932.4</v>
      </c>
      <c r="E12411" s="1" t="n">
        <v>0.0106</v>
      </c>
      <c r="F12411" s="1" t="n">
        <v>0.0822</v>
      </c>
    </row>
    <row r="12412" customFormat="false" ht="15" hidden="false" customHeight="false" outlineLevel="0" collapsed="false">
      <c r="A12412" s="1" t="s">
        <v>12447</v>
      </c>
      <c r="B12412" s="1" t="s">
        <v>81</v>
      </c>
      <c r="C12412" s="1" t="n">
        <v>102000</v>
      </c>
      <c r="D12412" s="1" t="n">
        <v>3226.4</v>
      </c>
      <c r="E12412" s="1" t="n">
        <v>0.0243</v>
      </c>
      <c r="F12412" s="1" t="n">
        <v>0.0518</v>
      </c>
    </row>
    <row r="12413" customFormat="false" ht="15" hidden="false" customHeight="false" outlineLevel="0" collapsed="false">
      <c r="A12413" s="1" t="s">
        <v>12448</v>
      </c>
      <c r="B12413" s="1" t="s">
        <v>28</v>
      </c>
      <c r="C12413" s="1" t="n">
        <v>93300</v>
      </c>
      <c r="D12413" s="1" t="n">
        <v>1730.5</v>
      </c>
      <c r="E12413" s="1" t="n">
        <v>0.0098</v>
      </c>
      <c r="F12413" s="1" t="n">
        <v>0.0822</v>
      </c>
    </row>
    <row r="12414" customFormat="false" ht="15" hidden="false" customHeight="false" outlineLevel="0" collapsed="false">
      <c r="A12414" s="1" t="s">
        <v>12449</v>
      </c>
      <c r="B12414" s="1" t="s">
        <v>92</v>
      </c>
      <c r="C12414" s="1" t="n">
        <v>104000</v>
      </c>
      <c r="D12414" s="1" t="n">
        <v>2453.1</v>
      </c>
      <c r="F12414" s="1" t="n">
        <v>0.0759</v>
      </c>
    </row>
    <row r="12415" customFormat="false" ht="15" hidden="false" customHeight="false" outlineLevel="0" collapsed="false">
      <c r="A12415" s="1" t="s">
        <v>12450</v>
      </c>
      <c r="B12415" s="1" t="s">
        <v>50</v>
      </c>
      <c r="C12415" s="1" t="n">
        <v>194000</v>
      </c>
      <c r="D12415" s="1" t="n">
        <v>2077.7</v>
      </c>
      <c r="E12415" s="1" t="n">
        <v>0.0166</v>
      </c>
      <c r="F12415" s="1" t="n">
        <v>0.0462</v>
      </c>
    </row>
    <row r="12416" customFormat="false" ht="15" hidden="false" customHeight="false" outlineLevel="0" collapsed="false">
      <c r="A12416" s="1" t="s">
        <v>12451</v>
      </c>
      <c r="B12416" s="1" t="s">
        <v>21</v>
      </c>
      <c r="C12416" s="1" t="n">
        <v>188000</v>
      </c>
      <c r="D12416" s="1" t="n">
        <v>95579</v>
      </c>
      <c r="E12416" s="1" t="n">
        <v>0.0565</v>
      </c>
      <c r="F12416" s="1" t="n">
        <v>0.0759</v>
      </c>
    </row>
    <row r="12417" customFormat="false" ht="15" hidden="false" customHeight="false" outlineLevel="0" collapsed="false">
      <c r="A12417" s="1" t="s">
        <v>12452</v>
      </c>
      <c r="B12417" s="1" t="s">
        <v>30</v>
      </c>
      <c r="C12417" s="1" t="n">
        <v>287000</v>
      </c>
      <c r="D12417" s="1" t="n">
        <v>54433.6</v>
      </c>
      <c r="E12417" s="1" t="n">
        <v>0.0311</v>
      </c>
      <c r="F12417" s="1" t="n">
        <v>0.0409</v>
      </c>
    </row>
    <row r="12418" customFormat="false" ht="15" hidden="false" customHeight="false" outlineLevel="0" collapsed="false">
      <c r="A12418" s="1" t="s">
        <v>12453</v>
      </c>
      <c r="B12418" s="1" t="s">
        <v>74</v>
      </c>
      <c r="C12418" s="1" t="n">
        <v>91600</v>
      </c>
      <c r="D12418" s="1" t="n">
        <v>3665.4</v>
      </c>
      <c r="E12418" s="1" t="n">
        <v>0.0717</v>
      </c>
      <c r="F12418" s="1" t="n">
        <v>0.0951</v>
      </c>
    </row>
    <row r="12419" customFormat="false" ht="15" hidden="false" customHeight="false" outlineLevel="0" collapsed="false">
      <c r="A12419" s="1" t="s">
        <v>12454</v>
      </c>
      <c r="B12419" s="1" t="s">
        <v>41</v>
      </c>
      <c r="C12419" s="1" t="n">
        <v>105000</v>
      </c>
      <c r="D12419" s="1" t="n">
        <v>4056.9</v>
      </c>
      <c r="E12419" s="1" t="n">
        <v>0.051</v>
      </c>
      <c r="F12419" s="1" t="n">
        <v>0.0938</v>
      </c>
    </row>
    <row r="12420" customFormat="false" ht="15" hidden="false" customHeight="false" outlineLevel="0" collapsed="false">
      <c r="A12420" s="1" t="s">
        <v>12455</v>
      </c>
      <c r="B12420" s="1" t="s">
        <v>50</v>
      </c>
      <c r="C12420" s="1" t="n">
        <v>88100</v>
      </c>
      <c r="D12420" s="1" t="n">
        <v>1489.5</v>
      </c>
      <c r="E12420" s="1" t="n">
        <v>0.0901</v>
      </c>
      <c r="F12420" s="1" t="n">
        <v>0.0951</v>
      </c>
    </row>
    <row r="12421" customFormat="false" ht="15" hidden="false" customHeight="false" outlineLevel="0" collapsed="false">
      <c r="A12421" s="1" t="s">
        <v>12456</v>
      </c>
      <c r="B12421" s="1" t="s">
        <v>92</v>
      </c>
      <c r="C12421" s="1" t="n">
        <v>131000</v>
      </c>
      <c r="D12421" s="1" t="n">
        <v>14015.7</v>
      </c>
      <c r="E12421" s="1" t="n">
        <v>0.0329</v>
      </c>
      <c r="F12421" s="1" t="n">
        <v>0.0759</v>
      </c>
    </row>
    <row r="12422" customFormat="false" ht="15" hidden="false" customHeight="false" outlineLevel="0" collapsed="false">
      <c r="A12422" s="1" t="s">
        <v>12457</v>
      </c>
      <c r="B12422" s="1" t="s">
        <v>26</v>
      </c>
      <c r="C12422" s="1" t="n">
        <v>114000</v>
      </c>
      <c r="D12422" s="1" t="n">
        <v>35407.2</v>
      </c>
      <c r="E12422" s="1" t="n">
        <v>0.0381</v>
      </c>
      <c r="F12422" s="1" t="n">
        <v>0.0951</v>
      </c>
    </row>
    <row r="12423" customFormat="false" ht="15" hidden="false" customHeight="false" outlineLevel="0" collapsed="false">
      <c r="A12423" s="1" t="s">
        <v>12458</v>
      </c>
      <c r="B12423" s="1" t="s">
        <v>50</v>
      </c>
      <c r="C12423" s="1" t="n">
        <v>127000</v>
      </c>
      <c r="D12423" s="1" t="n">
        <v>37829.3</v>
      </c>
      <c r="E12423" s="1" t="n">
        <v>0.0211</v>
      </c>
      <c r="F12423" s="1" t="n">
        <v>0.1067</v>
      </c>
    </row>
    <row r="12424" customFormat="false" ht="15" hidden="false" customHeight="false" outlineLevel="0" collapsed="false">
      <c r="A12424" s="1" t="s">
        <v>12459</v>
      </c>
      <c r="B12424" s="1" t="s">
        <v>88</v>
      </c>
      <c r="C12424" s="1" t="n">
        <v>107000</v>
      </c>
      <c r="D12424" s="1" t="n">
        <v>827.4</v>
      </c>
      <c r="E12424" s="1" t="n">
        <v>0.0352</v>
      </c>
      <c r="F12424" s="1" t="n">
        <v>0.0759</v>
      </c>
    </row>
    <row r="12425" customFormat="false" ht="15" hidden="false" customHeight="false" outlineLevel="0" collapsed="false">
      <c r="A12425" s="1" t="s">
        <v>12460</v>
      </c>
      <c r="B12425" s="1" t="s">
        <v>24</v>
      </c>
      <c r="C12425" s="1" t="n">
        <v>96100</v>
      </c>
      <c r="D12425" s="1" t="n">
        <v>6771</v>
      </c>
      <c r="E12425" s="1" t="n">
        <v>0.0227</v>
      </c>
      <c r="F12425" s="1" t="n">
        <v>0.117</v>
      </c>
    </row>
    <row r="12426" customFormat="false" ht="15" hidden="false" customHeight="false" outlineLevel="0" collapsed="false">
      <c r="A12426" s="1" t="s">
        <v>12461</v>
      </c>
      <c r="B12426" s="1" t="s">
        <v>26</v>
      </c>
      <c r="C12426" s="1" t="n">
        <v>106000</v>
      </c>
      <c r="D12426" s="1" t="n">
        <v>1737.9</v>
      </c>
      <c r="E12426" s="1" t="n">
        <v>0.0255</v>
      </c>
      <c r="F12426" s="1" t="n">
        <v>0.0951</v>
      </c>
    </row>
    <row r="12427" customFormat="false" ht="15" hidden="false" customHeight="false" outlineLevel="0" collapsed="false">
      <c r="A12427" s="1" t="s">
        <v>12462</v>
      </c>
      <c r="B12427" s="1" t="s">
        <v>71</v>
      </c>
      <c r="C12427" s="1" t="n">
        <v>96900</v>
      </c>
      <c r="D12427" s="1" t="n">
        <v>263.5</v>
      </c>
      <c r="E12427" s="1" t="n">
        <v>0.0267</v>
      </c>
      <c r="F12427" s="1" t="n">
        <v>0.171</v>
      </c>
    </row>
    <row r="12428" customFormat="false" ht="15" hidden="false" customHeight="false" outlineLevel="0" collapsed="false">
      <c r="A12428" s="1" t="s">
        <v>12463</v>
      </c>
      <c r="B12428" s="1" t="s">
        <v>62</v>
      </c>
      <c r="C12428" s="1" t="n">
        <v>169000</v>
      </c>
      <c r="D12428" s="1" t="n">
        <v>30838.3</v>
      </c>
      <c r="E12428" s="1" t="n">
        <v>0.0705</v>
      </c>
      <c r="F12428" s="1" t="n">
        <v>0.0759</v>
      </c>
    </row>
    <row r="12429" customFormat="false" ht="15" hidden="false" customHeight="false" outlineLevel="0" collapsed="false">
      <c r="A12429" s="1" t="s">
        <v>12464</v>
      </c>
      <c r="B12429" s="1" t="s">
        <v>26</v>
      </c>
      <c r="C12429" s="1" t="n">
        <v>96200</v>
      </c>
      <c r="D12429" s="1" t="n">
        <v>1978.8</v>
      </c>
      <c r="E12429" s="1" t="n">
        <v>0.0158</v>
      </c>
      <c r="F12429" s="1" t="n">
        <v>0.0585</v>
      </c>
    </row>
    <row r="12430" customFormat="false" ht="15" hidden="false" customHeight="false" outlineLevel="0" collapsed="false">
      <c r="A12430" s="1" t="s">
        <v>12465</v>
      </c>
      <c r="B12430" s="1" t="s">
        <v>81</v>
      </c>
      <c r="C12430" s="1" t="n">
        <v>125000</v>
      </c>
      <c r="D12430" s="1" t="n">
        <v>2560.2</v>
      </c>
      <c r="E12430" s="1" t="n">
        <v>0.0551</v>
      </c>
      <c r="F12430" s="1" t="n">
        <v>0.0759</v>
      </c>
    </row>
    <row r="12431" customFormat="false" ht="15" hidden="false" customHeight="false" outlineLevel="0" collapsed="false">
      <c r="A12431" s="1" t="s">
        <v>12466</v>
      </c>
      <c r="B12431" s="1" t="s">
        <v>92</v>
      </c>
      <c r="C12431" s="1" t="n">
        <v>130000</v>
      </c>
      <c r="D12431" s="1" t="n">
        <v>4453.9</v>
      </c>
      <c r="E12431" s="1" t="n">
        <v>0.0193</v>
      </c>
      <c r="F12431" s="1" t="n">
        <v>0.1067</v>
      </c>
    </row>
    <row r="12432" customFormat="false" ht="15" hidden="false" customHeight="false" outlineLevel="0" collapsed="false">
      <c r="A12432" s="1" t="s">
        <v>12467</v>
      </c>
      <c r="B12432" s="1" t="s">
        <v>88</v>
      </c>
      <c r="C12432" s="1" t="n">
        <v>101000</v>
      </c>
      <c r="D12432" s="1" t="n">
        <v>1037.4</v>
      </c>
      <c r="E12432" s="1" t="n">
        <v>0.1169</v>
      </c>
      <c r="F12432" s="1" t="n">
        <v>0.051</v>
      </c>
    </row>
    <row r="12433" customFormat="false" ht="15" hidden="false" customHeight="false" outlineLevel="0" collapsed="false">
      <c r="A12433" s="1" t="s">
        <v>12468</v>
      </c>
      <c r="B12433" s="1" t="s">
        <v>81</v>
      </c>
      <c r="C12433" s="1" t="n">
        <v>93900</v>
      </c>
      <c r="D12433" s="1" t="n">
        <v>3812.1</v>
      </c>
      <c r="E12433" s="1" t="n">
        <v>0.0095</v>
      </c>
      <c r="F12433" s="1" t="n">
        <v>0.0822</v>
      </c>
    </row>
    <row r="12434" customFormat="false" ht="15" hidden="false" customHeight="false" outlineLevel="0" collapsed="false">
      <c r="A12434" s="1" t="s">
        <v>12469</v>
      </c>
      <c r="B12434" s="1" t="s">
        <v>88</v>
      </c>
      <c r="C12434" s="1" t="n">
        <v>99400</v>
      </c>
      <c r="D12434" s="1" t="n">
        <v>2428.9</v>
      </c>
      <c r="E12434" s="1" t="n">
        <v>0.0406</v>
      </c>
      <c r="F12434" s="1" t="n">
        <v>0.1241</v>
      </c>
    </row>
    <row r="12435" customFormat="false" ht="15" hidden="false" customHeight="false" outlineLevel="0" collapsed="false">
      <c r="A12435" s="1" t="s">
        <v>12470</v>
      </c>
      <c r="B12435" s="1" t="s">
        <v>26</v>
      </c>
      <c r="C12435" s="1" t="n">
        <v>114000</v>
      </c>
      <c r="D12435" s="1" t="n">
        <v>8051.8</v>
      </c>
      <c r="E12435" s="1" t="n">
        <v>0.0344</v>
      </c>
      <c r="F12435" s="1" t="n">
        <v>0.0845</v>
      </c>
    </row>
    <row r="12436" customFormat="false" ht="15" hidden="false" customHeight="false" outlineLevel="0" collapsed="false">
      <c r="A12436" s="1" t="s">
        <v>12471</v>
      </c>
      <c r="B12436" s="1" t="s">
        <v>41</v>
      </c>
      <c r="C12436" s="1" t="n">
        <v>154000</v>
      </c>
      <c r="D12436" s="1" t="n">
        <v>593.1</v>
      </c>
      <c r="E12436" s="1" t="n">
        <v>0.0174</v>
      </c>
      <c r="F12436" s="1" t="n">
        <v>0.1948</v>
      </c>
    </row>
    <row r="12437" customFormat="false" ht="15" hidden="false" customHeight="false" outlineLevel="0" collapsed="false">
      <c r="A12437" s="1" t="s">
        <v>12472</v>
      </c>
      <c r="B12437" s="1" t="s">
        <v>24</v>
      </c>
      <c r="C12437" s="1" t="n">
        <v>149000</v>
      </c>
      <c r="D12437" s="1" t="n">
        <v>31.9</v>
      </c>
      <c r="E12437" s="1" t="n">
        <v>0.0075</v>
      </c>
      <c r="F12437" s="1" t="n">
        <v>0.2095</v>
      </c>
    </row>
    <row r="12438" customFormat="false" ht="15" hidden="false" customHeight="false" outlineLevel="0" collapsed="false">
      <c r="A12438" s="1" t="s">
        <v>12473</v>
      </c>
      <c r="B12438" s="1" t="s">
        <v>92</v>
      </c>
      <c r="C12438" s="1" t="n">
        <v>150000</v>
      </c>
      <c r="D12438" s="1" t="n">
        <v>6884</v>
      </c>
      <c r="E12438" s="1" t="n">
        <v>0.0123</v>
      </c>
      <c r="F12438" s="1" t="n">
        <v>0.1452</v>
      </c>
    </row>
    <row r="12439" customFormat="false" ht="15" hidden="false" customHeight="false" outlineLevel="0" collapsed="false">
      <c r="A12439" s="1" t="s">
        <v>12474</v>
      </c>
      <c r="B12439" s="1" t="s">
        <v>24</v>
      </c>
      <c r="C12439" s="1" t="n">
        <v>121000</v>
      </c>
      <c r="D12439" s="1" t="n">
        <v>769.5</v>
      </c>
      <c r="E12439" s="1" t="n">
        <v>0.0754</v>
      </c>
      <c r="F12439" s="1" t="n">
        <v>0.0938</v>
      </c>
    </row>
    <row r="12440" customFormat="false" ht="15" hidden="false" customHeight="false" outlineLevel="0" collapsed="false">
      <c r="A12440" s="1" t="s">
        <v>12475</v>
      </c>
      <c r="B12440" s="1" t="s">
        <v>74</v>
      </c>
      <c r="C12440" s="1" t="n">
        <v>100000</v>
      </c>
      <c r="D12440" s="1" t="n">
        <v>153044.3</v>
      </c>
      <c r="E12440" s="1" t="n">
        <v>0.0319</v>
      </c>
      <c r="F12440" s="1" t="n">
        <v>0.0951</v>
      </c>
    </row>
    <row r="12441" customFormat="false" ht="15" hidden="false" customHeight="false" outlineLevel="0" collapsed="false">
      <c r="A12441" s="1" t="s">
        <v>12476</v>
      </c>
      <c r="B12441" s="1" t="s">
        <v>287</v>
      </c>
      <c r="C12441" s="1" t="n">
        <v>91800</v>
      </c>
      <c r="D12441" s="1" t="n">
        <v>598.3</v>
      </c>
      <c r="E12441" s="1" t="n">
        <v>0.0115</v>
      </c>
      <c r="F12441" s="1" t="n">
        <v>0.0736</v>
      </c>
    </row>
    <row r="12442" customFormat="false" ht="15" hidden="false" customHeight="false" outlineLevel="0" collapsed="false">
      <c r="A12442" s="1" t="s">
        <v>12477</v>
      </c>
      <c r="B12442" s="1" t="s">
        <v>74</v>
      </c>
      <c r="C12442" s="1" t="n">
        <v>225000</v>
      </c>
      <c r="D12442" s="1" t="n">
        <v>10280.6</v>
      </c>
      <c r="E12442" s="1" t="n">
        <v>0.0736</v>
      </c>
      <c r="F12442" s="1" t="n">
        <v>0.0951</v>
      </c>
    </row>
    <row r="12443" customFormat="false" ht="15" hidden="false" customHeight="false" outlineLevel="0" collapsed="false">
      <c r="A12443" s="1" t="s">
        <v>12478</v>
      </c>
      <c r="B12443" s="1" t="s">
        <v>50</v>
      </c>
      <c r="C12443" s="1" t="n">
        <v>134000</v>
      </c>
      <c r="D12443" s="1" t="n">
        <v>2304.9</v>
      </c>
      <c r="E12443" s="1" t="n">
        <v>0.0133</v>
      </c>
      <c r="F12443" s="1" t="n">
        <v>0.1067</v>
      </c>
    </row>
    <row r="12444" customFormat="false" ht="15" hidden="false" customHeight="false" outlineLevel="0" collapsed="false">
      <c r="A12444" s="1" t="s">
        <v>12479</v>
      </c>
      <c r="B12444" s="1" t="s">
        <v>74</v>
      </c>
      <c r="C12444" s="1" t="n">
        <v>209000</v>
      </c>
      <c r="D12444" s="1" t="n">
        <v>5784.1</v>
      </c>
      <c r="E12444" s="1" t="n">
        <v>0.0319</v>
      </c>
      <c r="F12444" s="1" t="n">
        <v>0.0951</v>
      </c>
    </row>
    <row r="12445" customFormat="false" ht="15" hidden="false" customHeight="false" outlineLevel="0" collapsed="false">
      <c r="A12445" s="1" t="s">
        <v>12480</v>
      </c>
      <c r="B12445" s="1" t="s">
        <v>26</v>
      </c>
      <c r="C12445" s="1" t="n">
        <v>161000</v>
      </c>
      <c r="D12445" s="1" t="n">
        <v>18582.3</v>
      </c>
      <c r="E12445" s="1" t="n">
        <v>0.0135</v>
      </c>
      <c r="F12445" s="1" t="n">
        <v>0.1067</v>
      </c>
    </row>
    <row r="12446" customFormat="false" ht="15" hidden="false" customHeight="false" outlineLevel="0" collapsed="false">
      <c r="A12446" s="1" t="s">
        <v>12481</v>
      </c>
      <c r="B12446" s="1" t="s">
        <v>26</v>
      </c>
      <c r="C12446" s="1" t="n">
        <v>2210000</v>
      </c>
      <c r="D12446" s="1" t="n">
        <v>651090.9</v>
      </c>
      <c r="F12446" s="1" t="n">
        <v>0.0409</v>
      </c>
    </row>
    <row r="12447" customFormat="false" ht="15" hidden="false" customHeight="false" outlineLevel="0" collapsed="false">
      <c r="A12447" s="1" t="s">
        <v>12482</v>
      </c>
      <c r="B12447" s="1" t="s">
        <v>214</v>
      </c>
      <c r="C12447" s="1" t="n">
        <v>174000</v>
      </c>
      <c r="D12447" s="1" t="n">
        <v>6516.2</v>
      </c>
      <c r="E12447" s="1" t="n">
        <v>0.0338</v>
      </c>
      <c r="F12447" s="1" t="n">
        <v>0.0432</v>
      </c>
    </row>
    <row r="12448" customFormat="false" ht="15" hidden="false" customHeight="false" outlineLevel="0" collapsed="false">
      <c r="A12448" s="1" t="s">
        <v>12483</v>
      </c>
      <c r="B12448" s="1" t="s">
        <v>88</v>
      </c>
      <c r="C12448" s="1" t="n">
        <v>90600</v>
      </c>
      <c r="D12448" s="1" t="n">
        <v>422</v>
      </c>
      <c r="F12448" s="1" t="n">
        <v>0.0759</v>
      </c>
    </row>
    <row r="12449" customFormat="false" ht="15" hidden="false" customHeight="false" outlineLevel="0" collapsed="false">
      <c r="A12449" s="1" t="s">
        <v>12484</v>
      </c>
      <c r="B12449" s="1" t="s">
        <v>26</v>
      </c>
      <c r="C12449" s="1" t="n">
        <v>92800</v>
      </c>
      <c r="D12449" s="1" t="n">
        <v>21215.5</v>
      </c>
      <c r="E12449" s="1" t="n">
        <v>0.0125</v>
      </c>
      <c r="F12449" s="1" t="n">
        <v>0.1192</v>
      </c>
    </row>
    <row r="12450" customFormat="false" ht="15" hidden="false" customHeight="false" outlineLevel="0" collapsed="false">
      <c r="A12450" s="1" t="s">
        <v>12485</v>
      </c>
      <c r="B12450" s="1" t="s">
        <v>26</v>
      </c>
      <c r="C12450" s="1" t="n">
        <v>102000</v>
      </c>
      <c r="D12450" s="1" t="n">
        <v>849</v>
      </c>
      <c r="E12450" s="1" t="n">
        <v>0.0204</v>
      </c>
      <c r="F12450" s="1" t="n">
        <v>0.0462</v>
      </c>
    </row>
    <row r="12451" customFormat="false" ht="15" hidden="false" customHeight="false" outlineLevel="0" collapsed="false">
      <c r="A12451" s="1" t="s">
        <v>12486</v>
      </c>
      <c r="B12451" s="1" t="s">
        <v>26</v>
      </c>
      <c r="C12451" s="1" t="n">
        <v>113000</v>
      </c>
      <c r="D12451" s="1" t="n">
        <v>926815.2</v>
      </c>
      <c r="E12451" s="1" t="n">
        <v>0.0216</v>
      </c>
      <c r="F12451" s="1" t="n">
        <v>0.0518</v>
      </c>
    </row>
    <row r="12452" customFormat="false" ht="15" hidden="false" customHeight="false" outlineLevel="0" collapsed="false">
      <c r="A12452" s="1" t="s">
        <v>12487</v>
      </c>
      <c r="B12452" s="1" t="s">
        <v>26</v>
      </c>
      <c r="C12452" s="1" t="n">
        <v>88700</v>
      </c>
      <c r="D12452" s="1" t="n">
        <v>2204.8</v>
      </c>
      <c r="E12452" s="1" t="n">
        <v>0.0197</v>
      </c>
      <c r="F12452" s="1" t="n">
        <v>0.0951</v>
      </c>
    </row>
    <row r="12453" customFormat="false" ht="15" hidden="false" customHeight="false" outlineLevel="0" collapsed="false">
      <c r="A12453" s="1" t="s">
        <v>12488</v>
      </c>
      <c r="B12453" s="1" t="s">
        <v>26</v>
      </c>
      <c r="C12453" s="1" t="n">
        <v>118000</v>
      </c>
      <c r="D12453" s="1" t="n">
        <v>2750.8</v>
      </c>
      <c r="E12453" s="1" t="n">
        <v>0.017</v>
      </c>
      <c r="F12453" s="1" t="n">
        <v>0.1067</v>
      </c>
    </row>
    <row r="12454" customFormat="false" ht="15" hidden="false" customHeight="false" outlineLevel="0" collapsed="false">
      <c r="A12454" s="1" t="s">
        <v>12489</v>
      </c>
      <c r="B12454" s="1" t="s">
        <v>53</v>
      </c>
      <c r="C12454" s="1" t="n">
        <v>824000</v>
      </c>
      <c r="D12454" s="1" t="n">
        <v>5339.5</v>
      </c>
      <c r="E12454" s="1" t="n">
        <v>0.0055</v>
      </c>
      <c r="F12454" s="1" t="n">
        <v>0.0822</v>
      </c>
    </row>
    <row r="12455" customFormat="false" ht="15" hidden="false" customHeight="false" outlineLevel="0" collapsed="false">
      <c r="A12455" s="1" t="s">
        <v>12490</v>
      </c>
      <c r="B12455" s="1" t="s">
        <v>32</v>
      </c>
      <c r="C12455" s="1" t="n">
        <v>106000</v>
      </c>
      <c r="D12455" s="1" t="n">
        <v>25314.5</v>
      </c>
      <c r="E12455" s="1" t="n">
        <v>0.0453</v>
      </c>
      <c r="F12455" s="1" t="n">
        <v>0.0518</v>
      </c>
    </row>
    <row r="12456" customFormat="false" ht="15" hidden="false" customHeight="false" outlineLevel="0" collapsed="false">
      <c r="A12456" s="1" t="s">
        <v>12491</v>
      </c>
      <c r="B12456" s="1" t="s">
        <v>26</v>
      </c>
      <c r="C12456" s="1" t="n">
        <v>215000</v>
      </c>
      <c r="D12456" s="1" t="n">
        <v>1311.1</v>
      </c>
      <c r="E12456" s="1" t="n">
        <v>0.0067</v>
      </c>
      <c r="F12456" s="1" t="n">
        <v>0.0811</v>
      </c>
    </row>
    <row r="12457" customFormat="false" ht="15" hidden="false" customHeight="false" outlineLevel="0" collapsed="false">
      <c r="A12457" s="1" t="s">
        <v>12492</v>
      </c>
      <c r="B12457" s="1" t="s">
        <v>81</v>
      </c>
      <c r="C12457" s="1" t="n">
        <v>193000</v>
      </c>
      <c r="D12457" s="1" t="n">
        <v>100542.8</v>
      </c>
      <c r="E12457" s="1" t="n">
        <v>0.0147</v>
      </c>
      <c r="F12457" s="1" t="n">
        <v>0.0462</v>
      </c>
    </row>
    <row r="12458" customFormat="false" ht="15" hidden="false" customHeight="false" outlineLevel="0" collapsed="false">
      <c r="A12458" s="1" t="s">
        <v>12493</v>
      </c>
      <c r="B12458" s="1" t="s">
        <v>74</v>
      </c>
      <c r="C12458" s="1" t="n">
        <v>129000</v>
      </c>
      <c r="D12458" s="1" t="n">
        <v>911</v>
      </c>
      <c r="E12458" s="1" t="n">
        <v>0.0828</v>
      </c>
      <c r="F12458" s="1" t="n">
        <v>0.0759</v>
      </c>
    </row>
    <row r="12459" customFormat="false" ht="15" hidden="false" customHeight="false" outlineLevel="0" collapsed="false">
      <c r="A12459" s="1" t="s">
        <v>12494</v>
      </c>
      <c r="B12459" s="1" t="s">
        <v>41</v>
      </c>
      <c r="C12459" s="1" t="n">
        <v>167000</v>
      </c>
      <c r="D12459" s="1" t="n">
        <v>13266.6</v>
      </c>
      <c r="E12459" s="1" t="n">
        <v>0.0807</v>
      </c>
      <c r="F12459" s="1" t="n">
        <v>0.0951</v>
      </c>
    </row>
    <row r="12460" customFormat="false" ht="15" hidden="false" customHeight="false" outlineLevel="0" collapsed="false">
      <c r="A12460" s="1" t="s">
        <v>12495</v>
      </c>
      <c r="B12460" s="1" t="s">
        <v>53</v>
      </c>
      <c r="C12460" s="1" t="n">
        <v>91900</v>
      </c>
      <c r="D12460" s="1" t="n">
        <v>2191.3</v>
      </c>
      <c r="E12460" s="1" t="n">
        <v>0.0519</v>
      </c>
      <c r="F12460" s="1" t="n">
        <v>0.0951</v>
      </c>
    </row>
    <row r="12461" customFormat="false" ht="15" hidden="false" customHeight="false" outlineLevel="0" collapsed="false">
      <c r="A12461" s="1" t="s">
        <v>12496</v>
      </c>
      <c r="B12461" s="1" t="s">
        <v>26</v>
      </c>
      <c r="C12461" s="1" t="n">
        <v>150000</v>
      </c>
      <c r="D12461" s="1" t="n">
        <v>6295.5</v>
      </c>
      <c r="E12461" s="1" t="n">
        <v>0.0143</v>
      </c>
      <c r="F12461" s="1" t="n">
        <v>0.1187</v>
      </c>
    </row>
    <row r="12462" customFormat="false" ht="15" hidden="false" customHeight="false" outlineLevel="0" collapsed="false">
      <c r="A12462" s="1" t="s">
        <v>12497</v>
      </c>
      <c r="B12462" s="1" t="s">
        <v>26</v>
      </c>
      <c r="C12462" s="1" t="n">
        <v>326000</v>
      </c>
      <c r="D12462" s="1" t="n">
        <v>389611.9</v>
      </c>
      <c r="E12462" s="1" t="n">
        <v>0.0172</v>
      </c>
      <c r="F12462" s="1" t="n">
        <v>0.0462</v>
      </c>
    </row>
    <row r="12463" customFormat="false" ht="15" hidden="false" customHeight="false" outlineLevel="0" collapsed="false">
      <c r="A12463" s="1" t="s">
        <v>12498</v>
      </c>
      <c r="B12463" s="1" t="s">
        <v>81</v>
      </c>
      <c r="C12463" s="1" t="n">
        <v>113000</v>
      </c>
      <c r="D12463" s="1" t="n">
        <v>155399.6</v>
      </c>
      <c r="E12463" s="1" t="n">
        <v>0.0266</v>
      </c>
      <c r="F12463" s="1" t="n">
        <v>0.1243</v>
      </c>
    </row>
    <row r="12464" customFormat="false" ht="15" hidden="false" customHeight="false" outlineLevel="0" collapsed="false">
      <c r="A12464" s="1" t="s">
        <v>12499</v>
      </c>
      <c r="B12464" s="1" t="s">
        <v>88</v>
      </c>
      <c r="C12464" s="1" t="n">
        <v>87800</v>
      </c>
      <c r="D12464" s="1" t="n">
        <v>774.1</v>
      </c>
      <c r="E12464" s="1" t="n">
        <v>0.0511</v>
      </c>
      <c r="F12464" s="1" t="n">
        <v>0.0951</v>
      </c>
    </row>
    <row r="12465" customFormat="false" ht="15" hidden="false" customHeight="false" outlineLevel="0" collapsed="false">
      <c r="A12465" s="1" t="s">
        <v>12500</v>
      </c>
      <c r="B12465" s="1" t="s">
        <v>88</v>
      </c>
      <c r="C12465" s="1" t="n">
        <v>98200</v>
      </c>
      <c r="D12465" s="1" t="n">
        <v>592.9</v>
      </c>
      <c r="E12465" s="1" t="n">
        <v>0.0295</v>
      </c>
      <c r="F12465" s="1" t="n">
        <v>0.0951</v>
      </c>
    </row>
    <row r="12466" customFormat="false" ht="15" hidden="false" customHeight="false" outlineLevel="0" collapsed="false">
      <c r="A12466" s="1" t="s">
        <v>12501</v>
      </c>
      <c r="B12466" s="1" t="s">
        <v>92</v>
      </c>
      <c r="C12466" s="1" t="n">
        <v>104000</v>
      </c>
      <c r="D12466" s="1" t="n">
        <v>8903.3</v>
      </c>
      <c r="E12466" s="1" t="n">
        <v>0.0214</v>
      </c>
      <c r="F12466" s="1" t="n">
        <v>0.0854</v>
      </c>
    </row>
    <row r="12467" customFormat="false" ht="15" hidden="false" customHeight="false" outlineLevel="0" collapsed="false">
      <c r="A12467" s="1" t="s">
        <v>12502</v>
      </c>
      <c r="B12467" s="1" t="s">
        <v>26</v>
      </c>
      <c r="C12467" s="1" t="n">
        <v>88500</v>
      </c>
      <c r="D12467" s="1" t="n">
        <v>1296.4</v>
      </c>
      <c r="E12467" s="1" t="n">
        <v>0.0985</v>
      </c>
      <c r="F12467" s="1" t="n">
        <v>0.0951</v>
      </c>
    </row>
    <row r="12468" customFormat="false" ht="15" hidden="false" customHeight="false" outlineLevel="0" collapsed="false">
      <c r="A12468" s="1" t="s">
        <v>12503</v>
      </c>
      <c r="B12468" s="1" t="s">
        <v>26</v>
      </c>
      <c r="C12468" s="1" t="n">
        <v>94300</v>
      </c>
      <c r="D12468" s="1" t="n">
        <v>669.1</v>
      </c>
      <c r="E12468" s="1" t="n">
        <v>0.0178</v>
      </c>
      <c r="F12468" s="1" t="n">
        <v>0.1053</v>
      </c>
    </row>
    <row r="12469" customFormat="false" ht="15" hidden="false" customHeight="false" outlineLevel="0" collapsed="false">
      <c r="A12469" s="1" t="s">
        <v>12504</v>
      </c>
      <c r="B12469" s="1" t="s">
        <v>74</v>
      </c>
      <c r="C12469" s="1" t="n">
        <v>347000</v>
      </c>
      <c r="D12469" s="1" t="n">
        <v>178481.8</v>
      </c>
      <c r="E12469" s="1" t="n">
        <v>0.0485</v>
      </c>
      <c r="F12469" s="1" t="n">
        <v>0.0409</v>
      </c>
    </row>
    <row r="12470" customFormat="false" ht="15" hidden="false" customHeight="false" outlineLevel="0" collapsed="false">
      <c r="A12470" s="1" t="s">
        <v>12505</v>
      </c>
      <c r="B12470" s="1" t="s">
        <v>92</v>
      </c>
      <c r="C12470" s="1" t="n">
        <v>108000</v>
      </c>
      <c r="D12470" s="1" t="n">
        <v>2573.7</v>
      </c>
      <c r="E12470" s="1" t="n">
        <v>0.0193</v>
      </c>
      <c r="F12470" s="1" t="n">
        <v>0.0585</v>
      </c>
    </row>
    <row r="12471" customFormat="false" ht="15" hidden="false" customHeight="false" outlineLevel="0" collapsed="false">
      <c r="A12471" s="1" t="s">
        <v>12506</v>
      </c>
      <c r="B12471" s="1" t="s">
        <v>88</v>
      </c>
      <c r="C12471" s="1" t="n">
        <v>251000</v>
      </c>
      <c r="D12471" s="1" t="n">
        <v>28988.2</v>
      </c>
      <c r="E12471" s="1" t="n">
        <v>0.0248</v>
      </c>
      <c r="F12471" s="1" t="n">
        <v>0.0951</v>
      </c>
    </row>
    <row r="12472" customFormat="false" ht="15" hidden="false" customHeight="false" outlineLevel="0" collapsed="false">
      <c r="A12472" s="1" t="s">
        <v>12507</v>
      </c>
      <c r="B12472" s="1" t="s">
        <v>62</v>
      </c>
      <c r="C12472" s="1" t="n">
        <v>198000</v>
      </c>
      <c r="D12472" s="1" t="n">
        <v>31427</v>
      </c>
      <c r="E12472" s="1" t="n">
        <v>0.0272</v>
      </c>
      <c r="F12472" s="1" t="n">
        <v>0.0951</v>
      </c>
    </row>
    <row r="12473" customFormat="false" ht="15" hidden="false" customHeight="false" outlineLevel="0" collapsed="false">
      <c r="A12473" s="1" t="s">
        <v>12508</v>
      </c>
      <c r="B12473" s="1" t="s">
        <v>214</v>
      </c>
      <c r="C12473" s="1" t="n">
        <v>166000</v>
      </c>
      <c r="D12473" s="1" t="n">
        <v>11819.6</v>
      </c>
      <c r="E12473" s="1" t="n">
        <v>0.0475</v>
      </c>
      <c r="F12473" s="1" t="n">
        <v>0.0759</v>
      </c>
    </row>
    <row r="12474" customFormat="false" ht="15" hidden="false" customHeight="false" outlineLevel="0" collapsed="false">
      <c r="A12474" s="1" t="s">
        <v>12509</v>
      </c>
      <c r="B12474" s="1" t="s">
        <v>92</v>
      </c>
      <c r="C12474" s="1" t="n">
        <v>126000</v>
      </c>
      <c r="D12474" s="1" t="n">
        <v>5676.6</v>
      </c>
      <c r="E12474" s="1" t="n">
        <v>0.0576</v>
      </c>
      <c r="F12474" s="1" t="n">
        <v>0.0759</v>
      </c>
    </row>
    <row r="12475" customFormat="false" ht="15" hidden="false" customHeight="false" outlineLevel="0" collapsed="false">
      <c r="A12475" s="1" t="s">
        <v>12510</v>
      </c>
      <c r="B12475" s="1" t="s">
        <v>92</v>
      </c>
      <c r="C12475" s="1" t="n">
        <v>93500</v>
      </c>
      <c r="D12475" s="1" t="n">
        <v>2018536.6</v>
      </c>
      <c r="E12475" s="1" t="n">
        <v>0.0038</v>
      </c>
      <c r="F12475" s="1" t="n">
        <v>0.0654</v>
      </c>
    </row>
    <row r="12476" customFormat="false" ht="15" hidden="false" customHeight="false" outlineLevel="0" collapsed="false">
      <c r="A12476" s="1" t="s">
        <v>12511</v>
      </c>
      <c r="B12476" s="1" t="s">
        <v>71</v>
      </c>
      <c r="C12476" s="1" t="n">
        <v>90800</v>
      </c>
      <c r="D12476" s="1" t="n">
        <v>9264.3</v>
      </c>
      <c r="E12476" s="1" t="n">
        <v>0.0518</v>
      </c>
      <c r="F12476" s="1" t="n">
        <v>0.0951</v>
      </c>
    </row>
    <row r="12477" customFormat="false" ht="15" hidden="false" customHeight="false" outlineLevel="0" collapsed="false">
      <c r="A12477" s="1" t="s">
        <v>12512</v>
      </c>
      <c r="B12477" s="1" t="s">
        <v>41</v>
      </c>
      <c r="C12477" s="1" t="n">
        <v>142000</v>
      </c>
      <c r="D12477" s="1" t="n">
        <v>359.5</v>
      </c>
      <c r="E12477" s="1" t="n">
        <v>0.0187</v>
      </c>
      <c r="F12477" s="1" t="n">
        <v>0.1067</v>
      </c>
    </row>
    <row r="12478" customFormat="false" ht="15" hidden="false" customHeight="false" outlineLevel="0" collapsed="false">
      <c r="A12478" s="1" t="s">
        <v>12513</v>
      </c>
      <c r="B12478" s="1" t="s">
        <v>26</v>
      </c>
      <c r="C12478" s="1" t="n">
        <v>136000</v>
      </c>
      <c r="D12478" s="1" t="n">
        <v>2531.7</v>
      </c>
      <c r="E12478" s="1" t="n">
        <v>0.0168</v>
      </c>
      <c r="F12478" s="1" t="n">
        <v>0.0488</v>
      </c>
    </row>
    <row r="12479" customFormat="false" ht="15" hidden="false" customHeight="false" outlineLevel="0" collapsed="false">
      <c r="A12479" s="1" t="s">
        <v>12514</v>
      </c>
      <c r="B12479" s="1" t="s">
        <v>26</v>
      </c>
      <c r="C12479" s="1" t="n">
        <v>108000</v>
      </c>
      <c r="D12479" s="1" t="n">
        <v>1890.4</v>
      </c>
      <c r="E12479" s="1" t="n">
        <v>0.0339</v>
      </c>
      <c r="F12479" s="1" t="n">
        <v>0.1243</v>
      </c>
    </row>
    <row r="12480" customFormat="false" ht="15" hidden="false" customHeight="false" outlineLevel="0" collapsed="false">
      <c r="A12480" s="1" t="s">
        <v>12515</v>
      </c>
      <c r="B12480" s="1" t="s">
        <v>35</v>
      </c>
      <c r="C12480" s="1" t="n">
        <v>112000</v>
      </c>
      <c r="D12480" s="1" t="n">
        <v>15645.6</v>
      </c>
      <c r="E12480" s="1" t="n">
        <v>0.0306</v>
      </c>
      <c r="F12480" s="1" t="n">
        <v>0.0759</v>
      </c>
    </row>
    <row r="12481" customFormat="false" ht="15" hidden="false" customHeight="false" outlineLevel="0" collapsed="false">
      <c r="A12481" s="1" t="s">
        <v>12516</v>
      </c>
      <c r="B12481" s="1" t="s">
        <v>88</v>
      </c>
      <c r="C12481" s="1" t="n">
        <v>106000</v>
      </c>
      <c r="D12481" s="1" t="n">
        <v>61.9</v>
      </c>
      <c r="E12481" s="1" t="n">
        <v>0.007</v>
      </c>
      <c r="F12481" s="1" t="n">
        <v>0.212</v>
      </c>
    </row>
    <row r="12482" customFormat="false" ht="15" hidden="false" customHeight="false" outlineLevel="0" collapsed="false">
      <c r="A12482" s="1" t="s">
        <v>12517</v>
      </c>
      <c r="B12482" s="1" t="s">
        <v>26</v>
      </c>
      <c r="C12482" s="1" t="n">
        <v>104000</v>
      </c>
      <c r="D12482" s="1" t="n">
        <v>8767.3</v>
      </c>
      <c r="E12482" s="1" t="n">
        <v>0.0249</v>
      </c>
      <c r="F12482" s="1" t="n">
        <v>0.0951</v>
      </c>
    </row>
    <row r="12483" customFormat="false" ht="15" hidden="false" customHeight="false" outlineLevel="0" collapsed="false">
      <c r="A12483" s="1" t="s">
        <v>12518</v>
      </c>
      <c r="B12483" s="1" t="s">
        <v>26</v>
      </c>
      <c r="C12483" s="1" t="n">
        <v>104000</v>
      </c>
      <c r="D12483" s="1" t="n">
        <v>24314.7</v>
      </c>
      <c r="E12483" s="1" t="n">
        <v>0.0556</v>
      </c>
      <c r="F12483" s="1" t="n">
        <v>0.0409</v>
      </c>
    </row>
    <row r="12484" customFormat="false" ht="15" hidden="false" customHeight="false" outlineLevel="0" collapsed="false">
      <c r="A12484" s="1" t="s">
        <v>12519</v>
      </c>
      <c r="B12484" s="1" t="s">
        <v>26</v>
      </c>
      <c r="C12484" s="1" t="n">
        <v>86400</v>
      </c>
      <c r="D12484" s="1" t="n">
        <v>98.2</v>
      </c>
      <c r="E12484" s="1" t="n">
        <v>0.0288</v>
      </c>
      <c r="F12484" s="1" t="n">
        <v>0.117</v>
      </c>
    </row>
    <row r="12485" customFormat="false" ht="15" hidden="false" customHeight="false" outlineLevel="0" collapsed="false">
      <c r="A12485" s="1" t="s">
        <v>12520</v>
      </c>
      <c r="B12485" s="1" t="s">
        <v>26</v>
      </c>
      <c r="C12485" s="1" t="n">
        <v>336000</v>
      </c>
      <c r="D12485" s="1" t="n">
        <v>131099.7</v>
      </c>
      <c r="E12485" s="1" t="n">
        <v>0.0411</v>
      </c>
      <c r="F12485" s="1" t="n">
        <v>0.0759</v>
      </c>
    </row>
    <row r="12486" customFormat="false" ht="15" hidden="false" customHeight="false" outlineLevel="0" collapsed="false">
      <c r="A12486" s="1" t="s">
        <v>12521</v>
      </c>
      <c r="B12486" s="1" t="s">
        <v>71</v>
      </c>
      <c r="C12486" s="1" t="n">
        <v>89500</v>
      </c>
      <c r="D12486" s="1" t="n">
        <v>240</v>
      </c>
      <c r="E12486" s="1" t="n">
        <v>0.0209</v>
      </c>
      <c r="F12486" s="1" t="n">
        <v>0.1325</v>
      </c>
    </row>
    <row r="12487" customFormat="false" ht="15" hidden="false" customHeight="false" outlineLevel="0" collapsed="false">
      <c r="A12487" s="1" t="s">
        <v>12522</v>
      </c>
      <c r="B12487" s="1" t="s">
        <v>74</v>
      </c>
      <c r="C12487" s="1" t="n">
        <v>88500</v>
      </c>
      <c r="D12487" s="1" t="n">
        <v>1542.9</v>
      </c>
      <c r="E12487" s="1" t="n">
        <v>0.0394</v>
      </c>
      <c r="F12487" s="1" t="n">
        <v>0.0951</v>
      </c>
    </row>
    <row r="12488" customFormat="false" ht="15" hidden="false" customHeight="false" outlineLevel="0" collapsed="false">
      <c r="A12488" s="1" t="s">
        <v>12523</v>
      </c>
      <c r="B12488" s="1" t="s">
        <v>88</v>
      </c>
      <c r="C12488" s="1" t="n">
        <v>98000</v>
      </c>
      <c r="D12488" s="1" t="n">
        <v>133</v>
      </c>
      <c r="E12488" s="1" t="n">
        <v>0.0563</v>
      </c>
      <c r="F12488" s="1" t="n">
        <v>0.0759</v>
      </c>
    </row>
    <row r="12489" customFormat="false" ht="15" hidden="false" customHeight="false" outlineLevel="0" collapsed="false">
      <c r="A12489" s="1" t="s">
        <v>12524</v>
      </c>
      <c r="B12489" s="1" t="s">
        <v>74</v>
      </c>
      <c r="C12489" s="1" t="n">
        <v>89500</v>
      </c>
      <c r="D12489" s="1" t="n">
        <v>77.1</v>
      </c>
      <c r="E12489" s="1" t="n">
        <v>0.0267</v>
      </c>
      <c r="F12489" s="1" t="n">
        <v>0.0759</v>
      </c>
    </row>
    <row r="12490" customFormat="false" ht="15" hidden="false" customHeight="false" outlineLevel="0" collapsed="false">
      <c r="A12490" s="1" t="s">
        <v>12525</v>
      </c>
      <c r="B12490" s="1" t="s">
        <v>53</v>
      </c>
      <c r="C12490" s="1" t="n">
        <v>117000</v>
      </c>
      <c r="D12490" s="1" t="n">
        <v>1188</v>
      </c>
      <c r="E12490" s="1" t="n">
        <v>0.0264</v>
      </c>
      <c r="F12490" s="1" t="n">
        <v>0.0759</v>
      </c>
    </row>
    <row r="12491" customFormat="false" ht="15" hidden="false" customHeight="false" outlineLevel="0" collapsed="false">
      <c r="A12491" s="1" t="s">
        <v>12526</v>
      </c>
      <c r="B12491" s="1" t="s">
        <v>92</v>
      </c>
      <c r="C12491" s="1" t="n">
        <v>96300</v>
      </c>
      <c r="D12491" s="1" t="n">
        <v>100.8</v>
      </c>
      <c r="E12491" s="1" t="n">
        <v>0.0168</v>
      </c>
      <c r="F12491" s="1" t="n">
        <v>0.139</v>
      </c>
    </row>
    <row r="12492" customFormat="false" ht="15" hidden="false" customHeight="false" outlineLevel="0" collapsed="false">
      <c r="A12492" s="1" t="s">
        <v>12527</v>
      </c>
      <c r="B12492" s="1" t="s">
        <v>26</v>
      </c>
      <c r="C12492" s="1" t="n">
        <v>90300</v>
      </c>
      <c r="D12492" s="1" t="n">
        <v>251512.3</v>
      </c>
      <c r="E12492" s="1" t="n">
        <v>0.0112</v>
      </c>
      <c r="F12492" s="1" t="n">
        <v>0.1184</v>
      </c>
    </row>
    <row r="12493" customFormat="false" ht="15" hidden="false" customHeight="false" outlineLevel="0" collapsed="false">
      <c r="A12493" s="1" t="s">
        <v>12528</v>
      </c>
      <c r="B12493" s="1" t="s">
        <v>26</v>
      </c>
      <c r="C12493" s="1" t="n">
        <v>109000</v>
      </c>
      <c r="D12493" s="1" t="n">
        <v>5065.1</v>
      </c>
      <c r="E12493" s="1" t="n">
        <v>0.0486</v>
      </c>
      <c r="F12493" s="1" t="n">
        <v>0.1534</v>
      </c>
    </row>
    <row r="12494" customFormat="false" ht="15" hidden="false" customHeight="false" outlineLevel="0" collapsed="false">
      <c r="A12494" s="1" t="s">
        <v>12529</v>
      </c>
      <c r="B12494" s="1" t="s">
        <v>26</v>
      </c>
      <c r="C12494" s="1" t="n">
        <v>97400</v>
      </c>
      <c r="D12494" s="1" t="n">
        <v>20.1</v>
      </c>
      <c r="E12494" s="1" t="n">
        <v>0</v>
      </c>
      <c r="F12494" s="1" t="n">
        <v>0.0811</v>
      </c>
    </row>
    <row r="12495" customFormat="false" ht="15" hidden="false" customHeight="false" outlineLevel="0" collapsed="false">
      <c r="A12495" s="1" t="s">
        <v>12530</v>
      </c>
      <c r="B12495" s="1" t="s">
        <v>24</v>
      </c>
      <c r="C12495" s="1" t="n">
        <v>113000</v>
      </c>
      <c r="D12495" s="1" t="n">
        <v>360.8</v>
      </c>
      <c r="E12495" s="1" t="n">
        <v>0.0118</v>
      </c>
      <c r="F12495" s="1" t="n">
        <v>0.2891</v>
      </c>
    </row>
    <row r="12496" customFormat="false" ht="15" hidden="false" customHeight="false" outlineLevel="0" collapsed="false">
      <c r="A12496" s="1" t="s">
        <v>12531</v>
      </c>
      <c r="B12496" s="1" t="s">
        <v>26</v>
      </c>
      <c r="C12496" s="1" t="n">
        <v>92200</v>
      </c>
      <c r="D12496" s="1" t="n">
        <v>132162.7</v>
      </c>
      <c r="F12496" s="1" t="n">
        <v>0.0518</v>
      </c>
    </row>
    <row r="12497" customFormat="false" ht="15" hidden="false" customHeight="false" outlineLevel="0" collapsed="false">
      <c r="A12497" s="1" t="s">
        <v>12532</v>
      </c>
      <c r="B12497" s="1" t="s">
        <v>74</v>
      </c>
      <c r="C12497" s="1" t="n">
        <v>118000</v>
      </c>
      <c r="D12497" s="1" t="n">
        <v>839.8</v>
      </c>
      <c r="E12497" s="1" t="n">
        <v>0.0195</v>
      </c>
      <c r="F12497" s="1" t="n">
        <v>0.0518</v>
      </c>
    </row>
    <row r="12498" customFormat="false" ht="15" hidden="false" customHeight="false" outlineLevel="0" collapsed="false">
      <c r="A12498" s="1" t="s">
        <v>12533</v>
      </c>
      <c r="B12498" s="1" t="s">
        <v>24</v>
      </c>
      <c r="C12498" s="1" t="n">
        <v>132000</v>
      </c>
      <c r="D12498" s="1" t="n">
        <v>12789</v>
      </c>
      <c r="E12498" s="1" t="n">
        <v>0.0087</v>
      </c>
      <c r="F12498" s="1" t="n">
        <v>0.0822</v>
      </c>
    </row>
    <row r="12499" customFormat="false" ht="15" hidden="false" customHeight="false" outlineLevel="0" collapsed="false">
      <c r="A12499" s="1" t="s">
        <v>12534</v>
      </c>
      <c r="B12499" s="1" t="s">
        <v>214</v>
      </c>
      <c r="C12499" s="1" t="n">
        <v>85500</v>
      </c>
      <c r="D12499" s="1" t="n">
        <v>369.5</v>
      </c>
      <c r="E12499" s="1" t="n">
        <v>0.0612</v>
      </c>
      <c r="F12499" s="1" t="n">
        <v>0.0951</v>
      </c>
    </row>
    <row r="12500" customFormat="false" ht="15" hidden="false" customHeight="false" outlineLevel="0" collapsed="false">
      <c r="A12500" s="1" t="s">
        <v>12535</v>
      </c>
      <c r="B12500" s="1" t="s">
        <v>74</v>
      </c>
      <c r="C12500" s="1" t="n">
        <v>98200</v>
      </c>
      <c r="D12500" s="1" t="n">
        <v>1265.7</v>
      </c>
      <c r="E12500" s="1" t="n">
        <v>0.0508</v>
      </c>
      <c r="F12500" s="1" t="n">
        <v>0.0951</v>
      </c>
    </row>
    <row r="12501" customFormat="false" ht="15" hidden="false" customHeight="false" outlineLevel="0" collapsed="false">
      <c r="A12501" s="1" t="s">
        <v>12536</v>
      </c>
      <c r="B12501" s="1" t="s">
        <v>195</v>
      </c>
      <c r="C12501" s="1" t="n">
        <v>165000</v>
      </c>
      <c r="D12501" s="1" t="n">
        <v>1919.1</v>
      </c>
      <c r="E12501" s="1" t="n">
        <v>0.0137</v>
      </c>
      <c r="F12501" s="1" t="n">
        <v>0.0462</v>
      </c>
    </row>
    <row r="12502" customFormat="false" ht="15" hidden="false" customHeight="false" outlineLevel="0" collapsed="false">
      <c r="A12502" s="1" t="s">
        <v>12537</v>
      </c>
      <c r="B12502" s="1" t="s">
        <v>41</v>
      </c>
      <c r="C12502" s="1" t="n">
        <v>117000</v>
      </c>
      <c r="D12502" s="1" t="n">
        <v>2452</v>
      </c>
      <c r="E12502" s="1" t="n">
        <v>0.0492</v>
      </c>
      <c r="F12502" s="1" t="n">
        <v>0.0546</v>
      </c>
    </row>
    <row r="12503" customFormat="false" ht="15" hidden="false" customHeight="false" outlineLevel="0" collapsed="false">
      <c r="A12503" s="1" t="s">
        <v>12538</v>
      </c>
      <c r="B12503" s="1" t="s">
        <v>53</v>
      </c>
      <c r="C12503" s="1" t="n">
        <v>87200</v>
      </c>
      <c r="D12503" s="1" t="n">
        <v>12011.2</v>
      </c>
      <c r="E12503" s="1" t="n">
        <v>0.0253</v>
      </c>
      <c r="F12503" s="1" t="n">
        <v>0.0518</v>
      </c>
    </row>
    <row r="12504" customFormat="false" ht="15" hidden="false" customHeight="false" outlineLevel="0" collapsed="false">
      <c r="A12504" s="1" t="s">
        <v>12539</v>
      </c>
      <c r="B12504" s="1" t="s">
        <v>81</v>
      </c>
      <c r="C12504" s="1" t="n">
        <v>155000</v>
      </c>
      <c r="D12504" s="1" t="n">
        <v>23567.5</v>
      </c>
      <c r="E12504" s="1" t="n">
        <v>0.0451</v>
      </c>
      <c r="F12504" s="1" t="n">
        <v>0.0759</v>
      </c>
    </row>
    <row r="12505" customFormat="false" ht="15" hidden="false" customHeight="false" outlineLevel="0" collapsed="false">
      <c r="A12505" s="1" t="s">
        <v>12540</v>
      </c>
      <c r="B12505" s="1" t="s">
        <v>26</v>
      </c>
      <c r="C12505" s="1" t="n">
        <v>197000</v>
      </c>
      <c r="D12505" s="1" t="n">
        <v>325871.7</v>
      </c>
      <c r="E12505" s="1" t="n">
        <v>0.0104</v>
      </c>
      <c r="F12505" s="1" t="n">
        <v>0.0822</v>
      </c>
    </row>
    <row r="12506" customFormat="false" ht="15" hidden="false" customHeight="false" outlineLevel="0" collapsed="false">
      <c r="A12506" s="1" t="s">
        <v>12541</v>
      </c>
      <c r="B12506" s="1" t="s">
        <v>81</v>
      </c>
      <c r="C12506" s="1" t="n">
        <v>91800</v>
      </c>
      <c r="D12506" s="1" t="n">
        <v>72910.2</v>
      </c>
      <c r="E12506" s="1" t="n">
        <v>0.0199</v>
      </c>
      <c r="F12506" s="1" t="n">
        <v>0.1067</v>
      </c>
    </row>
    <row r="12507" customFormat="false" ht="15" hidden="false" customHeight="false" outlineLevel="0" collapsed="false">
      <c r="A12507" s="1" t="s">
        <v>12542</v>
      </c>
      <c r="B12507" s="1" t="s">
        <v>88</v>
      </c>
      <c r="C12507" s="1" t="n">
        <v>81600</v>
      </c>
      <c r="D12507" s="1" t="n">
        <v>1564.8</v>
      </c>
      <c r="F12507" s="1" t="n">
        <v>0.0409</v>
      </c>
    </row>
    <row r="12508" customFormat="false" ht="15" hidden="false" customHeight="false" outlineLevel="0" collapsed="false">
      <c r="A12508" s="1" t="s">
        <v>12543</v>
      </c>
      <c r="B12508" s="1" t="s">
        <v>214</v>
      </c>
      <c r="C12508" s="1" t="n">
        <v>130000</v>
      </c>
      <c r="D12508" s="1" t="n">
        <v>52374.1</v>
      </c>
      <c r="E12508" s="1" t="n">
        <v>0.035</v>
      </c>
      <c r="F12508" s="1" t="n">
        <v>0.0409</v>
      </c>
    </row>
    <row r="12509" customFormat="false" ht="15" hidden="false" customHeight="false" outlineLevel="0" collapsed="false">
      <c r="A12509" s="1" t="s">
        <v>12544</v>
      </c>
      <c r="B12509" s="1" t="s">
        <v>88</v>
      </c>
      <c r="C12509" s="1" t="n">
        <v>96900</v>
      </c>
      <c r="D12509" s="1" t="n">
        <v>650.6</v>
      </c>
      <c r="E12509" s="1" t="n">
        <v>0.0554</v>
      </c>
      <c r="F12509" s="1" t="n">
        <v>0.0759</v>
      </c>
    </row>
    <row r="12510" customFormat="false" ht="15" hidden="false" customHeight="false" outlineLevel="0" collapsed="false">
      <c r="A12510" s="1" t="s">
        <v>12545</v>
      </c>
      <c r="B12510" s="1" t="s">
        <v>62</v>
      </c>
      <c r="C12510" s="1" t="n">
        <v>93800</v>
      </c>
      <c r="D12510" s="1" t="n">
        <v>84127.3</v>
      </c>
      <c r="E12510" s="1" t="n">
        <v>0.0922</v>
      </c>
      <c r="F12510" s="1" t="n">
        <v>0.0518</v>
      </c>
    </row>
    <row r="12511" customFormat="false" ht="15" hidden="false" customHeight="false" outlineLevel="0" collapsed="false">
      <c r="A12511" s="1" t="s">
        <v>12546</v>
      </c>
      <c r="B12511" s="1" t="s">
        <v>24</v>
      </c>
      <c r="C12511" s="1" t="n">
        <v>254000</v>
      </c>
      <c r="D12511" s="1" t="n">
        <v>865</v>
      </c>
      <c r="E12511" s="1" t="n">
        <v>0.0644</v>
      </c>
      <c r="F12511" s="1" t="n">
        <v>0.2309</v>
      </c>
    </row>
    <row r="12512" customFormat="false" ht="15" hidden="false" customHeight="false" outlineLevel="0" collapsed="false">
      <c r="A12512" s="1" t="s">
        <v>12547</v>
      </c>
      <c r="B12512" s="1" t="s">
        <v>26</v>
      </c>
      <c r="C12512" s="1" t="n">
        <v>101000</v>
      </c>
      <c r="D12512" s="1" t="n">
        <v>122909.2</v>
      </c>
      <c r="E12512" s="1" t="n">
        <v>0.0368</v>
      </c>
      <c r="F12512" s="1" t="n">
        <v>0.0518</v>
      </c>
    </row>
    <row r="12513" customFormat="false" ht="15" hidden="false" customHeight="false" outlineLevel="0" collapsed="false">
      <c r="A12513" s="1" t="s">
        <v>12548</v>
      </c>
      <c r="B12513" s="1" t="s">
        <v>88</v>
      </c>
      <c r="C12513" s="1" t="n">
        <v>102000</v>
      </c>
      <c r="D12513" s="1" t="n">
        <v>7754.7</v>
      </c>
      <c r="E12513" s="1" t="n">
        <v>0.0321</v>
      </c>
      <c r="F12513" s="1" t="n">
        <v>0.0938</v>
      </c>
    </row>
    <row r="12514" customFormat="false" ht="15" hidden="false" customHeight="false" outlineLevel="0" collapsed="false">
      <c r="A12514" s="1" t="s">
        <v>12549</v>
      </c>
      <c r="B12514" s="1" t="s">
        <v>92</v>
      </c>
      <c r="C12514" s="1" t="n">
        <v>102000</v>
      </c>
      <c r="D12514" s="1" t="n">
        <v>2587.9</v>
      </c>
      <c r="E12514" s="1" t="n">
        <v>0.0508</v>
      </c>
      <c r="F12514" s="1" t="n">
        <v>0.0759</v>
      </c>
    </row>
    <row r="12515" customFormat="false" ht="15" hidden="false" customHeight="false" outlineLevel="0" collapsed="false">
      <c r="A12515" s="1" t="s">
        <v>12550</v>
      </c>
      <c r="B12515" s="1" t="s">
        <v>41</v>
      </c>
      <c r="C12515" s="1" t="n">
        <v>109000</v>
      </c>
      <c r="D12515" s="1" t="n">
        <v>11174.7</v>
      </c>
      <c r="E12515" s="1" t="n">
        <v>0.0139</v>
      </c>
      <c r="F12515" s="1" t="n">
        <v>0.0854</v>
      </c>
    </row>
    <row r="12516" customFormat="false" ht="15" hidden="false" customHeight="false" outlineLevel="0" collapsed="false">
      <c r="A12516" s="1" t="s">
        <v>12551</v>
      </c>
      <c r="B12516" s="1" t="s">
        <v>214</v>
      </c>
      <c r="C12516" s="1" t="n">
        <v>88100</v>
      </c>
      <c r="D12516" s="1" t="n">
        <v>14876.7</v>
      </c>
      <c r="E12516" s="1" t="n">
        <v>0.0203</v>
      </c>
      <c r="F12516" s="1" t="n">
        <v>0.1067</v>
      </c>
    </row>
    <row r="12517" customFormat="false" ht="15" hidden="false" customHeight="false" outlineLevel="0" collapsed="false">
      <c r="A12517" s="1" t="s">
        <v>12552</v>
      </c>
      <c r="B12517" s="1" t="s">
        <v>21</v>
      </c>
      <c r="C12517" s="1" t="n">
        <v>172000</v>
      </c>
      <c r="D12517" s="1" t="n">
        <v>1886</v>
      </c>
      <c r="E12517" s="1" t="n">
        <v>0.0093</v>
      </c>
      <c r="F12517" s="1" t="n">
        <v>0.1013</v>
      </c>
    </row>
    <row r="12518" customFormat="false" ht="15" hidden="false" customHeight="false" outlineLevel="0" collapsed="false">
      <c r="A12518" s="1" t="s">
        <v>12553</v>
      </c>
      <c r="B12518" s="1" t="s">
        <v>26</v>
      </c>
      <c r="C12518" s="1" t="n">
        <v>85800</v>
      </c>
      <c r="D12518" s="1" t="n">
        <v>10703.4</v>
      </c>
      <c r="F12518" s="1" t="n">
        <v>0.0518</v>
      </c>
    </row>
    <row r="12519" customFormat="false" ht="15" hidden="false" customHeight="false" outlineLevel="0" collapsed="false">
      <c r="A12519" s="1" t="s">
        <v>12554</v>
      </c>
      <c r="B12519" s="1" t="s">
        <v>88</v>
      </c>
      <c r="C12519" s="1" t="n">
        <v>91200</v>
      </c>
      <c r="D12519" s="1" t="n">
        <v>767.1</v>
      </c>
      <c r="E12519" s="1" t="n">
        <v>0.0362</v>
      </c>
      <c r="F12519" s="1" t="n">
        <v>0.2545</v>
      </c>
    </row>
    <row r="12520" customFormat="false" ht="15" hidden="false" customHeight="false" outlineLevel="0" collapsed="false">
      <c r="A12520" s="1" t="s">
        <v>12555</v>
      </c>
      <c r="B12520" s="1" t="s">
        <v>88</v>
      </c>
      <c r="C12520" s="1" t="n">
        <v>89700</v>
      </c>
      <c r="D12520" s="1" t="n">
        <v>536.1</v>
      </c>
      <c r="E12520" s="1" t="n">
        <v>0.0317</v>
      </c>
      <c r="F12520" s="1" t="n">
        <v>0.0518</v>
      </c>
    </row>
    <row r="12521" customFormat="false" ht="15" hidden="false" customHeight="false" outlineLevel="0" collapsed="false">
      <c r="A12521" s="1" t="s">
        <v>12556</v>
      </c>
      <c r="B12521" s="1" t="s">
        <v>41</v>
      </c>
      <c r="C12521" s="1" t="n">
        <v>122000</v>
      </c>
      <c r="D12521" s="1" t="n">
        <v>391.1</v>
      </c>
      <c r="E12521" s="1" t="n">
        <v>0.0197</v>
      </c>
      <c r="F12521" s="1" t="n">
        <v>0.1066</v>
      </c>
    </row>
    <row r="12522" customFormat="false" ht="15" hidden="false" customHeight="false" outlineLevel="0" collapsed="false">
      <c r="A12522" s="1" t="s">
        <v>12557</v>
      </c>
      <c r="B12522" s="1" t="s">
        <v>26</v>
      </c>
      <c r="C12522" s="1" t="n">
        <v>123000</v>
      </c>
      <c r="D12522" s="1" t="n">
        <v>17267.9</v>
      </c>
      <c r="F12522" s="1" t="n">
        <v>0.0759</v>
      </c>
    </row>
    <row r="12523" customFormat="false" ht="15" hidden="false" customHeight="false" outlineLevel="0" collapsed="false">
      <c r="A12523" s="1" t="s">
        <v>12558</v>
      </c>
      <c r="B12523" s="1" t="s">
        <v>214</v>
      </c>
      <c r="C12523" s="1" t="n">
        <v>124000</v>
      </c>
      <c r="D12523" s="1" t="n">
        <v>173261.2</v>
      </c>
      <c r="E12523" s="1" t="n">
        <v>0.015</v>
      </c>
      <c r="F12523" s="1" t="n">
        <v>0.1327</v>
      </c>
    </row>
    <row r="12524" customFormat="false" ht="15" hidden="false" customHeight="false" outlineLevel="0" collapsed="false">
      <c r="A12524" s="1" t="s">
        <v>12559</v>
      </c>
      <c r="B12524" s="1" t="s">
        <v>287</v>
      </c>
      <c r="C12524" s="1" t="n">
        <v>90800</v>
      </c>
      <c r="D12524" s="1" t="n">
        <v>1505.5</v>
      </c>
      <c r="E12524" s="1" t="n">
        <v>0.0361</v>
      </c>
      <c r="F12524" s="1" t="n">
        <v>0.1241</v>
      </c>
    </row>
    <row r="12525" customFormat="false" ht="15" hidden="false" customHeight="false" outlineLevel="0" collapsed="false">
      <c r="A12525" s="1" t="s">
        <v>12560</v>
      </c>
      <c r="B12525" s="1" t="s">
        <v>88</v>
      </c>
      <c r="C12525" s="1" t="n">
        <v>104000</v>
      </c>
      <c r="D12525" s="1" t="n">
        <v>208.4</v>
      </c>
      <c r="E12525" s="1" t="n">
        <v>0.0272</v>
      </c>
      <c r="F12525" s="1" t="n">
        <v>0.0951</v>
      </c>
    </row>
    <row r="12526" customFormat="false" ht="15" hidden="false" customHeight="false" outlineLevel="0" collapsed="false">
      <c r="A12526" s="1" t="s">
        <v>12561</v>
      </c>
      <c r="B12526" s="1" t="s">
        <v>53</v>
      </c>
      <c r="C12526" s="1" t="n">
        <v>89900</v>
      </c>
      <c r="D12526" s="1" t="n">
        <v>1910.3</v>
      </c>
      <c r="E12526" s="1" t="n">
        <v>0.0232</v>
      </c>
      <c r="F12526" s="1" t="n">
        <v>0.1067</v>
      </c>
    </row>
    <row r="12527" customFormat="false" ht="15" hidden="false" customHeight="false" outlineLevel="0" collapsed="false">
      <c r="A12527" s="1" t="s">
        <v>12562</v>
      </c>
      <c r="B12527" s="1" t="s">
        <v>26</v>
      </c>
      <c r="C12527" s="1" t="n">
        <v>119000</v>
      </c>
      <c r="D12527" s="1" t="n">
        <v>18386.1</v>
      </c>
      <c r="E12527" s="1" t="n">
        <v>0.0196</v>
      </c>
      <c r="F12527" s="1" t="n">
        <v>0.1053</v>
      </c>
    </row>
    <row r="12528" customFormat="false" ht="15" hidden="false" customHeight="false" outlineLevel="0" collapsed="false">
      <c r="A12528" s="1" t="s">
        <v>12563</v>
      </c>
      <c r="B12528" s="1" t="s">
        <v>74</v>
      </c>
      <c r="C12528" s="1" t="n">
        <v>99500</v>
      </c>
      <c r="D12528" s="1" t="n">
        <v>157.6</v>
      </c>
      <c r="E12528" s="1" t="n">
        <v>0.0465</v>
      </c>
      <c r="F12528" s="1" t="n">
        <v>0.1359</v>
      </c>
    </row>
    <row r="12529" customFormat="false" ht="15" hidden="false" customHeight="false" outlineLevel="0" collapsed="false">
      <c r="A12529" s="1" t="s">
        <v>12564</v>
      </c>
      <c r="B12529" s="1" t="s">
        <v>62</v>
      </c>
      <c r="C12529" s="1" t="n">
        <v>89800</v>
      </c>
      <c r="D12529" s="1" t="n">
        <v>125244.8</v>
      </c>
      <c r="E12529" s="1" t="n">
        <v>0.0379</v>
      </c>
      <c r="F12529" s="1" t="n">
        <v>0.0951</v>
      </c>
    </row>
    <row r="12530" customFormat="false" ht="15" hidden="false" customHeight="false" outlineLevel="0" collapsed="false">
      <c r="A12530" s="1" t="s">
        <v>12565</v>
      </c>
      <c r="B12530" s="1" t="s">
        <v>214</v>
      </c>
      <c r="C12530" s="1" t="n">
        <v>101000</v>
      </c>
      <c r="D12530" s="1" t="n">
        <v>7252.3</v>
      </c>
      <c r="E12530" s="1" t="n">
        <v>0.0292</v>
      </c>
      <c r="F12530" s="1" t="n">
        <v>0.0938</v>
      </c>
    </row>
    <row r="12531" customFormat="false" ht="15" hidden="false" customHeight="false" outlineLevel="0" collapsed="false">
      <c r="A12531" s="1" t="s">
        <v>12566</v>
      </c>
      <c r="B12531" s="1" t="s">
        <v>30</v>
      </c>
      <c r="C12531" s="1" t="n">
        <v>93600</v>
      </c>
      <c r="D12531" s="1" t="n">
        <v>3060.8</v>
      </c>
      <c r="E12531" s="1" t="n">
        <v>0.0404</v>
      </c>
      <c r="F12531" s="1" t="n">
        <v>0.0518</v>
      </c>
    </row>
    <row r="12532" customFormat="false" ht="15" hidden="false" customHeight="false" outlineLevel="0" collapsed="false">
      <c r="A12532" s="1" t="s">
        <v>12567</v>
      </c>
      <c r="B12532" s="1" t="s">
        <v>26</v>
      </c>
      <c r="C12532" s="1" t="n">
        <v>91000</v>
      </c>
      <c r="D12532" s="1" t="n">
        <v>432765.1</v>
      </c>
      <c r="E12532" s="1" t="n">
        <v>0.0386</v>
      </c>
      <c r="F12532" s="1" t="n">
        <v>0.0584</v>
      </c>
    </row>
    <row r="12533" customFormat="false" ht="15" hidden="false" customHeight="false" outlineLevel="0" collapsed="false">
      <c r="A12533" s="1" t="s">
        <v>12568</v>
      </c>
      <c r="B12533" s="1" t="s">
        <v>88</v>
      </c>
      <c r="C12533" s="1" t="n">
        <v>127000</v>
      </c>
      <c r="D12533" s="1" t="n">
        <v>280.1</v>
      </c>
      <c r="F12533" s="1" t="n">
        <v>0.0938</v>
      </c>
    </row>
    <row r="12534" customFormat="false" ht="15" hidden="false" customHeight="false" outlineLevel="0" collapsed="false">
      <c r="A12534" s="1" t="s">
        <v>12569</v>
      </c>
      <c r="B12534" s="1" t="s">
        <v>26</v>
      </c>
      <c r="C12534" s="1" t="n">
        <v>98800</v>
      </c>
      <c r="D12534" s="1" t="n">
        <v>2113.2</v>
      </c>
      <c r="F12534" s="1" t="n">
        <v>0.0759</v>
      </c>
    </row>
    <row r="12535" customFormat="false" ht="15" hidden="false" customHeight="false" outlineLevel="0" collapsed="false">
      <c r="A12535" s="1" t="s">
        <v>12570</v>
      </c>
      <c r="B12535" s="1" t="s">
        <v>71</v>
      </c>
      <c r="C12535" s="1" t="n">
        <v>87800</v>
      </c>
      <c r="D12535" s="1" t="n">
        <v>260.2</v>
      </c>
      <c r="F12535" s="1" t="n">
        <v>0.0759</v>
      </c>
    </row>
    <row r="12536" customFormat="false" ht="15" hidden="false" customHeight="false" outlineLevel="0" collapsed="false">
      <c r="A12536" s="1" t="s">
        <v>12571</v>
      </c>
      <c r="B12536" s="1" t="s">
        <v>214</v>
      </c>
      <c r="C12536" s="1" t="n">
        <v>110000</v>
      </c>
      <c r="D12536" s="1" t="n">
        <v>482.9</v>
      </c>
      <c r="E12536" s="1" t="n">
        <v>0.0221</v>
      </c>
      <c r="F12536" s="1" t="n">
        <v>0.0462</v>
      </c>
    </row>
    <row r="12537" customFormat="false" ht="15" hidden="false" customHeight="false" outlineLevel="0" collapsed="false">
      <c r="A12537" s="1" t="s">
        <v>12572</v>
      </c>
      <c r="B12537" s="1" t="s">
        <v>26</v>
      </c>
      <c r="C12537" s="1" t="n">
        <v>89700</v>
      </c>
      <c r="D12537" s="1" t="n">
        <v>2413.8</v>
      </c>
      <c r="E12537" s="1" t="n">
        <v>0.0414</v>
      </c>
      <c r="F12537" s="1" t="n">
        <v>0.0951</v>
      </c>
    </row>
    <row r="12538" customFormat="false" ht="15" hidden="false" customHeight="false" outlineLevel="0" collapsed="false">
      <c r="A12538" s="1" t="s">
        <v>12573</v>
      </c>
      <c r="B12538" s="1" t="s">
        <v>53</v>
      </c>
      <c r="C12538" s="1" t="n">
        <v>1100000</v>
      </c>
      <c r="D12538" s="1" t="n">
        <v>60577.1</v>
      </c>
      <c r="E12538" s="1" t="n">
        <v>0.0918</v>
      </c>
      <c r="F12538" s="1" t="n">
        <v>0.0672</v>
      </c>
    </row>
    <row r="12539" customFormat="false" ht="15" hidden="false" customHeight="false" outlineLevel="0" collapsed="false">
      <c r="A12539" s="1" t="s">
        <v>12574</v>
      </c>
      <c r="B12539" s="1" t="s">
        <v>287</v>
      </c>
      <c r="C12539" s="1" t="n">
        <v>844000</v>
      </c>
      <c r="D12539" s="1" t="n">
        <v>974.4</v>
      </c>
      <c r="E12539" s="1" t="n">
        <v>0.02</v>
      </c>
      <c r="F12539" s="1" t="n">
        <v>0.0938</v>
      </c>
    </row>
    <row r="12540" customFormat="false" ht="15" hidden="false" customHeight="false" outlineLevel="0" collapsed="false">
      <c r="A12540" s="1" t="s">
        <v>12575</v>
      </c>
      <c r="B12540" s="1" t="s">
        <v>32</v>
      </c>
      <c r="C12540" s="1" t="n">
        <v>312000000</v>
      </c>
      <c r="D12540" s="1" t="n">
        <v>25908.4</v>
      </c>
      <c r="E12540" s="1" t="n">
        <v>0.0365</v>
      </c>
      <c r="F12540" s="1" t="n">
        <v>0.0938</v>
      </c>
    </row>
    <row r="12541" customFormat="false" ht="15" hidden="false" customHeight="false" outlineLevel="0" collapsed="false">
      <c r="A12541" s="1" t="s">
        <v>12576</v>
      </c>
      <c r="B12541" s="1" t="s">
        <v>32</v>
      </c>
      <c r="C12541" s="1" t="n">
        <v>122000000</v>
      </c>
      <c r="D12541" s="1" t="n">
        <v>31379.1</v>
      </c>
      <c r="E12541" s="1" t="n">
        <v>0.0234</v>
      </c>
      <c r="F12541" s="1" t="n">
        <v>0.3832</v>
      </c>
    </row>
    <row r="12542" customFormat="false" ht="15" hidden="false" customHeight="false" outlineLevel="0" collapsed="false">
      <c r="A12542" s="1" t="s">
        <v>12577</v>
      </c>
      <c r="B12542" s="1" t="s">
        <v>30</v>
      </c>
      <c r="C12542" s="1" t="n">
        <v>24400000</v>
      </c>
      <c r="D12542" s="1" t="n">
        <v>9981270.7</v>
      </c>
      <c r="E12542" s="1" t="n">
        <v>0.0261</v>
      </c>
      <c r="F12542" s="1" t="n">
        <v>0.0518</v>
      </c>
    </row>
    <row r="12543" customFormat="false" ht="15" hidden="false" customHeight="false" outlineLevel="0" collapsed="false">
      <c r="A12543" s="1" t="s">
        <v>12578</v>
      </c>
      <c r="B12543" s="1" t="s">
        <v>88</v>
      </c>
      <c r="C12543" s="1" t="n">
        <v>14200000</v>
      </c>
      <c r="D12543" s="1" t="n">
        <v>756812.8</v>
      </c>
      <c r="E12543" s="1" t="n">
        <v>0.0514</v>
      </c>
      <c r="F12543" s="1" t="n">
        <v>0.0759</v>
      </c>
    </row>
    <row r="12544" customFormat="false" ht="15" hidden="false" customHeight="false" outlineLevel="0" collapsed="false">
      <c r="A12544" s="1" t="s">
        <v>12579</v>
      </c>
      <c r="B12544" s="1" t="s">
        <v>74</v>
      </c>
      <c r="C12544" s="1" t="n">
        <v>5440000</v>
      </c>
      <c r="D12544" s="1" t="n">
        <v>594159.1</v>
      </c>
      <c r="E12544" s="1" t="n">
        <v>0.0511</v>
      </c>
      <c r="F12544" s="1" t="n">
        <v>0.0833</v>
      </c>
    </row>
    <row r="12545" customFormat="false" ht="15" hidden="false" customHeight="false" outlineLevel="0" collapsed="false">
      <c r="A12545" s="1" t="s">
        <v>12580</v>
      </c>
      <c r="B12545" s="1" t="s">
        <v>88</v>
      </c>
      <c r="C12545" s="1" t="n">
        <v>28400000</v>
      </c>
      <c r="D12545" s="1" t="n">
        <v>944465.8</v>
      </c>
      <c r="E12545" s="1" t="n">
        <v>0.0392</v>
      </c>
      <c r="F12545" s="1" t="n">
        <v>0.0951</v>
      </c>
    </row>
    <row r="12546" customFormat="false" ht="15" hidden="false" customHeight="false" outlineLevel="0" collapsed="false">
      <c r="A12546" s="1" t="s">
        <v>12581</v>
      </c>
      <c r="B12546" s="1" t="s">
        <v>74</v>
      </c>
      <c r="C12546" s="1" t="n">
        <v>3900000</v>
      </c>
      <c r="D12546" s="1" t="n">
        <v>51778.5</v>
      </c>
      <c r="E12546" s="1" t="n">
        <v>0.0286</v>
      </c>
      <c r="F12546" s="1" t="n">
        <v>0.0759</v>
      </c>
    </row>
    <row r="12547" customFormat="false" ht="15" hidden="false" customHeight="false" outlineLevel="0" collapsed="false">
      <c r="A12547" s="1" t="s">
        <v>12582</v>
      </c>
      <c r="B12547" s="1" t="s">
        <v>71</v>
      </c>
      <c r="C12547" s="1" t="n">
        <v>3530000</v>
      </c>
      <c r="D12547" s="1" t="n">
        <v>138637.8</v>
      </c>
      <c r="E12547" s="1" t="n">
        <v>0.0361</v>
      </c>
      <c r="F12547" s="1" t="n">
        <v>0.0938</v>
      </c>
    </row>
    <row r="12548" customFormat="false" ht="15" hidden="false" customHeight="false" outlineLevel="0" collapsed="false">
      <c r="A12548" s="1" t="s">
        <v>12583</v>
      </c>
      <c r="B12548" s="1" t="s">
        <v>35</v>
      </c>
      <c r="C12548" s="1" t="n">
        <v>1560000</v>
      </c>
      <c r="D12548" s="1" t="n">
        <v>142004.8</v>
      </c>
      <c r="E12548" s="1" t="n">
        <v>0.0343</v>
      </c>
      <c r="F12548" s="1" t="n">
        <v>0.0951</v>
      </c>
    </row>
    <row r="12549" customFormat="false" ht="15" hidden="false" customHeight="false" outlineLevel="0" collapsed="false">
      <c r="A12549" s="1" t="s">
        <v>12584</v>
      </c>
      <c r="B12549" s="1" t="s">
        <v>32</v>
      </c>
      <c r="C12549" s="1" t="n">
        <v>48500000</v>
      </c>
      <c r="D12549" s="1" t="n">
        <v>18491.3</v>
      </c>
      <c r="E12549" s="1" t="n">
        <v>0.0203</v>
      </c>
      <c r="F12549" s="1" t="n">
        <v>0.1053</v>
      </c>
    </row>
    <row r="12550" customFormat="false" ht="15" hidden="false" customHeight="false" outlineLevel="0" collapsed="false">
      <c r="A12550" s="1" t="s">
        <v>12585</v>
      </c>
      <c r="B12550" s="1" t="s">
        <v>50</v>
      </c>
      <c r="C12550" s="1" t="n">
        <v>10500000</v>
      </c>
      <c r="D12550" s="1" t="n">
        <v>11462087.1</v>
      </c>
      <c r="E12550" s="1" t="n">
        <v>0.0328</v>
      </c>
      <c r="F12550" s="1" t="n">
        <v>0.0951</v>
      </c>
    </row>
    <row r="12551" customFormat="false" ht="15" hidden="false" customHeight="false" outlineLevel="0" collapsed="false">
      <c r="A12551" s="1" t="s">
        <v>12586</v>
      </c>
      <c r="B12551" s="1" t="s">
        <v>88</v>
      </c>
      <c r="C12551" s="1" t="n">
        <v>9720000</v>
      </c>
      <c r="D12551" s="1" t="n">
        <v>163765.4</v>
      </c>
      <c r="E12551" s="1" t="n">
        <v>0.0464</v>
      </c>
      <c r="F12551" s="1" t="n">
        <v>0.0938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52"/>
    <col collapsed="false" customWidth="true" hidden="false" outlineLevel="0" max="3" min="3" style="1" width="16"/>
  </cols>
  <sheetData>
    <row r="1" customFormat="false" ht="19.7" hidden="false" customHeight="false" outlineLevel="0" collapsed="false">
      <c r="A1" s="2" t="s">
        <v>12587</v>
      </c>
    </row>
    <row r="2" customFormat="false" ht="15" hidden="false" customHeight="false" outlineLevel="0" collapsed="false">
      <c r="A2" s="3" t="s">
        <v>12588</v>
      </c>
    </row>
    <row r="4" customFormat="false" ht="15" hidden="false" customHeight="false" outlineLevel="0" collapsed="false">
      <c r="A4" s="12" t="s">
        <v>12589</v>
      </c>
      <c r="B4" s="12" t="s">
        <v>12590</v>
      </c>
      <c r="C4" s="12" t="s">
        <v>12591</v>
      </c>
    </row>
    <row r="5" customFormat="false" ht="15" hidden="false" customHeight="false" outlineLevel="0" collapsed="false">
      <c r="A5" s="1" t="s">
        <v>12592</v>
      </c>
      <c r="B5" s="1" t="s">
        <v>12593</v>
      </c>
      <c r="C5" s="13" t="n">
        <v>3400</v>
      </c>
    </row>
    <row r="6" customFormat="false" ht="15" hidden="false" customHeight="false" outlineLevel="0" collapsed="false">
      <c r="A6" s="1" t="s">
        <v>12594</v>
      </c>
      <c r="B6" s="1" t="s">
        <v>12595</v>
      </c>
      <c r="C6" s="14" t="n">
        <f aca="false">C5*SAM_pct</f>
        <v>510</v>
      </c>
    </row>
    <row r="7" customFormat="false" ht="15" hidden="false" customHeight="false" outlineLevel="0" collapsed="false">
      <c r="A7" s="1" t="s">
        <v>12596</v>
      </c>
      <c r="B7" s="1" t="s">
        <v>12597</v>
      </c>
      <c r="C7" s="14" t="n">
        <f aca="false">C6*tooling_pct</f>
        <v>20.4</v>
      </c>
    </row>
    <row r="8" customFormat="false" ht="15" hidden="false" customHeight="false" outlineLevel="0" collapsed="false">
      <c r="A8" s="1" t="s">
        <v>12598</v>
      </c>
      <c r="B8" s="1" t="s">
        <v>12599</v>
      </c>
      <c r="C8" s="15" t="n">
        <f aca="false">Financials!$B$31/10000000</f>
        <v>8.25</v>
      </c>
    </row>
    <row r="10" customFormat="false" ht="15" hidden="false" customHeight="false" outlineLevel="0" collapsed="false">
      <c r="A10" s="10" t="s">
        <v>12600</v>
      </c>
    </row>
    <row r="11" customFormat="false" ht="15" hidden="false" customHeight="false" outlineLevel="0" collapsed="false">
      <c r="A11" s="1" t="s">
        <v>12601</v>
      </c>
      <c r="B11" s="16" t="n">
        <v>0.15</v>
      </c>
    </row>
    <row r="12" customFormat="false" ht="15" hidden="false" customHeight="false" outlineLevel="0" collapsed="false">
      <c r="A12" s="1" t="s">
        <v>12602</v>
      </c>
      <c r="B12" s="16" t="n">
        <v>0.04</v>
      </c>
    </row>
    <row r="14" customFormat="false" ht="15" hidden="false" customHeight="false" outlineLevel="0" collapsed="false">
      <c r="A14" s="10" t="s">
        <v>12603</v>
      </c>
    </row>
    <row r="15" customFormat="false" ht="15" hidden="false" customHeight="false" outlineLevel="0" collapsed="false">
      <c r="A15" s="1" t="s">
        <v>12604</v>
      </c>
      <c r="B15" s="13" t="n">
        <v>13500</v>
      </c>
    </row>
    <row r="16" customFormat="false" ht="15" hidden="false" customHeight="false" outlineLevel="0" collapsed="false">
      <c r="A16" s="1" t="s">
        <v>12605</v>
      </c>
      <c r="B16" s="17" t="n">
        <v>2500000</v>
      </c>
    </row>
    <row r="17" customFormat="false" ht="15" hidden="false" customHeight="false" outlineLevel="0" collapsed="false">
      <c r="A17" s="1" t="s">
        <v>12606</v>
      </c>
      <c r="B17" s="14" t="n">
        <f aca="false">B15*B16/10000000</f>
        <v>3375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6" min="2" style="1" width="16"/>
    <col collapsed="false" customWidth="true" hidden="false" outlineLevel="0" max="7" min="7" style="1" width="14"/>
  </cols>
  <sheetData>
    <row r="1" customFormat="false" ht="19.7" hidden="false" customHeight="false" outlineLevel="0" collapsed="false">
      <c r="A1" s="2" t="s">
        <v>12607</v>
      </c>
    </row>
    <row r="2" customFormat="false" ht="15" hidden="false" customHeight="false" outlineLevel="0" collapsed="false">
      <c r="A2" s="3" t="s">
        <v>12608</v>
      </c>
    </row>
    <row r="4" customFormat="false" ht="15" hidden="false" customHeight="false" outlineLevel="0" collapsed="false">
      <c r="A4" s="10" t="s">
        <v>12609</v>
      </c>
    </row>
    <row r="5" customFormat="false" ht="15" hidden="false" customHeight="false" outlineLevel="0" collapsed="false">
      <c r="A5" s="1" t="s">
        <v>12610</v>
      </c>
      <c r="B5" s="18" t="n">
        <v>1200</v>
      </c>
    </row>
    <row r="6" customFormat="false" ht="15" hidden="false" customHeight="false" outlineLevel="0" collapsed="false">
      <c r="A6" s="1" t="s">
        <v>12611</v>
      </c>
      <c r="B6" s="19" t="n">
        <v>50000</v>
      </c>
    </row>
    <row r="7" customFormat="false" ht="15" hidden="false" customHeight="false" outlineLevel="0" collapsed="false">
      <c r="A7" s="1" t="s">
        <v>12612</v>
      </c>
      <c r="B7" s="18" t="n">
        <v>150</v>
      </c>
    </row>
    <row r="8" customFormat="false" ht="15" hidden="false" customHeight="false" outlineLevel="0" collapsed="false">
      <c r="A8" s="1" t="s">
        <v>12613</v>
      </c>
      <c r="B8" s="19" t="n">
        <v>150000</v>
      </c>
    </row>
    <row r="9" customFormat="false" ht="15" hidden="false" customHeight="false" outlineLevel="0" collapsed="false">
      <c r="A9" s="1" t="s">
        <v>12614</v>
      </c>
      <c r="B9" s="16" t="n">
        <v>0.82</v>
      </c>
    </row>
    <row r="10" customFormat="false" ht="15" hidden="false" customHeight="false" outlineLevel="0" collapsed="false">
      <c r="A10" s="1" t="s">
        <v>12615</v>
      </c>
      <c r="B10" s="16" t="n">
        <v>0.55</v>
      </c>
    </row>
    <row r="11" customFormat="false" ht="15" hidden="false" customHeight="false" outlineLevel="0" collapsed="false">
      <c r="A11" s="1" t="s">
        <v>12616</v>
      </c>
      <c r="B11" s="16" t="n">
        <v>0.25</v>
      </c>
    </row>
    <row r="12" customFormat="false" ht="15" hidden="false" customHeight="false" outlineLevel="0" collapsed="false">
      <c r="A12" s="1" t="s">
        <v>12617</v>
      </c>
      <c r="B12" s="16" t="n">
        <v>0.18</v>
      </c>
    </row>
    <row r="13" customFormat="false" ht="15" hidden="false" customHeight="false" outlineLevel="0" collapsed="false">
      <c r="A13" s="1" t="s">
        <v>12618</v>
      </c>
      <c r="B13" s="16" t="n">
        <v>0.04</v>
      </c>
    </row>
    <row r="14" customFormat="false" ht="15" hidden="false" customHeight="false" outlineLevel="0" collapsed="false">
      <c r="A14" s="1" t="s">
        <v>12619</v>
      </c>
      <c r="B14" s="19" t="n">
        <v>5000000</v>
      </c>
    </row>
    <row r="16" customFormat="false" ht="15" hidden="false" customHeight="false" outlineLevel="0" collapsed="false">
      <c r="A16" s="10" t="s">
        <v>12620</v>
      </c>
      <c r="B16" s="10" t="s">
        <v>12621</v>
      </c>
      <c r="C16" s="10" t="s">
        <v>12622</v>
      </c>
      <c r="D16" s="10" t="s">
        <v>12623</v>
      </c>
      <c r="E16" s="10" t="s">
        <v>12624</v>
      </c>
      <c r="F16" s="10" t="s">
        <v>12625</v>
      </c>
    </row>
    <row r="17" customFormat="false" ht="15" hidden="false" customHeight="false" outlineLevel="0" collapsed="false">
      <c r="B17" s="20" t="n">
        <v>0.08</v>
      </c>
      <c r="C17" s="20" t="n">
        <v>0.22</v>
      </c>
      <c r="D17" s="20" t="n">
        <v>0.45</v>
      </c>
      <c r="E17" s="20" t="n">
        <v>0.72</v>
      </c>
      <c r="F17" s="20" t="n">
        <v>1</v>
      </c>
    </row>
    <row r="19" customFormat="false" ht="15" hidden="false" customHeight="false" outlineLevel="0" collapsed="false">
      <c r="A19" s="10" t="s">
        <v>12626</v>
      </c>
    </row>
    <row r="20" customFormat="false" ht="15" hidden="false" customHeight="false" outlineLevel="0" collapsed="false">
      <c r="A20" s="1" t="s">
        <v>12627</v>
      </c>
      <c r="B20" s="21" t="s">
        <v>12621</v>
      </c>
      <c r="C20" s="21" t="s">
        <v>12622</v>
      </c>
      <c r="D20" s="21" t="s">
        <v>12623</v>
      </c>
      <c r="E20" s="21" t="s">
        <v>12624</v>
      </c>
      <c r="F20" s="21" t="s">
        <v>12625</v>
      </c>
    </row>
    <row r="21" customFormat="false" ht="15" hidden="false" customHeight="false" outlineLevel="0" collapsed="false">
      <c r="A21" s="1" t="s">
        <v>12628</v>
      </c>
      <c r="B21" s="22" t="n">
        <f aca="false">ROUND(brand_y5*B17,0)</f>
        <v>96</v>
      </c>
      <c r="C21" s="22" t="n">
        <f aca="false">ROUND(brand_y5*C17,0)</f>
        <v>264</v>
      </c>
      <c r="D21" s="22" t="n">
        <f aca="false">ROUND(brand_y5*D17,0)</f>
        <v>540</v>
      </c>
      <c r="E21" s="22" t="n">
        <f aca="false">ROUND(brand_y5*E17,0)</f>
        <v>864</v>
      </c>
      <c r="F21" s="22" t="n">
        <f aca="false">ROUND(brand_y5*F17,0)</f>
        <v>1200</v>
      </c>
    </row>
    <row r="22" customFormat="false" ht="15" hidden="false" customHeight="false" outlineLevel="0" collapsed="false">
      <c r="A22" s="1" t="s">
        <v>12629</v>
      </c>
      <c r="B22" s="22" t="n">
        <f aca="false">ROUND(agency_y5*B17,0)</f>
        <v>12</v>
      </c>
      <c r="C22" s="22" t="n">
        <f aca="false">ROUND(agency_y5*C17,0)</f>
        <v>33</v>
      </c>
      <c r="D22" s="22" t="n">
        <f aca="false">ROUND(agency_y5*D17,0)</f>
        <v>68</v>
      </c>
      <c r="E22" s="22" t="n">
        <f aca="false">ROUND(agency_y5*E17,0)</f>
        <v>108</v>
      </c>
      <c r="F22" s="22" t="n">
        <f aca="false">ROUND(agency_y5*F17,0)</f>
        <v>150</v>
      </c>
    </row>
    <row r="23" customFormat="false" ht="15" hidden="false" customHeight="false" outlineLevel="0" collapsed="false">
      <c r="A23" s="1" t="s">
        <v>12630</v>
      </c>
      <c r="B23" s="23" t="n">
        <f aca="false">B21*brand_price+B22*agency_price</f>
        <v>6600000</v>
      </c>
      <c r="C23" s="23" t="n">
        <f aca="false">C21*brand_price+C22*agency_price</f>
        <v>18150000</v>
      </c>
      <c r="D23" s="23" t="n">
        <f aca="false">D21*brand_price+D22*agency_price</f>
        <v>37200000</v>
      </c>
      <c r="E23" s="23" t="n">
        <f aca="false">E21*brand_price+E22*agency_price</f>
        <v>59400000</v>
      </c>
      <c r="F23" s="23" t="n">
        <f aca="false">F21*brand_price+F22*agency_price</f>
        <v>82500000</v>
      </c>
    </row>
    <row r="24" customFormat="false" ht="15" hidden="false" customHeight="false" outlineLevel="0" collapsed="false">
      <c r="A24" s="1" t="s">
        <v>12631</v>
      </c>
      <c r="B24" s="23" t="n">
        <f aca="false">B23*gm</f>
        <v>5412000</v>
      </c>
      <c r="C24" s="23" t="n">
        <f aca="false">C23*gm</f>
        <v>14883000</v>
      </c>
      <c r="D24" s="23" t="n">
        <f aca="false">D23*gm</f>
        <v>30504000</v>
      </c>
      <c r="E24" s="23" t="n">
        <f aca="false">E23*gm</f>
        <v>48708000</v>
      </c>
      <c r="F24" s="23" t="n">
        <f aca="false">F23*gm</f>
        <v>67650000</v>
      </c>
    </row>
    <row r="25" customFormat="false" ht="15" hidden="false" customHeight="false" outlineLevel="0" collapsed="false">
      <c r="A25" s="1" t="s">
        <v>12632</v>
      </c>
      <c r="B25" s="23" t="n">
        <f aca="false">B23*opex_pct</f>
        <v>3630000</v>
      </c>
      <c r="C25" s="23" t="n">
        <f aca="false">C23*opex_pct</f>
        <v>9982500</v>
      </c>
      <c r="D25" s="23" t="n">
        <f aca="false">D23*opex_pct</f>
        <v>20460000</v>
      </c>
      <c r="E25" s="23" t="n">
        <f aca="false">E23*opex_pct</f>
        <v>32670000</v>
      </c>
      <c r="F25" s="23" t="n">
        <f aca="false">F23*opex_pct</f>
        <v>45375000</v>
      </c>
    </row>
    <row r="26" customFormat="false" ht="15" hidden="false" customHeight="false" outlineLevel="0" collapsed="false">
      <c r="A26" s="1" t="s">
        <v>12633</v>
      </c>
      <c r="B26" s="23" t="n">
        <f aca="false">B24-B25</f>
        <v>1782000</v>
      </c>
      <c r="C26" s="23" t="n">
        <f aca="false">C24-C25</f>
        <v>4900500</v>
      </c>
      <c r="D26" s="23" t="n">
        <f aca="false">D24-D25</f>
        <v>10044000</v>
      </c>
      <c r="E26" s="23" t="n">
        <f aca="false">E24-E25</f>
        <v>16038000</v>
      </c>
      <c r="F26" s="23" t="n">
        <f aca="false">F24-F25</f>
        <v>22275000</v>
      </c>
    </row>
    <row r="27" customFormat="false" ht="15" hidden="false" customHeight="false" outlineLevel="0" collapsed="false">
      <c r="A27" s="1" t="s">
        <v>12634</v>
      </c>
      <c r="B27" s="23" t="n">
        <f aca="false">MAX(B26,0)*tax</f>
        <v>445500</v>
      </c>
      <c r="C27" s="23" t="n">
        <f aca="false">MAX(C26,0)*tax</f>
        <v>1225125</v>
      </c>
      <c r="D27" s="23" t="n">
        <f aca="false">MAX(D26,0)*tax</f>
        <v>2511000</v>
      </c>
      <c r="E27" s="23" t="n">
        <f aca="false">MAX(E26,0)*tax</f>
        <v>4009500</v>
      </c>
      <c r="F27" s="23" t="n">
        <f aca="false">MAX(F26,0)*tax</f>
        <v>5568750</v>
      </c>
    </row>
    <row r="28" customFormat="false" ht="15" hidden="false" customHeight="false" outlineLevel="0" collapsed="false">
      <c r="A28" s="1" t="s">
        <v>12635</v>
      </c>
      <c r="B28" s="23" t="n">
        <f aca="false">B26-B27</f>
        <v>1336500</v>
      </c>
      <c r="C28" s="23" t="n">
        <f aca="false">C26-C27</f>
        <v>3675375</v>
      </c>
      <c r="D28" s="23" t="n">
        <f aca="false">D26-D27</f>
        <v>7533000</v>
      </c>
      <c r="E28" s="23" t="n">
        <f aca="false">E26-E27</f>
        <v>12028500</v>
      </c>
      <c r="F28" s="23" t="n">
        <f aca="false">F26-F27</f>
        <v>16706250</v>
      </c>
    </row>
    <row r="30" customFormat="false" ht="15" hidden="false" customHeight="false" outlineLevel="0" collapsed="false">
      <c r="A30" s="10" t="s">
        <v>12636</v>
      </c>
    </row>
    <row r="31" customFormat="false" ht="15" hidden="false" customHeight="false" outlineLevel="0" collapsed="false">
      <c r="A31" s="1" t="s">
        <v>12637</v>
      </c>
      <c r="B31" s="23" t="n">
        <f aca="false">F23</f>
        <v>82500000</v>
      </c>
    </row>
    <row r="32" customFormat="false" ht="15" hidden="false" customHeight="false" outlineLevel="0" collapsed="false">
      <c r="A32" s="1" t="s">
        <v>12638</v>
      </c>
      <c r="B32" s="23" t="n">
        <f aca="false">F28*(1+term_g)/(WACC-term_g)</f>
        <v>124103571.428571</v>
      </c>
    </row>
    <row r="33" customFormat="false" ht="15" hidden="false" customHeight="false" outlineLevel="0" collapsed="false">
      <c r="A33" s="1" t="s">
        <v>12639</v>
      </c>
      <c r="B33" s="23" t="n">
        <f aca="false">NPV(WACC,B28:F28)</f>
        <v>21863662.9094873</v>
      </c>
    </row>
    <row r="34" customFormat="false" ht="15" hidden="false" customHeight="false" outlineLevel="0" collapsed="false">
      <c r="A34" s="1" t="s">
        <v>12640</v>
      </c>
      <c r="B34" s="23" t="n">
        <f aca="false">B32/(1+WACC)^5</f>
        <v>54246814.8385436</v>
      </c>
    </row>
    <row r="35" customFormat="false" ht="15" hidden="false" customHeight="false" outlineLevel="0" collapsed="false">
      <c r="A35" s="1" t="s">
        <v>12641</v>
      </c>
      <c r="B35" s="23" t="n">
        <f aca="false">B33+B34-init_inv</f>
        <v>71110477.7480309</v>
      </c>
    </row>
    <row r="36" customFormat="false" ht="15" hidden="false" customHeight="false" outlineLevel="0" collapsed="false">
      <c r="A36" s="1" t="s">
        <v>12642</v>
      </c>
      <c r="B36" s="24" t="n">
        <f aca="false">IFERROR(IRR(B38:G38),0)</f>
        <v>1.23685828668023</v>
      </c>
    </row>
    <row r="37" customFormat="false" ht="15" hidden="false" customHeight="false" outlineLevel="0" collapsed="false">
      <c r="A37" s="1" t="s">
        <v>12643</v>
      </c>
      <c r="B37" s="23" t="n">
        <f aca="false">IFERROR(XNPV(WACC,B38:G38,B39:G39),0)</f>
        <v>71077682.3750046</v>
      </c>
    </row>
    <row r="38" customFormat="false" ht="15" hidden="false" customHeight="false" outlineLevel="0" collapsed="false">
      <c r="A38" s="1" t="s">
        <v>12644</v>
      </c>
      <c r="B38" s="23" t="n">
        <f aca="false">-init_inv</f>
        <v>-5000000</v>
      </c>
      <c r="C38" s="23" t="n">
        <f aca="false">B28</f>
        <v>1336500</v>
      </c>
      <c r="D38" s="23" t="n">
        <f aca="false">C28</f>
        <v>3675375</v>
      </c>
      <c r="E38" s="23" t="n">
        <f aca="false">D28</f>
        <v>7533000</v>
      </c>
      <c r="F38" s="23" t="n">
        <f aca="false">E28</f>
        <v>12028500</v>
      </c>
      <c r="G38" s="23" t="n">
        <f aca="false">F28+B32</f>
        <v>140809821.428571</v>
      </c>
    </row>
    <row r="39" customFormat="false" ht="15" hidden="false" customHeight="false" outlineLevel="0" collapsed="false">
      <c r="A39" s="1" t="s">
        <v>12645</v>
      </c>
      <c r="B39" s="25" t="n">
        <v>45747</v>
      </c>
      <c r="C39" s="25" t="n">
        <v>46112</v>
      </c>
      <c r="D39" s="25" t="n">
        <v>46477</v>
      </c>
      <c r="E39" s="25" t="n">
        <v>46843</v>
      </c>
      <c r="F39" s="25" t="n">
        <v>47208</v>
      </c>
      <c r="G39" s="25" t="n">
        <v>47573</v>
      </c>
    </row>
    <row r="41" customFormat="false" ht="15" hidden="false" customHeight="false" outlineLevel="0" collapsed="false">
      <c r="A41" s="10" t="s">
        <v>12646</v>
      </c>
    </row>
    <row r="42" customFormat="false" ht="15" hidden="false" customHeight="false" outlineLevel="0" collapsed="false">
      <c r="B42" s="20" t="n">
        <v>0.14</v>
      </c>
      <c r="C42" s="20" t="n">
        <v>0.16</v>
      </c>
      <c r="D42" s="20" t="n">
        <v>0.18</v>
      </c>
      <c r="E42" s="20" t="n">
        <v>0.2</v>
      </c>
      <c r="F42" s="20" t="n">
        <v>0.22</v>
      </c>
    </row>
    <row r="43" customFormat="false" ht="15" hidden="false" customHeight="false" outlineLevel="0" collapsed="false">
      <c r="A43" s="1" t="s">
        <v>12641</v>
      </c>
      <c r="B43" s="23" t="n">
        <f aca="false">NPV(B42,B28:F28)+(F28*(1+term_g)/(B42-term_g))/(1+B42)^5-init_inv</f>
        <v>110121259.524559</v>
      </c>
      <c r="C43" s="23" t="n">
        <f aca="false">NPV(C42,B28:F28)+(F28*(1+term_g)/(C42-term_g))/(1+C42)^5-init_inv</f>
        <v>87242141.5294982</v>
      </c>
      <c r="D43" s="23" t="n">
        <f aca="false">NPV(D42,B28:F28)+(F28*(1+term_g)/(D42-term_g))/(1+D42)^5-init_inv</f>
        <v>71110477.7480309</v>
      </c>
      <c r="E43" s="23" t="n">
        <f aca="false">NPV(E42,B28:F28)+(F28*(1+term_g)/(E42-term_g))/(1+E42)^5-init_inv</f>
        <v>59180253.90625</v>
      </c>
      <c r="F43" s="23" t="n">
        <f aca="false">NPV(F42,B28:F28)+(F28*(1+term_g)/(F42-term_g))/(1+F42)^5-init_inv</f>
        <v>50038444.8487095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6" min="2" style="1" width="16"/>
  </cols>
  <sheetData>
    <row r="1" customFormat="false" ht="19.7" hidden="false" customHeight="false" outlineLevel="0" collapsed="false">
      <c r="A1" s="2" t="s">
        <v>12647</v>
      </c>
    </row>
    <row r="2" customFormat="false" ht="15" hidden="false" customHeight="false" outlineLevel="0" collapsed="false">
      <c r="A2" s="3" t="s">
        <v>12648</v>
      </c>
    </row>
    <row r="4" customFormat="false" ht="15" hidden="false" customHeight="false" outlineLevel="0" collapsed="false">
      <c r="A4" s="10" t="s">
        <v>12649</v>
      </c>
      <c r="B4" s="26" t="n">
        <v>0.8</v>
      </c>
      <c r="C4" s="26" t="n">
        <v>0.9</v>
      </c>
      <c r="D4" s="26" t="n">
        <v>1</v>
      </c>
      <c r="E4" s="26" t="n">
        <v>1.1</v>
      </c>
      <c r="F4" s="26" t="n">
        <v>1.2</v>
      </c>
    </row>
    <row r="5" customFormat="false" ht="15" hidden="false" customHeight="false" outlineLevel="0" collapsed="false">
      <c r="A5" s="20" t="n">
        <v>0.6</v>
      </c>
      <c r="B5" s="23" t="n">
        <f aca="false">(brand_y5*$A5*brand_price*B$4)+(agency_y5*$A5*agency_price*B$4)</f>
        <v>39600000</v>
      </c>
      <c r="C5" s="23" t="n">
        <f aca="false">(brand_y5*$A5*brand_price*C$4)+(agency_y5*$A5*agency_price*C$4)</f>
        <v>44550000</v>
      </c>
      <c r="D5" s="23" t="n">
        <f aca="false">(brand_y5*$A5*brand_price*D$4)+(agency_y5*$A5*agency_price*D$4)</f>
        <v>49500000</v>
      </c>
      <c r="E5" s="23" t="n">
        <f aca="false">(brand_y5*$A5*brand_price*E$4)+(agency_y5*$A5*agency_price*E$4)</f>
        <v>54450000</v>
      </c>
      <c r="F5" s="23" t="n">
        <f aca="false">(brand_y5*$A5*brand_price*F$4)+(agency_y5*$A5*agency_price*F$4)</f>
        <v>59400000</v>
      </c>
    </row>
    <row r="6" customFormat="false" ht="15" hidden="false" customHeight="false" outlineLevel="0" collapsed="false">
      <c r="A6" s="20" t="n">
        <v>0.8</v>
      </c>
      <c r="B6" s="23" t="n">
        <f aca="false">(brand_y5*$A6*brand_price*B$4)+(agency_y5*$A6*agency_price*B$4)</f>
        <v>52800000</v>
      </c>
      <c r="C6" s="23" t="n">
        <f aca="false">(brand_y5*$A6*brand_price*C$4)+(agency_y5*$A6*agency_price*C$4)</f>
        <v>59400000</v>
      </c>
      <c r="D6" s="23" t="n">
        <f aca="false">(brand_y5*$A6*brand_price*D$4)+(agency_y5*$A6*agency_price*D$4)</f>
        <v>66000000</v>
      </c>
      <c r="E6" s="23" t="n">
        <f aca="false">(brand_y5*$A6*brand_price*E$4)+(agency_y5*$A6*agency_price*E$4)</f>
        <v>72600000</v>
      </c>
      <c r="F6" s="23" t="n">
        <f aca="false">(brand_y5*$A6*brand_price*F$4)+(agency_y5*$A6*agency_price*F$4)</f>
        <v>79200000</v>
      </c>
    </row>
    <row r="7" customFormat="false" ht="15" hidden="false" customHeight="false" outlineLevel="0" collapsed="false">
      <c r="A7" s="20" t="n">
        <v>1</v>
      </c>
      <c r="B7" s="23" t="n">
        <f aca="false">(brand_y5*$A7*brand_price*B$4)+(agency_y5*$A7*agency_price*B$4)</f>
        <v>66000000</v>
      </c>
      <c r="C7" s="23" t="n">
        <f aca="false">(brand_y5*$A7*brand_price*C$4)+(agency_y5*$A7*agency_price*C$4)</f>
        <v>74250000</v>
      </c>
      <c r="D7" s="23" t="n">
        <f aca="false">(brand_y5*$A7*brand_price*D$4)+(agency_y5*$A7*agency_price*D$4)</f>
        <v>82500000</v>
      </c>
      <c r="E7" s="23" t="n">
        <f aca="false">(brand_y5*$A7*brand_price*E$4)+(agency_y5*$A7*agency_price*E$4)</f>
        <v>90750000</v>
      </c>
      <c r="F7" s="23" t="n">
        <f aca="false">(brand_y5*$A7*brand_price*F$4)+(agency_y5*$A7*agency_price*F$4)</f>
        <v>99000000</v>
      </c>
    </row>
    <row r="8" customFormat="false" ht="15" hidden="false" customHeight="false" outlineLevel="0" collapsed="false">
      <c r="A8" s="20" t="n">
        <v>1.2</v>
      </c>
      <c r="B8" s="23" t="n">
        <f aca="false">(brand_y5*$A8*brand_price*B$4)+(agency_y5*$A8*agency_price*B$4)</f>
        <v>79200000</v>
      </c>
      <c r="C8" s="23" t="n">
        <f aca="false">(brand_y5*$A8*brand_price*C$4)+(agency_y5*$A8*agency_price*C$4)</f>
        <v>89100000</v>
      </c>
      <c r="D8" s="23" t="n">
        <f aca="false">(brand_y5*$A8*brand_price*D$4)+(agency_y5*$A8*agency_price*D$4)</f>
        <v>99000000</v>
      </c>
      <c r="E8" s="23" t="n">
        <f aca="false">(brand_y5*$A8*brand_price*E$4)+(agency_y5*$A8*agency_price*E$4)</f>
        <v>108900000</v>
      </c>
      <c r="F8" s="23" t="n">
        <f aca="false">(brand_y5*$A8*brand_price*F$4)+(agency_y5*$A8*agency_price*F$4)</f>
        <v>118800000</v>
      </c>
    </row>
    <row r="9" customFormat="false" ht="15" hidden="false" customHeight="false" outlineLevel="0" collapsed="false">
      <c r="A9" s="20" t="n">
        <v>1.4</v>
      </c>
      <c r="B9" s="23" t="n">
        <f aca="false">(brand_y5*$A9*brand_price*B$4)+(agency_y5*$A9*agency_price*B$4)</f>
        <v>92400000</v>
      </c>
      <c r="C9" s="23" t="n">
        <f aca="false">(brand_y5*$A9*brand_price*C$4)+(agency_y5*$A9*agency_price*C$4)</f>
        <v>103950000</v>
      </c>
      <c r="D9" s="23" t="n">
        <f aca="false">(brand_y5*$A9*brand_price*D$4)+(agency_y5*$A9*agency_price*D$4)</f>
        <v>115500000</v>
      </c>
      <c r="E9" s="23" t="n">
        <f aca="false">(brand_y5*$A9*brand_price*E$4)+(agency_y5*$A9*agency_price*E$4)</f>
        <v>127050000</v>
      </c>
      <c r="F9" s="23" t="n">
        <f aca="false">(brand_y5*$A9*brand_price*F$4)+(agency_y5*$A9*agency_price*F$4)</f>
        <v>138600000</v>
      </c>
    </row>
    <row r="11" customFormat="false" ht="15" hidden="false" customHeight="false" outlineLevel="0" collapsed="false">
      <c r="A11" s="3" t="s">
        <v>12650</v>
      </c>
    </row>
  </sheetData>
  <conditionalFormatting sqref="B5:F9">
    <cfRule type="colorScale" priority="2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6"/>
    <col collapsed="false" customWidth="true" hidden="false" outlineLevel="0" max="2" min="2" style="1" width="10"/>
    <col collapsed="false" customWidth="true" hidden="false" outlineLevel="0" max="5" min="3" style="1" width="14"/>
    <col collapsed="false" customWidth="true" hidden="false" outlineLevel="0" max="6" min="6" style="1" width="13"/>
    <col collapsed="false" customWidth="true" hidden="false" outlineLevel="0" max="7" min="7" style="1" width="16"/>
    <col collapsed="false" customWidth="true" hidden="false" outlineLevel="0" max="8" min="8" style="1" width="9"/>
    <col collapsed="false" customWidth="true" hidden="false" outlineLevel="0" max="9" min="9" style="1" width="16"/>
    <col collapsed="false" customWidth="true" hidden="false" outlineLevel="0" max="11" min="11" style="1" width="14"/>
    <col collapsed="false" customWidth="true" hidden="false" outlineLevel="0" max="12" min="12" style="1" width="10"/>
  </cols>
  <sheetData>
    <row r="1" customFormat="false" ht="19.7" hidden="false" customHeight="false" outlineLevel="0" collapsed="false">
      <c r="A1" s="2" t="s">
        <v>12651</v>
      </c>
    </row>
    <row r="2" customFormat="false" ht="15" hidden="false" customHeight="false" outlineLevel="0" collapsed="false">
      <c r="A2" s="3" t="s">
        <v>12652</v>
      </c>
    </row>
    <row r="4" customFormat="false" ht="28.35" hidden="false" customHeight="false" outlineLevel="0" collapsed="false">
      <c r="A4" s="12" t="s">
        <v>12653</v>
      </c>
      <c r="B4" s="12" t="s">
        <v>12654</v>
      </c>
      <c r="C4" s="12" t="s">
        <v>12655</v>
      </c>
      <c r="D4" s="12" t="s">
        <v>12656</v>
      </c>
      <c r="E4" s="12" t="s">
        <v>12657</v>
      </c>
      <c r="F4" s="12" t="s">
        <v>12658</v>
      </c>
      <c r="G4" s="12" t="s">
        <v>12659</v>
      </c>
      <c r="H4" s="12" t="s">
        <v>12660</v>
      </c>
      <c r="I4" s="12" t="s">
        <v>12661</v>
      </c>
      <c r="K4" s="10" t="s">
        <v>15</v>
      </c>
      <c r="L4" s="10" t="s">
        <v>12660</v>
      </c>
    </row>
    <row r="5" customFormat="false" ht="15" hidden="false" customHeight="false" outlineLevel="0" collapsed="false">
      <c r="A5" s="1" t="s">
        <v>81</v>
      </c>
      <c r="B5" s="22" t="n">
        <f aca="false">COUNTIF(Data!B:B,A5)</f>
        <v>405</v>
      </c>
      <c r="C5" s="22" t="n">
        <f aca="false">AVERAGEIF(Data!B:B,A5,Data!C:C)</f>
        <v>624439.75308642</v>
      </c>
      <c r="D5" s="22" t="n">
        <f aca="false">AVERAGEIF(Data!B:B,A5,Data!D:D)</f>
        <v>274826.772098765</v>
      </c>
      <c r="E5" s="24" t="n">
        <f aca="false">AVERAGEIF(Data!B:B,A5,Data!E:E)</f>
        <v>0.0313520202020202</v>
      </c>
      <c r="F5" s="27" t="n">
        <f aca="false">AVERAGEIF(Data!B:B,A5,Data!F:F)</f>
        <v>0.087922962962963</v>
      </c>
      <c r="G5" s="23" t="n">
        <f aca="false">D5*H5*20/1000</f>
        <v>137413.386049383</v>
      </c>
      <c r="H5" s="22" t="n">
        <f aca="false">VLOOKUP(A5,CPM_table,2,FALSE())</f>
        <v>25</v>
      </c>
      <c r="I5" s="13" t="n">
        <v>9.01170232769236</v>
      </c>
      <c r="K5" s="28" t="s">
        <v>81</v>
      </c>
      <c r="L5" s="1" t="n">
        <v>25</v>
      </c>
    </row>
    <row r="6" customFormat="false" ht="15" hidden="false" customHeight="false" outlineLevel="0" collapsed="false">
      <c r="A6" s="1" t="s">
        <v>287</v>
      </c>
      <c r="B6" s="22" t="n">
        <f aca="false">COUNTIF(Data!B:B,A6)</f>
        <v>239</v>
      </c>
      <c r="C6" s="22" t="n">
        <f aca="false">AVERAGEIF(Data!B:B,A6,Data!C:C)</f>
        <v>959042.259414226</v>
      </c>
      <c r="D6" s="22" t="n">
        <f aca="false">AVERAGEIF(Data!B:B,A6,Data!D:D)</f>
        <v>210792.644117647</v>
      </c>
      <c r="E6" s="24" t="n">
        <f aca="false">AVERAGEIF(Data!B:B,A6,Data!E:E)</f>
        <v>0.0266298245614035</v>
      </c>
      <c r="F6" s="27" t="n">
        <f aca="false">AVERAGEIF(Data!B:B,A6,Data!F:F)</f>
        <v>0.0871083682008368</v>
      </c>
      <c r="G6" s="23" t="n">
        <f aca="false">D6*H6*20/1000</f>
        <v>105396.322058824</v>
      </c>
      <c r="H6" s="22" t="n">
        <f aca="false">VLOOKUP(A6,CPM_table,2,FALSE())</f>
        <v>25</v>
      </c>
      <c r="I6" s="13" t="n">
        <v>267.374535052726</v>
      </c>
      <c r="K6" s="28" t="s">
        <v>287</v>
      </c>
      <c r="L6" s="1" t="n">
        <v>25</v>
      </c>
    </row>
    <row r="7" customFormat="false" ht="15" hidden="false" customHeight="false" outlineLevel="0" collapsed="false">
      <c r="A7" s="1" t="s">
        <v>30</v>
      </c>
      <c r="B7" s="22" t="n">
        <f aca="false">COUNTIF(Data!B:B,A7)</f>
        <v>271</v>
      </c>
      <c r="C7" s="22" t="n">
        <f aca="false">AVERAGEIF(Data!B:B,A7,Data!C:C)</f>
        <v>3648357.56457565</v>
      </c>
      <c r="D7" s="22" t="n">
        <f aca="false">AVERAGEIF(Data!B:B,A7,Data!D:D)</f>
        <v>1680177.29</v>
      </c>
      <c r="E7" s="24" t="n">
        <f aca="false">AVERAGEIF(Data!B:B,A7,Data!E:E)</f>
        <v>0.0261833333333333</v>
      </c>
      <c r="F7" s="27" t="n">
        <f aca="false">AVERAGEIF(Data!B:B,A7,Data!F:F)</f>
        <v>0.080670479704797</v>
      </c>
      <c r="G7" s="23" t="n">
        <f aca="false">D7*H7*20/1000</f>
        <v>840088.645</v>
      </c>
      <c r="H7" s="22" t="n">
        <f aca="false">VLOOKUP(A7,CPM_table,2,FALSE())</f>
        <v>25</v>
      </c>
      <c r="I7" s="13" t="n">
        <v>-111872.088642977</v>
      </c>
      <c r="K7" s="28" t="s">
        <v>30</v>
      </c>
      <c r="L7" s="1" t="n">
        <v>25</v>
      </c>
    </row>
    <row r="8" customFormat="false" ht="15" hidden="false" customHeight="false" outlineLevel="0" collapsed="false">
      <c r="A8" s="1" t="s">
        <v>214</v>
      </c>
      <c r="B8" s="22" t="n">
        <f aca="false">COUNTIF(Data!B:B,A8)</f>
        <v>608</v>
      </c>
      <c r="C8" s="22" t="n">
        <f aca="false">AVERAGEIF(Data!B:B,A8,Data!C:C)</f>
        <v>863902.796052632</v>
      </c>
      <c r="D8" s="22" t="n">
        <f aca="false">AVERAGEIF(Data!B:B,A8,Data!D:D)</f>
        <v>124468.710543657</v>
      </c>
      <c r="E8" s="24" t="n">
        <f aca="false">AVERAGEIF(Data!B:B,A8,Data!E:E)</f>
        <v>0.0257188679245283</v>
      </c>
      <c r="F8" s="27" t="n">
        <f aca="false">AVERAGEIF(Data!B:B,A8,Data!F:F)</f>
        <v>0.0876098684210526</v>
      </c>
      <c r="G8" s="23" t="n">
        <f aca="false">D8*H8*20/1000</f>
        <v>62234.3552718287</v>
      </c>
      <c r="H8" s="22" t="n">
        <f aca="false">VLOOKUP(A8,CPM_table,2,FALSE())</f>
        <v>25</v>
      </c>
      <c r="I8" s="13" t="n">
        <v>473.97033586571</v>
      </c>
      <c r="K8" s="28" t="s">
        <v>214</v>
      </c>
      <c r="L8" s="1" t="n">
        <v>25</v>
      </c>
    </row>
    <row r="9" customFormat="false" ht="15" hidden="false" customHeight="false" outlineLevel="0" collapsed="false">
      <c r="A9" s="1" t="s">
        <v>24</v>
      </c>
      <c r="B9" s="22" t="n">
        <f aca="false">COUNTIF(Data!B:B,A9)</f>
        <v>787</v>
      </c>
      <c r="C9" s="22" t="n">
        <f aca="false">AVERAGEIF(Data!B:B,A9,Data!C:C)</f>
        <v>1858022.74459975</v>
      </c>
      <c r="D9" s="22" t="n">
        <f aca="false">AVERAGEIF(Data!B:B,A9,Data!D:D)</f>
        <v>380090.68360864</v>
      </c>
      <c r="E9" s="24" t="n">
        <f aca="false">AVERAGEIF(Data!B:B,A9,Data!E:E)</f>
        <v>0.0355395318595579</v>
      </c>
      <c r="F9" s="27" t="n">
        <f aca="false">AVERAGEIF(Data!B:B,A9,Data!F:F)</f>
        <v>0.0938129606099111</v>
      </c>
      <c r="G9" s="23" t="n">
        <f aca="false">D9*H9*20/1000</f>
        <v>190045.34180432</v>
      </c>
      <c r="H9" s="22" t="n">
        <f aca="false">VLOOKUP(A9,CPM_table,2,FALSE())</f>
        <v>25</v>
      </c>
      <c r="I9" s="13" t="n">
        <v>-349.233248780195</v>
      </c>
      <c r="K9" s="28" t="s">
        <v>24</v>
      </c>
      <c r="L9" s="1" t="n">
        <v>25</v>
      </c>
    </row>
    <row r="10" customFormat="false" ht="15" hidden="false" customHeight="false" outlineLevel="0" collapsed="false">
      <c r="A10" s="1" t="s">
        <v>88</v>
      </c>
      <c r="B10" s="22" t="n">
        <f aca="false">COUNTIF(Data!B:B,A10)</f>
        <v>1438</v>
      </c>
      <c r="C10" s="22" t="n">
        <f aca="false">AVERAGEIF(Data!B:B,A10,Data!C:C)</f>
        <v>815621.279554937</v>
      </c>
      <c r="D10" s="22" t="n">
        <f aca="false">AVERAGEIF(Data!B:B,A10,Data!D:D)</f>
        <v>43523.6863921842</v>
      </c>
      <c r="E10" s="24" t="n">
        <f aca="false">AVERAGEIF(Data!B:B,A10,Data!E:E)</f>
        <v>0.0419144699140401</v>
      </c>
      <c r="F10" s="27" t="n">
        <f aca="false">AVERAGEIF(Data!B:B,A10,Data!F:F)</f>
        <v>0.0985242002781641</v>
      </c>
      <c r="G10" s="23" t="n">
        <f aca="false">D10*H10*20/1000</f>
        <v>30466.580474529</v>
      </c>
      <c r="H10" s="22" t="n">
        <f aca="false">VLOOKUP(A10,CPM_table,2,FALSE())</f>
        <v>35</v>
      </c>
      <c r="I10" s="13" t="n">
        <v>2.40331141506774</v>
      </c>
      <c r="K10" s="28" t="s">
        <v>88</v>
      </c>
      <c r="L10" s="1" t="n">
        <v>35</v>
      </c>
    </row>
    <row r="11" customFormat="false" ht="15" hidden="false" customHeight="false" outlineLevel="0" collapsed="false">
      <c r="A11" s="1" t="s">
        <v>490</v>
      </c>
      <c r="B11" s="22" t="n">
        <f aca="false">COUNTIF(Data!B:B,A11)</f>
        <v>107</v>
      </c>
      <c r="C11" s="22" t="n">
        <f aca="false">AVERAGEIF(Data!B:B,A11,Data!C:C)</f>
        <v>679602.803738318</v>
      </c>
      <c r="D11" s="22" t="n">
        <f aca="false">AVERAGEIF(Data!B:B,A11,Data!D:D)</f>
        <v>72724.7906542056</v>
      </c>
      <c r="E11" s="24" t="n">
        <f aca="false">AVERAGEIF(Data!B:B,A11,Data!E:E)</f>
        <v>0.0225049019607843</v>
      </c>
      <c r="F11" s="27" t="n">
        <f aca="false">AVERAGEIF(Data!B:B,A11,Data!F:F)</f>
        <v>0.077318691588785</v>
      </c>
      <c r="G11" s="23" t="n">
        <f aca="false">D11*H11*20/1000</f>
        <v>36362.3953271028</v>
      </c>
      <c r="H11" s="22" t="n">
        <f aca="false">VLOOKUP(A11,CPM_table,2,FALSE())</f>
        <v>25</v>
      </c>
      <c r="I11" s="13" t="n">
        <v>331.057978752107</v>
      </c>
      <c r="K11" s="28" t="s">
        <v>490</v>
      </c>
      <c r="L11" s="1" t="n">
        <v>25</v>
      </c>
    </row>
    <row r="12" customFormat="false" ht="15" hidden="false" customHeight="false" outlineLevel="0" collapsed="false">
      <c r="A12" s="1" t="s">
        <v>74</v>
      </c>
      <c r="B12" s="22" t="n">
        <f aca="false">COUNTIF(Data!B:B,A12)</f>
        <v>652</v>
      </c>
      <c r="C12" s="22" t="n">
        <f aca="false">AVERAGEIF(Data!B:B,A12,Data!C:C)</f>
        <v>847528.220858896</v>
      </c>
      <c r="D12" s="22" t="n">
        <f aca="false">AVERAGEIF(Data!B:B,A12,Data!D:D)</f>
        <v>75220.0351477449</v>
      </c>
      <c r="E12" s="24" t="n">
        <f aca="false">AVERAGEIF(Data!B:B,A12,Data!E:E)</f>
        <v>0.0423358520900322</v>
      </c>
      <c r="F12" s="27" t="n">
        <f aca="false">AVERAGEIF(Data!B:B,A12,Data!F:F)</f>
        <v>0.0944639570552147</v>
      </c>
      <c r="G12" s="23" t="n">
        <f aca="false">D12*H12*20/1000</f>
        <v>120352.056236392</v>
      </c>
      <c r="H12" s="22" t="n">
        <f aca="false">VLOOKUP(A12,CPM_table,2,FALSE())</f>
        <v>80</v>
      </c>
      <c r="I12" s="13" t="n">
        <v>234.761102763491</v>
      </c>
      <c r="K12" s="28" t="s">
        <v>74</v>
      </c>
      <c r="L12" s="1" t="n">
        <v>80</v>
      </c>
    </row>
    <row r="13" customFormat="false" ht="15" hidden="false" customHeight="false" outlineLevel="0" collapsed="false">
      <c r="A13" s="1" t="s">
        <v>62</v>
      </c>
      <c r="B13" s="22" t="n">
        <f aca="false">COUNTIF(Data!B:B,A13)</f>
        <v>470</v>
      </c>
      <c r="C13" s="22" t="n">
        <f aca="false">AVERAGEIF(Data!B:B,A13,Data!C:C)</f>
        <v>1075687.87234043</v>
      </c>
      <c r="D13" s="22" t="n">
        <f aca="false">AVERAGEIF(Data!B:B,A13,Data!D:D)</f>
        <v>122947.818976546</v>
      </c>
      <c r="E13" s="24" t="n">
        <f aca="false">AVERAGEIF(Data!B:B,A13,Data!E:E)</f>
        <v>0.0335466960352423</v>
      </c>
      <c r="F13" s="27" t="n">
        <f aca="false">AVERAGEIF(Data!B:B,A13,Data!F:F)</f>
        <v>0.083788085106383</v>
      </c>
      <c r="G13" s="23" t="n">
        <f aca="false">D13*H13*20/1000</f>
        <v>61473.9094882729</v>
      </c>
      <c r="H13" s="22" t="n">
        <f aca="false">VLOOKUP(A13,CPM_table,2,FALSE())</f>
        <v>25</v>
      </c>
      <c r="I13" s="13" t="n">
        <v>-498.616548896263</v>
      </c>
      <c r="K13" s="28" t="s">
        <v>62</v>
      </c>
      <c r="L13" s="1" t="n">
        <v>25</v>
      </c>
    </row>
    <row r="14" customFormat="false" ht="15" hidden="false" customHeight="false" outlineLevel="0" collapsed="false">
      <c r="A14" s="1" t="s">
        <v>92</v>
      </c>
      <c r="B14" s="22" t="n">
        <f aca="false">COUNTIF(Data!B:B,A14)</f>
        <v>812</v>
      </c>
      <c r="C14" s="22" t="n">
        <f aca="false">AVERAGEIF(Data!B:B,A14,Data!C:C)</f>
        <v>1176582.8817734</v>
      </c>
      <c r="D14" s="22" t="n">
        <f aca="false">AVERAGEIF(Data!B:B,A14,Data!D:D)</f>
        <v>116547.078325123</v>
      </c>
      <c r="E14" s="24" t="n">
        <f aca="false">AVERAGEIF(Data!B:B,A14,Data!E:E)</f>
        <v>0.0247803846153846</v>
      </c>
      <c r="F14" s="27" t="n">
        <f aca="false">AVERAGEIF(Data!B:B,A14,Data!F:F)</f>
        <v>0.0859190886699507</v>
      </c>
      <c r="G14" s="23" t="n">
        <f aca="false">D14*H14*20/1000</f>
        <v>58273.5391625616</v>
      </c>
      <c r="H14" s="22" t="n">
        <f aca="false">VLOOKUP(A14,CPM_table,2,FALSE())</f>
        <v>25</v>
      </c>
      <c r="I14" s="13" t="n">
        <v>6593.67203575438</v>
      </c>
      <c r="K14" s="28" t="s">
        <v>92</v>
      </c>
      <c r="L14" s="1" t="n">
        <v>25</v>
      </c>
    </row>
    <row r="15" customFormat="false" ht="15" hidden="false" customHeight="false" outlineLevel="0" collapsed="false">
      <c r="A15" s="1" t="s">
        <v>53</v>
      </c>
      <c r="B15" s="22" t="n">
        <f aca="false">COUNTIF(Data!B:B,A15)</f>
        <v>534</v>
      </c>
      <c r="C15" s="22" t="n">
        <f aca="false">AVERAGEIF(Data!B:B,A15,Data!C:C)</f>
        <v>1939370.78651685</v>
      </c>
      <c r="D15" s="22" t="n">
        <f aca="false">AVERAGEIF(Data!B:B,A15,Data!D:D)</f>
        <v>272397.592075472</v>
      </c>
      <c r="E15" s="24" t="n">
        <f aca="false">AVERAGEIF(Data!B:B,A15,Data!E:E)</f>
        <v>0.0422688</v>
      </c>
      <c r="F15" s="27" t="n">
        <f aca="false">AVERAGEIF(Data!B:B,A15,Data!F:F)</f>
        <v>0.0891795880149813</v>
      </c>
      <c r="G15" s="23" t="n">
        <f aca="false">D15*H15*20/1000</f>
        <v>108959.036830189</v>
      </c>
      <c r="H15" s="22" t="n">
        <f aca="false">VLOOKUP(A15,CPM_table,2,FALSE())</f>
        <v>20</v>
      </c>
      <c r="I15" s="13" t="n">
        <v>-12701.6522983791</v>
      </c>
      <c r="K15" s="28" t="s">
        <v>53</v>
      </c>
      <c r="L15" s="1" t="n">
        <v>20</v>
      </c>
    </row>
    <row r="16" customFormat="false" ht="15" hidden="false" customHeight="false" outlineLevel="0" collapsed="false">
      <c r="A16" s="1" t="s">
        <v>195</v>
      </c>
      <c r="B16" s="22" t="n">
        <f aca="false">COUNTIF(Data!B:B,A16)</f>
        <v>236</v>
      </c>
      <c r="C16" s="22" t="n">
        <f aca="false">AVERAGEIF(Data!B:B,A16,Data!C:C)</f>
        <v>868858.474576271</v>
      </c>
      <c r="D16" s="22" t="n">
        <f aca="false">AVERAGEIF(Data!B:B,A16,Data!D:D)</f>
        <v>55356.42</v>
      </c>
      <c r="E16" s="24" t="n">
        <f aca="false">AVERAGEIF(Data!B:B,A16,Data!E:E)</f>
        <v>0.0264955555555556</v>
      </c>
      <c r="F16" s="27" t="n">
        <f aca="false">AVERAGEIF(Data!B:B,A16,Data!F:F)</f>
        <v>0.0929830508474576</v>
      </c>
      <c r="G16" s="23" t="n">
        <f aca="false">D16*H16*20/1000</f>
        <v>27678.21</v>
      </c>
      <c r="H16" s="22" t="n">
        <f aca="false">VLOOKUP(A16,CPM_table,2,FALSE())</f>
        <v>25</v>
      </c>
      <c r="I16" s="13" t="n">
        <v>-4.68502068609975</v>
      </c>
      <c r="K16" s="28" t="s">
        <v>195</v>
      </c>
      <c r="L16" s="1" t="n">
        <v>25</v>
      </c>
    </row>
    <row r="17" customFormat="false" ht="15" hidden="false" customHeight="false" outlineLevel="0" collapsed="false">
      <c r="A17" s="1" t="s">
        <v>32</v>
      </c>
      <c r="B17" s="22" t="n">
        <f aca="false">COUNTIF(Data!B:B,A17)</f>
        <v>316</v>
      </c>
      <c r="C17" s="22" t="n">
        <f aca="false">AVERAGEIF(Data!B:B,A17,Data!C:C)</f>
        <v>4757696.20253165</v>
      </c>
      <c r="D17" s="22" t="n">
        <f aca="false">AVERAGEIF(Data!B:B,A17,Data!D:D)</f>
        <v>569334.675238095</v>
      </c>
      <c r="E17" s="24" t="n">
        <f aca="false">AVERAGEIF(Data!B:B,A17,Data!E:E)</f>
        <v>0.0225882165605096</v>
      </c>
      <c r="F17" s="27" t="n">
        <f aca="false">AVERAGEIF(Data!B:B,A17,Data!F:F)</f>
        <v>0.0952892405063291</v>
      </c>
      <c r="G17" s="23" t="n">
        <f aca="false">D17*H17*20/1000</f>
        <v>284667.337619048</v>
      </c>
      <c r="H17" s="22" t="n">
        <f aca="false">VLOOKUP(A17,CPM_table,2,FALSE())</f>
        <v>25</v>
      </c>
      <c r="I17" s="13" t="n">
        <v>46.2617784311319</v>
      </c>
      <c r="K17" s="28" t="s">
        <v>32</v>
      </c>
      <c r="L17" s="1" t="n">
        <v>25</v>
      </c>
    </row>
    <row r="18" customFormat="false" ht="15" hidden="false" customHeight="false" outlineLevel="0" collapsed="false">
      <c r="A18" s="1" t="s">
        <v>41</v>
      </c>
      <c r="B18" s="22" t="n">
        <f aca="false">COUNTIF(Data!B:B,A18)</f>
        <v>900</v>
      </c>
      <c r="C18" s="22" t="n">
        <f aca="false">AVERAGEIF(Data!B:B,A18,Data!C:C)</f>
        <v>2465483.33333333</v>
      </c>
      <c r="D18" s="22" t="n">
        <f aca="false">AVERAGEIF(Data!B:B,A18,Data!D:D)</f>
        <v>67767.1325139665</v>
      </c>
      <c r="E18" s="24" t="n">
        <f aca="false">AVERAGEIF(Data!B:B,A18,Data!E:E)</f>
        <v>0.03184375</v>
      </c>
      <c r="F18" s="27" t="n">
        <f aca="false">AVERAGEIF(Data!B:B,A18,Data!F:F)</f>
        <v>0.116523777777778</v>
      </c>
      <c r="G18" s="23" t="n">
        <f aca="false">D18*H18*20/1000</f>
        <v>33883.5662569832</v>
      </c>
      <c r="H18" s="22" t="n">
        <f aca="false">VLOOKUP(A18,CPM_table,2,FALSE())</f>
        <v>25</v>
      </c>
      <c r="I18" s="13" t="n">
        <v>28.2686479205408</v>
      </c>
      <c r="K18" s="28" t="s">
        <v>41</v>
      </c>
      <c r="L18" s="1" t="n">
        <v>25</v>
      </c>
    </row>
    <row r="19" customFormat="false" ht="15" hidden="false" customHeight="false" outlineLevel="0" collapsed="false">
      <c r="A19" s="1" t="s">
        <v>28</v>
      </c>
      <c r="B19" s="22" t="n">
        <f aca="false">COUNTIF(Data!B:B,A19)</f>
        <v>101</v>
      </c>
      <c r="C19" s="22" t="n">
        <f aca="false">AVERAGEIF(Data!B:B,A19,Data!C:C)</f>
        <v>4531440.59405941</v>
      </c>
      <c r="D19" s="22" t="n">
        <f aca="false">AVERAGEIF(Data!B:B,A19,Data!D:D)</f>
        <v>226739.292079208</v>
      </c>
      <c r="E19" s="24" t="n">
        <f aca="false">AVERAGEIF(Data!B:B,A19,Data!E:E)</f>
        <v>0.0143646464646465</v>
      </c>
      <c r="F19" s="27" t="n">
        <f aca="false">AVERAGEIF(Data!B:B,A19,Data!F:F)</f>
        <v>0.0856495049504951</v>
      </c>
      <c r="G19" s="23" t="n">
        <f aca="false">D19*H19*20/1000</f>
        <v>113369.646039604</v>
      </c>
      <c r="H19" s="22" t="n">
        <f aca="false">VLOOKUP(A19,CPM_table,2,FALSE())</f>
        <v>25</v>
      </c>
      <c r="I19" s="13" t="n">
        <v>-413.512946500264</v>
      </c>
      <c r="K19" s="28" t="s">
        <v>28</v>
      </c>
      <c r="L19" s="1" t="n">
        <v>25</v>
      </c>
    </row>
    <row r="20" customFormat="false" ht="15" hidden="false" customHeight="false" outlineLevel="0" collapsed="false">
      <c r="A20" s="1" t="s">
        <v>50</v>
      </c>
      <c r="B20" s="22" t="n">
        <f aca="false">COUNTIF(Data!B:B,A20)</f>
        <v>372</v>
      </c>
      <c r="C20" s="22" t="n">
        <f aca="false">AVERAGEIF(Data!B:B,A20,Data!C:C)</f>
        <v>1835919.08602151</v>
      </c>
      <c r="D20" s="22" t="n">
        <f aca="false">AVERAGEIF(Data!B:B,A20,Data!D:D)</f>
        <v>340396.087804878</v>
      </c>
      <c r="E20" s="24" t="n">
        <f aca="false">AVERAGEIF(Data!B:B,A20,Data!E:E)</f>
        <v>0.0335735211267606</v>
      </c>
      <c r="F20" s="27" t="n">
        <f aca="false">AVERAGEIF(Data!B:B,A20,Data!F:F)</f>
        <v>0.085827688172043</v>
      </c>
      <c r="G20" s="23" t="n">
        <f aca="false">D20*H20*20/1000</f>
        <v>170198.043902439</v>
      </c>
      <c r="H20" s="22" t="n">
        <f aca="false">VLOOKUP(A20,CPM_table,2,FALSE())</f>
        <v>25</v>
      </c>
      <c r="I20" s="13" t="n">
        <v>1421.60891694788</v>
      </c>
      <c r="K20" s="28" t="s">
        <v>50</v>
      </c>
      <c r="L20" s="1" t="n">
        <v>25</v>
      </c>
    </row>
    <row r="21" customFormat="false" ht="15" hidden="false" customHeight="false" outlineLevel="0" collapsed="false">
      <c r="A21" s="1" t="s">
        <v>21</v>
      </c>
      <c r="B21" s="22" t="n">
        <f aca="false">COUNTIF(Data!B:B,A21)</f>
        <v>371</v>
      </c>
      <c r="C21" s="22" t="n">
        <f aca="false">AVERAGEIF(Data!B:B,A21,Data!C:C)</f>
        <v>4733611.5902965</v>
      </c>
      <c r="D21" s="22" t="n">
        <f aca="false">AVERAGEIF(Data!B:B,A21,Data!D:D)</f>
        <v>351448.107084469</v>
      </c>
      <c r="E21" s="24" t="n">
        <f aca="false">AVERAGEIF(Data!B:B,A21,Data!E:E)</f>
        <v>0.0289707042253521</v>
      </c>
      <c r="F21" s="27" t="n">
        <f aca="false">AVERAGEIF(Data!B:B,A21,Data!F:F)</f>
        <v>0.0887264150943396</v>
      </c>
      <c r="G21" s="23" t="n">
        <f aca="false">D21*H21*20/1000</f>
        <v>175724.053542234</v>
      </c>
      <c r="H21" s="22" t="n">
        <f aca="false">VLOOKUP(A21,CPM_table,2,FALSE())</f>
        <v>25</v>
      </c>
      <c r="I21" s="13" t="n">
        <v>-401.084180084334</v>
      </c>
      <c r="K21" s="28" t="s">
        <v>21</v>
      </c>
      <c r="L21" s="1" t="n">
        <v>25</v>
      </c>
    </row>
    <row r="22" customFormat="false" ht="15" hidden="false" customHeight="false" outlineLevel="0" collapsed="false">
      <c r="A22" s="1" t="s">
        <v>71</v>
      </c>
      <c r="B22" s="22" t="n">
        <f aca="false">COUNTIF(Data!B:B,A22)</f>
        <v>348</v>
      </c>
      <c r="C22" s="22" t="n">
        <f aca="false">AVERAGEIF(Data!B:B,A22,Data!C:C)</f>
        <v>1206883.90804598</v>
      </c>
      <c r="D22" s="22" t="n">
        <f aca="false">AVERAGEIF(Data!B:B,A22,Data!D:D)</f>
        <v>145846.238904899</v>
      </c>
      <c r="E22" s="24" t="n">
        <f aca="false">AVERAGEIF(Data!B:B,A22,Data!E:E)</f>
        <v>0.0313955882352941</v>
      </c>
      <c r="F22" s="27" t="n">
        <f aca="false">AVERAGEIF(Data!B:B,A22,Data!F:F)</f>
        <v>0.094066091954023</v>
      </c>
      <c r="G22" s="23" t="n">
        <f aca="false">D22*H22*20/1000</f>
        <v>116676.991123919</v>
      </c>
      <c r="H22" s="22" t="n">
        <f aca="false">VLOOKUP(A22,CPM_table,2,FALSE())</f>
        <v>40</v>
      </c>
      <c r="I22" s="13" t="n">
        <v>187.459654199733</v>
      </c>
      <c r="K22" s="28" t="s">
        <v>71</v>
      </c>
      <c r="L22" s="1" t="n">
        <v>40</v>
      </c>
    </row>
    <row r="23" customFormat="false" ht="15" hidden="false" customHeight="false" outlineLevel="0" collapsed="false">
      <c r="A23" s="1" t="s">
        <v>35</v>
      </c>
      <c r="B23" s="22" t="n">
        <f aca="false">COUNTIF(Data!B:B,A23)</f>
        <v>121</v>
      </c>
      <c r="C23" s="22" t="n">
        <f aca="false">AVERAGEIF(Data!B:B,A23,Data!C:C)</f>
        <v>1804706.61157025</v>
      </c>
      <c r="D23" s="22" t="n">
        <f aca="false">AVERAGEIF(Data!B:B,A23,Data!D:D)</f>
        <v>116829.216528926</v>
      </c>
      <c r="E23" s="24" t="n">
        <f aca="false">AVERAGEIF(Data!B:B,A23,Data!E:E)</f>
        <v>0.0270563025210084</v>
      </c>
      <c r="F23" s="27" t="n">
        <f aca="false">AVERAGEIF(Data!B:B,A23,Data!F:F)</f>
        <v>0.0842900826446281</v>
      </c>
      <c r="G23" s="23" t="n">
        <f aca="false">D23*H23*20/1000</f>
        <v>58414.6082644628</v>
      </c>
      <c r="H23" s="22" t="n">
        <f aca="false">VLOOKUP(A23,CPM_table,2,FALSE())</f>
        <v>25</v>
      </c>
      <c r="I23" s="13" t="n">
        <v>25.8744508717267</v>
      </c>
      <c r="K23" s="28" t="s">
        <v>35</v>
      </c>
      <c r="L23" s="1" t="n">
        <v>25</v>
      </c>
    </row>
    <row r="24" customFormat="false" ht="15" hidden="false" customHeight="false" outlineLevel="0" collapsed="false">
      <c r="A24" s="1" t="s">
        <v>26</v>
      </c>
      <c r="B24" s="22" t="n">
        <f aca="false">COUNTIF(Data!B:B,A24)</f>
        <v>3459</v>
      </c>
      <c r="C24" s="22" t="n">
        <f aca="false">AVERAGEIF(Data!B:B,A24,Data!C:C)</f>
        <v>1559683.75252963</v>
      </c>
      <c r="D24" s="22" t="n">
        <f aca="false">AVERAGEIF(Data!B:B,A24,Data!D:D)</f>
        <v>301926.560296684</v>
      </c>
      <c r="E24" s="24" t="n">
        <f aca="false">AVERAGEIF(Data!B:B,A24,Data!E:E)</f>
        <v>0.034419079548918</v>
      </c>
      <c r="F24" s="27" t="n">
        <f aca="false">AVERAGEIF(Data!B:B,A24,Data!F:F)</f>
        <v>0.0840606533680254</v>
      </c>
      <c r="G24" s="23" t="n">
        <f aca="false">D24*H24*20/1000</f>
        <v>150963.280148342</v>
      </c>
      <c r="H24" s="22" t="n">
        <f aca="false">VLOOKUP(A24,CPM_table,2,FALSE())</f>
        <v>25</v>
      </c>
      <c r="I24" s="13" t="n">
        <v>283.575843968425</v>
      </c>
      <c r="K24" s="28" t="s">
        <v>26</v>
      </c>
      <c r="L24" s="1" t="n">
        <v>25</v>
      </c>
    </row>
    <row r="26" customFormat="false" ht="15" hidden="false" customHeight="false" outlineLevel="0" collapsed="false">
      <c r="A26" s="10" t="s">
        <v>12662</v>
      </c>
      <c r="D26" s="29" t="str">
        <f aca="false">INDEX(A5:A24,MATCH(MAX(I5:I24),I5:I24,0))</f>
        <v>Food</v>
      </c>
    </row>
    <row r="27" customFormat="false" ht="15" hidden="false" customHeight="false" outlineLevel="0" collapsed="false">
      <c r="A27" s="10" t="s">
        <v>12663</v>
      </c>
      <c r="D27" s="29" t="str">
        <f aca="false">INDEX(A5:A24,MATCH(MAX(F5:F24),F5:F24,0))</f>
        <v>News</v>
      </c>
    </row>
  </sheetData>
  <conditionalFormatting sqref="I5:I24">
    <cfRule type="dataBar" priority="2">
      <dataBar showValue="1" minLength="10" maxLength="90">
        <cfvo type="min" val="0"/>
        <cfvo type="max" val="0"/>
        <color rgb="FF5B9BD5"/>
      </dataBar>
      <extLst>
        <ext xmlns:x14="http://schemas.microsoft.com/office/spreadsheetml/2009/9/main" uri="{B025F937-C7B1-47D3-B67F-A62EFF666E3E}">
          <x14:id>{827FE2C3-8B34-4F61-BC6B-83C6F0A49EEC}</x14:id>
        </ext>
      </extLst>
    </cfRule>
  </conditionalFormatting>
  <conditionalFormatting sqref="F5:F24">
    <cfRule type="colorScale" priority="3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27FE2C3-8B34-4F61-BC6B-83C6F0A49EEC}">
            <x14:dataBar minLength="10" maxLength="90" axisPosition="none" gradient="true">
              <x14:cfvo type="min"/>
              <x14:cfvo type="max"/>
              <x14:negativeFillColor rgb="FF5B9BD5"/>
              <x14:axisColor rgb="FF000000"/>
            </x14:dataBar>
          </x14:cfRule>
          <xm:sqref>I5:I24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4"/>
  </cols>
  <sheetData>
    <row r="1" customFormat="false" ht="19.7" hidden="false" customHeight="false" outlineLevel="0" collapsed="false">
      <c r="A1" s="2" t="s">
        <v>12664</v>
      </c>
    </row>
    <row r="2" customFormat="false" ht="15" hidden="false" customHeight="false" outlineLevel="0" collapsed="false">
      <c r="A2" s="3" t="s">
        <v>12665</v>
      </c>
    </row>
    <row r="4" customFormat="false" ht="15" hidden="false" customHeight="false" outlineLevel="0" collapsed="false">
      <c r="A4" s="12" t="s">
        <v>12666</v>
      </c>
      <c r="B4" s="12" t="s">
        <v>12667</v>
      </c>
      <c r="C4" s="12" t="s">
        <v>12668</v>
      </c>
      <c r="D4" s="12" t="s">
        <v>12654</v>
      </c>
      <c r="E4" s="12" t="s">
        <v>12669</v>
      </c>
    </row>
    <row r="5" customFormat="false" ht="15" hidden="false" customHeight="false" outlineLevel="0" collapsed="false">
      <c r="A5" s="1" t="s">
        <v>12670</v>
      </c>
      <c r="B5" s="30" t="n">
        <v>0</v>
      </c>
      <c r="C5" s="30" t="n">
        <v>0.05</v>
      </c>
      <c r="D5" s="22" t="n">
        <f aca="false">COUNTIFS(Data!F:F,"&gt;="&amp;B5,Data!F:F,"&lt;"&amp;C5)</f>
        <v>1161</v>
      </c>
      <c r="E5" s="24" t="n">
        <f aca="false">D5/SUM($D$5:$D$10)</f>
        <v>0.0925320793815255</v>
      </c>
    </row>
    <row r="6" customFormat="false" ht="15" hidden="false" customHeight="false" outlineLevel="0" collapsed="false">
      <c r="A6" s="1" t="s">
        <v>12671</v>
      </c>
      <c r="B6" s="30" t="n">
        <v>0.05</v>
      </c>
      <c r="C6" s="30" t="n">
        <v>0.1</v>
      </c>
      <c r="D6" s="22" t="n">
        <f aca="false">COUNTIFS(Data!F:F,"&gt;="&amp;B6,Data!F:F,"&lt;"&amp;C6)</f>
        <v>9238</v>
      </c>
      <c r="E6" s="24" t="n">
        <f aca="false">D6/SUM($D$5:$D$10)</f>
        <v>0.736271618713637</v>
      </c>
    </row>
    <row r="7" customFormat="false" ht="15" hidden="false" customHeight="false" outlineLevel="0" collapsed="false">
      <c r="A7" s="1" t="s">
        <v>12672</v>
      </c>
      <c r="B7" s="30" t="n">
        <v>0.1</v>
      </c>
      <c r="C7" s="30" t="n">
        <v>0.2</v>
      </c>
      <c r="D7" s="22" t="n">
        <f aca="false">COUNTIFS(Data!F:F,"&gt;="&amp;B7,Data!F:F,"&lt;"&amp;C7)</f>
        <v>1751</v>
      </c>
      <c r="E7" s="24" t="n">
        <f aca="false">D7/SUM($D$5:$D$10)</f>
        <v>0.139555272176616</v>
      </c>
    </row>
    <row r="8" customFormat="false" ht="15" hidden="false" customHeight="false" outlineLevel="0" collapsed="false">
      <c r="A8" s="1" t="s">
        <v>12673</v>
      </c>
      <c r="B8" s="30" t="n">
        <v>0.2</v>
      </c>
      <c r="C8" s="30" t="n">
        <v>0.3</v>
      </c>
      <c r="D8" s="22" t="n">
        <f aca="false">COUNTIFS(Data!F:F,"&gt;="&amp;B8,Data!F:F,"&lt;"&amp;C8)</f>
        <v>189</v>
      </c>
      <c r="E8" s="24" t="n">
        <f aca="false">D8/SUM($D$5:$D$10)</f>
        <v>0.0150633617597832</v>
      </c>
    </row>
    <row r="9" customFormat="false" ht="15" hidden="false" customHeight="false" outlineLevel="0" collapsed="false">
      <c r="A9" s="1" t="s">
        <v>12674</v>
      </c>
      <c r="B9" s="30" t="n">
        <v>0.3</v>
      </c>
      <c r="C9" s="30" t="n">
        <v>0.5</v>
      </c>
      <c r="D9" s="22" t="n">
        <f aca="false">COUNTIFS(Data!F:F,"&gt;="&amp;B9,Data!F:F,"&lt;"&amp;C9)</f>
        <v>148</v>
      </c>
      <c r="E9" s="24" t="n">
        <f aca="false">D9/SUM($D$5:$D$10)</f>
        <v>0.0117956483621583</v>
      </c>
    </row>
    <row r="10" customFormat="false" ht="15" hidden="false" customHeight="false" outlineLevel="0" collapsed="false">
      <c r="A10" s="1" t="s">
        <v>12675</v>
      </c>
      <c r="B10" s="30" t="n">
        <v>0.5</v>
      </c>
      <c r="C10" s="30" t="n">
        <v>1.01</v>
      </c>
      <c r="D10" s="22" t="n">
        <f aca="false">COUNTIFS(Data!F:F,"&gt;="&amp;B10,Data!F:F,"&lt;"&amp;C10)</f>
        <v>60</v>
      </c>
      <c r="E10" s="24" t="n">
        <f aca="false">D10/SUM($D$5:$D$10)</f>
        <v>0.00478201960628039</v>
      </c>
    </row>
    <row r="11" customFormat="false" ht="15" hidden="false" customHeight="false" outlineLevel="0" collapsed="false">
      <c r="A11" s="10" t="s">
        <v>12676</v>
      </c>
      <c r="D11" s="31" t="n">
        <f aca="false">SUM(D5:D10)</f>
        <v>12547</v>
      </c>
    </row>
    <row r="13" customFormat="false" ht="15" hidden="false" customHeight="false" outlineLevel="0" collapsed="false">
      <c r="A13" s="10" t="s">
        <v>12677</v>
      </c>
    </row>
    <row r="14" customFormat="false" ht="15" hidden="false" customHeight="false" outlineLevel="0" collapsed="false">
      <c r="A14" s="3" t="s">
        <v>12600</v>
      </c>
    </row>
    <row r="15" customFormat="false" ht="15" hidden="false" customHeight="false" outlineLevel="0" collapsed="false">
      <c r="A15" s="1" t="s">
        <v>12678</v>
      </c>
      <c r="B15" s="16" t="n">
        <v>0.04</v>
      </c>
    </row>
    <row r="16" customFormat="false" ht="15" hidden="false" customHeight="false" outlineLevel="0" collapsed="false">
      <c r="A16" s="1" t="s">
        <v>12679</v>
      </c>
      <c r="B16" s="19" t="n">
        <v>80000</v>
      </c>
    </row>
    <row r="18" customFormat="false" ht="15" hidden="false" customHeight="false" outlineLevel="0" collapsed="false">
      <c r="A18" s="12" t="s">
        <v>12680</v>
      </c>
      <c r="B18" s="12" t="s">
        <v>12681</v>
      </c>
      <c r="C18" s="12" t="s">
        <v>12682</v>
      </c>
      <c r="D18" s="12" t="s">
        <v>12683</v>
      </c>
    </row>
    <row r="19" customFormat="false" ht="15" hidden="false" customHeight="false" outlineLevel="0" collapsed="false">
      <c r="A19" s="32" t="n">
        <v>0.2</v>
      </c>
      <c r="B19" s="22" t="n">
        <f aca="false">COUNTIF(Data!F:F,"&gt;="&amp;A19)</f>
        <v>397</v>
      </c>
      <c r="C19" s="22" t="n">
        <f aca="false">B19*(1-$B$15)</f>
        <v>381.12</v>
      </c>
      <c r="D19" s="23" t="n">
        <f aca="false">C19*$B$16</f>
        <v>30489600</v>
      </c>
    </row>
    <row r="20" customFormat="false" ht="15" hidden="false" customHeight="false" outlineLevel="0" collapsed="false">
      <c r="A20" s="32" t="n">
        <v>0.3</v>
      </c>
      <c r="B20" s="22" t="n">
        <f aca="false">COUNTIF(Data!F:F,"&gt;="&amp;A20)</f>
        <v>208</v>
      </c>
      <c r="C20" s="22" t="n">
        <f aca="false">B20*(1-$B$15)</f>
        <v>199.68</v>
      </c>
      <c r="D20" s="23" t="n">
        <f aca="false">C20*$B$16</f>
        <v>15974400</v>
      </c>
    </row>
    <row r="21" customFormat="false" ht="15" hidden="false" customHeight="false" outlineLevel="0" collapsed="false">
      <c r="A21" s="32" t="n">
        <v>0.5</v>
      </c>
      <c r="B21" s="22" t="n">
        <f aca="false">COUNTIF(Data!F:F,"&gt;="&amp;A21)</f>
        <v>60</v>
      </c>
      <c r="C21" s="22" t="n">
        <f aca="false">B21*(1-$B$15)</f>
        <v>57.6</v>
      </c>
      <c r="D21" s="23" t="n">
        <f aca="false">C21*$B$16</f>
        <v>4608000</v>
      </c>
    </row>
  </sheetData>
  <conditionalFormatting sqref="D5:D10">
    <cfRule type="dataBar" priority="2">
      <dataBar showValue="1" minLength="10" maxLength="90">
        <cfvo type="min" val="0"/>
        <cfvo type="max" val="0"/>
        <color rgb="FFF4B183"/>
      </dataBar>
      <extLst>
        <ext xmlns:x14="http://schemas.microsoft.com/office/spreadsheetml/2009/9/main" uri="{B025F937-C7B1-47D3-B67F-A62EFF666E3E}">
          <x14:id>{4AE59F3E-4C39-42B0-BAA6-7160A5CF7220}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AE59F3E-4C39-42B0-BAA6-7160A5CF7220}">
            <x14:dataBar minLength="10" maxLength="90" axisPosition="none" gradient="true">
              <x14:cfvo type="min"/>
              <x14:cfvo type="max"/>
              <x14:negativeFillColor rgb="FFF4B183"/>
              <x14:axisColor rgb="FF000000"/>
            </x14:dataBar>
          </x14:cfRule>
          <xm:sqref>D5:D10</xm:sqref>
        </x14:conditionalFormatting>
      </x14:conditionalFormatting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5" min="3" style="1" width="10"/>
    <col collapsed="false" customWidth="true" hidden="false" outlineLevel="0" max="7" min="6" style="1" width="12"/>
  </cols>
  <sheetData>
    <row r="1" customFormat="false" ht="19.7" hidden="false" customHeight="false" outlineLevel="0" collapsed="false">
      <c r="A1" s="2" t="s">
        <v>12684</v>
      </c>
    </row>
    <row r="2" customFormat="false" ht="15" hidden="false" customHeight="false" outlineLevel="0" collapsed="false">
      <c r="A2" s="3" t="s">
        <v>12685</v>
      </c>
    </row>
    <row r="4" customFormat="false" ht="28.35" hidden="false" customHeight="false" outlineLevel="0" collapsed="false">
      <c r="A4" s="12" t="s">
        <v>12686</v>
      </c>
      <c r="B4" s="12" t="s">
        <v>12687</v>
      </c>
      <c r="C4" s="12" t="s">
        <v>12688</v>
      </c>
      <c r="D4" s="12" t="s">
        <v>12689</v>
      </c>
      <c r="E4" s="12" t="s">
        <v>12690</v>
      </c>
      <c r="F4" s="12" t="s">
        <v>12691</v>
      </c>
      <c r="G4" s="12" t="s">
        <v>12692</v>
      </c>
    </row>
    <row r="5" customFormat="false" ht="15" hidden="false" customHeight="false" outlineLevel="0" collapsed="false">
      <c r="A5" s="1" t="s">
        <v>12693</v>
      </c>
      <c r="B5" s="13" t="n">
        <v>520</v>
      </c>
      <c r="C5" s="13" t="n">
        <v>198</v>
      </c>
      <c r="D5" s="13" t="n">
        <v>150</v>
      </c>
      <c r="E5" s="13" t="n">
        <v>96</v>
      </c>
      <c r="F5" s="24" t="n">
        <f aca="false">C5/B5</f>
        <v>0.380769230769231</v>
      </c>
      <c r="G5" s="24" t="n">
        <f aca="false">E5/B5</f>
        <v>0.184615384615385</v>
      </c>
    </row>
    <row r="6" customFormat="false" ht="15" hidden="false" customHeight="false" outlineLevel="0" collapsed="false">
      <c r="A6" s="1" t="s">
        <v>12694</v>
      </c>
      <c r="B6" s="13" t="n">
        <v>610</v>
      </c>
      <c r="C6" s="13" t="n">
        <v>232</v>
      </c>
      <c r="D6" s="13" t="n">
        <v>171</v>
      </c>
      <c r="E6" s="13" t="n">
        <v>108</v>
      </c>
      <c r="F6" s="24" t="n">
        <f aca="false">C6/B6</f>
        <v>0.380327868852459</v>
      </c>
      <c r="G6" s="24" t="n">
        <f aca="false">E6/B6</f>
        <v>0.177049180327869</v>
      </c>
    </row>
    <row r="7" customFormat="false" ht="15" hidden="false" customHeight="false" outlineLevel="0" collapsed="false">
      <c r="A7" s="1" t="s">
        <v>12695</v>
      </c>
      <c r="B7" s="13" t="n">
        <v>565</v>
      </c>
      <c r="C7" s="13" t="n">
        <v>221</v>
      </c>
      <c r="D7" s="13" t="n">
        <v>160</v>
      </c>
      <c r="E7" s="13" t="n">
        <v>101</v>
      </c>
      <c r="F7" s="24" t="n">
        <f aca="false">C7/B7</f>
        <v>0.391150442477876</v>
      </c>
      <c r="G7" s="24" t="n">
        <f aca="false">E7/B7</f>
        <v>0.178761061946903</v>
      </c>
    </row>
    <row r="8" customFormat="false" ht="15" hidden="false" customHeight="false" outlineLevel="0" collapsed="false">
      <c r="A8" s="1" t="s">
        <v>12696</v>
      </c>
      <c r="B8" s="13" t="n">
        <v>640</v>
      </c>
      <c r="C8" s="13" t="n">
        <v>256</v>
      </c>
      <c r="D8" s="13" t="n">
        <v>189</v>
      </c>
      <c r="E8" s="13" t="n">
        <v>121</v>
      </c>
      <c r="F8" s="24" t="n">
        <f aca="false">C8/B8</f>
        <v>0.4</v>
      </c>
      <c r="G8" s="24" t="n">
        <f aca="false">E8/B8</f>
        <v>0.1890625</v>
      </c>
    </row>
    <row r="10" customFormat="false" ht="15" hidden="false" customHeight="false" outlineLevel="0" collapsed="false">
      <c r="A10" s="10" t="s">
        <v>12697</v>
      </c>
    </row>
    <row r="11" customFormat="false" ht="28.35" hidden="false" customHeight="false" outlineLevel="0" collapsed="false">
      <c r="A11" s="12" t="s">
        <v>12698</v>
      </c>
      <c r="B11" s="12" t="s">
        <v>12699</v>
      </c>
      <c r="C11" s="12" t="s">
        <v>12700</v>
      </c>
    </row>
    <row r="12" customFormat="false" ht="15" hidden="false" customHeight="false" outlineLevel="0" collapsed="false">
      <c r="A12" s="1" t="s">
        <v>12701</v>
      </c>
      <c r="B12" s="13" t="n">
        <v>84</v>
      </c>
      <c r="C12" s="24" t="n">
        <f aca="false">B12/SUM($B$12:$B$15)</f>
        <v>0.0547945205479452</v>
      </c>
    </row>
    <row r="13" customFormat="false" ht="15" hidden="false" customHeight="false" outlineLevel="0" collapsed="false">
      <c r="A13" s="1" t="s">
        <v>12702</v>
      </c>
      <c r="B13" s="13" t="n">
        <v>212</v>
      </c>
      <c r="C13" s="24" t="n">
        <f aca="false">B13/SUM($B$12:$B$15)</f>
        <v>0.138290932811481</v>
      </c>
    </row>
    <row r="14" customFormat="false" ht="15" hidden="false" customHeight="false" outlineLevel="0" collapsed="false">
      <c r="A14" s="1" t="s">
        <v>12703</v>
      </c>
      <c r="B14" s="13" t="n">
        <v>47</v>
      </c>
      <c r="C14" s="24" t="n">
        <f aca="false">B14/SUM($B$12:$B$15)</f>
        <v>0.030658838878017</v>
      </c>
    </row>
    <row r="15" customFormat="false" ht="15" hidden="false" customHeight="false" outlineLevel="0" collapsed="false">
      <c r="A15" s="1" t="s">
        <v>12704</v>
      </c>
      <c r="B15" s="13" t="n">
        <v>1190</v>
      </c>
      <c r="C15" s="24" t="n">
        <f aca="false">B15/SUM($B$12:$B$15)</f>
        <v>0.776255707762557</v>
      </c>
    </row>
  </sheetData>
  <conditionalFormatting sqref="F5:G8">
    <cfRule type="colorScale" priority="2">
      <colorScale>
        <cfvo type="min" val="0"/>
        <cfvo type="max" val="0"/>
        <color rgb="FFF8696B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2"/>
  </cols>
  <sheetData>
    <row r="1" customFormat="false" ht="19.7" hidden="false" customHeight="false" outlineLevel="0" collapsed="false">
      <c r="A1" s="2" t="s">
        <v>12705</v>
      </c>
    </row>
    <row r="2" customFormat="false" ht="15" hidden="false" customHeight="false" outlineLevel="0" collapsed="false">
      <c r="A2" s="3" t="s">
        <v>12706</v>
      </c>
    </row>
    <row r="4" customFormat="false" ht="15" hidden="false" customHeight="false" outlineLevel="0" collapsed="false">
      <c r="A4" s="12" t="s">
        <v>12707</v>
      </c>
      <c r="B4" s="12" t="s">
        <v>12699</v>
      </c>
      <c r="C4" s="12" t="s">
        <v>12708</v>
      </c>
      <c r="D4" s="12" t="s">
        <v>12709</v>
      </c>
    </row>
    <row r="5" customFormat="false" ht="15" hidden="false" customHeight="false" outlineLevel="0" collapsed="false">
      <c r="A5" s="1" t="s">
        <v>12710</v>
      </c>
      <c r="B5" s="13" t="n">
        <v>1000</v>
      </c>
      <c r="C5" s="24" t="n">
        <f aca="false">1</f>
        <v>1</v>
      </c>
      <c r="D5" s="24" t="n">
        <f aca="false">B5/$B$5</f>
        <v>1</v>
      </c>
    </row>
    <row r="6" customFormat="false" ht="15" hidden="false" customHeight="false" outlineLevel="0" collapsed="false">
      <c r="A6" s="1" t="s">
        <v>12711</v>
      </c>
      <c r="B6" s="13" t="n">
        <v>640</v>
      </c>
      <c r="C6" s="24" t="n">
        <f aca="false">B6/B5</f>
        <v>0.64</v>
      </c>
      <c r="D6" s="24" t="n">
        <f aca="false">B6/$B$5</f>
        <v>0.64</v>
      </c>
    </row>
    <row r="7" customFormat="false" ht="15" hidden="false" customHeight="false" outlineLevel="0" collapsed="false">
      <c r="A7" s="1" t="s">
        <v>12712</v>
      </c>
      <c r="B7" s="13" t="n">
        <v>520</v>
      </c>
      <c r="C7" s="24" t="n">
        <f aca="false">B7/B6</f>
        <v>0.8125</v>
      </c>
      <c r="D7" s="24" t="n">
        <f aca="false">B7/$B$5</f>
        <v>0.52</v>
      </c>
    </row>
    <row r="8" customFormat="false" ht="15" hidden="false" customHeight="false" outlineLevel="0" collapsed="false">
      <c r="A8" s="1" t="s">
        <v>12713</v>
      </c>
      <c r="B8" s="13" t="n">
        <v>330</v>
      </c>
      <c r="C8" s="24" t="n">
        <f aca="false">B8/B7</f>
        <v>0.634615384615385</v>
      </c>
      <c r="D8" s="24" t="n">
        <f aca="false">B8/$B$5</f>
        <v>0.33</v>
      </c>
    </row>
    <row r="9" customFormat="false" ht="15" hidden="false" customHeight="false" outlineLevel="0" collapsed="false">
      <c r="A9" s="1" t="s">
        <v>12714</v>
      </c>
      <c r="B9" s="13" t="n">
        <v>190</v>
      </c>
      <c r="C9" s="24" t="n">
        <f aca="false">B9/B8</f>
        <v>0.575757575757576</v>
      </c>
      <c r="D9" s="24" t="n">
        <f aca="false">B9/$B$5</f>
        <v>0.19</v>
      </c>
    </row>
    <row r="11" customFormat="false" ht="15" hidden="false" customHeight="false" outlineLevel="0" collapsed="false">
      <c r="A11" s="12" t="s">
        <v>12715</v>
      </c>
      <c r="B11" s="12" t="s">
        <v>12699</v>
      </c>
      <c r="C11" s="12" t="s">
        <v>12708</v>
      </c>
      <c r="D11" s="12" t="s">
        <v>12709</v>
      </c>
    </row>
    <row r="12" customFormat="false" ht="15" hidden="false" customHeight="false" outlineLevel="0" collapsed="false">
      <c r="A12" s="1" t="s">
        <v>12716</v>
      </c>
      <c r="B12" s="13" t="n">
        <v>1400</v>
      </c>
      <c r="C12" s="24" t="n">
        <f aca="false">1</f>
        <v>1</v>
      </c>
      <c r="D12" s="24" t="n">
        <f aca="false">B12/$B$12</f>
        <v>1</v>
      </c>
    </row>
    <row r="13" customFormat="false" ht="15" hidden="false" customHeight="false" outlineLevel="0" collapsed="false">
      <c r="A13" s="1" t="s">
        <v>12717</v>
      </c>
      <c r="B13" s="13" t="n">
        <v>980</v>
      </c>
      <c r="C13" s="24" t="n">
        <f aca="false">B13/B12</f>
        <v>0.7</v>
      </c>
      <c r="D13" s="24" t="n">
        <f aca="false">B13/$B$12</f>
        <v>0.7</v>
      </c>
    </row>
    <row r="14" customFormat="false" ht="15" hidden="false" customHeight="false" outlineLevel="0" collapsed="false">
      <c r="A14" s="1" t="s">
        <v>12718</v>
      </c>
      <c r="B14" s="13" t="n">
        <v>710</v>
      </c>
      <c r="C14" s="24" t="n">
        <f aca="false">B14/B13</f>
        <v>0.724489795918367</v>
      </c>
      <c r="D14" s="24" t="n">
        <f aca="false">B14/$B$12</f>
        <v>0.507142857142857</v>
      </c>
    </row>
    <row r="15" customFormat="false" ht="15" hidden="false" customHeight="false" outlineLevel="0" collapsed="false">
      <c r="A15" s="1" t="s">
        <v>12719</v>
      </c>
      <c r="B15" s="13" t="n">
        <v>430</v>
      </c>
      <c r="C15" s="24" t="n">
        <f aca="false">B15/B14</f>
        <v>0.605633802816901</v>
      </c>
      <c r="D15" s="24" t="n">
        <f aca="false">B15/$B$12</f>
        <v>0.307142857142857</v>
      </c>
    </row>
    <row r="17" customFormat="false" ht="15" hidden="false" customHeight="false" outlineLevel="0" collapsed="false">
      <c r="A17" s="10" t="s">
        <v>12720</v>
      </c>
      <c r="B17" s="15" t="n">
        <f aca="false">B8</f>
        <v>330</v>
      </c>
    </row>
  </sheetData>
  <conditionalFormatting sqref="D5:D9">
    <cfRule type="dataBar" priority="2">
      <dataBar showValue="1" minLength="10" maxLength="90">
        <cfvo type="num" val="0"/>
        <cfvo type="num" val="1"/>
        <color rgb="FF9DC3E6"/>
      </dataBar>
      <extLst>
        <ext xmlns:x14="http://schemas.microsoft.com/office/spreadsheetml/2009/9/main" uri="{B025F937-C7B1-47D3-B67F-A62EFF666E3E}">
          <x14:id>{EF4835BB-A97A-4764-B5FC-90E0796EA173}</x14:id>
        </ext>
      </extLs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F4835BB-A97A-4764-B5FC-90E0796EA173}">
            <x14:dataBar minLength="10" maxLength="90" axisPosition="none" gradient="true">
              <x14:cfvo type="num">
                <xm:f>0</xm:f>
              </x14:cfvo>
              <x14:cfvo type="num">
                <xm:f>1</xm:f>
              </x14:cfvo>
              <x14:negativeFillColor rgb="FF9DC3E6"/>
              <x14:axisColor rgb="FF000000"/>
            </x14:dataBar>
          </x14:cfRule>
          <xm:sqref>D5:D9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9"/>
    <col collapsed="false" customWidth="true" hidden="false" outlineLevel="0" max="4" min="3" style="1" width="13"/>
    <col collapsed="false" customWidth="true" hidden="false" outlineLevel="0" max="5" min="5" style="1" width="11"/>
    <col collapsed="false" customWidth="true" hidden="false" outlineLevel="0" max="6" min="6" style="1" width="12"/>
    <col collapsed="false" customWidth="true" hidden="false" outlineLevel="0" max="7" min="7" style="1" width="15"/>
  </cols>
  <sheetData>
    <row r="1" customFormat="false" ht="19.7" hidden="false" customHeight="false" outlineLevel="0" collapsed="false">
      <c r="A1" s="2" t="s">
        <v>12721</v>
      </c>
    </row>
    <row r="2" customFormat="false" ht="15" hidden="false" customHeight="false" outlineLevel="0" collapsed="false">
      <c r="A2" s="3" t="s">
        <v>12722</v>
      </c>
    </row>
    <row r="4" customFormat="false" ht="15" hidden="false" customHeight="false" outlineLevel="0" collapsed="false">
      <c r="A4" s="33" t="s">
        <v>12723</v>
      </c>
      <c r="B4" s="33" t="s">
        <v>12724</v>
      </c>
      <c r="C4" s="12" t="s">
        <v>12725</v>
      </c>
      <c r="D4" s="12" t="s">
        <v>12726</v>
      </c>
      <c r="E4" s="12" t="s">
        <v>12727</v>
      </c>
      <c r="F4" s="12" t="s">
        <v>12728</v>
      </c>
      <c r="G4" s="12" t="s">
        <v>12729</v>
      </c>
    </row>
    <row r="5" customFormat="false" ht="15" hidden="false" customHeight="false" outlineLevel="0" collapsed="false">
      <c r="A5" s="1" t="s">
        <v>12730</v>
      </c>
      <c r="B5" s="20" t="n">
        <v>0.22</v>
      </c>
      <c r="C5" s="34" t="n">
        <v>5</v>
      </c>
      <c r="D5" s="34" t="n">
        <v>2</v>
      </c>
      <c r="E5" s="34" t="n">
        <v>3</v>
      </c>
      <c r="F5" s="34" t="n">
        <v>4</v>
      </c>
      <c r="G5" s="34" t="n">
        <v>4</v>
      </c>
    </row>
    <row r="6" customFormat="false" ht="15" hidden="false" customHeight="false" outlineLevel="0" collapsed="false">
      <c r="A6" s="1" t="s">
        <v>12731</v>
      </c>
      <c r="B6" s="20" t="n">
        <v>0.2</v>
      </c>
      <c r="C6" s="34" t="n">
        <v>5</v>
      </c>
      <c r="D6" s="34" t="n">
        <v>5</v>
      </c>
      <c r="E6" s="34" t="n">
        <v>4</v>
      </c>
      <c r="F6" s="34" t="n">
        <v>2</v>
      </c>
      <c r="G6" s="34" t="n">
        <v>2</v>
      </c>
    </row>
    <row r="7" customFormat="false" ht="15" hidden="false" customHeight="false" outlineLevel="0" collapsed="false">
      <c r="A7" s="1" t="s">
        <v>12732</v>
      </c>
      <c r="B7" s="20" t="n">
        <v>0.15</v>
      </c>
      <c r="C7" s="34" t="n">
        <v>5</v>
      </c>
      <c r="D7" s="34" t="n">
        <v>2</v>
      </c>
      <c r="E7" s="34" t="n">
        <v>2</v>
      </c>
      <c r="F7" s="34" t="n">
        <v>3</v>
      </c>
      <c r="G7" s="34" t="n">
        <v>2</v>
      </c>
    </row>
    <row r="8" customFormat="false" ht="15" hidden="false" customHeight="false" outlineLevel="0" collapsed="false">
      <c r="A8" s="1" t="s">
        <v>12733</v>
      </c>
      <c r="B8" s="20" t="n">
        <v>0.18</v>
      </c>
      <c r="C8" s="34" t="n">
        <v>5</v>
      </c>
      <c r="D8" s="34" t="n">
        <v>3</v>
      </c>
      <c r="E8" s="34" t="n">
        <v>3</v>
      </c>
      <c r="F8" s="34" t="n">
        <v>4</v>
      </c>
      <c r="G8" s="34" t="n">
        <v>5</v>
      </c>
    </row>
    <row r="9" customFormat="false" ht="15" hidden="false" customHeight="false" outlineLevel="0" collapsed="false">
      <c r="A9" s="1" t="s">
        <v>12734</v>
      </c>
      <c r="B9" s="20" t="n">
        <v>0.15</v>
      </c>
      <c r="C9" s="34" t="n">
        <v>4</v>
      </c>
      <c r="D9" s="34" t="n">
        <v>4</v>
      </c>
      <c r="E9" s="34" t="n">
        <v>4</v>
      </c>
      <c r="F9" s="34" t="n">
        <v>3</v>
      </c>
      <c r="G9" s="34" t="n">
        <v>2</v>
      </c>
    </row>
    <row r="10" customFormat="false" ht="15" hidden="false" customHeight="false" outlineLevel="0" collapsed="false">
      <c r="A10" s="1" t="s">
        <v>12735</v>
      </c>
      <c r="B10" s="20" t="n">
        <v>0.1</v>
      </c>
      <c r="C10" s="34" t="n">
        <v>4</v>
      </c>
      <c r="D10" s="34" t="n">
        <v>3</v>
      </c>
      <c r="E10" s="34" t="n">
        <v>4</v>
      </c>
      <c r="F10" s="34" t="n">
        <v>3</v>
      </c>
      <c r="G10" s="34" t="n">
        <v>3</v>
      </c>
    </row>
    <row r="11" customFormat="false" ht="15" hidden="false" customHeight="false" outlineLevel="0" collapsed="false">
      <c r="A11" s="10" t="s">
        <v>12736</v>
      </c>
      <c r="B11" s="24" t="n">
        <f aca="false">SUM(B5:B10)</f>
        <v>1</v>
      </c>
      <c r="C11" s="35" t="n">
        <f aca="false">SUMPRODUCT($B$5:$B$10,C5:C10)</f>
        <v>4.75</v>
      </c>
      <c r="D11" s="35" t="n">
        <f aca="false">SUMPRODUCT($B$5:$B$10,D5:D10)</f>
        <v>3.18</v>
      </c>
      <c r="E11" s="35" t="n">
        <f aca="false">SUMPRODUCT($B$5:$B$10,E5:E10)</f>
        <v>3.3</v>
      </c>
      <c r="F11" s="35" t="n">
        <f aca="false">SUMPRODUCT($B$5:$B$10,F5:F10)</f>
        <v>3.2</v>
      </c>
      <c r="G11" s="35" t="n">
        <f aca="false">SUMPRODUCT($B$5:$B$10,G5:G10)</f>
        <v>3.08</v>
      </c>
    </row>
  </sheetData>
  <conditionalFormatting sqref="C5:G10">
    <cfRule type="colorScale" priority="2">
      <colorScale>
        <cfvo type="num" val="1"/>
        <cfvo type="num" val="3"/>
        <cfvo type="num" val="5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0"/>
    <col collapsed="false" customWidth="true" hidden="false" outlineLevel="0" max="4" min="3" style="1" width="10"/>
    <col collapsed="false" customWidth="true" hidden="false" outlineLevel="0" max="6" min="5" style="1" width="12"/>
  </cols>
  <sheetData>
    <row r="1" customFormat="false" ht="19.7" hidden="false" customHeight="false" outlineLevel="0" collapsed="false">
      <c r="A1" s="2" t="s">
        <v>12737</v>
      </c>
    </row>
    <row r="2" customFormat="false" ht="15" hidden="false" customHeight="false" outlineLevel="0" collapsed="false">
      <c r="A2" s="3" t="s">
        <v>12738</v>
      </c>
    </row>
    <row r="4" customFormat="false" ht="15" hidden="false" customHeight="false" outlineLevel="0" collapsed="false">
      <c r="A4" s="12" t="s">
        <v>12739</v>
      </c>
      <c r="B4" s="12" t="s">
        <v>12740</v>
      </c>
      <c r="C4" s="12" t="s">
        <v>12741</v>
      </c>
      <c r="D4" s="12" t="s">
        <v>12742</v>
      </c>
      <c r="E4" s="12" t="s">
        <v>12743</v>
      </c>
      <c r="F4" s="12" t="s">
        <v>12744</v>
      </c>
    </row>
    <row r="5" customFormat="false" ht="15" hidden="false" customHeight="false" outlineLevel="0" collapsed="false">
      <c r="A5" s="1" t="s">
        <v>12745</v>
      </c>
      <c r="B5" s="1" t="s">
        <v>12746</v>
      </c>
      <c r="C5" s="36" t="n">
        <v>2</v>
      </c>
      <c r="D5" s="36" t="n">
        <v>2</v>
      </c>
      <c r="E5" s="24" t="n">
        <f aca="false">MIN(D5/C5,1.5)</f>
        <v>1</v>
      </c>
      <c r="F5" s="1" t="str">
        <f aca="false">IF(E5&gt;=1,"On track",IF(E5&gt;=0.7,"At risk","Behind"))</f>
        <v>On track</v>
      </c>
    </row>
    <row r="6" customFormat="false" ht="15" hidden="false" customHeight="false" outlineLevel="0" collapsed="false">
      <c r="A6" s="1" t="s">
        <v>12747</v>
      </c>
      <c r="B6" s="1" t="s">
        <v>12748</v>
      </c>
      <c r="C6" s="36" t="n">
        <v>10000</v>
      </c>
      <c r="D6" s="36" t="n">
        <v>12547</v>
      </c>
      <c r="E6" s="24" t="n">
        <f aca="false">MIN(D6/C6,1.5)</f>
        <v>1.2547</v>
      </c>
      <c r="F6" s="1" t="str">
        <f aca="false">IF(E6&gt;=1,"On track",IF(E6&gt;=0.7,"At risk","Behind"))</f>
        <v>On track</v>
      </c>
    </row>
    <row r="7" customFormat="false" ht="15" hidden="false" customHeight="false" outlineLevel="0" collapsed="false">
      <c r="A7" s="1" t="s">
        <v>12749</v>
      </c>
      <c r="B7" s="1" t="s">
        <v>12750</v>
      </c>
      <c r="C7" s="36" t="n">
        <v>15</v>
      </c>
      <c r="D7" s="36" t="n">
        <v>23</v>
      </c>
      <c r="E7" s="24" t="n">
        <f aca="false">MIN(D7/C7,1.5)</f>
        <v>1.5</v>
      </c>
      <c r="F7" s="1" t="str">
        <f aca="false">IF(E7&gt;=1,"On track",IF(E7&gt;=0.7,"At risk","Behind"))</f>
        <v>On track</v>
      </c>
    </row>
    <row r="8" customFormat="false" ht="15" hidden="false" customHeight="false" outlineLevel="0" collapsed="false">
      <c r="A8" s="1" t="s">
        <v>12751</v>
      </c>
      <c r="B8" s="1" t="s">
        <v>8</v>
      </c>
      <c r="C8" s="36" t="n">
        <v>0.8</v>
      </c>
      <c r="D8" s="36" t="n">
        <v>0.83</v>
      </c>
      <c r="E8" s="24" t="n">
        <f aca="false">MIN(D8/C8,1.5)</f>
        <v>1.0375</v>
      </c>
      <c r="F8" s="1" t="str">
        <f aca="false">IF(E8&gt;=1,"On track",IF(E8&gt;=0.7,"At risk","Behind"))</f>
        <v>On track</v>
      </c>
    </row>
    <row r="9" customFormat="false" ht="15" hidden="false" customHeight="false" outlineLevel="0" collapsed="false">
      <c r="A9" s="1" t="s">
        <v>12752</v>
      </c>
      <c r="B9" s="1" t="s">
        <v>12753</v>
      </c>
      <c r="C9" s="36" t="n">
        <v>20</v>
      </c>
      <c r="D9" s="36" t="n">
        <v>20</v>
      </c>
      <c r="E9" s="24" t="n">
        <f aca="false">MIN(D9/C9,1.5)</f>
        <v>1</v>
      </c>
      <c r="F9" s="1" t="str">
        <f aca="false">IF(E9&gt;=1,"On track",IF(E9&gt;=0.7,"At risk","Behind"))</f>
        <v>On track</v>
      </c>
    </row>
    <row r="10" customFormat="false" ht="15" hidden="false" customHeight="false" outlineLevel="0" collapsed="false">
      <c r="A10" s="1" t="s">
        <v>12754</v>
      </c>
      <c r="B10" s="1" t="s">
        <v>12755</v>
      </c>
      <c r="C10" s="36" t="n">
        <v>10</v>
      </c>
      <c r="D10" s="36" t="n">
        <v>12</v>
      </c>
      <c r="E10" s="24" t="n">
        <f aca="false">MIN(D10/C10,1.5)</f>
        <v>1.2</v>
      </c>
      <c r="F10" s="1" t="str">
        <f aca="false">IF(E10&gt;=1,"On track",IF(E10&gt;=0.7,"At risk","Behind"))</f>
        <v>On track</v>
      </c>
    </row>
  </sheetData>
  <conditionalFormatting sqref="E5:E10">
    <cfRule type="iconSet" priority="2">
      <iconSet iconSet="3TrafficLights1">
        <cfvo type="percent" val="0"/>
        <cfvo type="percent" val="70"/>
        <cfvo type="percent" val="100"/>
      </iconSet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2026-06-16T10:47:13Z</dcterms:created>
  <dc:creator>openpyxl</dc:creator>
  <dc:description/>
  <dc:language>en-US</dc:language>
  <cp:lastModifiedBy/>
  <dcterms:modified xsi:type="dcterms:W3CDTF">2026-06-16T10:47:14Z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